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050A422F-9A52-4736-B713-CCFD37695817}" xr6:coauthVersionLast="47" xr6:coauthVersionMax="47" xr10:uidLastSave="{00000000-0000-0000-0000-000000000000}"/>
  <bookViews>
    <workbookView xWindow="28680" yWindow="-120" windowWidth="29040" windowHeight="175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7" i="27"/>
  <c r="D335" i="27"/>
  <c r="D960" i="27"/>
  <c r="D136" i="27"/>
  <c r="D1314" i="27"/>
  <c r="D598" i="27"/>
  <c r="D374" i="27"/>
  <c r="D444" i="27"/>
  <c r="D443" i="27"/>
  <c r="D1265" i="27"/>
  <c r="D36" i="27"/>
  <c r="D35" i="27"/>
  <c r="D34" i="27"/>
  <c r="D517" i="27"/>
  <c r="D135" i="27"/>
  <c r="D626" i="27"/>
  <c r="D1264" i="27"/>
  <c r="D1263" i="27"/>
  <c r="D516" i="27"/>
  <c r="D823" i="27"/>
  <c r="D527" i="27"/>
  <c r="D1016" i="27"/>
  <c r="D597" i="27"/>
  <c r="D596" i="27"/>
  <c r="D172" i="27"/>
  <c r="D33" i="27"/>
  <c r="D822" i="27"/>
  <c r="D134" i="27"/>
  <c r="D133" i="27"/>
  <c r="D272" i="27"/>
  <c r="D1262" i="27"/>
  <c r="D678" i="27"/>
  <c r="D373" i="27"/>
  <c r="D218" i="27"/>
  <c r="D595" i="27"/>
  <c r="D821" i="27"/>
  <c r="D820" i="27"/>
  <c r="D819" i="27"/>
  <c r="D1015" i="27"/>
  <c r="D32" i="27"/>
  <c r="D818" i="27"/>
  <c r="D1014" i="27"/>
  <c r="D334" i="27"/>
  <c r="D946" i="27"/>
  <c r="D625" i="27"/>
  <c r="D1091" i="27"/>
  <c r="D925" i="27"/>
  <c r="D959" i="27"/>
  <c r="D750" i="27"/>
  <c r="D217" i="27"/>
  <c r="D1261" i="27"/>
  <c r="D151" i="27"/>
  <c r="D132" i="27"/>
  <c r="D271" i="27"/>
  <c r="D131" i="27"/>
  <c r="D130" i="27"/>
  <c r="D129" i="27"/>
  <c r="D464" i="27"/>
  <c r="D651" i="27"/>
  <c r="D216" i="27"/>
  <c r="D215" i="27"/>
  <c r="D214" i="27"/>
  <c r="D213" i="27"/>
  <c r="D650" i="27"/>
  <c r="D1313" i="27"/>
  <c r="D1312" i="27"/>
  <c r="D677" i="27"/>
  <c r="D372" i="27"/>
  <c r="D1260" i="27"/>
  <c r="D1311" i="27"/>
  <c r="D1310" i="27"/>
  <c r="D1309" i="27"/>
  <c r="D1308" i="27"/>
  <c r="D1259" i="27"/>
  <c r="D1258" i="27"/>
  <c r="D1257" i="27"/>
  <c r="D1256" i="27"/>
  <c r="D270" i="27"/>
  <c r="D1047" i="27"/>
  <c r="D945" i="27"/>
  <c r="D924" i="27"/>
  <c r="D868" i="27"/>
  <c r="D867" i="27"/>
  <c r="D866" i="27"/>
  <c r="D649" i="27"/>
  <c r="D648" i="27"/>
  <c r="D463" i="27"/>
  <c r="D462" i="27"/>
  <c r="D461" i="27"/>
  <c r="D460" i="27"/>
  <c r="D371" i="27"/>
  <c r="D269" i="27"/>
  <c r="D268" i="27"/>
  <c r="D267" i="27"/>
  <c r="D266" i="27"/>
  <c r="D265" i="27"/>
  <c r="D264" i="27"/>
  <c r="D263" i="27"/>
  <c r="D262" i="27"/>
  <c r="D212" i="27"/>
  <c r="D211" i="27"/>
  <c r="D210" i="27"/>
  <c r="D63" i="27"/>
  <c r="D209" i="27"/>
  <c r="D1255" i="27"/>
  <c r="D1254" i="27"/>
  <c r="D1253" i="27"/>
  <c r="D624" i="27"/>
  <c r="D1336" i="27"/>
  <c r="D958" i="27"/>
  <c r="D1335" i="27"/>
  <c r="D865" i="27"/>
  <c r="D1252" i="27"/>
  <c r="D515" i="27"/>
  <c r="D1251" i="27"/>
  <c r="D1250" i="27"/>
  <c r="D261" i="27"/>
  <c r="D1046" i="27"/>
  <c r="D1249" i="27"/>
  <c r="D514" i="27"/>
  <c r="D647" i="27"/>
  <c r="D1248" i="27"/>
  <c r="D208" i="27"/>
  <c r="D646" i="27"/>
  <c r="D556" i="27"/>
  <c r="D128" i="27"/>
  <c r="D127" i="27"/>
  <c r="D676" i="27"/>
  <c r="D675" i="27"/>
  <c r="D1247" i="27"/>
  <c r="D513" i="27"/>
  <c r="D1013" i="27"/>
  <c r="D817" i="27"/>
  <c r="D816" i="27"/>
  <c r="D555" i="27"/>
  <c r="D554" i="27"/>
  <c r="D526" i="27"/>
  <c r="D207" i="27"/>
  <c r="D31" i="27"/>
  <c r="D260" i="27"/>
  <c r="D206" i="27"/>
  <c r="D205" i="27"/>
  <c r="D126" i="27"/>
  <c r="D645" i="27"/>
  <c r="D333" i="27"/>
  <c r="D1246" i="27"/>
  <c r="D204" i="27"/>
  <c r="D1245" i="27"/>
  <c r="D203" i="27"/>
  <c r="D864" i="27"/>
  <c r="D1244" i="27"/>
  <c r="D1243" i="27"/>
  <c r="D1242" i="27"/>
  <c r="D863" i="27"/>
  <c r="D1045" i="27"/>
  <c r="D1307" i="27"/>
  <c r="D202" i="27"/>
  <c r="D201" i="27"/>
  <c r="D862" i="27"/>
  <c r="D259" i="27"/>
  <c r="D861" i="27"/>
  <c r="D258" i="27"/>
  <c r="D1306" i="27"/>
  <c r="D539" i="27"/>
  <c r="D1241" i="27"/>
  <c r="D1240" i="27"/>
  <c r="D1239" i="27"/>
  <c r="D257" i="27"/>
  <c r="D860" i="27"/>
  <c r="D171" i="27"/>
  <c r="D1024" i="27"/>
  <c r="D644" i="27"/>
  <c r="D30" i="27"/>
  <c r="D512" i="27"/>
  <c r="D1023" i="27"/>
  <c r="D749" i="27"/>
  <c r="D1090" i="27"/>
  <c r="D748" i="27"/>
  <c r="D1089" i="27"/>
  <c r="D170" i="27"/>
  <c r="D815" i="27"/>
  <c r="D1334" i="27"/>
  <c r="D125" i="27"/>
  <c r="D1344" i="27"/>
  <c r="D1238" i="27"/>
  <c r="D594" i="27"/>
  <c r="D124" i="27"/>
  <c r="D123" i="27"/>
  <c r="D122" i="27"/>
  <c r="D332" i="27"/>
  <c r="D121" i="27"/>
  <c r="D120" i="27"/>
  <c r="D957" i="27"/>
  <c r="D715" i="27"/>
  <c r="D593" i="27"/>
  <c r="D280" i="27"/>
  <c r="D256" i="27"/>
  <c r="D1237" i="27"/>
  <c r="D255" i="27"/>
  <c r="D200" i="27"/>
  <c r="D592" i="27"/>
  <c r="D944" i="27"/>
  <c r="D119" i="27"/>
  <c r="D47" i="27"/>
  <c r="D1305" i="27"/>
  <c r="D1236" i="27"/>
  <c r="D1235" i="27"/>
  <c r="D1234" i="27"/>
  <c r="D511" i="27"/>
  <c r="D1233" i="27"/>
  <c r="D814" i="27"/>
  <c r="D370" i="27"/>
  <c r="D923" i="27"/>
  <c r="D922" i="27"/>
  <c r="D747" i="27"/>
  <c r="D331" i="27"/>
  <c r="D1088" i="27"/>
  <c r="D1087" i="27"/>
  <c r="D1232" i="27"/>
  <c r="D943" i="27"/>
  <c r="D525" i="27"/>
  <c r="D859" i="27"/>
  <c r="D1086" i="27"/>
  <c r="D1231" i="27"/>
  <c r="D199" i="27"/>
  <c r="D254" i="27"/>
  <c r="D29" i="27"/>
  <c r="D813" i="27"/>
  <c r="D1230" i="27"/>
  <c r="D198" i="27"/>
  <c r="D1229" i="27"/>
  <c r="D197" i="27"/>
  <c r="D643" i="27"/>
  <c r="D642" i="27"/>
  <c r="D1044" i="27"/>
  <c r="D858" i="27"/>
  <c r="D1376" i="27"/>
  <c r="D591" i="27"/>
  <c r="D590" i="27"/>
  <c r="D589" i="27"/>
  <c r="D921" i="27"/>
  <c r="D553" i="27"/>
  <c r="D538" i="27"/>
  <c r="D1304" i="27"/>
  <c r="D1303" i="27"/>
  <c r="D1302" i="27"/>
  <c r="D369" i="27"/>
  <c r="D330" i="27"/>
  <c r="D329" i="27"/>
  <c r="D1375" i="27"/>
  <c r="D169" i="27"/>
  <c r="D1333" i="27"/>
  <c r="D368" i="27"/>
  <c r="D1374" i="27"/>
  <c r="D623" i="27"/>
  <c r="D413" i="27"/>
  <c r="D552" i="27"/>
  <c r="D874" i="27"/>
  <c r="D367" i="27"/>
  <c r="D622" i="27"/>
  <c r="D118" i="27"/>
  <c r="D1301" i="27"/>
  <c r="D691" i="27"/>
  <c r="D690" i="27"/>
  <c r="D1332" i="27"/>
  <c r="D1331" i="27"/>
  <c r="D689" i="27"/>
  <c r="D714" i="27"/>
  <c r="D442" i="27"/>
  <c r="D328" i="27"/>
  <c r="D327" i="27"/>
  <c r="D326" i="27"/>
  <c r="D325" i="27"/>
  <c r="D412" i="27"/>
  <c r="D411" i="27"/>
  <c r="D410" i="27"/>
  <c r="D706" i="27"/>
  <c r="D688" i="27"/>
  <c r="D441" i="27"/>
  <c r="D440" i="27"/>
  <c r="D439" i="27"/>
  <c r="D1228" i="27"/>
  <c r="D459" i="27"/>
  <c r="D324" i="27"/>
  <c r="D196" i="27"/>
  <c r="D253" i="27"/>
  <c r="D117" i="27"/>
  <c r="D409" i="27"/>
  <c r="D1227" i="27"/>
  <c r="D1056" i="27"/>
  <c r="D116" i="27"/>
  <c r="D1330" i="27"/>
  <c r="D1329" i="27"/>
  <c r="D115" i="27"/>
  <c r="D1226" i="27"/>
  <c r="D1225" i="27"/>
  <c r="D762" i="27"/>
  <c r="D114" i="27"/>
  <c r="D705" i="27"/>
  <c r="D438" i="27"/>
  <c r="D1224" i="27"/>
  <c r="D1223" i="27"/>
  <c r="D1222" i="27"/>
  <c r="D437" i="27"/>
  <c r="D1221" i="27"/>
  <c r="D1220" i="27"/>
  <c r="D942" i="27"/>
  <c r="D1219" i="27"/>
  <c r="D1218" i="27"/>
  <c r="D436" i="27"/>
  <c r="D435" i="27"/>
  <c r="D1055" i="27"/>
  <c r="D434" i="27"/>
  <c r="D1054" i="27"/>
  <c r="D1053" i="27"/>
  <c r="D704" i="27"/>
  <c r="D1052" i="27"/>
  <c r="D408" i="27"/>
  <c r="D407" i="27"/>
  <c r="D873" i="27"/>
  <c r="D703" i="27"/>
  <c r="D702" i="27"/>
  <c r="D621" i="27"/>
  <c r="D620" i="27"/>
  <c r="D406" i="27"/>
  <c r="D701" i="27"/>
  <c r="D619" i="27"/>
  <c r="D956" i="27"/>
  <c r="D113" i="27"/>
  <c r="D150" i="27"/>
  <c r="D1217" i="27"/>
  <c r="D761" i="27"/>
  <c r="D149" i="27"/>
  <c r="D1216" i="27"/>
  <c r="D812" i="27"/>
  <c r="D811" i="27"/>
  <c r="D1272" i="27"/>
  <c r="D366" i="27"/>
  <c r="D62" i="27"/>
  <c r="D618" i="27"/>
  <c r="D1373" i="27"/>
  <c r="D61" i="27"/>
  <c r="D674" i="27"/>
  <c r="D1300" i="27"/>
  <c r="D810" i="27"/>
  <c r="D168" i="27"/>
  <c r="D167" i="27"/>
  <c r="D1215" i="27"/>
  <c r="D760" i="27"/>
  <c r="D1214" i="27"/>
  <c r="D1213" i="27"/>
  <c r="D510" i="27"/>
  <c r="D1271" i="27"/>
  <c r="D1212" i="27"/>
  <c r="D1211" i="27"/>
  <c r="D112" i="27"/>
  <c r="D1210" i="27"/>
  <c r="D588" i="27"/>
  <c r="D28" i="27"/>
  <c r="D27" i="27"/>
  <c r="D166" i="27"/>
  <c r="D857" i="27"/>
  <c r="D195" i="27"/>
  <c r="D323" i="27"/>
  <c r="D322" i="27"/>
  <c r="D955" i="27"/>
  <c r="D252" i="27"/>
  <c r="D1085" i="27"/>
  <c r="D194" i="27"/>
  <c r="D509" i="27"/>
  <c r="D508" i="27"/>
  <c r="D1209" i="27"/>
  <c r="D507" i="27"/>
  <c r="D506" i="27"/>
  <c r="D505" i="27"/>
  <c r="D1208" i="27"/>
  <c r="D1207" i="27"/>
  <c r="D504" i="27"/>
  <c r="D641" i="27"/>
  <c r="D26" i="27"/>
  <c r="D25" i="27"/>
  <c r="D1206" i="27"/>
  <c r="D1205" i="27"/>
  <c r="D1204" i="27"/>
  <c r="D713" i="27"/>
  <c r="D46" i="27"/>
  <c r="D759" i="27"/>
  <c r="D45" i="27"/>
  <c r="D758" i="27"/>
  <c r="D757" i="27"/>
  <c r="D1203" i="27"/>
  <c r="D111" i="27"/>
  <c r="D279" i="27"/>
  <c r="D278" i="27"/>
  <c r="D1328" i="27"/>
  <c r="D110" i="27"/>
  <c r="D109" i="27"/>
  <c r="D108" i="27"/>
  <c r="D107" i="27"/>
  <c r="D106" i="27"/>
  <c r="D105" i="27"/>
  <c r="D104" i="27"/>
  <c r="D103" i="27"/>
  <c r="D1327" i="27"/>
  <c r="D102" i="27"/>
  <c r="D277" i="27"/>
  <c r="D101" i="27"/>
  <c r="D1326" i="27"/>
  <c r="D503" i="27"/>
  <c r="D856" i="27"/>
  <c r="D1084" i="27"/>
  <c r="D855" i="27"/>
  <c r="D365" i="27"/>
  <c r="D854" i="27"/>
  <c r="D193" i="27"/>
  <c r="D502" i="27"/>
  <c r="D1083" i="27"/>
  <c r="D24" i="27"/>
  <c r="D251" i="27"/>
  <c r="D23" i="27"/>
  <c r="D250" i="27"/>
  <c r="D249" i="27"/>
  <c r="D192" i="27"/>
  <c r="D321" i="27"/>
  <c r="D920" i="27"/>
  <c r="D364" i="27"/>
  <c r="D191" i="27"/>
  <c r="D1343" i="27"/>
  <c r="D1043" i="27"/>
  <c r="D1082" i="27"/>
  <c r="D919" i="27"/>
  <c r="D587" i="27"/>
  <c r="D363" i="27"/>
  <c r="D586" i="27"/>
  <c r="D458" i="27"/>
  <c r="D918" i="27"/>
  <c r="D320" i="27"/>
  <c r="D917" i="27"/>
  <c r="D916" i="27"/>
  <c r="D915" i="27"/>
  <c r="D914" i="27"/>
  <c r="D362" i="27"/>
  <c r="D361" i="27"/>
  <c r="D585" i="27"/>
  <c r="D457" i="27"/>
  <c r="D913" i="27"/>
  <c r="D360" i="27"/>
  <c r="D584" i="27"/>
  <c r="D583" i="27"/>
  <c r="D912" i="27"/>
  <c r="D582" i="27"/>
  <c r="D581" i="27"/>
  <c r="D456" i="27"/>
  <c r="D580" i="27"/>
  <c r="D455" i="27"/>
  <c r="D454" i="27"/>
  <c r="D359" i="27"/>
  <c r="D319" i="27"/>
  <c r="D318" i="27"/>
  <c r="D579" i="27"/>
  <c r="D809" i="27"/>
  <c r="D911" i="27"/>
  <c r="D578" i="27"/>
  <c r="D1081" i="27"/>
  <c r="D453" i="27"/>
  <c r="D452" i="27"/>
  <c r="D1080" i="27"/>
  <c r="D358" i="27"/>
  <c r="D501" i="27"/>
  <c r="D1012" i="27"/>
  <c r="D577" i="27"/>
  <c r="D910" i="27"/>
  <c r="D451" i="27"/>
  <c r="D909" i="27"/>
  <c r="D908" i="27"/>
  <c r="D907" i="27"/>
  <c r="D1011" i="27"/>
  <c r="D248" i="27"/>
  <c r="D450" i="27"/>
  <c r="D1079" i="27"/>
  <c r="D906" i="27"/>
  <c r="D190" i="27"/>
  <c r="D640" i="27"/>
  <c r="D1202" i="27"/>
  <c r="D1201" i="27"/>
  <c r="D673" i="27"/>
  <c r="D60" i="27"/>
  <c r="D59" i="27"/>
  <c r="D58" i="27"/>
  <c r="D148" i="27"/>
  <c r="D1051" i="27"/>
  <c r="D1385" i="27"/>
  <c r="D147" i="27"/>
  <c r="D1200" i="27"/>
  <c r="D1199" i="27"/>
  <c r="D405" i="27"/>
  <c r="D1198" i="27"/>
  <c r="D617" i="27"/>
  <c r="D433" i="27"/>
  <c r="D1197" i="27"/>
  <c r="D146" i="27"/>
  <c r="D1196" i="27"/>
  <c r="D1195" i="27"/>
  <c r="D1194" i="27"/>
  <c r="D432" i="27"/>
  <c r="D404" i="27"/>
  <c r="D57" i="27"/>
  <c r="D431" i="27"/>
  <c r="D430" i="27"/>
  <c r="D672" i="27"/>
  <c r="D941" i="27"/>
  <c r="D671" i="27"/>
  <c r="D940" i="27"/>
  <c r="D670" i="27"/>
  <c r="D669" i="27"/>
  <c r="D700" i="27"/>
  <c r="D1193" i="27"/>
  <c r="D939" i="27"/>
  <c r="D616" i="27"/>
  <c r="D938" i="27"/>
  <c r="D872" i="27"/>
  <c r="D1050" i="27"/>
  <c r="D403" i="27"/>
  <c r="D429" i="27"/>
  <c r="D1049" i="27"/>
  <c r="D402" i="27"/>
  <c r="D615" i="27"/>
  <c r="D699" i="27"/>
  <c r="D401" i="27"/>
  <c r="D400" i="27"/>
  <c r="D614" i="27"/>
  <c r="D613" i="27"/>
  <c r="D698" i="27"/>
  <c r="D428" i="27"/>
  <c r="D399" i="27"/>
  <c r="D398" i="27"/>
  <c r="D317" i="27"/>
  <c r="D871" i="27"/>
  <c r="D697" i="27"/>
  <c r="D612" i="27"/>
  <c r="D756" i="27"/>
  <c r="D22" i="27"/>
  <c r="D21" i="27"/>
  <c r="D247" i="27"/>
  <c r="D246" i="27"/>
  <c r="D1192" i="27"/>
  <c r="D639" i="27"/>
  <c r="D357" i="27"/>
  <c r="D1191" i="27"/>
  <c r="D905" i="27"/>
  <c r="D1190" i="27"/>
  <c r="D853" i="27"/>
  <c r="D1299" i="27"/>
  <c r="D1189" i="27"/>
  <c r="D1188" i="27"/>
  <c r="D1042" i="27"/>
  <c r="D500" i="27"/>
  <c r="D1298" i="27"/>
  <c r="D638" i="27"/>
  <c r="D20" i="27"/>
  <c r="D1078" i="27"/>
  <c r="D1041" i="27"/>
  <c r="D1040" i="27"/>
  <c r="D1039" i="27"/>
  <c r="D852" i="27"/>
  <c r="D851" i="27"/>
  <c r="D850" i="27"/>
  <c r="D849" i="27"/>
  <c r="D848" i="27"/>
  <c r="D847" i="27"/>
  <c r="D846" i="27"/>
  <c r="D1297" i="27"/>
  <c r="D1296" i="27"/>
  <c r="D1077" i="27"/>
  <c r="D1038" i="27"/>
  <c r="D845" i="27"/>
  <c r="D245" i="27"/>
  <c r="D844" i="27"/>
  <c r="D1295" i="27"/>
  <c r="D1294" i="27"/>
  <c r="D189" i="27"/>
  <c r="D1293" i="27"/>
  <c r="D1292" i="27"/>
  <c r="D188" i="27"/>
  <c r="D100" i="27"/>
  <c r="D712" i="27"/>
  <c r="D611" i="27"/>
  <c r="D316" i="27"/>
  <c r="D99" i="27"/>
  <c r="D315" i="27"/>
  <c r="D314" i="27"/>
  <c r="D356" i="27"/>
  <c r="D244" i="27"/>
  <c r="D243" i="27"/>
  <c r="D904" i="27"/>
  <c r="D537" i="27"/>
  <c r="D903" i="27"/>
  <c r="D242" i="27"/>
  <c r="D746" i="27"/>
  <c r="D808" i="27"/>
  <c r="D313" i="27"/>
  <c r="D1187" i="27"/>
  <c r="D954" i="27"/>
  <c r="D1186" i="27"/>
  <c r="D312" i="27"/>
  <c r="D745" i="27"/>
  <c r="D98" i="27"/>
  <c r="D1325" i="27"/>
  <c r="D1010" i="27"/>
  <c r="D1185" i="27"/>
  <c r="D744" i="27"/>
  <c r="D1291" i="27"/>
  <c r="D668" i="27"/>
  <c r="D97" i="27"/>
  <c r="D96" i="27"/>
  <c r="D95" i="27"/>
  <c r="D94" i="27"/>
  <c r="D93" i="27"/>
  <c r="D92" i="27"/>
  <c r="D91" i="27"/>
  <c r="D90" i="27"/>
  <c r="D89" i="27"/>
  <c r="D44" i="27"/>
  <c r="D711" i="27"/>
  <c r="D43" i="27"/>
  <c r="D953" i="27"/>
  <c r="D937" i="27"/>
  <c r="D1184" i="27"/>
  <c r="D499" i="27"/>
  <c r="D498" i="27"/>
  <c r="D497" i="27"/>
  <c r="D88" i="27"/>
  <c r="D87" i="27"/>
  <c r="D1384" i="27"/>
  <c r="D1183" i="27"/>
  <c r="D1048" i="27"/>
  <c r="D397" i="27"/>
  <c r="D524" i="27"/>
  <c r="D719" i="27"/>
  <c r="D551" i="27"/>
  <c r="D396" i="27"/>
  <c r="D311" i="27"/>
  <c r="D310" i="27"/>
  <c r="D1290" i="27"/>
  <c r="D1289" i="27"/>
  <c r="D86" i="27"/>
  <c r="D496" i="27"/>
  <c r="D495" i="27"/>
  <c r="D743" i="27"/>
  <c r="D1182" i="27"/>
  <c r="D1181" i="27"/>
  <c r="D1180" i="27"/>
  <c r="D309" i="27"/>
  <c r="D1270" i="27"/>
  <c r="D1269" i="27"/>
  <c r="D687" i="27"/>
  <c r="D308" i="27"/>
  <c r="D56" i="27"/>
  <c r="D355" i="27"/>
  <c r="D307" i="27"/>
  <c r="D637" i="27"/>
  <c r="D636" i="27"/>
  <c r="D19" i="27"/>
  <c r="D1022" i="27"/>
  <c r="D1021" i="27"/>
  <c r="D807" i="27"/>
  <c r="D165" i="27"/>
  <c r="D1179" i="27"/>
  <c r="D696" i="27"/>
  <c r="D42" i="27"/>
  <c r="D755" i="27"/>
  <c r="D754" i="27"/>
  <c r="D1178" i="27"/>
  <c r="D1177" i="27"/>
  <c r="D753" i="27"/>
  <c r="D1176" i="27"/>
  <c r="D1324" i="27"/>
  <c r="D494" i="27"/>
  <c r="D354" i="27"/>
  <c r="D353" i="27"/>
  <c r="D902" i="27"/>
  <c r="D306" i="27"/>
  <c r="D1175" i="27"/>
  <c r="D1174" i="27"/>
  <c r="D1173" i="27"/>
  <c r="D806" i="27"/>
  <c r="D805" i="27"/>
  <c r="D804" i="27"/>
  <c r="D1020" i="27"/>
  <c r="D550" i="27"/>
  <c r="D549" i="27"/>
  <c r="D803" i="27"/>
  <c r="D164" i="27"/>
  <c r="D1019" i="27"/>
  <c r="D802" i="27"/>
  <c r="D718" i="27"/>
  <c r="D717" i="27"/>
  <c r="D523" i="27"/>
  <c r="D522" i="27"/>
  <c r="D548" i="27"/>
  <c r="D547" i="27"/>
  <c r="D163" i="27"/>
  <c r="D952" i="27"/>
  <c r="D801" i="27"/>
  <c r="D162" i="27"/>
  <c r="D546" i="27"/>
  <c r="D1009" i="27"/>
  <c r="D1268" i="27"/>
  <c r="D710" i="27"/>
  <c r="D276" i="27"/>
  <c r="D1383" i="27"/>
  <c r="D1382" i="27"/>
  <c r="D275" i="27"/>
  <c r="D274" i="27"/>
  <c r="D395" i="27"/>
  <c r="D145" i="27"/>
  <c r="D427" i="27"/>
  <c r="D667" i="27"/>
  <c r="D18" i="27"/>
  <c r="D85" i="27"/>
  <c r="D742" i="27"/>
  <c r="D1008" i="27"/>
  <c r="D144" i="27"/>
  <c r="D1342" i="27"/>
  <c r="D1341" i="27"/>
  <c r="D951" i="27"/>
  <c r="D800" i="27"/>
  <c r="D799" i="27"/>
  <c r="D798" i="27"/>
  <c r="D797" i="27"/>
  <c r="D796" i="27"/>
  <c r="D795" i="27"/>
  <c r="D794" i="27"/>
  <c r="D545" i="27"/>
  <c r="D1007" i="27"/>
  <c r="D1273" i="27"/>
  <c r="D161" i="27"/>
  <c r="D160" i="27"/>
  <c r="D521" i="27"/>
  <c r="D544" i="27"/>
  <c r="D543" i="27"/>
  <c r="D793" i="27"/>
  <c r="D493" i="27"/>
  <c r="D1172" i="27"/>
  <c r="D492" i="27"/>
  <c r="D843" i="27"/>
  <c r="D1171" i="27"/>
  <c r="D305" i="27"/>
  <c r="D394" i="27"/>
  <c r="D304" i="27"/>
  <c r="D393" i="27"/>
  <c r="D426" i="27"/>
  <c r="D303" i="27"/>
  <c r="D392" i="27"/>
  <c r="D302" i="27"/>
  <c r="D741" i="27"/>
  <c r="D1170" i="27"/>
  <c r="D491" i="27"/>
  <c r="D1169" i="27"/>
  <c r="D1076" i="27"/>
  <c r="D187" i="27"/>
  <c r="D1168" i="27"/>
  <c r="D1167" i="27"/>
  <c r="D1166" i="27"/>
  <c r="D1018" i="27"/>
  <c r="D490" i="27"/>
  <c r="D301" i="27"/>
  <c r="D1165" i="27"/>
  <c r="D489" i="27"/>
  <c r="D1164" i="27"/>
  <c r="D740" i="27"/>
  <c r="D1075" i="27"/>
  <c r="D686" i="27"/>
  <c r="D488" i="27"/>
  <c r="D300" i="27"/>
  <c r="D352" i="27"/>
  <c r="D299" i="27"/>
  <c r="D610" i="27"/>
  <c r="D241" i="27"/>
  <c r="D1163" i="27"/>
  <c r="D1162" i="27"/>
  <c r="D487" i="27"/>
  <c r="D1161" i="27"/>
  <c r="D351" i="27"/>
  <c r="D666" i="27"/>
  <c r="D901" i="27"/>
  <c r="D635" i="27"/>
  <c r="D1160" i="27"/>
  <c r="D17" i="27"/>
  <c r="D1159" i="27"/>
  <c r="D1158" i="27"/>
  <c r="D1157" i="27"/>
  <c r="D1156" i="27"/>
  <c r="D1155" i="27"/>
  <c r="D391" i="27"/>
  <c r="D390" i="27"/>
  <c r="D609" i="27"/>
  <c r="D389" i="27"/>
  <c r="D665" i="27"/>
  <c r="D608" i="27"/>
  <c r="D664" i="27"/>
  <c r="D1372" i="27"/>
  <c r="D298" i="27"/>
  <c r="D388" i="27"/>
  <c r="D425" i="27"/>
  <c r="D387" i="27"/>
  <c r="D386" i="27"/>
  <c r="D1154" i="27"/>
  <c r="D695" i="27"/>
  <c r="D792" i="27"/>
  <c r="D791" i="27"/>
  <c r="D790" i="27"/>
  <c r="D789" i="27"/>
  <c r="D1006" i="27"/>
  <c r="D1005" i="27"/>
  <c r="D900" i="27"/>
  <c r="D899" i="27"/>
  <c r="D297" i="27"/>
  <c r="D1037" i="27"/>
  <c r="D842" i="27"/>
  <c r="D240" i="27"/>
  <c r="D239" i="27"/>
  <c r="D238" i="27"/>
  <c r="D1036" i="27"/>
  <c r="D16" i="27"/>
  <c r="D15" i="27"/>
  <c r="D1153" i="27"/>
  <c r="D1152" i="27"/>
  <c r="D41" i="27"/>
  <c r="D841" i="27"/>
  <c r="D607" i="27"/>
  <c r="D606" i="27"/>
  <c r="D424" i="27"/>
  <c r="D40" i="27"/>
  <c r="D486" i="27"/>
  <c r="D634" i="27"/>
  <c r="D1151" i="27"/>
  <c r="D485" i="27"/>
  <c r="D1150" i="27"/>
  <c r="D1340" i="27"/>
  <c r="D1004" i="27"/>
  <c r="D898" i="27"/>
  <c r="D1003" i="27"/>
  <c r="D1002" i="27"/>
  <c r="D1001" i="27"/>
  <c r="D840" i="27"/>
  <c r="D1371" i="27"/>
  <c r="D897" i="27"/>
  <c r="D1288" i="27"/>
  <c r="D896" i="27"/>
  <c r="D788" i="27"/>
  <c r="D1000" i="27"/>
  <c r="D633" i="27"/>
  <c r="D1149" i="27"/>
  <c r="D1148" i="27"/>
  <c r="D1147" i="27"/>
  <c r="D1146" i="27"/>
  <c r="D1287" i="27"/>
  <c r="D739" i="27"/>
  <c r="D186" i="27"/>
  <c r="D296" i="27"/>
  <c r="D536" i="27"/>
  <c r="D738" i="27"/>
  <c r="D535" i="27"/>
  <c r="D787" i="27"/>
  <c r="D1145" i="27"/>
  <c r="D14" i="27"/>
  <c r="D1144" i="27"/>
  <c r="D55" i="27"/>
  <c r="D786" i="27"/>
  <c r="D785" i="27"/>
  <c r="D784" i="27"/>
  <c r="D1143" i="27"/>
  <c r="D999" i="27"/>
  <c r="D783" i="27"/>
  <c r="D737" i="27"/>
  <c r="D998" i="27"/>
  <c r="D736" i="27"/>
  <c r="D1286" i="27"/>
  <c r="D997" i="27"/>
  <c r="D534" i="27"/>
  <c r="D996" i="27"/>
  <c r="D542" i="27"/>
  <c r="D735" i="27"/>
  <c r="D576" i="27"/>
  <c r="D1142" i="27"/>
  <c r="D575" i="27"/>
  <c r="D995" i="27"/>
  <c r="D1141" i="27"/>
  <c r="D1140" i="27"/>
  <c r="D1139" i="27"/>
  <c r="D484" i="27"/>
  <c r="D994" i="27"/>
  <c r="D993" i="27"/>
  <c r="D782" i="27"/>
  <c r="D895" i="27"/>
  <c r="D992" i="27"/>
  <c r="D894" i="27"/>
  <c r="D893" i="27"/>
  <c r="D991" i="27"/>
  <c r="D350" i="27"/>
  <c r="D574" i="27"/>
  <c r="D573" i="27"/>
  <c r="D892" i="27"/>
  <c r="D990" i="27"/>
  <c r="D989" i="27"/>
  <c r="D988" i="27"/>
  <c r="D891" i="27"/>
  <c r="D781" i="27"/>
  <c r="D890" i="27"/>
  <c r="D1138" i="27"/>
  <c r="D780" i="27"/>
  <c r="D1137" i="27"/>
  <c r="D483" i="27"/>
  <c r="D987" i="27"/>
  <c r="D237" i="27"/>
  <c r="D236" i="27"/>
  <c r="D839" i="27"/>
  <c r="D1136" i="27"/>
  <c r="D482" i="27"/>
  <c r="D1135" i="27"/>
  <c r="D1134" i="27"/>
  <c r="D481" i="27"/>
  <c r="D752" i="27"/>
  <c r="D84" i="27"/>
  <c r="D734" i="27"/>
  <c r="D83" i="27"/>
  <c r="D1074" i="27"/>
  <c r="D1073" i="27"/>
  <c r="D889" i="27"/>
  <c r="D986" i="27"/>
  <c r="D985" i="27"/>
  <c r="D733" i="27"/>
  <c r="D632" i="27"/>
  <c r="D631" i="27"/>
  <c r="D663" i="27"/>
  <c r="D984" i="27"/>
  <c r="D983" i="27"/>
  <c r="D936" i="27"/>
  <c r="D1133" i="27"/>
  <c r="D54" i="27"/>
  <c r="D1132" i="27"/>
  <c r="D1131" i="27"/>
  <c r="D1130" i="27"/>
  <c r="D1072" i="27"/>
  <c r="D1071" i="27"/>
  <c r="D572" i="27"/>
  <c r="D1070" i="27"/>
  <c r="D1267" i="27"/>
  <c r="D349" i="27"/>
  <c r="D348" i="27"/>
  <c r="D347" i="27"/>
  <c r="D732" i="27"/>
  <c r="D1129" i="27"/>
  <c r="D423" i="27"/>
  <c r="D422" i="27"/>
  <c r="D421" i="27"/>
  <c r="D662" i="27"/>
  <c r="D1128" i="27"/>
  <c r="D295" i="27"/>
  <c r="D1381" i="27"/>
  <c r="D1127" i="27"/>
  <c r="D82" i="27"/>
  <c r="D1266" i="27"/>
  <c r="D143" i="27"/>
  <c r="D1126" i="27"/>
  <c r="D294" i="27"/>
  <c r="D142" i="27"/>
  <c r="D751" i="27"/>
  <c r="D81" i="27"/>
  <c r="D420" i="27"/>
  <c r="D1125" i="27"/>
  <c r="D935" i="27"/>
  <c r="D661" i="27"/>
  <c r="D1323" i="27"/>
  <c r="D1322" i="27"/>
  <c r="D694" i="27"/>
  <c r="D1124" i="27"/>
  <c r="D235" i="27"/>
  <c r="D293" i="27"/>
  <c r="D480" i="27"/>
  <c r="D950" i="27"/>
  <c r="D934" i="27"/>
  <c r="D685" i="27"/>
  <c r="D684" i="27"/>
  <c r="D683" i="27"/>
  <c r="D682" i="27"/>
  <c r="D949" i="27"/>
  <c r="D479" i="27"/>
  <c r="D933" i="27"/>
  <c r="D1380" i="27"/>
  <c r="D80" i="27"/>
  <c r="D79" i="27"/>
  <c r="D78" i="27"/>
  <c r="D77" i="27"/>
  <c r="D1379" i="27"/>
  <c r="D731" i="27"/>
  <c r="D730" i="27"/>
  <c r="D1321" i="27"/>
  <c r="D932" i="27"/>
  <c r="D385" i="27"/>
  <c r="D838" i="27"/>
  <c r="D234" i="27"/>
  <c r="D478" i="27"/>
  <c r="D233" i="27"/>
  <c r="D1285" i="27"/>
  <c r="D1069" i="27"/>
  <c r="D837" i="27"/>
  <c r="D520" i="27"/>
  <c r="D571" i="27"/>
  <c r="D1035" i="27"/>
  <c r="D982" i="27"/>
  <c r="D779" i="27"/>
  <c r="D1123" i="27"/>
  <c r="D1370" i="27"/>
  <c r="D1369" i="27"/>
  <c r="D605" i="27"/>
  <c r="D604" i="27"/>
  <c r="D681" i="27"/>
  <c r="D680" i="27"/>
  <c r="D679" i="27"/>
  <c r="D870" i="27"/>
  <c r="D1368" i="27"/>
  <c r="D1367" i="27"/>
  <c r="D76" i="27"/>
  <c r="D39" i="27"/>
  <c r="D477" i="27"/>
  <c r="D476" i="27"/>
  <c r="D13" i="27"/>
  <c r="D836" i="27"/>
  <c r="D660" i="27"/>
  <c r="D232" i="27"/>
  <c r="D1284" i="27"/>
  <c r="D231" i="27"/>
  <c r="D835" i="27"/>
  <c r="D834" i="27"/>
  <c r="D230" i="27"/>
  <c r="D229" i="27"/>
  <c r="D228" i="27"/>
  <c r="D833" i="27"/>
  <c r="D832" i="27"/>
  <c r="D1068" i="27"/>
  <c r="D1067" i="27"/>
  <c r="D1066" i="27"/>
  <c r="D1065" i="27"/>
  <c r="D1064" i="27"/>
  <c r="D1063" i="27"/>
  <c r="D1283" i="27"/>
  <c r="D1122" i="27"/>
  <c r="D346" i="27"/>
  <c r="D292" i="27"/>
  <c r="D570" i="27"/>
  <c r="D778" i="27"/>
  <c r="D981" i="27"/>
  <c r="D980" i="27"/>
  <c r="D979" i="27"/>
  <c r="D1062" i="27"/>
  <c r="D159" i="27"/>
  <c r="D158" i="27"/>
  <c r="D475" i="27"/>
  <c r="D173" i="27"/>
  <c r="D157" i="27"/>
  <c r="D729" i="27"/>
  <c r="D978" i="27"/>
  <c r="D541" i="27"/>
  <c r="D777" i="27"/>
  <c r="D728" i="27"/>
  <c r="D156" i="27"/>
  <c r="D533" i="27"/>
  <c r="D727" i="27"/>
  <c r="D185" i="27"/>
  <c r="D184" i="27"/>
  <c r="D726" i="27"/>
  <c r="D725" i="27"/>
  <c r="D831" i="27"/>
  <c r="D1034" i="27"/>
  <c r="D776" i="27"/>
  <c r="D1282" i="27"/>
  <c r="D183" i="27"/>
  <c r="D775" i="27"/>
  <c r="D724" i="27"/>
  <c r="D519" i="27"/>
  <c r="D384" i="27"/>
  <c r="D569" i="27"/>
  <c r="D182" i="27"/>
  <c r="D1033" i="27"/>
  <c r="D888" i="27"/>
  <c r="D12" i="27"/>
  <c r="D568" i="27"/>
  <c r="D887" i="27"/>
  <c r="D11" i="27"/>
  <c r="D1032" i="27"/>
  <c r="D1031" i="27"/>
  <c r="D383" i="27"/>
  <c r="D1281" i="27"/>
  <c r="D886" i="27"/>
  <c r="D1280" i="27"/>
  <c r="D382" i="27"/>
  <c r="D381" i="27"/>
  <c r="D380" i="27"/>
  <c r="D449" i="27"/>
  <c r="D885" i="27"/>
  <c r="D884" i="27"/>
  <c r="D1366" i="27"/>
  <c r="D977" i="27"/>
  <c r="D883" i="27"/>
  <c r="D345" i="27"/>
  <c r="D976" i="27"/>
  <c r="D567" i="27"/>
  <c r="D344" i="27"/>
  <c r="D659" i="27"/>
  <c r="D474" i="27"/>
  <c r="D291" i="27"/>
  <c r="D343" i="27"/>
  <c r="D155" i="27"/>
  <c r="D566" i="27"/>
  <c r="D565" i="27"/>
  <c r="D342" i="27"/>
  <c r="D564" i="27"/>
  <c r="D563" i="27"/>
  <c r="D562" i="27"/>
  <c r="D561" i="27"/>
  <c r="D882" i="27"/>
  <c r="D774" i="27"/>
  <c r="D773" i="27"/>
  <c r="D772" i="27"/>
  <c r="D771" i="27"/>
  <c r="D770" i="27"/>
  <c r="D769" i="27"/>
  <c r="D768" i="27"/>
  <c r="D341" i="27"/>
  <c r="D975" i="27"/>
  <c r="D974" i="27"/>
  <c r="D881" i="27"/>
  <c r="D340" i="27"/>
  <c r="D560" i="27"/>
  <c r="D880" i="27"/>
  <c r="D339" i="27"/>
  <c r="D879" i="27"/>
  <c r="D878" i="27"/>
  <c r="D559" i="27"/>
  <c r="D290" i="27"/>
  <c r="D289" i="27"/>
  <c r="D288" i="27"/>
  <c r="D877" i="27"/>
  <c r="D287" i="27"/>
  <c r="D658" i="27"/>
  <c r="D338" i="27"/>
  <c r="D53" i="27"/>
  <c r="D657" i="27"/>
  <c r="D1121" i="27"/>
  <c r="D473" i="27"/>
  <c r="D379" i="27"/>
  <c r="D448" i="27"/>
  <c r="D472" i="27"/>
  <c r="D471" i="27"/>
  <c r="D1120" i="27"/>
  <c r="D1119" i="27"/>
  <c r="D1017" i="27"/>
  <c r="D716" i="27"/>
  <c r="D876" i="27"/>
  <c r="D767" i="27"/>
  <c r="D766" i="27"/>
  <c r="D1118" i="27"/>
  <c r="D1117" i="27"/>
  <c r="D447" i="27"/>
  <c r="D446" i="27"/>
  <c r="D286" i="27"/>
  <c r="D337" i="27"/>
  <c r="D1116" i="27"/>
  <c r="D419" i="27"/>
  <c r="D52" i="27"/>
  <c r="D470" i="27"/>
  <c r="D10" i="27"/>
  <c r="D1030" i="27"/>
  <c r="D1029" i="27"/>
  <c r="D1028" i="27"/>
  <c r="D1027" i="27"/>
  <c r="D1115" i="27"/>
  <c r="D1114" i="27"/>
  <c r="D1365" i="27"/>
  <c r="D1364" i="27"/>
  <c r="D336" i="27"/>
  <c r="D1363" i="27"/>
  <c r="D558" i="27"/>
  <c r="D1113" i="27"/>
  <c r="D1362" i="27"/>
  <c r="D1112" i="27"/>
  <c r="D1111" i="27"/>
  <c r="D378" i="27"/>
  <c r="D1361" i="27"/>
  <c r="D1360" i="27"/>
  <c r="D1359" i="27"/>
  <c r="D557" i="27"/>
  <c r="D1358" i="27"/>
  <c r="D1357" i="27"/>
  <c r="D1356" i="27"/>
  <c r="D1355" i="27"/>
  <c r="D1354" i="27"/>
  <c r="D1353" i="27"/>
  <c r="D1352" i="27"/>
  <c r="D1351" i="27"/>
  <c r="D1378" i="27"/>
  <c r="D154" i="27"/>
  <c r="D153" i="27"/>
  <c r="D656" i="27"/>
  <c r="D445" i="27"/>
  <c r="D1279" i="27"/>
  <c r="D1026" i="27"/>
  <c r="D1278" i="27"/>
  <c r="D830" i="27"/>
  <c r="D829" i="27"/>
  <c r="D1339" i="27"/>
  <c r="D181" i="27"/>
  <c r="D1277" i="27"/>
  <c r="D828" i="27"/>
  <c r="D227" i="27"/>
  <c r="D180" i="27"/>
  <c r="D285" i="27"/>
  <c r="D284" i="27"/>
  <c r="D469" i="27"/>
  <c r="D468" i="27"/>
  <c r="D709" i="27"/>
  <c r="D1110" i="27"/>
  <c r="D38" i="27"/>
  <c r="D226" i="27"/>
  <c r="D225" i="27"/>
  <c r="D532" i="27"/>
  <c r="D1320" i="27"/>
  <c r="D948" i="27"/>
  <c r="D1319" i="27"/>
  <c r="D973" i="27"/>
  <c r="D972" i="27"/>
  <c r="D971" i="27"/>
  <c r="D970" i="27"/>
  <c r="D969" i="27"/>
  <c r="D968" i="27"/>
  <c r="D967" i="27"/>
  <c r="D966" i="27"/>
  <c r="D965" i="27"/>
  <c r="D964" i="27"/>
  <c r="D963" i="27"/>
  <c r="D962" i="27"/>
  <c r="D723" i="27"/>
  <c r="D518" i="27"/>
  <c r="D152" i="27"/>
  <c r="D722" i="27"/>
  <c r="D540" i="27"/>
  <c r="D655" i="27"/>
  <c r="D630" i="27"/>
  <c r="D9" i="27"/>
  <c r="D8" i="27"/>
  <c r="D51" i="27"/>
  <c r="D179" i="27"/>
  <c r="D178" i="27"/>
  <c r="D7" i="27"/>
  <c r="D1109" i="27"/>
  <c r="D1108" i="27"/>
  <c r="D603" i="27"/>
  <c r="D1107" i="27"/>
  <c r="D1106" i="27"/>
  <c r="D1350" i="27"/>
  <c r="D1349" i="27"/>
  <c r="D693" i="27"/>
  <c r="D869" i="27"/>
  <c r="D602" i="27"/>
  <c r="D601" i="27"/>
  <c r="D600" i="27"/>
  <c r="D377" i="27"/>
  <c r="D376" i="27"/>
  <c r="D375" i="27"/>
  <c r="D1105" i="27"/>
  <c r="D1104" i="27"/>
  <c r="D1103" i="27"/>
  <c r="D1102" i="27"/>
  <c r="D1101" i="27"/>
  <c r="D1348" i="27"/>
  <c r="D1347" i="27"/>
  <c r="D1346" i="27"/>
  <c r="D1345" i="27"/>
  <c r="D6" i="27"/>
  <c r="D37" i="27"/>
  <c r="D141" i="27"/>
  <c r="D931" i="27"/>
  <c r="D930" i="27"/>
  <c r="D929" i="27"/>
  <c r="D928" i="27"/>
  <c r="D224" i="27"/>
  <c r="D654" i="27"/>
  <c r="D827" i="27"/>
  <c r="D1276" i="27"/>
  <c r="D140" i="27"/>
  <c r="D1275" i="27"/>
  <c r="D1061" i="27"/>
  <c r="D139" i="27"/>
  <c r="D692" i="27"/>
  <c r="D721" i="27"/>
  <c r="D138" i="27"/>
  <c r="D1318" i="27"/>
  <c r="D1317" i="27"/>
  <c r="D1316" i="27"/>
  <c r="D273" i="27"/>
  <c r="D1377" i="27"/>
  <c r="D1100" i="27"/>
  <c r="D1099" i="27"/>
  <c r="D223" i="27"/>
  <c r="D708" i="27"/>
  <c r="D1098" i="27"/>
  <c r="D418" i="27"/>
  <c r="D1060" i="27"/>
  <c r="D50" i="27"/>
  <c r="D927" i="27"/>
  <c r="D707" i="27"/>
  <c r="D417" i="27"/>
  <c r="D75" i="27"/>
  <c r="D1097" i="27"/>
  <c r="D416" i="27"/>
  <c r="D415" i="27"/>
  <c r="D926" i="27"/>
  <c r="D1096" i="27"/>
  <c r="D629" i="27"/>
  <c r="D1095" i="27"/>
  <c r="D1094" i="27"/>
  <c r="D414" i="27"/>
  <c r="D5" i="27"/>
  <c r="D1059" i="27"/>
  <c r="D1058" i="27"/>
  <c r="D1338" i="27"/>
  <c r="D222" i="27"/>
  <c r="D221" i="27"/>
  <c r="D826" i="27"/>
  <c r="D220" i="27"/>
  <c r="D720" i="27"/>
  <c r="D531" i="27"/>
  <c r="D825" i="27"/>
  <c r="D4" i="27"/>
  <c r="D3" i="27"/>
  <c r="D1337" i="27"/>
  <c r="D177" i="27"/>
  <c r="D653" i="27"/>
  <c r="D49" i="27"/>
  <c r="D467" i="27"/>
  <c r="D283" i="27"/>
  <c r="D48" i="27"/>
  <c r="D1057" i="27"/>
  <c r="D765" i="27"/>
  <c r="D764" i="27"/>
  <c r="D1274" i="27"/>
  <c r="D530" i="27"/>
  <c r="D466" i="27"/>
  <c r="D282" i="27"/>
  <c r="D529" i="27"/>
  <c r="D763" i="27"/>
  <c r="D528" i="27"/>
  <c r="D824" i="27"/>
  <c r="D1315" i="27"/>
  <c r="D1025" i="27"/>
  <c r="D176" i="27"/>
  <c r="D2" i="27"/>
  <c r="D175" i="27"/>
  <c r="D174" i="27"/>
  <c r="D219" i="27"/>
  <c r="D74" i="27"/>
  <c r="D73" i="27"/>
  <c r="D72" i="27"/>
  <c r="D71" i="27"/>
  <c r="D70" i="27"/>
  <c r="D69" i="27"/>
  <c r="D68" i="27"/>
  <c r="D67" i="27"/>
  <c r="D66" i="27"/>
  <c r="D65" i="27"/>
  <c r="D947" i="27"/>
  <c r="D628" i="27"/>
  <c r="D627" i="27"/>
  <c r="D465" i="27"/>
  <c r="D64" i="27"/>
  <c r="D1093" i="27"/>
  <c r="D1092" i="27"/>
  <c r="D281" i="27"/>
  <c r="D652" i="27"/>
  <c r="D961" i="27"/>
  <c r="D875" i="27"/>
  <c r="D599"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<sst xmlns="http://schemas.openxmlformats.org/spreadsheetml/2006/main" count="12174" uniqueCount="2856">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</sst>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10" fillId="3" borderId="0" xfId="0" applyFont="1" applyFill="1" applyAlignment="1">
      <alignment vertical="center" wrapText="1"/>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9" Type="http://schemas.openxmlformats.org/officeDocument/2006/relationships/customXml" Target="../customXml/item4.xml"/><Relationship Id="rId3" Type="http://schemas.openxmlformats.org/officeDocument/2006/relationships/worksheet" Target="worksheets/sheet3.xml"/><Relationship Id="rId21" Type="http://schemas.microsoft.com/office/2007/relationships/slicerCache" Target="slicerCaches/slicerCache9.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microsoft.com/office/2017/06/relationships/rdRichValueTypes" Target="richData/rdRichValueTypes.xml"/><Relationship Id="rId38" Type="http://schemas.openxmlformats.org/officeDocument/2006/relationships/customXml" Target="../customXml/item3.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microsoft.com/office/2017/06/relationships/rdRichValueStructure" Target="richData/rdrichvaluestructure.xml"/><Relationship Id="rId37" Type="http://schemas.openxmlformats.org/officeDocument/2006/relationships/customXml" Target="../customXml/item2.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8165</xdr:colOff>
      <xdr:row>5</xdr:row>
      <xdr:rowOff>122919</xdr:rowOff>
    </xdr:from>
    <xdr:to>
      <xdr:col>3</xdr:col>
      <xdr:colOff>696686</xdr:colOff>
      <xdr:row>14</xdr:row>
      <xdr:rowOff>49409</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141969</xdr:rowOff>
    </xdr:from>
    <xdr:to>
      <xdr:col>7</xdr:col>
      <xdr:colOff>525263</xdr:colOff>
      <xdr:row>22</xdr:row>
      <xdr:rowOff>105118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369234</xdr:colOff>
      <xdr:row>5</xdr:row>
      <xdr:rowOff>154669</xdr:rowOff>
    </xdr:from>
    <xdr:to>
      <xdr:col>11</xdr:col>
      <xdr:colOff>457200</xdr:colOff>
      <xdr:row>22</xdr:row>
      <xdr:rowOff>106814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83484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678542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389617</xdr:colOff>
      <xdr:row>31</xdr:row>
      <xdr:rowOff>114003</xdr:rowOff>
    </xdr:from>
    <xdr:to>
      <xdr:col>7</xdr:col>
      <xdr:colOff>542951</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10316</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11222</xdr:rowOff>
    </xdr:from>
    <xdr:to>
      <xdr:col>6</xdr:col>
      <xdr:colOff>335215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506666</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123260</xdr:rowOff>
    </xdr:from>
    <xdr:to>
      <xdr:col>3</xdr:col>
      <xdr:colOff>704850</xdr:colOff>
      <xdr:row>64</xdr:row>
      <xdr:rowOff>45581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123260</xdr:rowOff>
    </xdr:from>
    <xdr:to>
      <xdr:col>6</xdr:col>
      <xdr:colOff>334309</xdr:colOff>
      <xdr:row>64</xdr:row>
      <xdr:rowOff>85160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524809</xdr:colOff>
      <xdr:row>48</xdr:row>
      <xdr:rowOff>104210</xdr:rowOff>
    </xdr:from>
    <xdr:to>
      <xdr:col>10</xdr:col>
      <xdr:colOff>54909</xdr:colOff>
      <xdr:row>64</xdr:row>
      <xdr:rowOff>104210</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564776</xdr:colOff>
      <xdr:row>31</xdr:row>
      <xdr:rowOff>126999</xdr:rowOff>
    </xdr:from>
    <xdr:to>
      <xdr:col>18</xdr:col>
      <xdr:colOff>391459</xdr:colOff>
      <xdr:row>40</xdr:row>
      <xdr:rowOff>25586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8</v>
    <v>1</v>
  </rv>
  <rv s="1">
    <v>13</v>
    <v>3</v>
  </rv>
  <rv s="0">
    <v>13</v>
    <v>1</v>
  </rv>
  <rv s="2">
    <v>5</v>
    <v>8</v>
    <v>32</v>
    <v>1</v>
  </rv>
</rvData>
</file>

<file path=xl/richData/rdrichvaluestructure.xml><?xml version="1.0" encoding="utf-8"?>
<rvStructures xmlns="http://schemas.microsoft.com/office/spreadsheetml/2017/richdata" count="3">
  <s t="_error">
    <k n="errorType" t="i"/>
    <k n="propagated" t="b"/>
  </s>
  <s t="_error">
    <k n="errorType" t="i"/>
    <k n="subType" t="i"/>
  </s>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5" totalsRowShown="0" headerRowDxfId="17">
  <autoFilter ref="A1:L1385" xr:uid="{DB143187-25AE-4948-97C0-A8B578A3EEE2}"/>
  <sortState xmlns:xlrd2="http://schemas.microsoft.com/office/spreadsheetml/2017/richdata2" ref="A2:L1385">
    <sortCondition ref="A1:A1385"/>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320</v>
      </c>
      <c r="B1" s="17"/>
      <c r="C1" s="17"/>
      <c r="D1" s="17"/>
      <c r="E1" s="17"/>
      <c r="F1" s="17"/>
      <c r="G1" s="17"/>
      <c r="H1" s="17"/>
      <c r="I1" s="17"/>
      <c r="J1" s="17"/>
    </row>
    <row r="2" spans="1:10" ht="57" customHeight="1" x14ac:dyDescent="0.3">
      <c r="A2" s="13" t="s">
        <v>217</v>
      </c>
      <c r="B2" s="7"/>
      <c r="C2" s="137"/>
      <c r="D2" s="7"/>
      <c r="E2" s="7"/>
      <c r="F2" s="7"/>
      <c r="G2" s="7"/>
      <c r="H2" s="7"/>
      <c r="I2" s="7"/>
      <c r="J2" s="7"/>
    </row>
    <row r="3" spans="1:10" ht="60" customHeight="1" x14ac:dyDescent="0.3">
      <c r="A3" s="13" t="s">
        <v>1649</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1705</v>
      </c>
      <c r="B5" s="7"/>
      <c r="C5" s="7"/>
      <c r="D5" s="7"/>
      <c r="E5" s="7"/>
      <c r="F5" s="7"/>
      <c r="G5" s="7"/>
      <c r="H5" s="7"/>
      <c r="I5" s="7"/>
      <c r="J5" s="7"/>
    </row>
    <row r="6" spans="1:10" ht="60" customHeight="1" x14ac:dyDescent="0.3">
      <c r="A6" s="14" t="s">
        <v>1638</v>
      </c>
      <c r="B6" s="7"/>
      <c r="C6" s="7"/>
      <c r="D6" s="7"/>
      <c r="E6" s="7"/>
      <c r="F6" s="7"/>
      <c r="G6" s="7"/>
      <c r="H6" s="7"/>
      <c r="I6" s="7"/>
      <c r="J6" s="7"/>
    </row>
    <row r="7" spans="1:10" x14ac:dyDescent="0.3">
      <c r="A7" s="10"/>
      <c r="B7" s="7"/>
      <c r="C7" s="7"/>
      <c r="D7" s="7"/>
      <c r="E7" s="7"/>
      <c r="F7" s="7"/>
      <c r="G7" s="7"/>
      <c r="H7" s="7"/>
      <c r="I7" s="7"/>
      <c r="J7" s="7"/>
    </row>
    <row r="8" spans="1:10" ht="25.8" x14ac:dyDescent="0.5">
      <c r="A8" s="19" t="s">
        <v>1644</v>
      </c>
      <c r="B8" s="7"/>
      <c r="C8" s="7"/>
      <c r="D8" s="7"/>
      <c r="E8" s="7"/>
      <c r="F8" s="7"/>
      <c r="G8" s="7"/>
      <c r="H8" s="7"/>
      <c r="I8" s="7"/>
      <c r="J8" s="7"/>
    </row>
    <row r="9" spans="1:10" ht="21" x14ac:dyDescent="0.4">
      <c r="A9" s="8"/>
      <c r="B9" s="7"/>
      <c r="C9" s="7"/>
      <c r="D9" s="7"/>
      <c r="E9" s="7"/>
      <c r="F9" s="7"/>
      <c r="G9" s="7"/>
      <c r="H9" s="7"/>
      <c r="I9" s="7"/>
      <c r="J9" s="7"/>
    </row>
    <row r="10" spans="1:10" ht="15.6" x14ac:dyDescent="0.3">
      <c r="A10" s="56" t="s">
        <v>197</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1639</v>
      </c>
      <c r="B12" s="7"/>
      <c r="C12" s="7"/>
      <c r="D12" s="7"/>
      <c r="E12" s="7"/>
      <c r="F12" s="7"/>
      <c r="G12" s="7"/>
      <c r="H12" s="7"/>
      <c r="I12" s="7"/>
      <c r="J12" s="7"/>
    </row>
    <row r="13" spans="1:10" ht="62.1" customHeight="1" x14ac:dyDescent="0.3">
      <c r="A13" s="32" t="s">
        <v>2855</v>
      </c>
      <c r="B13" s="7"/>
      <c r="C13" s="7"/>
      <c r="D13" s="7"/>
      <c r="E13" s="7"/>
      <c r="F13" s="7"/>
      <c r="G13" s="7"/>
      <c r="H13" s="7"/>
      <c r="I13" s="7"/>
      <c r="J13" s="7"/>
    </row>
    <row r="14" spans="1:10" ht="48.6" customHeight="1" x14ac:dyDescent="0.3">
      <c r="A14" s="32" t="s">
        <v>1640</v>
      </c>
      <c r="B14" s="7"/>
      <c r="C14" s="7"/>
      <c r="D14" s="7"/>
      <c r="E14" s="7"/>
      <c r="F14" s="7"/>
      <c r="G14" s="7"/>
      <c r="H14" s="7"/>
      <c r="I14" s="7"/>
      <c r="J14" s="7"/>
    </row>
    <row r="15" spans="1:10" ht="30" customHeight="1" x14ac:dyDescent="0.3">
      <c r="A15" s="32" t="s">
        <v>1641</v>
      </c>
      <c r="B15" s="7"/>
      <c r="C15" s="7"/>
      <c r="D15" s="7"/>
      <c r="E15" s="7"/>
      <c r="F15" s="7"/>
      <c r="G15" s="7"/>
      <c r="H15" s="7"/>
      <c r="I15" s="7"/>
      <c r="J15" s="7"/>
    </row>
    <row r="16" spans="1:10" ht="30" customHeight="1" x14ac:dyDescent="0.3">
      <c r="A16" s="32" t="s">
        <v>1642</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2851</v>
      </c>
      <c r="B18" s="7"/>
      <c r="C18" s="7"/>
      <c r="D18" s="7"/>
      <c r="E18" s="7"/>
      <c r="F18" s="7"/>
      <c r="G18" s="7"/>
      <c r="H18" s="7"/>
      <c r="I18" s="7"/>
      <c r="J18" s="7"/>
    </row>
    <row r="19" spans="1:10" ht="39.6" customHeight="1" x14ac:dyDescent="0.3">
      <c r="A19" s="32" t="s">
        <v>1643</v>
      </c>
      <c r="B19" s="7"/>
      <c r="C19" s="7"/>
      <c r="D19" s="7"/>
      <c r="E19" s="7"/>
      <c r="F19" s="7"/>
      <c r="G19" s="7"/>
      <c r="H19" s="7"/>
      <c r="I19" s="7"/>
      <c r="J19" s="7"/>
    </row>
    <row r="20" spans="1:10" ht="39" customHeight="1" x14ac:dyDescent="0.3">
      <c r="A20" s="32" t="s">
        <v>237</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2852</v>
      </c>
      <c r="B22" s="7"/>
      <c r="C22" s="7"/>
      <c r="D22" s="7"/>
      <c r="E22" s="7"/>
      <c r="F22" s="7"/>
      <c r="G22" s="7"/>
      <c r="H22" s="7"/>
      <c r="I22" s="7"/>
      <c r="J22" s="7"/>
    </row>
    <row r="23" spans="1:10" ht="43.2" x14ac:dyDescent="0.3">
      <c r="A23" s="158" t="s">
        <v>2850</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2853</v>
      </c>
      <c r="B25" s="7"/>
      <c r="C25" s="7"/>
      <c r="D25" s="7"/>
      <c r="E25" s="7"/>
      <c r="F25" s="7"/>
      <c r="G25" s="7"/>
      <c r="H25" s="7"/>
      <c r="I25" s="7"/>
      <c r="J25" s="7"/>
    </row>
    <row r="26" spans="1:10" x14ac:dyDescent="0.3">
      <c r="A26" s="10" t="s">
        <v>253</v>
      </c>
      <c r="B26" s="7"/>
      <c r="C26" s="7"/>
      <c r="D26" s="7"/>
      <c r="E26" s="7"/>
      <c r="F26" s="7"/>
      <c r="G26" s="7"/>
      <c r="H26" s="7"/>
      <c r="I26" s="7"/>
      <c r="J26" s="7"/>
    </row>
    <row r="27" spans="1:10" x14ac:dyDescent="0.3">
      <c r="A27" s="10" t="s">
        <v>239</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2854</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1650</v>
      </c>
      <c r="B31" s="7"/>
      <c r="C31" s="7"/>
      <c r="D31" s="7"/>
      <c r="E31" s="7"/>
      <c r="F31" s="7"/>
      <c r="G31" s="7"/>
      <c r="H31" s="7"/>
      <c r="I31" s="7"/>
      <c r="J31" s="7"/>
    </row>
    <row r="32" spans="1:10" x14ac:dyDescent="0.3">
      <c r="A32" s="10" t="s">
        <v>1661</v>
      </c>
      <c r="B32" s="7"/>
      <c r="C32" s="7"/>
      <c r="D32" s="7"/>
      <c r="E32" s="7"/>
      <c r="F32" s="7"/>
      <c r="G32" s="7"/>
      <c r="H32" s="7"/>
      <c r="I32" s="7"/>
      <c r="J32" s="7"/>
    </row>
    <row r="33" spans="1:10" x14ac:dyDescent="0.3">
      <c r="B33" s="7"/>
      <c r="C33" s="7"/>
      <c r="D33" s="7"/>
      <c r="E33" s="7"/>
      <c r="F33" s="7"/>
      <c r="G33" s="7"/>
      <c r="H33" s="7"/>
      <c r="I33" s="7"/>
      <c r="J33" s="7"/>
    </row>
    <row r="34" spans="1:10" x14ac:dyDescent="0.3">
      <c r="A34" s="9" t="s">
        <v>1651</v>
      </c>
      <c r="B34" s="7"/>
      <c r="C34" s="7"/>
      <c r="D34" s="7"/>
      <c r="E34" s="7"/>
      <c r="F34" s="7"/>
      <c r="G34" s="7"/>
      <c r="H34" s="7"/>
      <c r="I34" s="7"/>
      <c r="J34" s="7"/>
    </row>
    <row r="35" spans="1:10" x14ac:dyDescent="0.3">
      <c r="A35" s="138" t="s">
        <v>1652</v>
      </c>
      <c r="B35" s="7"/>
      <c r="C35" s="7"/>
      <c r="D35" s="7"/>
      <c r="E35" s="7"/>
      <c r="F35" s="7"/>
      <c r="G35" s="7"/>
      <c r="H35" s="7"/>
      <c r="I35" s="7"/>
      <c r="J35" s="7"/>
    </row>
    <row r="36" spans="1:10" x14ac:dyDescent="0.3">
      <c r="A36" s="138" t="s">
        <v>1658</v>
      </c>
      <c r="B36" s="7"/>
      <c r="C36" s="7"/>
      <c r="D36" s="7"/>
      <c r="E36" s="7"/>
      <c r="F36" s="7"/>
      <c r="G36" s="7"/>
      <c r="H36" s="7"/>
      <c r="I36" s="7"/>
      <c r="J36" s="7"/>
    </row>
    <row r="37" spans="1:10" x14ac:dyDescent="0.3">
      <c r="A37" s="150" t="s">
        <v>1700</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1653</v>
      </c>
      <c r="B39" s="7"/>
      <c r="C39" s="7"/>
      <c r="D39" s="7"/>
      <c r="E39" s="7"/>
      <c r="F39" s="7"/>
      <c r="G39" s="7"/>
      <c r="H39" s="7"/>
      <c r="I39" s="7"/>
      <c r="J39" s="7"/>
    </row>
    <row r="40" spans="1:10" x14ac:dyDescent="0.3">
      <c r="A40" s="138" t="s">
        <v>1654</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1607</v>
      </c>
      <c r="B42" s="7"/>
      <c r="C42" s="7"/>
      <c r="D42" s="7"/>
      <c r="E42" s="7"/>
      <c r="F42" s="7"/>
      <c r="G42" s="7"/>
      <c r="H42" s="7"/>
      <c r="I42" s="7"/>
      <c r="J42" s="7"/>
    </row>
    <row r="43" spans="1:10" x14ac:dyDescent="0.3">
      <c r="A43" s="138" t="s">
        <v>1655</v>
      </c>
      <c r="B43" s="7"/>
      <c r="C43" s="7"/>
      <c r="D43" s="7"/>
      <c r="E43" s="7"/>
      <c r="F43" s="7"/>
      <c r="G43" s="7"/>
      <c r="H43" s="7"/>
      <c r="I43" s="7"/>
      <c r="J43" s="7"/>
    </row>
    <row r="44" spans="1:10" x14ac:dyDescent="0.3">
      <c r="A44" s="138" t="s">
        <v>1659</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1611</v>
      </c>
      <c r="B46" s="7"/>
      <c r="C46" s="7"/>
      <c r="D46" s="7"/>
      <c r="E46" s="7"/>
      <c r="F46" s="7"/>
      <c r="G46" s="7"/>
      <c r="H46" s="7"/>
      <c r="I46" s="7"/>
      <c r="J46" s="7"/>
    </row>
    <row r="47" spans="1:10" x14ac:dyDescent="0.3">
      <c r="A47" s="138" t="s">
        <v>1656</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1657</v>
      </c>
      <c r="B49" s="7"/>
      <c r="C49" s="7"/>
      <c r="D49" s="7"/>
      <c r="E49" s="7"/>
      <c r="F49" s="7"/>
      <c r="G49" s="7"/>
      <c r="H49" s="7"/>
      <c r="I49" s="7"/>
      <c r="J49" s="7"/>
    </row>
    <row r="50" spans="1:10" x14ac:dyDescent="0.3">
      <c r="A50" s="138" t="s">
        <v>1660</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254</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214</v>
      </c>
      <c r="B54" s="7"/>
      <c r="C54" s="7"/>
      <c r="D54" s="7"/>
      <c r="E54" s="7"/>
      <c r="F54" s="7"/>
      <c r="G54" s="7"/>
      <c r="H54" s="7"/>
      <c r="I54" s="7"/>
      <c r="J54" s="7"/>
    </row>
    <row r="55" spans="1:10" x14ac:dyDescent="0.3">
      <c r="A55" s="15" t="s">
        <v>216</v>
      </c>
      <c r="B55" s="7"/>
      <c r="C55" s="7"/>
      <c r="D55" s="7"/>
      <c r="E55" s="7"/>
      <c r="F55" s="7"/>
      <c r="G55" s="7"/>
      <c r="H55" s="7"/>
      <c r="I55" s="7"/>
      <c r="J55" s="7"/>
    </row>
    <row r="56" spans="1:10" x14ac:dyDescent="0.3">
      <c r="A56" s="15" t="s">
        <v>215</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1589</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1614</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1635</v>
      </c>
      <c r="C4" s="85"/>
      <c r="D4" s="86"/>
      <c r="F4" s="84" t="s">
        <v>1582</v>
      </c>
      <c r="G4" s="85"/>
      <c r="H4" s="86"/>
      <c r="J4" s="84" t="s">
        <v>1583</v>
      </c>
      <c r="K4" s="85"/>
      <c r="L4" s="86"/>
      <c r="N4" s="84" t="s">
        <v>1584</v>
      </c>
      <c r="O4" s="87"/>
      <c r="P4" s="87"/>
      <c r="Q4" s="88"/>
      <c r="S4" s="84" t="s">
        <v>1585</v>
      </c>
      <c r="T4" s="87"/>
      <c r="U4" s="88"/>
      <c r="V4" s="21"/>
      <c r="W4" s="21"/>
      <c r="X4" s="21"/>
      <c r="Y4" s="21"/>
      <c r="Z4" s="7"/>
      <c r="AA4"/>
      <c r="AB4"/>
      <c r="AC4"/>
      <c r="AD4"/>
    </row>
    <row r="5" spans="1:30" x14ac:dyDescent="0.3">
      <c r="A5" s="7"/>
      <c r="B5" s="93" t="s">
        <v>319</v>
      </c>
      <c r="C5" s="7"/>
      <c r="D5" s="7"/>
      <c r="E5" s="7"/>
      <c r="F5" s="93" t="s">
        <v>1706</v>
      </c>
      <c r="G5" s="7"/>
      <c r="H5" s="7"/>
      <c r="I5" s="7"/>
      <c r="J5" s="93" t="s">
        <v>319</v>
      </c>
      <c r="K5" s="7"/>
      <c r="L5" s="7"/>
      <c r="M5" s="7"/>
      <c r="N5" s="93" t="s">
        <v>1706</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1586</v>
      </c>
      <c r="T6" s="7"/>
      <c r="U6" s="7"/>
      <c r="V6" s="7"/>
      <c r="W6" s="7"/>
      <c r="X6" s="7"/>
      <c r="Y6" s="7"/>
      <c r="Z6" s="7"/>
    </row>
    <row r="7" spans="1:30" x14ac:dyDescent="0.3">
      <c r="A7" s="7"/>
      <c r="B7" s="7"/>
      <c r="C7" s="7"/>
      <c r="D7" s="7"/>
      <c r="E7" s="7"/>
      <c r="F7" s="7"/>
      <c r="G7" s="7"/>
      <c r="H7" s="7"/>
      <c r="I7" s="7"/>
      <c r="J7" s="7"/>
      <c r="K7" s="7"/>
      <c r="L7" s="7"/>
      <c r="M7" s="7"/>
      <c r="N7" s="7"/>
      <c r="O7" s="7"/>
      <c r="P7" s="7"/>
      <c r="Q7" s="7"/>
      <c r="R7" s="7"/>
      <c r="S7" s="7" t="s">
        <v>1626</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0.5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1665</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1632</v>
      </c>
      <c r="T15" s="7"/>
      <c r="U15" s="7"/>
      <c r="V15" s="7"/>
      <c r="W15" s="7"/>
      <c r="X15" s="7"/>
      <c r="Y15" s="7"/>
      <c r="Z15" s="7"/>
    </row>
    <row r="16" spans="1:30" ht="29.1" customHeight="1" thickBot="1" x14ac:dyDescent="0.35">
      <c r="A16" s="7"/>
      <c r="B16" s="153" t="s">
        <v>1637</v>
      </c>
      <c r="C16" s="153"/>
      <c r="D16" s="153"/>
      <c r="E16" s="7"/>
      <c r="F16" s="7"/>
      <c r="G16" s="7"/>
      <c r="H16" s="7"/>
      <c r="I16" s="7"/>
      <c r="J16" s="7"/>
      <c r="K16" s="7"/>
      <c r="L16" s="7"/>
      <c r="M16" s="7"/>
      <c r="N16" s="7"/>
      <c r="O16" s="7"/>
      <c r="P16" s="7"/>
      <c r="Q16" s="7"/>
      <c r="R16" s="7"/>
      <c r="S16" s="141" t="s">
        <v>1633</v>
      </c>
      <c r="T16" s="7"/>
      <c r="U16" s="7"/>
      <c r="V16" s="7"/>
      <c r="W16" s="7"/>
      <c r="X16" s="7"/>
      <c r="Y16" s="7"/>
      <c r="Z16" s="7"/>
    </row>
    <row r="17" spans="1:26" ht="15" customHeight="1" thickBot="1" x14ac:dyDescent="0.35">
      <c r="A17" s="7"/>
      <c r="B17" s="152" t="s">
        <v>1636</v>
      </c>
      <c r="C17" s="152"/>
      <c r="D17" s="152"/>
      <c r="E17" s="7"/>
      <c r="F17" s="7"/>
      <c r="G17" s="7"/>
      <c r="H17" s="7"/>
      <c r="I17" s="7"/>
      <c r="J17" s="7"/>
      <c r="K17" s="7"/>
      <c r="L17" s="7"/>
      <c r="M17" s="7"/>
      <c r="N17" s="7"/>
      <c r="O17" s="7"/>
      <c r="P17" s="7"/>
      <c r="Q17" s="7"/>
      <c r="R17" s="7"/>
      <c r="S17" s="134">
        <v>50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Error: Select 1 item only</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1604</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Error: Select 1 item only</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1592</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1672</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1634</v>
      </c>
      <c r="C30" s="85"/>
      <c r="D30" s="86"/>
      <c r="F30" s="84" t="s">
        <v>1587</v>
      </c>
      <c r="G30" s="87"/>
      <c r="H30" s="88"/>
      <c r="J30" s="84" t="s">
        <v>1663</v>
      </c>
      <c r="K30" s="87"/>
      <c r="L30" s="87"/>
      <c r="M30" s="87"/>
      <c r="N30" s="87"/>
      <c r="O30" s="88"/>
      <c r="Q30" s="84" t="s">
        <v>1671</v>
      </c>
      <c r="R30" s="139"/>
      <c r="S30" s="139"/>
      <c r="T30" s="140"/>
      <c r="V30" s="21"/>
      <c r="W30" s="21"/>
      <c r="X30" s="21"/>
      <c r="Y30" s="21"/>
      <c r="Z30" s="21"/>
    </row>
    <row r="31" spans="1:26" x14ac:dyDescent="0.3">
      <c r="A31" s="7"/>
      <c r="B31" s="93" t="s">
        <v>319</v>
      </c>
      <c r="C31" s="7"/>
      <c r="D31" s="7"/>
      <c r="E31" s="7"/>
      <c r="F31" s="93" t="s">
        <v>319</v>
      </c>
      <c r="G31" s="7"/>
      <c r="H31" s="7"/>
      <c r="I31" s="7"/>
      <c r="J31" s="7"/>
      <c r="K31" s="7"/>
      <c r="L31" s="7"/>
      <c r="M31" s="7"/>
      <c r="N31" s="7"/>
      <c r="O31" s="7"/>
      <c r="P31" s="7"/>
      <c r="Q31" s="93" t="s">
        <v>1707</v>
      </c>
      <c r="R31" s="93"/>
      <c r="S31" s="7"/>
      <c r="T31" s="7"/>
      <c r="U31" s="7"/>
      <c r="V31" s="7"/>
      <c r="W31" s="7"/>
      <c r="X31" s="7"/>
      <c r="Y31" s="7"/>
      <c r="Z31" s="7"/>
    </row>
    <row r="32" spans="1:26" x14ac:dyDescent="0.3">
      <c r="A32" s="7"/>
      <c r="B32" s="7"/>
      <c r="C32" s="7"/>
      <c r="D32" s="7"/>
      <c r="E32" s="7"/>
      <c r="F32" s="7"/>
      <c r="G32" s="7"/>
      <c r="H32" s="7"/>
      <c r="I32" s="7"/>
      <c r="J32" s="7" t="s">
        <v>1588</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1669</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1670</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1664</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7</v>
      </c>
      <c r="K37" s="7"/>
      <c r="L37" s="7"/>
      <c r="M37" s="7"/>
      <c r="N37" s="7"/>
      <c r="O37" s="7"/>
      <c r="P37" s="7"/>
      <c r="Q37" s="7"/>
      <c r="R37" s="7"/>
      <c r="S37" s="7"/>
      <c r="T37" s="95" t="s">
        <v>1603</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Error: Select 1 item only</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Error: Select 1 item only</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1594</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1595</v>
      </c>
      <c r="C47" s="89"/>
      <c r="D47" s="89"/>
      <c r="E47" s="89"/>
      <c r="F47" s="89"/>
      <c r="G47" s="89"/>
      <c r="H47" s="89"/>
      <c r="I47" s="89"/>
      <c r="J47" s="89"/>
      <c r="K47" s="90"/>
      <c r="L47" s="21"/>
      <c r="M47" s="84" t="s">
        <v>1598</v>
      </c>
      <c r="N47" s="89"/>
      <c r="O47" s="89"/>
      <c r="P47" s="89"/>
      <c r="Q47" s="85"/>
      <c r="R47" s="90"/>
      <c r="S47" s="7"/>
      <c r="T47" s="84" t="s">
        <v>1605</v>
      </c>
      <c r="U47" s="90"/>
      <c r="V47" s="7"/>
      <c r="W47" s="7"/>
      <c r="X47" s="7"/>
      <c r="Y47" s="7"/>
      <c r="Z47" s="7"/>
    </row>
    <row r="48" spans="1:26" x14ac:dyDescent="0.3">
      <c r="A48" s="7"/>
      <c r="B48" s="93" t="s">
        <v>1706</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1599</v>
      </c>
      <c r="N49" s="7"/>
      <c r="O49" s="7"/>
      <c r="P49" s="7"/>
      <c r="Q49" s="7"/>
      <c r="R49" s="7"/>
      <c r="S49" s="7"/>
      <c r="T49" s="7" t="s">
        <v>1601</v>
      </c>
      <c r="U49" s="7"/>
      <c r="V49" s="7"/>
      <c r="W49" s="7"/>
      <c r="X49" s="7"/>
      <c r="Y49" s="7"/>
      <c r="Z49" s="7"/>
    </row>
    <row r="50" spans="1:26" x14ac:dyDescent="0.3">
      <c r="A50" s="7"/>
      <c r="B50" s="7"/>
      <c r="C50" s="7"/>
      <c r="D50" s="7"/>
      <c r="E50" s="7"/>
      <c r="F50" s="7"/>
      <c r="G50" s="7"/>
      <c r="H50" s="7"/>
      <c r="I50" s="7"/>
      <c r="J50" s="7"/>
      <c r="K50" s="7"/>
      <c r="L50" s="7"/>
      <c r="M50" s="7" t="s">
        <v>1627</v>
      </c>
      <c r="N50" s="7"/>
      <c r="O50" s="7"/>
      <c r="P50" s="7"/>
      <c r="Q50" s="7"/>
      <c r="R50" s="7"/>
      <c r="S50" s="7"/>
      <c r="T50" s="7" t="s">
        <v>1628</v>
      </c>
      <c r="U50" s="7"/>
      <c r="V50" s="7"/>
      <c r="W50" s="7"/>
      <c r="X50" s="7"/>
      <c r="Y50" s="7"/>
      <c r="Z50" s="7"/>
    </row>
    <row r="51" spans="1:26" ht="15" thickBot="1" x14ac:dyDescent="0.35">
      <c r="A51" s="7"/>
      <c r="B51" s="7"/>
      <c r="C51" s="7"/>
      <c r="D51" s="7"/>
      <c r="E51" s="7"/>
      <c r="F51" s="7"/>
      <c r="G51" s="7"/>
      <c r="H51" s="7"/>
      <c r="I51" s="7"/>
      <c r="J51" s="7"/>
      <c r="K51" s="7"/>
      <c r="L51" s="7"/>
      <c r="M51" s="7" t="s">
        <v>1597</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1673</v>
      </c>
      <c r="N52" s="7"/>
      <c r="O52" s="7"/>
      <c r="P52" s="7"/>
      <c r="Q52" s="7"/>
      <c r="R52" s="7"/>
      <c r="S52" s="7"/>
      <c r="T52" s="131">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1384</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1602</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1593</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1630</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1590</v>
      </c>
      <c r="C69" s="89"/>
      <c r="D69" s="89"/>
      <c r="E69" s="89"/>
      <c r="F69" s="89"/>
      <c r="G69" s="89"/>
      <c r="H69" s="89"/>
      <c r="I69" s="89"/>
      <c r="J69" s="89"/>
      <c r="K69" s="89"/>
      <c r="L69" s="89"/>
      <c r="M69" s="89"/>
      <c r="N69" s="90"/>
      <c r="O69" s="21"/>
      <c r="P69" s="84" t="s">
        <v>1596</v>
      </c>
      <c r="Q69" s="89"/>
      <c r="R69" s="89"/>
      <c r="S69" s="89"/>
      <c r="T69" s="90"/>
      <c r="U69" s="21"/>
      <c r="V69" s="21"/>
      <c r="W69" s="21"/>
      <c r="X69" s="21"/>
      <c r="Y69" s="21"/>
      <c r="Z69" s="21"/>
    </row>
    <row r="70" spans="1:26" x14ac:dyDescent="0.3">
      <c r="A70" s="7"/>
      <c r="B70" s="93" t="s">
        <v>1706</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1600</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1629</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1631</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1597</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1674</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118</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1606</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198</v>
      </c>
      <c r="B1" s="10"/>
      <c r="C1" s="7"/>
      <c r="D1" s="36"/>
      <c r="E1" s="7"/>
      <c r="F1" s="7"/>
      <c r="G1" s="7"/>
      <c r="H1" s="7"/>
      <c r="I1" s="7"/>
      <c r="J1" s="7"/>
      <c r="K1" s="7"/>
      <c r="L1" s="7"/>
      <c r="M1" s="7"/>
      <c r="N1" s="7"/>
    </row>
    <row r="2" spans="1:14" ht="27" customHeight="1" x14ac:dyDescent="0.3">
      <c r="A2" s="154" t="s">
        <v>1645</v>
      </c>
      <c r="B2" s="154"/>
      <c r="C2" s="154"/>
      <c r="D2" s="154"/>
      <c r="E2" s="154"/>
      <c r="F2" s="154"/>
      <c r="G2" s="7"/>
      <c r="H2" s="7"/>
      <c r="I2" s="7"/>
      <c r="J2" s="7"/>
      <c r="K2" s="40"/>
      <c r="L2" s="7"/>
      <c r="M2" s="7"/>
      <c r="N2" s="7"/>
    </row>
    <row r="3" spans="1:14" s="30" customFormat="1" ht="33" customHeight="1" x14ac:dyDescent="0.3">
      <c r="A3" s="154" t="s">
        <v>235</v>
      </c>
      <c r="B3" s="154"/>
      <c r="C3" s="154"/>
      <c r="D3" s="154"/>
      <c r="E3" s="154"/>
      <c r="F3" s="154"/>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219</v>
      </c>
      <c r="C7" s="26"/>
      <c r="D7" s="37"/>
      <c r="E7" s="21"/>
      <c r="F7" s="7"/>
      <c r="G7" s="7"/>
      <c r="H7" s="7"/>
      <c r="I7" s="7"/>
      <c r="J7" s="7"/>
      <c r="K7" s="7"/>
      <c r="L7" s="7"/>
      <c r="M7" s="7"/>
      <c r="N7" s="7"/>
    </row>
    <row r="8" spans="1:14" ht="20.100000000000001" customHeight="1" x14ac:dyDescent="0.3">
      <c r="A8" s="22" t="s">
        <v>0</v>
      </c>
      <c r="B8" s="44"/>
      <c r="C8" s="41"/>
      <c r="D8" s="37"/>
      <c r="E8" s="21"/>
      <c r="F8" s="7"/>
      <c r="G8" s="7"/>
      <c r="H8" s="7"/>
      <c r="I8" s="7"/>
      <c r="J8" s="7"/>
      <c r="K8" s="7"/>
      <c r="L8" s="7"/>
      <c r="M8" s="7"/>
      <c r="N8" s="7"/>
    </row>
    <row r="9" spans="1:14" ht="20.100000000000001" customHeight="1" x14ac:dyDescent="0.3">
      <c r="A9" s="22" t="s">
        <v>1</v>
      </c>
      <c r="B9" s="44"/>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218</v>
      </c>
      <c r="C11" s="21"/>
      <c r="D11" s="37"/>
      <c r="E11" s="21"/>
      <c r="F11" s="7"/>
      <c r="G11" s="7"/>
      <c r="H11" s="7"/>
      <c r="I11" s="7"/>
      <c r="J11" s="7"/>
      <c r="K11" s="7"/>
      <c r="L11" s="7"/>
      <c r="M11" s="7"/>
      <c r="N11" s="7"/>
    </row>
    <row r="12" spans="1:14" ht="20.100000000000001" customHeight="1" x14ac:dyDescent="0.3">
      <c r="A12" s="22" t="s">
        <v>199</v>
      </c>
      <c r="B12" s="44" t="s">
        <v>14</v>
      </c>
      <c r="C12" s="21"/>
      <c r="D12" s="37"/>
      <c r="E12" s="21"/>
      <c r="F12" s="7"/>
      <c r="G12" s="7"/>
      <c r="H12" s="7"/>
      <c r="I12" s="7"/>
      <c r="J12" s="7"/>
      <c r="K12" s="7"/>
      <c r="L12" s="7"/>
      <c r="M12" s="7"/>
      <c r="N12" s="7"/>
    </row>
    <row r="13" spans="1:14" ht="20.100000000000001" customHeight="1" x14ac:dyDescent="0.3">
      <c r="A13" s="22" t="s">
        <v>200</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1621</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220</v>
      </c>
      <c r="C17" s="28"/>
      <c r="D17" s="37"/>
      <c r="E17" s="21"/>
      <c r="G17" s="7"/>
      <c r="H17" s="7"/>
      <c r="I17" s="7"/>
      <c r="J17" s="7"/>
      <c r="K17" s="7"/>
      <c r="L17" s="7"/>
      <c r="M17" s="7"/>
      <c r="N17" s="7"/>
    </row>
    <row r="18" spans="1:14" ht="20.100000000000001" customHeight="1" x14ac:dyDescent="0.3">
      <c r="A18" s="22" t="s">
        <v>207</v>
      </c>
      <c r="B18" s="147" t="s">
        <v>100</v>
      </c>
      <c r="C18" s="78" t="s">
        <v>324</v>
      </c>
      <c r="D18" s="37"/>
      <c r="E18" s="21"/>
      <c r="F18" s="7"/>
      <c r="G18" s="7"/>
      <c r="H18" s="7"/>
      <c r="I18" s="7"/>
      <c r="J18" s="7"/>
      <c r="K18" s="7"/>
      <c r="L18" s="7"/>
      <c r="M18" s="7"/>
      <c r="N18" s="7"/>
    </row>
    <row r="19" spans="1:14" ht="20.100000000000001" customHeight="1" x14ac:dyDescent="0.3">
      <c r="A19" s="22" t="s">
        <v>213</v>
      </c>
      <c r="B19" s="147" t="s">
        <v>100</v>
      </c>
      <c r="C19" s="78" t="s">
        <v>324</v>
      </c>
      <c r="D19" s="37"/>
      <c r="E19" s="21"/>
      <c r="F19" s="7"/>
      <c r="G19" s="7"/>
      <c r="H19" s="7"/>
      <c r="I19" s="7"/>
      <c r="J19" s="7"/>
      <c r="K19" s="7"/>
      <c r="L19" s="7"/>
      <c r="M19" s="7"/>
      <c r="N19" s="7"/>
    </row>
    <row r="20" spans="1:14" ht="20.100000000000001" customHeight="1" x14ac:dyDescent="0.3">
      <c r="A20" s="22" t="s">
        <v>209</v>
      </c>
      <c r="B20" s="147" t="s">
        <v>100</v>
      </c>
      <c r="C20" s="78" t="s">
        <v>324</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228</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8" t="b">
        <v>0</v>
      </c>
      <c r="C26" s="78" t="s">
        <v>1624</v>
      </c>
      <c r="D26" s="37"/>
      <c r="E26" s="21"/>
      <c r="F26" s="7"/>
      <c r="G26" s="7"/>
      <c r="H26" s="7"/>
      <c r="I26" s="7"/>
      <c r="J26" s="7"/>
      <c r="K26" s="7"/>
      <c r="L26" s="7"/>
      <c r="M26" s="7"/>
      <c r="N26" s="7"/>
    </row>
    <row r="27" spans="1:14" ht="20.100000000000001" customHeight="1" x14ac:dyDescent="0.3">
      <c r="A27" s="22" t="s">
        <v>238</v>
      </c>
      <c r="B27" s="44" t="b">
        <v>1</v>
      </c>
      <c r="C27" s="78" t="s">
        <v>1625</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230</v>
      </c>
      <c r="B31" s="34" t="s">
        <v>220</v>
      </c>
      <c r="C31" s="26"/>
      <c r="D31" s="28"/>
      <c r="E31" s="21"/>
      <c r="F31" s="7"/>
      <c r="G31" s="7"/>
      <c r="H31" s="7"/>
      <c r="I31" s="7"/>
      <c r="J31" s="7"/>
      <c r="K31" s="7"/>
      <c r="L31" s="7"/>
      <c r="M31" s="7"/>
      <c r="N31" s="7"/>
    </row>
    <row r="32" spans="1:14" ht="20.100000000000001" customHeight="1" x14ac:dyDescent="0.3">
      <c r="A32" s="22" t="s">
        <v>2</v>
      </c>
      <c r="B32" s="44" t="s">
        <v>210</v>
      </c>
      <c r="C32" s="29"/>
      <c r="D32" s="39"/>
      <c r="E32" s="21"/>
      <c r="F32" s="7"/>
      <c r="G32" s="7"/>
      <c r="H32" s="7"/>
      <c r="I32" s="7"/>
      <c r="J32" s="7"/>
      <c r="K32" s="7"/>
      <c r="L32" s="7"/>
      <c r="M32" s="7"/>
      <c r="N32" s="7"/>
    </row>
    <row r="33" spans="1:14" ht="43.2" x14ac:dyDescent="0.3">
      <c r="A33" s="22" t="s">
        <v>3</v>
      </c>
      <c r="B33" s="44" t="s">
        <v>1725</v>
      </c>
      <c r="C33" s="29"/>
      <c r="D33" s="39"/>
      <c r="E33" s="21"/>
      <c r="F33" s="7"/>
      <c r="G33" s="7"/>
      <c r="H33" s="7"/>
      <c r="I33" s="7"/>
      <c r="J33" s="7"/>
      <c r="K33" s="7"/>
      <c r="L33" s="7"/>
      <c r="M33" s="7"/>
      <c r="N33" s="7"/>
    </row>
    <row r="34" spans="1:14" s="4" customFormat="1" ht="28.8" x14ac:dyDescent="0.3">
      <c r="A34" s="31" t="s">
        <v>82</v>
      </c>
      <c r="B34" s="44" t="s">
        <v>101</v>
      </c>
      <c r="C34" s="29" t="s">
        <v>231</v>
      </c>
      <c r="D34" s="39"/>
      <c r="E34" s="32"/>
      <c r="F34" s="10"/>
      <c r="G34" s="10"/>
      <c r="H34" s="10"/>
      <c r="I34" s="10"/>
      <c r="J34" s="10"/>
      <c r="K34" s="10"/>
      <c r="L34" s="10"/>
      <c r="M34" s="10"/>
      <c r="N34" s="10"/>
    </row>
    <row r="35" spans="1:14" ht="20.100000000000001" customHeight="1" x14ac:dyDescent="0.3">
      <c r="A35" s="22" t="s">
        <v>47</v>
      </c>
      <c r="B35" s="147" t="s">
        <v>100</v>
      </c>
      <c r="C35" s="78" t="s">
        <v>324</v>
      </c>
      <c r="D35" s="39"/>
      <c r="E35" s="21"/>
      <c r="F35" s="7"/>
      <c r="G35" s="7"/>
      <c r="H35" s="7"/>
      <c r="I35" s="7"/>
      <c r="J35" s="7"/>
      <c r="K35" s="7"/>
      <c r="L35" s="7"/>
      <c r="M35" s="7"/>
      <c r="N35" s="7"/>
    </row>
    <row r="36" spans="1:14" ht="20.100000000000001" customHeight="1" x14ac:dyDescent="0.3">
      <c r="A36" s="22" t="s">
        <v>48</v>
      </c>
      <c r="B36" s="147" t="s">
        <v>100</v>
      </c>
      <c r="C36" s="78" t="s">
        <v>324</v>
      </c>
      <c r="D36" s="39"/>
      <c r="E36" s="21"/>
      <c r="F36" s="7"/>
      <c r="G36" s="7"/>
      <c r="H36" s="7"/>
      <c r="I36" s="7"/>
      <c r="J36" s="7"/>
      <c r="K36" s="7"/>
      <c r="L36" s="7"/>
      <c r="M36" s="7"/>
      <c r="N36" s="7"/>
    </row>
    <row r="37" spans="1:14" ht="20.100000000000001" customHeight="1" x14ac:dyDescent="0.3">
      <c r="A37" s="22" t="s">
        <v>37</v>
      </c>
      <c r="B37" s="44" t="s">
        <v>100</v>
      </c>
      <c r="C37" s="29" t="s">
        <v>231</v>
      </c>
      <c r="D37" s="39"/>
      <c r="E37" s="21"/>
      <c r="F37" s="7"/>
      <c r="G37" s="7"/>
      <c r="H37" s="7"/>
      <c r="I37" s="7"/>
      <c r="J37" s="7"/>
      <c r="K37" s="7"/>
      <c r="L37" s="7"/>
      <c r="M37" s="7"/>
      <c r="N37" s="7"/>
    </row>
    <row r="38" spans="1:14" ht="20.100000000000001" customHeight="1" x14ac:dyDescent="0.3">
      <c r="A38" s="22" t="s">
        <v>38</v>
      </c>
      <c r="B38" s="44" t="s">
        <v>100</v>
      </c>
      <c r="C38" s="29" t="s">
        <v>231</v>
      </c>
      <c r="D38" s="39"/>
      <c r="E38" s="21"/>
      <c r="F38" s="7"/>
      <c r="G38" s="7"/>
      <c r="H38" s="7"/>
      <c r="I38" s="7"/>
      <c r="J38" s="7"/>
      <c r="K38" s="7"/>
      <c r="L38" s="7"/>
      <c r="M38" s="7"/>
      <c r="N38" s="7"/>
    </row>
    <row r="39" spans="1:14" ht="19.95" customHeight="1" x14ac:dyDescent="0.3">
      <c r="A39" s="22" t="s">
        <v>69</v>
      </c>
      <c r="B39" s="44" t="s">
        <v>100</v>
      </c>
      <c r="C39" s="29" t="s">
        <v>231</v>
      </c>
      <c r="D39" s="39"/>
      <c r="E39" s="21"/>
      <c r="F39" s="7"/>
      <c r="G39" s="7"/>
      <c r="H39" s="7"/>
      <c r="I39" s="7"/>
      <c r="J39" s="7"/>
      <c r="K39" s="7"/>
      <c r="L39" s="7"/>
      <c r="M39" s="7"/>
      <c r="N39" s="7"/>
    </row>
    <row r="40" spans="1:14" ht="19.95" customHeight="1" x14ac:dyDescent="0.3">
      <c r="A40" s="22" t="s">
        <v>1719</v>
      </c>
      <c r="B40" s="44" t="s">
        <v>100</v>
      </c>
      <c r="C40" s="29" t="s">
        <v>231</v>
      </c>
      <c r="D40" s="39"/>
      <c r="E40" s="21"/>
      <c r="F40" s="7"/>
      <c r="G40" s="7"/>
      <c r="H40" s="7"/>
      <c r="I40" s="7"/>
      <c r="J40" s="7"/>
      <c r="K40" s="7"/>
      <c r="L40" s="7"/>
      <c r="M40" s="7"/>
      <c r="N40" s="7"/>
    </row>
    <row r="41" spans="1:14" ht="20.100000000000001" customHeight="1" x14ac:dyDescent="0.3">
      <c r="A41" s="21"/>
      <c r="B41" s="32"/>
      <c r="C41" s="21"/>
      <c r="D41" s="28"/>
      <c r="E41" s="21"/>
      <c r="F41" s="7"/>
      <c r="G41" s="7"/>
      <c r="H41" s="7"/>
      <c r="I41" s="7"/>
      <c r="J41" s="7"/>
      <c r="K41" s="7"/>
      <c r="L41" s="7"/>
      <c r="M41" s="7"/>
      <c r="N41" s="7"/>
    </row>
    <row r="42" spans="1:14" ht="20.100000000000001" customHeight="1" x14ac:dyDescent="0.3">
      <c r="A42" s="23" t="s">
        <v>9</v>
      </c>
      <c r="B42" s="34" t="s">
        <v>221</v>
      </c>
      <c r="C42" s="27" t="s">
        <v>222</v>
      </c>
      <c r="D42" s="28"/>
      <c r="E42" s="21"/>
      <c r="F42" s="7"/>
      <c r="G42" s="7"/>
      <c r="H42" s="7"/>
      <c r="I42" s="7"/>
      <c r="J42" s="7"/>
      <c r="K42" s="7"/>
      <c r="L42" s="7"/>
      <c r="M42" s="7"/>
      <c r="N42" s="7"/>
    </row>
    <row r="43" spans="1:14" ht="20.100000000000001" customHeight="1" x14ac:dyDescent="0.3">
      <c r="A43" s="22" t="s">
        <v>1709</v>
      </c>
      <c r="B43" s="45">
        <v>0.21</v>
      </c>
      <c r="C43" s="46" t="s">
        <v>113</v>
      </c>
      <c r="D43" s="29" t="s">
        <v>225</v>
      </c>
      <c r="E43" s="21"/>
      <c r="F43" s="7"/>
      <c r="G43" s="7"/>
      <c r="H43" s="7"/>
      <c r="I43" s="7"/>
      <c r="J43" s="7"/>
      <c r="K43" s="7"/>
      <c r="L43" s="7"/>
      <c r="M43" s="7"/>
      <c r="N43" s="7"/>
    </row>
    <row r="44" spans="1:14" ht="20.100000000000001" customHeight="1" x14ac:dyDescent="0.3">
      <c r="A44" s="22" t="s">
        <v>1710</v>
      </c>
      <c r="B44" s="45">
        <v>4.8000000000000001E-2</v>
      </c>
      <c r="C44" s="46" t="s">
        <v>113</v>
      </c>
      <c r="D44" s="29" t="s">
        <v>225</v>
      </c>
      <c r="E44" s="21"/>
      <c r="F44" s="7"/>
      <c r="G44" s="7"/>
      <c r="H44" s="7"/>
      <c r="I44" s="7"/>
      <c r="J44" s="7"/>
      <c r="K44" s="7"/>
      <c r="L44" s="7"/>
      <c r="M44" s="7"/>
      <c r="N44" s="7"/>
    </row>
    <row r="45" spans="1:14" ht="20.100000000000001" customHeight="1" x14ac:dyDescent="0.3">
      <c r="A45" s="22" t="s">
        <v>1711</v>
      </c>
      <c r="B45" s="45">
        <v>3.2000000000000001E-2</v>
      </c>
      <c r="C45" s="46" t="s">
        <v>113</v>
      </c>
      <c r="D45" s="29" t="s">
        <v>225</v>
      </c>
      <c r="E45" s="21"/>
      <c r="F45" s="7"/>
      <c r="G45" s="7"/>
      <c r="H45" s="7"/>
      <c r="I45" s="7"/>
      <c r="J45" s="7"/>
      <c r="K45" s="7"/>
      <c r="L45" s="7"/>
      <c r="M45" s="7"/>
      <c r="N45" s="7"/>
    </row>
    <row r="46" spans="1:14" ht="20.100000000000001" customHeight="1" x14ac:dyDescent="0.3">
      <c r="A46" s="22" t="s">
        <v>1712</v>
      </c>
      <c r="B46" s="45">
        <v>0.21</v>
      </c>
      <c r="C46" s="46" t="s">
        <v>113</v>
      </c>
      <c r="D46" s="29" t="s">
        <v>224</v>
      </c>
      <c r="E46" s="21"/>
      <c r="F46" s="7"/>
      <c r="G46" s="7"/>
      <c r="H46" s="7"/>
      <c r="I46" s="7"/>
      <c r="J46" s="7"/>
      <c r="K46" s="7"/>
      <c r="L46" s="7"/>
      <c r="M46" s="7"/>
      <c r="N46" s="7"/>
    </row>
    <row r="47" spans="1:14" ht="20.100000000000001" customHeight="1" x14ac:dyDescent="0.3">
      <c r="A47" s="22" t="s">
        <v>1713</v>
      </c>
      <c r="B47" s="45">
        <v>12.35</v>
      </c>
      <c r="C47" s="46" t="s">
        <v>114</v>
      </c>
      <c r="D47" s="29" t="s">
        <v>224</v>
      </c>
      <c r="E47" s="21"/>
      <c r="F47" s="7"/>
      <c r="G47" s="7"/>
      <c r="H47" s="7"/>
      <c r="I47" s="7"/>
      <c r="J47" s="7"/>
      <c r="K47" s="7"/>
      <c r="L47" s="7"/>
      <c r="M47" s="7"/>
      <c r="N47" s="7"/>
    </row>
    <row r="48" spans="1:14" ht="20.100000000000001" customHeight="1" x14ac:dyDescent="0.3">
      <c r="A48" s="21"/>
      <c r="B48" s="32"/>
      <c r="C48" s="21"/>
      <c r="D48" s="37"/>
      <c r="E48" s="21"/>
      <c r="F48" s="7"/>
      <c r="G48" s="7"/>
      <c r="H48" s="7"/>
      <c r="I48" s="7"/>
      <c r="J48" s="7"/>
      <c r="K48" s="7"/>
      <c r="L48" s="7"/>
      <c r="M48" s="7"/>
      <c r="N48" s="7"/>
    </row>
    <row r="49" spans="1:14" ht="28.8" x14ac:dyDescent="0.3">
      <c r="A49" s="23" t="s">
        <v>1724</v>
      </c>
      <c r="B49" s="34" t="s">
        <v>229</v>
      </c>
      <c r="C49" s="42" t="s">
        <v>251</v>
      </c>
      <c r="D49" s="37"/>
      <c r="E49" s="21"/>
      <c r="F49" s="7"/>
      <c r="G49" s="7"/>
      <c r="H49" s="7"/>
      <c r="I49" s="7"/>
      <c r="J49" s="7"/>
      <c r="K49" s="7"/>
      <c r="L49" s="7"/>
      <c r="M49" s="7"/>
      <c r="N49" s="7"/>
    </row>
    <row r="50" spans="1:14" ht="20.100000000000001" customHeight="1" x14ac:dyDescent="0.3">
      <c r="A50" s="22" t="s">
        <v>10</v>
      </c>
      <c r="B50" s="45">
        <v>26</v>
      </c>
      <c r="C50" s="46" t="s">
        <v>14</v>
      </c>
      <c r="D50" s="37"/>
      <c r="E50" s="21"/>
      <c r="F50" s="7"/>
      <c r="G50" s="7"/>
      <c r="H50" s="7"/>
      <c r="I50" s="7"/>
      <c r="J50" s="7"/>
      <c r="K50" s="7"/>
      <c r="L50" s="7"/>
      <c r="M50" s="7"/>
      <c r="N50" s="7"/>
    </row>
    <row r="51" spans="1:14" ht="20.100000000000001" customHeight="1" x14ac:dyDescent="0.3">
      <c r="A51" s="22" t="s">
        <v>11</v>
      </c>
      <c r="B51" s="45">
        <v>8</v>
      </c>
      <c r="C51" s="46" t="s">
        <v>43</v>
      </c>
      <c r="D51" s="37"/>
      <c r="E51" s="21"/>
      <c r="F51" s="7"/>
      <c r="G51" s="7"/>
      <c r="H51" s="7"/>
      <c r="I51" s="7"/>
      <c r="J51" s="7"/>
      <c r="K51" s="7"/>
      <c r="L51" s="7"/>
      <c r="M51" s="7"/>
      <c r="N51" s="7"/>
    </row>
    <row r="52" spans="1:14" ht="20.100000000000001" customHeight="1" x14ac:dyDescent="0.3">
      <c r="A52" s="22" t="s">
        <v>59</v>
      </c>
      <c r="B52" s="45">
        <v>195.2</v>
      </c>
      <c r="C52" s="46" t="s">
        <v>1714</v>
      </c>
      <c r="D52" s="29" t="s">
        <v>1715</v>
      </c>
      <c r="E52" s="21"/>
      <c r="F52" s="7"/>
      <c r="G52" s="7"/>
      <c r="H52" s="7"/>
      <c r="I52" s="7"/>
      <c r="J52" s="7"/>
      <c r="K52" s="7"/>
      <c r="L52" s="7"/>
      <c r="M52" s="7"/>
      <c r="N52" s="7"/>
    </row>
    <row r="53" spans="1:14" ht="20.100000000000001" customHeight="1" x14ac:dyDescent="0.3">
      <c r="A53" s="22" t="s">
        <v>53</v>
      </c>
      <c r="B53" s="45">
        <v>100</v>
      </c>
      <c r="C53" s="46" t="s">
        <v>14</v>
      </c>
      <c r="D53" s="37"/>
      <c r="E53" s="21"/>
      <c r="F53" s="7"/>
      <c r="G53" s="7"/>
      <c r="H53" s="7"/>
      <c r="I53" s="7"/>
      <c r="J53" s="7"/>
      <c r="K53" s="7"/>
      <c r="L53" s="7"/>
      <c r="M53" s="7"/>
      <c r="N53" s="7"/>
    </row>
    <row r="54" spans="1:14" ht="20.100000000000001" customHeight="1" x14ac:dyDescent="0.3">
      <c r="A54" s="22" t="s">
        <v>54</v>
      </c>
      <c r="B54" s="45">
        <v>30</v>
      </c>
      <c r="C54" s="46" t="s">
        <v>43</v>
      </c>
      <c r="D54" s="37"/>
      <c r="E54" s="21"/>
      <c r="F54" s="7"/>
      <c r="G54" s="7"/>
      <c r="H54" s="7"/>
      <c r="I54" s="7"/>
      <c r="J54" s="7"/>
      <c r="K54" s="7"/>
      <c r="L54" s="7"/>
      <c r="M54" s="7"/>
      <c r="N54" s="7"/>
    </row>
    <row r="55" spans="1:14" ht="20.100000000000001" customHeight="1" x14ac:dyDescent="0.3">
      <c r="A55" s="22" t="s">
        <v>1716</v>
      </c>
      <c r="B55" s="45">
        <v>471</v>
      </c>
      <c r="C55" s="46" t="s">
        <v>1714</v>
      </c>
      <c r="D55" s="29" t="s">
        <v>1715</v>
      </c>
      <c r="E55" s="21"/>
      <c r="F55" s="7"/>
      <c r="G55" s="7"/>
      <c r="H55" s="7"/>
      <c r="I55" s="7"/>
      <c r="J55" s="7"/>
      <c r="K55" s="7"/>
      <c r="L55" s="7"/>
      <c r="M55" s="7"/>
      <c r="N55" s="7"/>
    </row>
    <row r="56" spans="1:14" ht="20.100000000000001" customHeight="1" x14ac:dyDescent="0.3">
      <c r="A56" s="22" t="s">
        <v>55</v>
      </c>
      <c r="B56" s="45">
        <v>1500</v>
      </c>
      <c r="C56" s="46" t="s">
        <v>14</v>
      </c>
      <c r="D56" s="37"/>
      <c r="E56" s="21"/>
      <c r="F56" s="7"/>
      <c r="G56" s="7"/>
      <c r="H56" s="7"/>
      <c r="I56" s="7"/>
      <c r="J56" s="7"/>
      <c r="K56" s="7"/>
      <c r="L56" s="7"/>
      <c r="M56" s="7"/>
      <c r="N56" s="7"/>
    </row>
    <row r="57" spans="1:14" ht="20.100000000000001" customHeight="1" x14ac:dyDescent="0.3">
      <c r="A57" s="22" t="s">
        <v>56</v>
      </c>
      <c r="B57" s="45">
        <v>454</v>
      </c>
      <c r="C57" s="46" t="s">
        <v>43</v>
      </c>
      <c r="D57" s="37"/>
      <c r="E57" s="21"/>
      <c r="F57" s="7"/>
      <c r="G57" s="7"/>
      <c r="H57" s="7"/>
      <c r="I57" s="7"/>
      <c r="J57" s="7"/>
      <c r="K57" s="7"/>
      <c r="L57" s="7"/>
      <c r="M57" s="7"/>
      <c r="N57" s="7"/>
    </row>
    <row r="58" spans="1:14" ht="20.100000000000001" customHeight="1" x14ac:dyDescent="0.3">
      <c r="A58" s="22" t="s">
        <v>61</v>
      </c>
      <c r="B58" s="45">
        <v>618.29999999999995</v>
      </c>
      <c r="C58" s="46" t="s">
        <v>1714</v>
      </c>
      <c r="D58" s="29" t="s">
        <v>1715</v>
      </c>
      <c r="E58" s="21"/>
      <c r="F58" s="7"/>
      <c r="G58" s="7"/>
      <c r="H58" s="7"/>
      <c r="I58" s="7"/>
      <c r="J58" s="7"/>
      <c r="K58" s="7"/>
      <c r="L58" s="7"/>
      <c r="M58" s="7"/>
      <c r="N58" s="7"/>
    </row>
    <row r="59" spans="1:14" ht="20.100000000000001" customHeight="1" x14ac:dyDescent="0.3">
      <c r="A59" s="22" t="s">
        <v>57</v>
      </c>
      <c r="B59" s="45">
        <v>3150</v>
      </c>
      <c r="C59" s="46" t="s">
        <v>43</v>
      </c>
      <c r="D59" s="37"/>
      <c r="E59" s="21"/>
      <c r="F59" s="7"/>
      <c r="G59" s="7"/>
      <c r="H59" s="7"/>
      <c r="I59" s="7"/>
      <c r="J59" s="7"/>
      <c r="K59" s="7"/>
      <c r="L59" s="7"/>
      <c r="M59" s="7"/>
      <c r="N59" s="7"/>
    </row>
    <row r="60" spans="1:14" ht="20.100000000000001" customHeight="1" x14ac:dyDescent="0.3">
      <c r="A60" s="22" t="s">
        <v>58</v>
      </c>
      <c r="B60" s="45">
        <v>3150</v>
      </c>
      <c r="C60" s="46" t="s">
        <v>43</v>
      </c>
      <c r="D60" s="37"/>
      <c r="E60" s="21"/>
      <c r="F60" s="7"/>
      <c r="G60" s="7"/>
      <c r="H60" s="7"/>
      <c r="I60" s="7"/>
      <c r="J60" s="7"/>
      <c r="K60" s="7"/>
      <c r="L60" s="7"/>
      <c r="M60" s="7"/>
      <c r="N60" s="7"/>
    </row>
    <row r="61" spans="1:14" ht="20.100000000000001" customHeight="1" x14ac:dyDescent="0.3">
      <c r="A61" s="21"/>
      <c r="B61" s="32"/>
      <c r="C61" s="21"/>
      <c r="D61" s="37"/>
      <c r="E61" s="21"/>
      <c r="F61" s="7"/>
      <c r="G61" s="7"/>
      <c r="H61" s="7"/>
      <c r="I61" s="7"/>
      <c r="J61" s="7"/>
      <c r="K61" s="7"/>
      <c r="L61" s="7"/>
      <c r="M61" s="7"/>
      <c r="N61" s="7"/>
    </row>
    <row r="62" spans="1:14" ht="20.100000000000001" customHeight="1" x14ac:dyDescent="0.3">
      <c r="A62" s="23" t="s">
        <v>70</v>
      </c>
      <c r="B62" s="34" t="s">
        <v>221</v>
      </c>
      <c r="C62" s="27" t="s">
        <v>222</v>
      </c>
      <c r="D62" s="28"/>
      <c r="E62" s="21"/>
      <c r="F62" s="7"/>
      <c r="G62" s="7"/>
      <c r="H62" s="7"/>
      <c r="I62" s="7"/>
      <c r="J62" s="7"/>
      <c r="K62" s="7"/>
      <c r="L62" s="7"/>
      <c r="M62" s="7"/>
      <c r="N62" s="7"/>
    </row>
    <row r="63" spans="1:14" ht="20.100000000000001" customHeight="1" x14ac:dyDescent="0.3">
      <c r="A63" s="22" t="s">
        <v>1717</v>
      </c>
      <c r="B63" s="45">
        <v>1384.06</v>
      </c>
      <c r="C63" s="46" t="s">
        <v>121</v>
      </c>
      <c r="D63" s="29" t="s">
        <v>226</v>
      </c>
      <c r="E63" s="21"/>
      <c r="F63" s="7"/>
      <c r="G63" s="7"/>
      <c r="H63" s="7"/>
      <c r="I63" s="7"/>
      <c r="J63" s="7"/>
      <c r="K63" s="7"/>
      <c r="L63" s="7"/>
      <c r="M63" s="7"/>
      <c r="N63" s="7"/>
    </row>
    <row r="64" spans="1:14" ht="20.100000000000001" customHeight="1" x14ac:dyDescent="0.3">
      <c r="A64" s="22" t="s">
        <v>1718</v>
      </c>
      <c r="B64" s="45">
        <v>21.54</v>
      </c>
      <c r="C64" s="46" t="s">
        <v>122</v>
      </c>
      <c r="D64" s="29" t="s">
        <v>227</v>
      </c>
      <c r="E64" s="21"/>
      <c r="F64" s="7"/>
      <c r="G64" s="7"/>
      <c r="H64" s="7"/>
      <c r="I64" s="7"/>
      <c r="J64" s="7"/>
      <c r="K64" s="7"/>
      <c r="L64" s="7"/>
      <c r="M64" s="7"/>
      <c r="N64" s="7"/>
    </row>
    <row r="65" spans="1:14" ht="20.100000000000001" customHeight="1" x14ac:dyDescent="0.3">
      <c r="A65" s="22" t="s">
        <v>73</v>
      </c>
      <c r="B65" s="45">
        <v>34.72</v>
      </c>
      <c r="C65" s="46" t="s">
        <v>122</v>
      </c>
      <c r="D65" s="29" t="s">
        <v>227</v>
      </c>
      <c r="E65" s="21"/>
      <c r="F65" s="7"/>
      <c r="G65" s="7"/>
      <c r="H65" s="7"/>
      <c r="I65" s="7"/>
      <c r="J65" s="7"/>
      <c r="K65" s="7"/>
      <c r="L65" s="7"/>
      <c r="M65" s="7"/>
      <c r="N65" s="7"/>
    </row>
    <row r="66" spans="1:14" ht="20.100000000000001" customHeight="1" x14ac:dyDescent="0.3">
      <c r="A66" s="22" t="s">
        <v>74</v>
      </c>
      <c r="B66" s="45">
        <v>0</v>
      </c>
      <c r="C66" s="46" t="s">
        <v>122</v>
      </c>
      <c r="D66" s="29" t="s">
        <v>227</v>
      </c>
      <c r="E66" s="21"/>
      <c r="F66" s="7"/>
      <c r="G66" s="7"/>
      <c r="H66" s="7"/>
      <c r="I66" s="7"/>
      <c r="J66" s="7"/>
      <c r="K66" s="7"/>
      <c r="L66" s="7"/>
      <c r="M66" s="7"/>
      <c r="N66" s="7"/>
    </row>
    <row r="67" spans="1:14" ht="20.100000000000001" customHeight="1" x14ac:dyDescent="0.3">
      <c r="A67" s="22" t="s">
        <v>75</v>
      </c>
      <c r="B67" s="45">
        <v>0.8</v>
      </c>
      <c r="C67" s="46" t="s">
        <v>1675</v>
      </c>
      <c r="D67" s="78" t="s">
        <v>1676</v>
      </c>
      <c r="E67" s="21"/>
      <c r="F67" s="7"/>
      <c r="G67" s="7"/>
      <c r="H67" s="7"/>
      <c r="I67" s="7"/>
      <c r="J67" s="7"/>
      <c r="K67" s="7"/>
      <c r="L67" s="7"/>
      <c r="M67" s="7"/>
      <c r="N67" s="7"/>
    </row>
    <row r="68" spans="1:14" ht="20.100000000000001" customHeight="1" x14ac:dyDescent="0.3">
      <c r="A68" s="21"/>
      <c r="B68" s="32"/>
      <c r="C68" s="21"/>
      <c r="D68" s="37"/>
      <c r="E68" s="21"/>
      <c r="F68" s="7"/>
      <c r="G68" s="7"/>
      <c r="H68" s="7"/>
      <c r="I68" s="7"/>
      <c r="J68" s="7"/>
      <c r="K68" s="7"/>
      <c r="L68" s="7"/>
      <c r="M68" s="7"/>
      <c r="N68" s="7"/>
    </row>
    <row r="69" spans="1:14" ht="30" customHeight="1" x14ac:dyDescent="0.3">
      <c r="A69" s="23" t="s">
        <v>123</v>
      </c>
      <c r="B69" s="34" t="s">
        <v>229</v>
      </c>
      <c r="C69" s="27" t="s">
        <v>223</v>
      </c>
      <c r="D69" s="28"/>
      <c r="E69" s="21"/>
      <c r="F69" s="7"/>
      <c r="G69" s="7"/>
      <c r="H69" s="7"/>
      <c r="I69" s="7"/>
      <c r="J69" s="7"/>
      <c r="K69" s="7"/>
      <c r="L69" s="7"/>
      <c r="M69" s="7"/>
      <c r="N69" s="7"/>
    </row>
    <row r="70" spans="1:14" ht="20.100000000000001" customHeight="1" x14ac:dyDescent="0.3">
      <c r="A70" s="22" t="s">
        <v>91</v>
      </c>
      <c r="B70" s="44" t="b">
        <v>0</v>
      </c>
      <c r="C70" s="30"/>
      <c r="D70" s="29"/>
      <c r="E70" s="21"/>
      <c r="F70" s="7"/>
      <c r="G70" s="7"/>
      <c r="H70" s="7"/>
      <c r="I70" s="7"/>
      <c r="J70" s="7"/>
      <c r="K70" s="7"/>
      <c r="L70" s="7"/>
      <c r="M70" s="7"/>
      <c r="N70" s="7"/>
    </row>
    <row r="71" spans="1:14" ht="20.100000000000001" customHeight="1" x14ac:dyDescent="0.3">
      <c r="A71" s="22" t="s">
        <v>84</v>
      </c>
      <c r="B71" s="45">
        <v>5</v>
      </c>
      <c r="C71" s="46" t="s">
        <v>65</v>
      </c>
      <c r="D71" s="37"/>
      <c r="E71" s="21"/>
      <c r="F71" s="7"/>
      <c r="G71" s="7"/>
      <c r="H71" s="7"/>
      <c r="I71" s="7"/>
      <c r="J71" s="7"/>
      <c r="K71" s="7"/>
      <c r="L71" s="7"/>
      <c r="M71" s="7"/>
      <c r="N71" s="7"/>
    </row>
    <row r="72" spans="1:14" ht="20.100000000000001" customHeight="1" x14ac:dyDescent="0.3">
      <c r="A72" s="22" t="s">
        <v>85</v>
      </c>
      <c r="B72" s="45">
        <v>5</v>
      </c>
      <c r="C72" s="46" t="s">
        <v>65</v>
      </c>
      <c r="D72" s="37"/>
      <c r="E72" s="21"/>
      <c r="F72" s="7"/>
      <c r="G72" s="7"/>
      <c r="H72" s="7"/>
      <c r="I72" s="7"/>
      <c r="J72" s="7"/>
      <c r="K72" s="7"/>
      <c r="L72" s="7"/>
      <c r="M72" s="7"/>
      <c r="N72" s="7"/>
    </row>
    <row r="73" spans="1:14" ht="20.100000000000001" customHeight="1" x14ac:dyDescent="0.3">
      <c r="A73" s="22" t="s">
        <v>86</v>
      </c>
      <c r="B73" s="45">
        <v>5</v>
      </c>
      <c r="C73" s="46" t="s">
        <v>65</v>
      </c>
      <c r="D73" s="37"/>
      <c r="E73" s="21"/>
      <c r="F73" s="7"/>
      <c r="G73" s="7"/>
      <c r="H73" s="7"/>
      <c r="I73" s="7"/>
      <c r="J73" s="7"/>
      <c r="K73" s="7"/>
      <c r="L73" s="7"/>
      <c r="M73" s="7"/>
      <c r="N73" s="7"/>
    </row>
    <row r="74" spans="1:14" ht="20.100000000000001" customHeight="1" x14ac:dyDescent="0.3">
      <c r="A74" s="22" t="s">
        <v>87</v>
      </c>
      <c r="B74" s="45">
        <v>5</v>
      </c>
      <c r="C74" s="46" t="s">
        <v>65</v>
      </c>
      <c r="D74" s="37"/>
      <c r="E74" s="21"/>
      <c r="F74" s="7"/>
      <c r="G74" s="7"/>
      <c r="H74" s="7"/>
      <c r="I74" s="7"/>
      <c r="J74" s="7"/>
      <c r="K74" s="7"/>
      <c r="L74" s="7"/>
      <c r="M74" s="7"/>
      <c r="N74" s="7"/>
    </row>
    <row r="75" spans="1:14" ht="20.100000000000001" customHeight="1" x14ac:dyDescent="0.3">
      <c r="A75" s="22" t="s">
        <v>88</v>
      </c>
      <c r="B75" s="45">
        <v>5</v>
      </c>
      <c r="C75" s="46" t="s">
        <v>65</v>
      </c>
      <c r="D75" s="37"/>
      <c r="E75" s="21"/>
      <c r="F75" s="7"/>
      <c r="G75" s="7"/>
      <c r="H75" s="7"/>
      <c r="I75" s="7"/>
      <c r="J75" s="7"/>
      <c r="K75" s="7"/>
      <c r="L75" s="7"/>
      <c r="M75" s="7"/>
      <c r="N75" s="7"/>
    </row>
    <row r="76" spans="1:14" ht="20.100000000000001" customHeight="1" x14ac:dyDescent="0.3">
      <c r="A76" s="21"/>
      <c r="B76" s="32"/>
      <c r="C76" s="21"/>
      <c r="D76" s="37"/>
      <c r="E76" s="21"/>
      <c r="F76" s="7"/>
      <c r="G76" s="7"/>
      <c r="H76" s="7"/>
      <c r="I76" s="7"/>
      <c r="J76" s="7"/>
      <c r="K76" s="7"/>
      <c r="L76" s="7"/>
      <c r="M76" s="7"/>
      <c r="N76" s="7"/>
    </row>
    <row r="77" spans="1:14" ht="28.8" x14ac:dyDescent="0.3">
      <c r="A77" s="23" t="s">
        <v>124</v>
      </c>
      <c r="B77" s="34" t="s">
        <v>229</v>
      </c>
      <c r="C77" s="42" t="s">
        <v>251</v>
      </c>
      <c r="D77" s="28"/>
      <c r="E77" s="21"/>
      <c r="F77" s="7"/>
      <c r="G77" s="7"/>
      <c r="H77" s="7"/>
      <c r="I77" s="7"/>
      <c r="J77" s="7"/>
      <c r="K77" s="7"/>
      <c r="L77" s="7"/>
      <c r="M77" s="7"/>
      <c r="N77" s="7"/>
    </row>
    <row r="78" spans="1:14" ht="20.100000000000001" customHeight="1" x14ac:dyDescent="0.3">
      <c r="A78" s="22" t="s">
        <v>109</v>
      </c>
      <c r="B78" s="45">
        <v>10000</v>
      </c>
      <c r="C78" s="21"/>
      <c r="D78" s="37"/>
      <c r="E78" s="21"/>
      <c r="F78" s="7"/>
      <c r="G78" s="7"/>
      <c r="H78" s="7"/>
      <c r="I78" s="7"/>
      <c r="J78" s="7"/>
      <c r="K78" s="7"/>
      <c r="L78" s="7"/>
      <c r="M78" s="7"/>
      <c r="N78" s="7"/>
    </row>
    <row r="79" spans="1:14" ht="20.100000000000001" customHeight="1" x14ac:dyDescent="0.3">
      <c r="A79" s="22" t="s">
        <v>83</v>
      </c>
      <c r="B79" s="45" t="b">
        <v>1</v>
      </c>
      <c r="C79" s="21"/>
      <c r="D79" s="37"/>
      <c r="E79" s="21"/>
      <c r="F79" s="7"/>
      <c r="G79" s="7"/>
      <c r="H79" s="7"/>
      <c r="I79" s="7"/>
      <c r="J79" s="7"/>
      <c r="K79" s="7"/>
      <c r="L79" s="7"/>
      <c r="M79" s="7"/>
      <c r="N79" s="7"/>
    </row>
    <row r="80" spans="1:14" ht="20.100000000000001" customHeight="1" x14ac:dyDescent="0.3">
      <c r="A80" s="22" t="s">
        <v>92</v>
      </c>
      <c r="B80" s="45">
        <v>100</v>
      </c>
      <c r="C80" s="46" t="s">
        <v>65</v>
      </c>
      <c r="D80" s="37"/>
      <c r="E80" s="21"/>
      <c r="F80" s="7"/>
      <c r="G80" s="7"/>
      <c r="H80" s="7"/>
      <c r="I80" s="7"/>
      <c r="J80" s="7"/>
      <c r="K80" s="7"/>
      <c r="L80" s="7"/>
      <c r="M80" s="7"/>
      <c r="N80" s="7"/>
    </row>
    <row r="81" spans="1:14" ht="20.100000000000001" customHeight="1" x14ac:dyDescent="0.3">
      <c r="A81" s="22" t="s">
        <v>93</v>
      </c>
      <c r="B81" s="45">
        <v>100</v>
      </c>
      <c r="C81" s="46" t="s">
        <v>65</v>
      </c>
      <c r="D81" s="37"/>
      <c r="E81" s="21"/>
      <c r="F81" s="7"/>
      <c r="G81" s="7"/>
      <c r="H81" s="7"/>
      <c r="I81" s="7"/>
      <c r="J81" s="7"/>
      <c r="K81" s="7"/>
      <c r="L81" s="7"/>
      <c r="M81" s="7"/>
      <c r="N81" s="7"/>
    </row>
    <row r="82" spans="1:14" ht="20.100000000000001" customHeight="1" x14ac:dyDescent="0.3">
      <c r="A82" s="22" t="s">
        <v>102</v>
      </c>
      <c r="B82" s="45" t="b">
        <v>0</v>
      </c>
      <c r="C82" s="21"/>
      <c r="D82" s="37"/>
      <c r="E82" s="21"/>
      <c r="F82" s="7"/>
      <c r="G82" s="7"/>
      <c r="H82" s="7"/>
      <c r="I82" s="7"/>
      <c r="J82" s="7"/>
      <c r="K82" s="7"/>
      <c r="L82" s="7"/>
      <c r="M82" s="7"/>
      <c r="N82" s="7"/>
    </row>
    <row r="83" spans="1:14" ht="20.100000000000001" customHeight="1" x14ac:dyDescent="0.3">
      <c r="A83" s="22" t="s">
        <v>103</v>
      </c>
      <c r="B83" s="45" t="b">
        <v>0</v>
      </c>
      <c r="C83" s="21"/>
      <c r="D83" s="37"/>
      <c r="E83" s="21"/>
      <c r="F83" s="7"/>
      <c r="G83" s="7"/>
      <c r="H83" s="7"/>
      <c r="I83" s="7"/>
      <c r="J83" s="7"/>
      <c r="K83" s="7"/>
      <c r="L83" s="7"/>
      <c r="M83" s="7"/>
      <c r="N83" s="7"/>
    </row>
    <row r="84" spans="1:14" ht="20.100000000000001" customHeight="1" x14ac:dyDescent="0.3">
      <c r="A84" s="22" t="s">
        <v>104</v>
      </c>
      <c r="B84" s="45" t="b">
        <v>0</v>
      </c>
      <c r="C84" s="21"/>
      <c r="D84" s="37"/>
      <c r="E84" s="21"/>
      <c r="F84" s="7"/>
      <c r="G84" s="7"/>
      <c r="H84" s="7"/>
      <c r="I84" s="7"/>
      <c r="J84" s="7"/>
      <c r="K84" s="7"/>
      <c r="L84" s="7"/>
      <c r="M84" s="7"/>
      <c r="N84" s="7"/>
    </row>
    <row r="85" spans="1:14" ht="20.100000000000001" customHeight="1" x14ac:dyDescent="0.3">
      <c r="A85" s="22" t="s">
        <v>105</v>
      </c>
      <c r="B85" s="45" t="b">
        <v>0</v>
      </c>
      <c r="C85" s="21"/>
      <c r="D85" s="37"/>
      <c r="E85" s="21"/>
      <c r="F85" s="7"/>
      <c r="G85" s="7"/>
      <c r="H85" s="7"/>
      <c r="I85" s="7"/>
      <c r="J85" s="7"/>
      <c r="K85" s="7"/>
      <c r="L85" s="7"/>
      <c r="M85" s="7"/>
      <c r="N85" s="7"/>
    </row>
    <row r="86" spans="1:14" ht="20.100000000000001" customHeight="1" x14ac:dyDescent="0.3">
      <c r="A86" s="22" t="s">
        <v>106</v>
      </c>
      <c r="B86" s="45" t="b">
        <v>0</v>
      </c>
      <c r="C86" s="21"/>
      <c r="D86" s="37"/>
      <c r="E86" s="21"/>
      <c r="F86" s="7"/>
      <c r="G86" s="7"/>
      <c r="H86" s="7"/>
      <c r="I86" s="7"/>
      <c r="J86" s="7"/>
      <c r="K86" s="7"/>
      <c r="L86" s="7"/>
      <c r="M86" s="7"/>
      <c r="N86" s="7"/>
    </row>
    <row r="87" spans="1:14" ht="20.100000000000001" customHeight="1" x14ac:dyDescent="0.3">
      <c r="A87" s="22" t="s">
        <v>107</v>
      </c>
      <c r="B87" s="45" t="b">
        <v>0</v>
      </c>
      <c r="C87" s="21"/>
      <c r="D87" s="37"/>
      <c r="E87" s="21"/>
      <c r="F87" s="7"/>
      <c r="G87" s="7"/>
      <c r="H87" s="7"/>
      <c r="I87" s="7"/>
      <c r="J87" s="7"/>
      <c r="K87" s="7"/>
      <c r="L87" s="7"/>
      <c r="M87" s="7"/>
      <c r="N87" s="7"/>
    </row>
    <row r="88" spans="1:14" ht="20.100000000000001" customHeight="1" x14ac:dyDescent="0.3">
      <c r="A88" s="22" t="s">
        <v>108</v>
      </c>
      <c r="B88" s="45">
        <v>0</v>
      </c>
      <c r="C88" s="21"/>
      <c r="D88" s="37"/>
      <c r="E88" s="21"/>
      <c r="F88" s="7"/>
      <c r="G88" s="7"/>
      <c r="H88" s="7"/>
      <c r="I88" s="7"/>
      <c r="J88" s="7"/>
      <c r="K88" s="7"/>
      <c r="L88" s="7"/>
      <c r="M88" s="7"/>
      <c r="N88" s="7"/>
    </row>
    <row r="89" spans="1:14" ht="20.100000000000001" customHeight="1" x14ac:dyDescent="0.3">
      <c r="A89" s="22" t="s">
        <v>211</v>
      </c>
      <c r="B89" s="45">
        <v>1</v>
      </c>
      <c r="C89" s="21"/>
      <c r="D89" s="37"/>
      <c r="E89" s="21"/>
      <c r="F89" s="7"/>
      <c r="G89" s="7"/>
      <c r="H89" s="7"/>
      <c r="I89" s="7"/>
      <c r="J89" s="7"/>
      <c r="K89" s="7"/>
      <c r="L89" s="7"/>
      <c r="M89" s="7"/>
      <c r="N89" s="7"/>
    </row>
    <row r="90" spans="1:14" ht="20.100000000000001" customHeight="1" x14ac:dyDescent="0.3">
      <c r="A90" s="22" t="s">
        <v>212</v>
      </c>
      <c r="B90" s="45">
        <v>0</v>
      </c>
      <c r="C90" s="21"/>
      <c r="D90" s="37"/>
      <c r="E90" s="21"/>
      <c r="F90" s="7"/>
      <c r="G90" s="7"/>
      <c r="H90" s="7"/>
      <c r="I90" s="7"/>
      <c r="J90" s="7"/>
      <c r="K90" s="7"/>
      <c r="L90" s="7"/>
      <c r="M90" s="7"/>
      <c r="N90" s="7"/>
    </row>
    <row r="91" spans="1:14" ht="20.100000000000001" customHeight="1" x14ac:dyDescent="0.3">
      <c r="A91" s="22" t="s">
        <v>205</v>
      </c>
      <c r="B91" s="45">
        <v>191</v>
      </c>
      <c r="C91" s="46" t="s">
        <v>206</v>
      </c>
      <c r="D91" s="29" t="s">
        <v>1727</v>
      </c>
      <c r="E91" s="21"/>
      <c r="F91" s="7"/>
      <c r="G91" s="7"/>
      <c r="H91" s="7"/>
      <c r="I91" s="7"/>
      <c r="J91" s="7"/>
      <c r="K91" s="7"/>
      <c r="L91" s="7"/>
      <c r="M91" s="7"/>
      <c r="N91" s="7"/>
    </row>
    <row r="92" spans="1:14" ht="20.25" customHeight="1" x14ac:dyDescent="0.3">
      <c r="A92" s="22" t="s">
        <v>1720</v>
      </c>
      <c r="B92" s="45" t="s">
        <v>1721</v>
      </c>
      <c r="C92" s="29" t="s">
        <v>1726</v>
      </c>
      <c r="D92" s="37"/>
      <c r="E92" s="21"/>
      <c r="F92" s="7"/>
      <c r="G92" s="7"/>
      <c r="H92" s="7"/>
      <c r="I92" s="7"/>
      <c r="J92" s="7"/>
      <c r="K92" s="7"/>
      <c r="L92" s="7"/>
      <c r="M92" s="7"/>
      <c r="N92" s="7"/>
    </row>
    <row r="93" spans="1:14" ht="20.25" customHeight="1" x14ac:dyDescent="0.3">
      <c r="A93" s="22" t="s">
        <v>1722</v>
      </c>
      <c r="B93" s="45" t="s">
        <v>100</v>
      </c>
      <c r="C93" s="29" t="s">
        <v>1723</v>
      </c>
      <c r="D93" s="29"/>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row r="98" spans="1:14" x14ac:dyDescent="0.3">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1646</v>
      </c>
      <c r="B1" s="64"/>
      <c r="C1" s="64"/>
      <c r="D1" s="65"/>
      <c r="E1" s="65"/>
      <c r="F1" s="65"/>
      <c r="G1" s="65"/>
      <c r="H1" s="65"/>
      <c r="I1" s="65"/>
      <c r="J1" s="65"/>
      <c r="K1" s="65"/>
      <c r="L1" s="65"/>
      <c r="M1" s="65"/>
      <c r="N1" s="65"/>
      <c r="O1" s="65"/>
      <c r="P1" s="65"/>
      <c r="Q1" s="65"/>
      <c r="R1" s="65"/>
      <c r="S1" s="65"/>
      <c r="T1" s="65"/>
      <c r="U1" s="65"/>
      <c r="V1" s="65"/>
    </row>
    <row r="2" spans="1:22" s="136" customFormat="1" ht="17.100000000000001" customHeight="1" x14ac:dyDescent="0.3">
      <c r="A2" s="155" t="s">
        <v>1647</v>
      </c>
      <c r="B2" s="155"/>
      <c r="C2" s="155"/>
      <c r="D2" s="155"/>
      <c r="E2" s="155"/>
      <c r="F2" s="155"/>
      <c r="G2" s="155"/>
      <c r="H2" s="155"/>
      <c r="I2" s="155"/>
      <c r="J2" s="155"/>
      <c r="K2" s="135"/>
      <c r="L2" s="135"/>
      <c r="M2" s="135"/>
      <c r="N2" s="135"/>
      <c r="O2" s="135"/>
      <c r="P2" s="135"/>
      <c r="Q2" s="135"/>
      <c r="R2" s="135"/>
      <c r="S2" s="135"/>
      <c r="T2" s="135"/>
      <c r="U2" s="135"/>
      <c r="V2" s="135"/>
    </row>
    <row r="3" spans="1:22" ht="18.600000000000001" customHeight="1" x14ac:dyDescent="0.3">
      <c r="A3" s="156" t="s">
        <v>1662</v>
      </c>
      <c r="B3" s="156"/>
      <c r="C3" s="156"/>
      <c r="D3" s="156"/>
      <c r="E3" s="156"/>
      <c r="F3" s="156"/>
      <c r="G3" s="156"/>
      <c r="H3" s="156"/>
      <c r="I3" s="156"/>
      <c r="J3" s="156"/>
      <c r="K3" s="65"/>
      <c r="L3" s="65"/>
      <c r="M3" s="65"/>
      <c r="N3" s="65"/>
      <c r="O3" s="65"/>
      <c r="P3" s="65"/>
      <c r="Q3" s="65"/>
      <c r="R3" s="65"/>
      <c r="S3" s="65"/>
      <c r="T3" s="65"/>
      <c r="U3" s="65"/>
      <c r="V3" s="65"/>
    </row>
    <row r="4" spans="1:22" ht="16.5" customHeight="1" x14ac:dyDescent="0.3">
      <c r="B4" s="65"/>
      <c r="C4" s="67" t="str" cm="1">
        <f t="array" aca="1" ref="C4" ca="1">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236</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247</v>
      </c>
      <c r="L7" s="65"/>
      <c r="M7" s="65"/>
      <c r="N7" s="65"/>
      <c r="O7" s="65"/>
      <c r="P7" s="65"/>
      <c r="Q7" s="65"/>
      <c r="R7" s="65"/>
      <c r="S7" s="65"/>
      <c r="T7" s="65"/>
      <c r="U7" s="65"/>
      <c r="V7" s="65"/>
    </row>
    <row r="8" spans="1:22" x14ac:dyDescent="0.3">
      <c r="A8" s="65" t="str">
        <f>Notes!AC4</f>
        <v>SAF</v>
      </c>
      <c r="B8" s="65" t="str">
        <f>Notes!AD4</f>
        <v>liquid</v>
      </c>
      <c r="C8" s="65"/>
      <c r="D8" s="65"/>
      <c r="E8" s="73" t="s">
        <v>20</v>
      </c>
      <c r="F8" s="73" t="s">
        <v>241</v>
      </c>
      <c r="G8" s="73" t="s">
        <v>244</v>
      </c>
      <c r="H8" s="73" t="s">
        <v>21</v>
      </c>
      <c r="I8" s="73" t="s">
        <v>243</v>
      </c>
      <c r="J8" s="73" t="s">
        <v>242</v>
      </c>
      <c r="K8" s="73" t="s">
        <v>202</v>
      </c>
      <c r="L8" s="73" t="s">
        <v>246</v>
      </c>
      <c r="M8" s="71"/>
      <c r="N8" s="65"/>
      <c r="O8" s="65"/>
      <c r="P8" s="65"/>
      <c r="Q8" s="65"/>
      <c r="R8" s="65"/>
      <c r="S8" s="65"/>
      <c r="T8" s="65"/>
      <c r="U8" s="65"/>
      <c r="V8" s="65"/>
    </row>
    <row r="9" spans="1:22" x14ac:dyDescent="0.3">
      <c r="A9" s="65" t="str">
        <f>Notes!AC5</f>
        <v>fuel_blend</v>
      </c>
      <c r="B9" s="65" t="str">
        <f>Notes!AD5</f>
        <v>liquid</v>
      </c>
      <c r="C9" s="65"/>
      <c r="D9" s="65"/>
      <c r="E9" s="65" t="e" vm="1">
        <f ca="1">Notes!AG6</f>
        <v>#VALUE!</v>
      </c>
      <c r="F9" s="65">
        <f>Notes!AH6</f>
        <v>0</v>
      </c>
      <c r="G9" s="65">
        <f>Notes!AI6</f>
        <v>0</v>
      </c>
      <c r="H9" s="65">
        <f>Notes!AJ6</f>
        <v>0</v>
      </c>
      <c r="I9" s="65">
        <f>Notes!AK6</f>
        <v>0</v>
      </c>
      <c r="J9" s="65">
        <f>Notes!AL6</f>
        <v>0</v>
      </c>
      <c r="K9" s="76" t="str">
        <f>F6</f>
        <v>makeSAF</v>
      </c>
      <c r="L9" s="76" t="str">
        <f>F7</f>
        <v>N</v>
      </c>
      <c r="M9" s="65"/>
      <c r="N9" s="65"/>
      <c r="O9" s="65"/>
      <c r="P9" s="65"/>
      <c r="Q9" s="65"/>
      <c r="R9" s="65"/>
      <c r="S9" s="65"/>
      <c r="T9" s="65"/>
      <c r="U9" s="65"/>
      <c r="V9" s="65"/>
    </row>
    <row r="10" spans="1:22" x14ac:dyDescent="0.3">
      <c r="A10" s="65" t="str">
        <f>Notes!AC6</f>
        <v>Ag processing waste</v>
      </c>
      <c r="B10" s="65" t="str">
        <f>Notes!AD6</f>
        <v>solid</v>
      </c>
      <c r="C10" s="65">
        <f>Notes!AE6</f>
        <v>50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247</v>
      </c>
      <c r="L12" s="65"/>
      <c r="M12" s="65"/>
      <c r="N12" s="65"/>
      <c r="O12" s="65"/>
      <c r="P12" s="65"/>
      <c r="Q12" s="65"/>
      <c r="R12" s="65"/>
      <c r="S12" s="65"/>
      <c r="T12" s="65"/>
      <c r="U12" s="65"/>
      <c r="V12" s="65"/>
    </row>
    <row r="13" spans="1:22" x14ac:dyDescent="0.3">
      <c r="A13" s="65"/>
      <c r="B13" s="65"/>
      <c r="C13" s="65"/>
      <c r="D13" s="65"/>
      <c r="E13" s="73" t="s">
        <v>20</v>
      </c>
      <c r="F13" s="73" t="s">
        <v>241</v>
      </c>
      <c r="G13" s="73" t="s">
        <v>244</v>
      </c>
      <c r="H13" s="73" t="s">
        <v>21</v>
      </c>
      <c r="I13" s="73" t="s">
        <v>243</v>
      </c>
      <c r="J13" s="73" t="s">
        <v>242</v>
      </c>
      <c r="K13" s="73" t="s">
        <v>202</v>
      </c>
      <c r="L13" s="73" t="s">
        <v>246</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Y</v>
      </c>
      <c r="G17" s="74"/>
      <c r="H17" s="65"/>
      <c r="I17" s="65"/>
      <c r="J17" s="75"/>
      <c r="K17" s="70" t="s">
        <v>247</v>
      </c>
      <c r="L17" s="65"/>
      <c r="M17" s="65"/>
      <c r="N17" s="65"/>
      <c r="O17" s="65"/>
      <c r="P17" s="65"/>
      <c r="Q17" s="65"/>
      <c r="R17" s="65"/>
      <c r="S17" s="65"/>
      <c r="T17" s="65"/>
      <c r="U17" s="65"/>
      <c r="V17" s="65"/>
    </row>
    <row r="18" spans="1:22" x14ac:dyDescent="0.3">
      <c r="A18" s="65"/>
      <c r="B18" s="65"/>
      <c r="C18" s="65"/>
      <c r="D18" s="65"/>
      <c r="E18" s="73" t="s">
        <v>20</v>
      </c>
      <c r="F18" s="73" t="s">
        <v>241</v>
      </c>
      <c r="G18" s="73" t="s">
        <v>244</v>
      </c>
      <c r="H18" s="73" t="s">
        <v>21</v>
      </c>
      <c r="I18" s="73" t="s">
        <v>243</v>
      </c>
      <c r="J18" s="73" t="s">
        <v>242</v>
      </c>
      <c r="K18" s="73" t="s">
        <v>202</v>
      </c>
      <c r="L18" s="73" t="s">
        <v>246</v>
      </c>
      <c r="M18" s="65"/>
      <c r="N18" s="65"/>
      <c r="O18" s="65"/>
      <c r="P18" s="65"/>
      <c r="Q18" s="65"/>
      <c r="R18" s="65"/>
      <c r="S18" s="65"/>
      <c r="T18" s="65"/>
      <c r="U18" s="65"/>
      <c r="V18" s="65"/>
    </row>
    <row r="19" spans="1:22" x14ac:dyDescent="0.3">
      <c r="A19" s="65"/>
      <c r="B19" s="65"/>
      <c r="C19" s="65"/>
      <c r="D19" s="65"/>
      <c r="E19" s="65" t="e" vm="1">
        <f ca="1">IF('SAF Filters'!$J$37="Y",Notes!AG16,"")</f>
        <v>#VALUE!</v>
      </c>
      <c r="F19" s="65">
        <f>IF('SAF Filters'!$J$37="Y",Notes!AH16,"")</f>
        <v>0</v>
      </c>
      <c r="G19" s="65">
        <f>IF('SAF Filters'!$J$37="Y",Notes!AI16,"")</f>
        <v>0</v>
      </c>
      <c r="H19" s="65">
        <f>IF('SAF Filters'!$J$37="Y",Notes!AJ16,"")</f>
        <v>0</v>
      </c>
      <c r="I19" s="65">
        <f>IF('SAF Filters'!$J$37="Y",Notes!AK16,"")</f>
        <v>0</v>
      </c>
      <c r="J19" s="65">
        <f>IF('SAF Filters'!$J$37="Y",Notes!AL16,"")</f>
        <v>0</v>
      </c>
      <c r="K19" s="76">
        <f>IF('SAF Filters'!$J$37="Y",Notes!AM16,"")</f>
        <v>0</v>
      </c>
      <c r="L19" s="76" t="str">
        <f>IF('SAF Filters'!$J$37="Y",Notes!AN16,"")</f>
        <v>processor</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1646</v>
      </c>
      <c r="B1" s="64"/>
      <c r="C1" s="64"/>
      <c r="D1" s="65"/>
      <c r="E1" s="65"/>
      <c r="F1" s="65"/>
      <c r="G1" s="65"/>
      <c r="H1" s="65"/>
      <c r="I1" s="65"/>
      <c r="J1" s="65"/>
      <c r="K1" s="21"/>
      <c r="L1" s="21"/>
      <c r="M1" s="21"/>
      <c r="N1" s="21"/>
      <c r="O1" s="21"/>
      <c r="P1" s="21"/>
      <c r="Q1" s="21"/>
    </row>
    <row r="2" spans="1:17" x14ac:dyDescent="0.3">
      <c r="A2" s="155" t="s">
        <v>1648</v>
      </c>
      <c r="B2" s="155"/>
      <c r="C2" s="155"/>
      <c r="D2" s="155"/>
      <c r="E2" s="155"/>
      <c r="F2" s="155"/>
      <c r="G2" s="155"/>
      <c r="H2" s="155"/>
      <c r="I2" s="155"/>
      <c r="J2" s="155"/>
      <c r="K2" s="7"/>
      <c r="L2" s="7"/>
      <c r="M2" s="7"/>
      <c r="N2" s="7"/>
      <c r="O2" s="7"/>
      <c r="P2" s="7"/>
      <c r="Q2" s="7"/>
    </row>
    <row r="3" spans="1:17" x14ac:dyDescent="0.3">
      <c r="A3" s="156" t="s">
        <v>1662</v>
      </c>
      <c r="B3" s="156"/>
      <c r="C3" s="156"/>
      <c r="D3" s="156"/>
      <c r="E3" s="156"/>
      <c r="F3" s="156"/>
      <c r="G3" s="156"/>
      <c r="H3" s="156"/>
      <c r="I3" s="156"/>
      <c r="J3" s="156"/>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7" t="s">
        <v>232</v>
      </c>
      <c r="B5" s="157"/>
      <c r="C5" s="157"/>
      <c r="D5" s="157"/>
      <c r="E5" s="157"/>
      <c r="F5" s="157"/>
      <c r="G5" s="157"/>
      <c r="H5" s="157"/>
      <c r="I5" s="157"/>
      <c r="J5" s="7"/>
      <c r="K5" s="7"/>
      <c r="L5" s="7"/>
      <c r="M5" s="7"/>
      <c r="N5" s="7"/>
      <c r="O5" s="7"/>
      <c r="P5" s="7"/>
      <c r="Q5" s="7"/>
    </row>
    <row r="6" spans="1:17" ht="29.1" customHeight="1" x14ac:dyDescent="0.4">
      <c r="A6" s="51" t="s">
        <v>234</v>
      </c>
      <c r="B6" s="52"/>
      <c r="C6" s="49"/>
      <c r="D6" s="54" t="s">
        <v>233</v>
      </c>
      <c r="E6" s="49"/>
      <c r="F6" s="49"/>
      <c r="G6" s="49"/>
      <c r="H6" s="49"/>
      <c r="I6" s="55" t="s">
        <v>1667</v>
      </c>
      <c r="J6" s="7"/>
      <c r="K6" s="7"/>
      <c r="L6" s="7"/>
      <c r="M6" s="7"/>
      <c r="N6" s="7"/>
      <c r="O6" s="7"/>
      <c r="P6" s="7"/>
      <c r="Q6" s="7"/>
    </row>
    <row r="7" spans="1:17" x14ac:dyDescent="0.3">
      <c r="A7" s="48" t="s">
        <v>25</v>
      </c>
      <c r="B7" s="48" t="s">
        <v>35</v>
      </c>
      <c r="C7" s="48" t="s">
        <v>31</v>
      </c>
      <c r="D7" s="53" t="s">
        <v>24</v>
      </c>
      <c r="E7" s="53" t="s">
        <v>36</v>
      </c>
      <c r="F7" s="53" t="s">
        <v>44</v>
      </c>
      <c r="G7" s="53" t="s">
        <v>196</v>
      </c>
      <c r="H7" s="53" t="s">
        <v>45</v>
      </c>
      <c r="I7" s="50" t="s">
        <v>46</v>
      </c>
      <c r="J7" s="50" t="s">
        <v>1668</v>
      </c>
      <c r="K7" s="50" t="s">
        <v>109</v>
      </c>
      <c r="L7" s="7"/>
      <c r="M7" s="7"/>
      <c r="N7" s="7"/>
      <c r="O7" s="7"/>
      <c r="P7" s="7"/>
      <c r="Q7" s="7"/>
    </row>
    <row r="8" spans="1:17" x14ac:dyDescent="0.3">
      <c r="A8" s="7" t="str">
        <f>IF(Notes!BY4="","",Notes!BY4)</f>
        <v>processor</v>
      </c>
      <c r="B8" s="7" t="str">
        <f>IF(Notes!BZ4="","",Notes!BZ4)</f>
        <v>cand_FT_Ag</v>
      </c>
      <c r="C8" s="7" t="str">
        <f>IF(Notes!CA4="","",Notes!CA4)</f>
        <v>makeSAF</v>
      </c>
      <c r="D8" s="7">
        <f>IF(Notes!CB4="","",Notes!CB4)</f>
        <v>2031398.4971612808</v>
      </c>
      <c r="E8" s="7" t="str">
        <f>IF(Notes!CC4="","",Notes!CC4)</f>
        <v>tons</v>
      </c>
      <c r="F8" s="7">
        <f>IF(Notes!CD4="","",Notes!CD4)</f>
        <v>1015699.2485806404</v>
      </c>
      <c r="G8" s="7">
        <f>IF(Notes!CE4="","",Notes!CE4)</f>
        <v>203139.84971612808</v>
      </c>
      <c r="H8" s="7">
        <f>IF(Notes!CF4="","",Notes!CF4)</f>
        <v>108566609.03999999</v>
      </c>
      <c r="I8" s="7"/>
      <c r="J8" s="7"/>
      <c r="K8" s="7"/>
      <c r="L8" s="7"/>
      <c r="M8" s="7"/>
      <c r="N8" s="7"/>
      <c r="O8" s="7"/>
      <c r="P8" s="7"/>
      <c r="Q8" s="7"/>
    </row>
    <row r="9" spans="1:17" x14ac:dyDescent="0.3">
      <c r="A9" s="7" t="str">
        <f>IF(Notes!BY5="","",Notes!BY5)</f>
        <v>processor</v>
      </c>
      <c r="B9" s="7" t="str">
        <f>IF(Notes!BZ5="","",Notes!BZ5)</f>
        <v>cand_FT_Ag</v>
      </c>
      <c r="C9" s="7" t="str">
        <f>IF(Notes!CA5="","",Notes!CA5)</f>
        <v>makeSAF</v>
      </c>
      <c r="D9" s="7">
        <f>IF(Notes!CB5="","",Notes!CB5)</f>
        <v>677132.83238709357</v>
      </c>
      <c r="E9" s="7" t="str">
        <f>IF(Notes!CC5="","",Notes!CC5)</f>
        <v>tons</v>
      </c>
      <c r="F9" s="7">
        <f>IF(Notes!CD5="","",Notes!CD5)</f>
        <v>338566.41619354679</v>
      </c>
      <c r="G9" s="7">
        <f>IF(Notes!CE5="","",Notes!CE5)</f>
        <v>67713.283238709366</v>
      </c>
      <c r="H9" s="7">
        <f>IF(Notes!CF5="","",Notes!CF5)</f>
        <v>91155661.800000012</v>
      </c>
      <c r="I9" s="7"/>
      <c r="J9" s="7"/>
      <c r="K9" s="7"/>
      <c r="L9" s="7"/>
      <c r="M9" s="7"/>
      <c r="N9" s="7"/>
      <c r="O9" s="7"/>
      <c r="P9" s="7"/>
      <c r="Q9" s="7"/>
    </row>
    <row r="10" spans="1:17" x14ac:dyDescent="0.3">
      <c r="A10" s="7" t="str">
        <f>IF(Notes!BY6="","",Notes!BY6)</f>
        <v>processor</v>
      </c>
      <c r="B10" s="7" t="str">
        <f>IF(Notes!BZ6="","",Notes!BZ6)</f>
        <v>cand_Py_Ag</v>
      </c>
      <c r="C10" s="7" t="str">
        <f>IF(Notes!CA6="","",Notes!CA6)</f>
        <v>makeSAF</v>
      </c>
      <c r="D10" s="7">
        <f>IF(Notes!CB6="","",Notes!CB6)</f>
        <v>1805687.5530322497</v>
      </c>
      <c r="E10" s="7" t="str">
        <f>IF(Notes!CC6="","",Notes!CC6)</f>
        <v>tons</v>
      </c>
      <c r="F10" s="7">
        <f>IF(Notes!CD6="","",Notes!CD6)</f>
        <v>902843.77651612484</v>
      </c>
      <c r="G10" s="7">
        <f>IF(Notes!CE6="","",Notes!CE6)</f>
        <v>180568.75530322499</v>
      </c>
      <c r="H10" s="7">
        <f>IF(Notes!CF6="","",Notes!CF6)</f>
        <v>77989532.280000001</v>
      </c>
      <c r="I10" s="7"/>
      <c r="J10" s="7"/>
      <c r="K10" s="7"/>
      <c r="L10" s="7"/>
      <c r="M10" s="7"/>
      <c r="N10" s="7"/>
      <c r="O10" s="7"/>
      <c r="P10" s="7"/>
      <c r="Q10" s="7"/>
    </row>
    <row r="11" spans="1:17" x14ac:dyDescent="0.3">
      <c r="A11" s="7" t="str">
        <f>IF(Notes!BY7="","",Notes!BY7)</f>
        <v>processor</v>
      </c>
      <c r="B11" s="7" t="str">
        <f>IF(Notes!BZ7="","",Notes!BZ7)</f>
        <v>cand_Py_Ag</v>
      </c>
      <c r="C11" s="7" t="str">
        <f>IF(Notes!CA7="","",Notes!CA7)</f>
        <v>makeSAF</v>
      </c>
      <c r="D11" s="7">
        <f>IF(Notes!CB7="","",Notes!CB7)</f>
        <v>451421.88825806242</v>
      </c>
      <c r="E11" s="7" t="str">
        <f>IF(Notes!CC7="","",Notes!CC7)</f>
        <v>tons</v>
      </c>
      <c r="F11" s="7">
        <f>IF(Notes!CD7="","",Notes!CD7)</f>
        <v>225710.94412903121</v>
      </c>
      <c r="G11" s="7">
        <f>IF(Notes!CE7="","",Notes!CE7)</f>
        <v>45142.188825806246</v>
      </c>
      <c r="H11" s="7">
        <f>IF(Notes!CF7="","",Notes!CF7)</f>
        <v>44534613</v>
      </c>
      <c r="I11" s="7"/>
      <c r="J11" s="7"/>
      <c r="K11" s="7"/>
      <c r="L11" s="7"/>
      <c r="M11" s="7"/>
      <c r="N11" s="7"/>
      <c r="O11" s="7"/>
      <c r="P11" s="7"/>
      <c r="Q11" s="7"/>
    </row>
    <row r="12" spans="1:17" x14ac:dyDescent="0.3">
      <c r="A12" s="7" t="str">
        <f>IF(Notes!BY8="","",Notes!BY8)</f>
        <v>processor</v>
      </c>
      <c r="B12" s="7" t="str">
        <f>IF(Notes!BZ8="","",Notes!BZ8)</f>
        <v>cand_FT_Forest</v>
      </c>
      <c r="C12" s="7" t="str">
        <f>IF(Notes!CA8="","",Notes!CA8)</f>
        <v>makeSAF</v>
      </c>
      <c r="D12" s="7">
        <f>IF(Notes!CB8="","",Notes!CB8)</f>
        <v>2106635.4785376247</v>
      </c>
      <c r="E12" s="7" t="str">
        <f>IF(Notes!CC8="","",Notes!CC8)</f>
        <v>tons</v>
      </c>
      <c r="F12" s="7">
        <f>IF(Notes!CD8="","",Notes!CD8)</f>
        <v>1053317.7392688124</v>
      </c>
      <c r="G12" s="7">
        <f>IF(Notes!CE8="","",Notes!CE8)</f>
        <v>210663.54785376249</v>
      </c>
      <c r="H12" s="7">
        <f>IF(Notes!CF8="","",Notes!CF8)</f>
        <v>116408730</v>
      </c>
      <c r="I12" s="7"/>
      <c r="J12" s="7"/>
      <c r="K12" s="7"/>
      <c r="L12" s="7"/>
      <c r="M12" s="7"/>
      <c r="N12" s="7"/>
      <c r="O12" s="7"/>
      <c r="P12" s="7"/>
      <c r="Q12" s="7"/>
    </row>
    <row r="13" spans="1:17" x14ac:dyDescent="0.3">
      <c r="A13" s="7" t="str">
        <f>IF(Notes!BY9="","",Notes!BY9)</f>
        <v>processor</v>
      </c>
      <c r="B13" s="7" t="str">
        <f>IF(Notes!BZ9="","",Notes!BZ9)</f>
        <v>cand_FT_Forest</v>
      </c>
      <c r="C13" s="7" t="str">
        <f>IF(Notes!CA9="","",Notes!CA9)</f>
        <v>makeSAF</v>
      </c>
      <c r="D13" s="7">
        <f>IF(Notes!CB9="","",Notes!CB9)</f>
        <v>526658.86963440618</v>
      </c>
      <c r="E13" s="7" t="str">
        <f>IF(Notes!CC9="","",Notes!CC9)</f>
        <v>tons</v>
      </c>
      <c r="F13" s="7">
        <f>IF(Notes!CD9="","",Notes!CD9)</f>
        <v>263329.43481720309</v>
      </c>
      <c r="G13" s="7">
        <f>IF(Notes!CE9="","",Notes!CE9)</f>
        <v>52665.886963440622</v>
      </c>
      <c r="H13" s="7">
        <f>IF(Notes!CF9="","",Notes!CF9)</f>
        <v>78277316.519999996</v>
      </c>
      <c r="I13" s="7"/>
      <c r="J13" s="7"/>
      <c r="K13" s="7"/>
      <c r="L13" s="7"/>
      <c r="M13" s="7"/>
      <c r="N13" s="7"/>
      <c r="O13" s="7"/>
      <c r="P13" s="7"/>
      <c r="Q13" s="7"/>
    </row>
    <row r="14" spans="1:17" x14ac:dyDescent="0.3">
      <c r="A14" s="7" t="str">
        <f>IF(Notes!BY10="","",Notes!BY10)</f>
        <v>processor</v>
      </c>
      <c r="B14" s="7" t="str">
        <f>IF(Notes!BZ10="","",Notes!BZ10)</f>
        <v>cand_Py_Forest</v>
      </c>
      <c r="C14" s="7" t="str">
        <f>IF(Notes!CA10="","",Notes!CA10)</f>
        <v>makeSAF</v>
      </c>
      <c r="D14" s="7">
        <f>IF(Notes!CB10="","",Notes!CB10)</f>
        <v>1648671.2440729232</v>
      </c>
      <c r="E14" s="7" t="str">
        <f>IF(Notes!CC10="","",Notes!CC10)</f>
        <v>tons</v>
      </c>
      <c r="F14" s="7">
        <f>IF(Notes!CD10="","",Notes!CD10)</f>
        <v>824335.6220364616</v>
      </c>
      <c r="G14" s="7">
        <f>IF(Notes!CE10="","",Notes!CE10)</f>
        <v>164867.12440729234</v>
      </c>
      <c r="H14" s="7">
        <f>IF(Notes!CF10="","",Notes!CF10)</f>
        <v>74680013.400000006</v>
      </c>
      <c r="I14" s="7"/>
      <c r="J14" s="7"/>
      <c r="K14" s="7"/>
      <c r="L14" s="7"/>
      <c r="M14" s="7"/>
      <c r="N14" s="7"/>
      <c r="O14" s="7"/>
      <c r="P14" s="7"/>
      <c r="Q14" s="7"/>
    </row>
    <row r="15" spans="1:17" x14ac:dyDescent="0.3">
      <c r="A15" s="7" t="str">
        <f>IF(Notes!BY11="","",Notes!BY11)</f>
        <v>processor</v>
      </c>
      <c r="B15" s="7" t="str">
        <f>IF(Notes!BZ11="","",Notes!BZ11)</f>
        <v>cand_Py_Forest</v>
      </c>
      <c r="C15" s="7" t="str">
        <f>IF(Notes!CA11="","",Notes!CA11)</f>
        <v>makeSAF</v>
      </c>
      <c r="D15" s="7">
        <f>IF(Notes!CB11="","",Notes!CB11)</f>
        <v>412167.81101823086</v>
      </c>
      <c r="E15" s="7" t="str">
        <f>IF(Notes!CC11="","",Notes!CC11)</f>
        <v>tons</v>
      </c>
      <c r="F15" s="7">
        <f>IF(Notes!CD11="","",Notes!CD11)</f>
        <v>206083.90550911543</v>
      </c>
      <c r="G15" s="7">
        <f>IF(Notes!CE11="","",Notes!CE11)</f>
        <v>41216.781101823086</v>
      </c>
      <c r="H15" s="7">
        <f>IF(Notes!CF11="","",Notes!CF11)</f>
        <v>42735961.439999998</v>
      </c>
      <c r="I15" s="7"/>
      <c r="J15" s="7"/>
      <c r="K15" s="7"/>
      <c r="L15" s="7"/>
      <c r="M15" s="7"/>
      <c r="N15" s="7"/>
      <c r="O15" s="7"/>
      <c r="P15" s="7"/>
      <c r="Q15" s="7"/>
    </row>
    <row r="16" spans="1:17" x14ac:dyDescent="0.3">
      <c r="A16" s="7" t="str">
        <f>IF(Notes!BY12="","",Notes!BY12)</f>
        <v>processor</v>
      </c>
      <c r="B16" s="7" t="str">
        <f>IF(Notes!BZ12="","",Notes!BZ12)</f>
        <v>cand_HEFA_FOG</v>
      </c>
      <c r="C16" s="7" t="str">
        <f>IF(Notes!CA12="","",Notes!CA12)</f>
        <v>makeSAF</v>
      </c>
      <c r="D16" s="7">
        <f>IF(Notes!CB12="","",Notes!CB12)</f>
        <v>1142151.7654722061</v>
      </c>
      <c r="E16" s="7" t="str">
        <f>IF(Notes!CC12="","",Notes!CC12)</f>
        <v>tons</v>
      </c>
      <c r="F16" s="7">
        <f>IF(Notes!CD12="","",Notes!CD12)</f>
        <v>571075.88273610303</v>
      </c>
      <c r="G16" s="7">
        <f>IF(Notes!CE12="","",Notes!CE12)</f>
        <v>114215.17654722062</v>
      </c>
      <c r="H16" s="7">
        <f>IF(Notes!CF12="","",Notes!CF12)</f>
        <v>32231836.200000003</v>
      </c>
      <c r="I16" s="7"/>
      <c r="J16" s="7"/>
      <c r="K16" s="7"/>
      <c r="L16" s="7"/>
      <c r="M16" s="7"/>
      <c r="N16" s="7"/>
      <c r="O16" s="7"/>
      <c r="P16" s="7"/>
      <c r="Q16" s="7"/>
    </row>
    <row r="17" spans="1:17" x14ac:dyDescent="0.3">
      <c r="A17" s="7" t="str">
        <f>IF(Notes!BY13="","",Notes!BY13)</f>
        <v>processor</v>
      </c>
      <c r="B17" s="7" t="str">
        <f>IF(Notes!BZ13="","",Notes!BZ13)</f>
        <v>cand_HEFA_Soybean</v>
      </c>
      <c r="C17" s="7" t="str">
        <f>IF(Notes!CA13="","",Notes!CA13)</f>
        <v>makeSAF</v>
      </c>
      <c r="D17" s="7">
        <f>IF(Notes!CB13="","",Notes!CB13)</f>
        <v>1142151.7654722061</v>
      </c>
      <c r="E17" s="7" t="str">
        <f>IF(Notes!CC13="","",Notes!CC13)</f>
        <v>tons</v>
      </c>
      <c r="F17" s="7">
        <f>IF(Notes!CD13="","",Notes!CD13)</f>
        <v>571075.88273610303</v>
      </c>
      <c r="G17" s="7">
        <f>IF(Notes!CE13="","",Notes!CE13)</f>
        <v>114215.17654722062</v>
      </c>
      <c r="H17" s="7">
        <f>IF(Notes!CF13="","",Notes!CF13)</f>
        <v>32807404.68</v>
      </c>
      <c r="I17" s="7"/>
      <c r="J17" s="7"/>
      <c r="K17" s="7"/>
      <c r="L17" s="7"/>
      <c r="M17" s="7"/>
      <c r="N17" s="7"/>
      <c r="O17" s="7"/>
      <c r="P17" s="7"/>
      <c r="Q17" s="7"/>
    </row>
    <row r="18" spans="1:17" x14ac:dyDescent="0.3">
      <c r="A18" s="7" t="str">
        <f>IF(Notes!BY14="","",Notes!BY14)</f>
        <v>processor</v>
      </c>
      <c r="B18" s="7" t="str">
        <f>IF(Notes!BZ14="","",Notes!BZ14)</f>
        <v>cand_FT_MSW</v>
      </c>
      <c r="C18" s="7" t="str">
        <f>IF(Notes!CA14="","",Notes!CA14)</f>
        <v>makeSAF</v>
      </c>
      <c r="D18" s="7">
        <f>IF(Notes!CB14="","",Notes!CB14)</f>
        <v>1529009.6215192438</v>
      </c>
      <c r="E18" s="7" t="str">
        <f>IF(Notes!CC14="","",Notes!CC14)</f>
        <v>tons</v>
      </c>
      <c r="F18" s="7">
        <f>IF(Notes!CD14="","",Notes!CD14)</f>
        <v>764504.81075962191</v>
      </c>
      <c r="G18" s="7">
        <f>IF(Notes!CE14="","",Notes!CE14)</f>
        <v>152900.96215192438</v>
      </c>
      <c r="H18" s="7">
        <f>IF(Notes!CF14="","",Notes!CF14)</f>
        <v>102738978</v>
      </c>
      <c r="I18" s="7"/>
      <c r="J18" s="7"/>
      <c r="K18" s="7"/>
      <c r="L18" s="7"/>
      <c r="M18" s="7"/>
      <c r="N18" s="7"/>
      <c r="O18" s="7"/>
      <c r="P18" s="7"/>
      <c r="Q18" s="7"/>
    </row>
    <row r="19" spans="1:17" x14ac:dyDescent="0.3">
      <c r="A19" s="7" t="str">
        <f>IF(Notes!BY15="","",Notes!BY15)</f>
        <v>processor</v>
      </c>
      <c r="B19" s="7" t="str">
        <f>IF(Notes!BZ15="","",Notes!BZ15)</f>
        <v>cand_FT_MSW</v>
      </c>
      <c r="C19" s="7" t="str">
        <f>IF(Notes!CA15="","",Notes!CA15)</f>
        <v>makeSAF</v>
      </c>
      <c r="D19" s="7">
        <f>IF(Notes!CB15="","",Notes!CB15)</f>
        <v>305801.92430384876</v>
      </c>
      <c r="E19" s="7" t="str">
        <f>IF(Notes!CC15="","",Notes!CC15)</f>
        <v>tons</v>
      </c>
      <c r="F19" s="7">
        <f>IF(Notes!CD15="","",Notes!CD15)</f>
        <v>152900.96215192438</v>
      </c>
      <c r="G19" s="7">
        <f>IF(Notes!CE15="","",Notes!CE15)</f>
        <v>30580.192430384879</v>
      </c>
      <c r="H19" s="7">
        <f>IF(Notes!CF15="","",Notes!CF15)</f>
        <v>58492149.239999995</v>
      </c>
      <c r="I19" s="7"/>
      <c r="J19" s="7"/>
      <c r="K19" s="7"/>
      <c r="L19" s="7"/>
      <c r="M19" s="7"/>
      <c r="N19" s="7"/>
      <c r="O19" s="7"/>
      <c r="P19" s="7"/>
      <c r="Q19" s="7"/>
    </row>
    <row r="20" spans="1:17" x14ac:dyDescent="0.3">
      <c r="A20" s="7" t="str">
        <f>IF(Notes!BY16="","",Notes!BY16)</f>
        <v>processor</v>
      </c>
      <c r="B20" s="7" t="str">
        <f>IF(Notes!BZ16="","",Notes!BZ16)</f>
        <v>cand_ATJ_Ethanol</v>
      </c>
      <c r="C20" s="7" t="str">
        <f>IF(Notes!CA16="","",Notes!CA16)</f>
        <v>makeSAF</v>
      </c>
      <c r="D20" s="7">
        <f>IF(Notes!CB16="","",Notes!CB16)</f>
        <v>479299088.4013319</v>
      </c>
      <c r="E20" s="7" t="str">
        <f>IF(Notes!CC16="","",Notes!CC16)</f>
        <v>gallons</v>
      </c>
      <c r="F20" s="7">
        <f>IF(Notes!CD16="","",Notes!CD16)</f>
        <v>239649544.20066595</v>
      </c>
      <c r="G20" s="7">
        <f>IF(Notes!CE16="","",Notes!CE16)</f>
        <v>47929908.84013319</v>
      </c>
      <c r="H20" s="7">
        <f>IF(Notes!CF16="","",Notes!CF16)</f>
        <v>23598308.640000001</v>
      </c>
      <c r="I20" s="7"/>
      <c r="J20" s="7"/>
      <c r="K20" s="7"/>
      <c r="L20" s="7"/>
      <c r="M20" s="7"/>
      <c r="N20" s="7"/>
      <c r="O20" s="7"/>
      <c r="P20" s="7"/>
      <c r="Q20" s="7"/>
    </row>
    <row r="21" spans="1:17" x14ac:dyDescent="0.3">
      <c r="A21" s="7" t="str">
        <f>IF(Notes!BY17="","",Notes!BY17)</f>
        <v>processor</v>
      </c>
      <c r="B21" s="7" t="str">
        <f>IF(Notes!BZ17="","",Notes!BZ17)</f>
        <v>cand_ATJ_Ethanol</v>
      </c>
      <c r="C21" s="7" t="str">
        <f>IF(Notes!CA17="","",Notes!CA17)</f>
        <v>makeSAF</v>
      </c>
      <c r="D21" s="7">
        <f>IF(Notes!CB17="","",Notes!CB17)</f>
        <v>47929908.84013319</v>
      </c>
      <c r="E21" s="7" t="str">
        <f>IF(Notes!CC17="","",Notes!CC17)</f>
        <v>gallons</v>
      </c>
      <c r="F21" s="7">
        <f>IF(Notes!CD17="","",Notes!CD17)</f>
        <v>23964954.420066595</v>
      </c>
      <c r="G21" s="7">
        <f>IF(Notes!CE17="","",Notes!CE17)</f>
        <v>4792990.8840133194</v>
      </c>
      <c r="H21" s="7">
        <f>IF(Notes!CF17="","",Notes!CF17)</f>
        <v>8417689.3200000003</v>
      </c>
      <c r="I21" s="7"/>
      <c r="J21" s="7"/>
      <c r="K21" s="7"/>
      <c r="L21" s="7"/>
      <c r="M21" s="7"/>
      <c r="N21" s="7"/>
      <c r="O21" s="7"/>
      <c r="P21" s="7"/>
      <c r="Q21" s="7"/>
    </row>
    <row r="22" spans="1:17" x14ac:dyDescent="0.3">
      <c r="A22" s="7" t="str">
        <f>IF(Notes!BY18="","",Notes!BY18)</f>
        <v>processor</v>
      </c>
      <c r="B22" s="7" t="str">
        <f>IF(Notes!BZ18="","",Notes!BZ18)</f>
        <v>cand_FT_EnergyHerb</v>
      </c>
      <c r="C22" s="7" t="str">
        <f>IF(Notes!CA18="","",Notes!CA18)</f>
        <v>makeSAF</v>
      </c>
      <c r="D22" s="7">
        <f>IF(Notes!CB18="","",Notes!CB18)</f>
        <v>2031398.4971612808</v>
      </c>
      <c r="E22" s="7" t="str">
        <f>IF(Notes!CC18="","",Notes!CC18)</f>
        <v>tons</v>
      </c>
      <c r="F22" s="7">
        <f>IF(Notes!CD18="","",Notes!CD18)</f>
        <v>1015699.2485806404</v>
      </c>
      <c r="G22" s="7">
        <f>IF(Notes!CE18="","",Notes!CE18)</f>
        <v>203139.84971612808</v>
      </c>
      <c r="H22" s="7">
        <f>IF(Notes!CF18="","",Notes!CF18)</f>
        <v>108566609.03999999</v>
      </c>
      <c r="I22" s="7"/>
      <c r="J22" s="7"/>
      <c r="K22" s="7"/>
      <c r="L22" s="7"/>
      <c r="M22" s="7"/>
      <c r="N22" s="7"/>
      <c r="O22" s="7"/>
      <c r="P22" s="7"/>
      <c r="Q22" s="7"/>
    </row>
    <row r="23" spans="1:17" x14ac:dyDescent="0.3">
      <c r="A23" s="7" t="str">
        <f>IF(Notes!BY19="","",Notes!BY19)</f>
        <v>processor</v>
      </c>
      <c r="B23" s="7" t="str">
        <f>IF(Notes!BZ19="","",Notes!BZ19)</f>
        <v>cand_FT_EnergyHerb</v>
      </c>
      <c r="C23" s="7" t="str">
        <f>IF(Notes!CA19="","",Notes!CA19)</f>
        <v>makeSAF</v>
      </c>
      <c r="D23" s="7">
        <f>IF(Notes!CB19="","",Notes!CB19)</f>
        <v>677132.83238709357</v>
      </c>
      <c r="E23" s="7" t="str">
        <f>IF(Notes!CC19="","",Notes!CC19)</f>
        <v>tons</v>
      </c>
      <c r="F23" s="7">
        <f>IF(Notes!CD19="","",Notes!CD19)</f>
        <v>338566.41619354679</v>
      </c>
      <c r="G23" s="7">
        <f>IF(Notes!CE19="","",Notes!CE19)</f>
        <v>67713.283238709366</v>
      </c>
      <c r="H23" s="7">
        <f>IF(Notes!CF19="","",Notes!CF19)</f>
        <v>91155661.800000012</v>
      </c>
      <c r="I23" s="7"/>
      <c r="J23" s="7"/>
      <c r="K23" s="7"/>
      <c r="L23" s="7"/>
      <c r="M23" s="7"/>
      <c r="N23" s="7"/>
      <c r="O23" s="7"/>
      <c r="P23" s="7"/>
      <c r="Q23" s="7"/>
    </row>
    <row r="24" spans="1:17" x14ac:dyDescent="0.3">
      <c r="A24" s="7" t="str">
        <f>IF(Notes!BY20="","",Notes!BY20)</f>
        <v>processor</v>
      </c>
      <c r="B24" s="7" t="str">
        <f>IF(Notes!BZ20="","",Notes!BZ20)</f>
        <v>cand_FT_EnergyWoody</v>
      </c>
      <c r="C24" s="7" t="str">
        <f>IF(Notes!CA20="","",Notes!CA20)</f>
        <v>makeSAF</v>
      </c>
      <c r="D24" s="7">
        <f>IF(Notes!CB20="","",Notes!CB20)</f>
        <v>2106635.4785376247</v>
      </c>
      <c r="E24" s="7" t="str">
        <f>IF(Notes!CC20="","",Notes!CC20)</f>
        <v>tons</v>
      </c>
      <c r="F24" s="7">
        <f>IF(Notes!CD20="","",Notes!CD20)</f>
        <v>1053317.7392688124</v>
      </c>
      <c r="G24" s="7">
        <f>IF(Notes!CE20="","",Notes!CE20)</f>
        <v>210663.54785376249</v>
      </c>
      <c r="H24" s="7">
        <f>IF(Notes!CF20="","",Notes!CF20)</f>
        <v>116408730</v>
      </c>
      <c r="I24" s="7"/>
      <c r="J24" s="7"/>
      <c r="K24" s="7"/>
      <c r="L24" s="7"/>
      <c r="M24" s="7"/>
      <c r="N24" s="7"/>
      <c r="O24" s="7"/>
      <c r="P24" s="7"/>
      <c r="Q24" s="7"/>
    </row>
    <row r="25" spans="1:17" x14ac:dyDescent="0.3">
      <c r="A25" s="7" t="str">
        <f>IF(Notes!BY21="","",Notes!BY21)</f>
        <v>processor</v>
      </c>
      <c r="B25" s="7" t="str">
        <f>IF(Notes!BZ21="","",Notes!BZ21)</f>
        <v>cand_FT_EnergyWoody</v>
      </c>
      <c r="C25" s="7" t="str">
        <f>IF(Notes!CA21="","",Notes!CA21)</f>
        <v>makeSAF</v>
      </c>
      <c r="D25" s="7">
        <f>IF(Notes!CB21="","",Notes!CB21)</f>
        <v>526658.86963440618</v>
      </c>
      <c r="E25" s="7" t="str">
        <f>IF(Notes!CC21="","",Notes!CC21)</f>
        <v>tons</v>
      </c>
      <c r="F25" s="7">
        <f>IF(Notes!CD21="","",Notes!CD21)</f>
        <v>263329.43481720309</v>
      </c>
      <c r="G25" s="7">
        <f>IF(Notes!CE21="","",Notes!CE21)</f>
        <v>52665.886963440622</v>
      </c>
      <c r="H25" s="7">
        <f>IF(Notes!CF21="","",Notes!CF21)</f>
        <v>78277316.519999996</v>
      </c>
      <c r="I25" s="7"/>
      <c r="J25" s="7"/>
      <c r="K25" s="7"/>
      <c r="L25" s="7"/>
      <c r="M25" s="7"/>
      <c r="N25" s="7"/>
      <c r="O25" s="7"/>
      <c r="P25" s="7"/>
      <c r="Q25" s="7"/>
    </row>
    <row r="26" spans="1:17" x14ac:dyDescent="0.3">
      <c r="A26" s="7" t="str">
        <f>IF(Notes!BY22="","",Notes!BY22)</f>
        <v>processor</v>
      </c>
      <c r="B26" s="7" t="str">
        <f>IF(Notes!BZ22="","",Notes!BZ22)</f>
        <v>cand_Py_EnergyHerb</v>
      </c>
      <c r="C26" s="7" t="str">
        <f>IF(Notes!CA22="","",Notes!CA22)</f>
        <v>makeSAF</v>
      </c>
      <c r="D26" s="7">
        <f>IF(Notes!CB22="","",Notes!CB22)</f>
        <v>1805687.5530322497</v>
      </c>
      <c r="E26" s="7" t="str">
        <f>IF(Notes!CC22="","",Notes!CC22)</f>
        <v>tons</v>
      </c>
      <c r="F26" s="7">
        <f>IF(Notes!CD22="","",Notes!CD22)</f>
        <v>902843.77651612484</v>
      </c>
      <c r="G26" s="7">
        <f>IF(Notes!CE22="","",Notes!CE22)</f>
        <v>180568.75530322499</v>
      </c>
      <c r="H26" s="7">
        <f>IF(Notes!CF22="","",Notes!CF22)</f>
        <v>77989532.280000001</v>
      </c>
      <c r="I26" s="7"/>
      <c r="J26" s="7"/>
      <c r="K26" s="7"/>
      <c r="L26" s="7"/>
      <c r="M26" s="7"/>
      <c r="N26" s="7"/>
      <c r="O26" s="7"/>
      <c r="P26" s="7"/>
      <c r="Q26" s="7"/>
    </row>
    <row r="27" spans="1:17" x14ac:dyDescent="0.3">
      <c r="A27" s="7" t="str">
        <f>IF(Notes!BY23="","",Notes!BY23)</f>
        <v>processor</v>
      </c>
      <c r="B27" s="7" t="str">
        <f>IF(Notes!BZ23="","",Notes!BZ23)</f>
        <v>cand_Py_EnergyHerb</v>
      </c>
      <c r="C27" s="7" t="str">
        <f>IF(Notes!CA23="","",Notes!CA23)</f>
        <v>makeSAF</v>
      </c>
      <c r="D27" s="7">
        <f>IF(Notes!CB23="","",Notes!CB23)</f>
        <v>451421.88825806242</v>
      </c>
      <c r="E27" s="7" t="str">
        <f>IF(Notes!CC23="","",Notes!CC23)</f>
        <v>tons</v>
      </c>
      <c r="F27" s="7">
        <f>IF(Notes!CD23="","",Notes!CD23)</f>
        <v>225710.94412903121</v>
      </c>
      <c r="G27" s="7">
        <f>IF(Notes!CE23="","",Notes!CE23)</f>
        <v>45142.188825806246</v>
      </c>
      <c r="H27" s="7">
        <f>IF(Notes!CF23="","",Notes!CF23)</f>
        <v>44534613</v>
      </c>
      <c r="I27" s="7"/>
      <c r="J27" s="7"/>
      <c r="K27" s="7"/>
      <c r="L27" s="7"/>
      <c r="M27" s="7"/>
      <c r="N27" s="7"/>
      <c r="O27" s="7"/>
      <c r="P27" s="7"/>
      <c r="Q27" s="7"/>
    </row>
    <row r="28" spans="1:17" x14ac:dyDescent="0.3">
      <c r="A28" s="7" t="str">
        <f>IF(Notes!BY24="","",Notes!BY24)</f>
        <v>processor</v>
      </c>
      <c r="B28" s="7" t="str">
        <f>IF(Notes!BZ24="","",Notes!BZ24)</f>
        <v>cand_Py_EnergyWoody</v>
      </c>
      <c r="C28" s="7" t="str">
        <f>IF(Notes!CA24="","",Notes!CA24)</f>
        <v>makeSAF</v>
      </c>
      <c r="D28" s="7">
        <f>IF(Notes!CB24="","",Notes!CB24)</f>
        <v>1648671.2440729232</v>
      </c>
      <c r="E28" s="7" t="str">
        <f>IF(Notes!CC24="","",Notes!CC24)</f>
        <v>tons</v>
      </c>
      <c r="F28" s="7">
        <f>IF(Notes!CD24="","",Notes!CD24)</f>
        <v>824335.6220364616</v>
      </c>
      <c r="G28" s="7">
        <f>IF(Notes!CE24="","",Notes!CE24)</f>
        <v>164867.12440729234</v>
      </c>
      <c r="H28" s="7">
        <f>IF(Notes!CF24="","",Notes!CF24)</f>
        <v>74680013.400000006</v>
      </c>
      <c r="I28" s="7"/>
      <c r="J28" s="7"/>
      <c r="K28" s="7"/>
      <c r="L28" s="7"/>
      <c r="M28" s="7"/>
      <c r="N28" s="7"/>
      <c r="O28" s="7"/>
      <c r="P28" s="7"/>
      <c r="Q28" s="7"/>
    </row>
    <row r="29" spans="1:17" x14ac:dyDescent="0.3">
      <c r="A29" s="7" t="str">
        <f>IF(Notes!BY25="","",Notes!BY25)</f>
        <v>processor</v>
      </c>
      <c r="B29" s="7" t="str">
        <f>IF(Notes!BZ25="","",Notes!BZ25)</f>
        <v>cand_Py_EnergyWoody</v>
      </c>
      <c r="C29" s="7" t="str">
        <f>IF(Notes!CA25="","",Notes!CA25)</f>
        <v>makeSAF</v>
      </c>
      <c r="D29" s="7">
        <f>IF(Notes!CB25="","",Notes!CB25)</f>
        <v>412167.81101823086</v>
      </c>
      <c r="E29" s="7" t="str">
        <f>IF(Notes!CC25="","",Notes!CC25)</f>
        <v>tons</v>
      </c>
      <c r="F29" s="7">
        <f>IF(Notes!CD25="","",Notes!CD25)</f>
        <v>206083.90550911543</v>
      </c>
      <c r="G29" s="7">
        <f>IF(Notes!CE25="","",Notes!CE25)</f>
        <v>41216.781101823086</v>
      </c>
      <c r="H29" s="7">
        <f>IF(Notes!CF25="","",Notes!CF25)</f>
        <v>42735961.439999998</v>
      </c>
      <c r="I29" s="7"/>
      <c r="J29" s="7"/>
      <c r="K29" s="7"/>
      <c r="L29" s="7"/>
      <c r="M29" s="7"/>
      <c r="N29" s="7"/>
      <c r="O29" s="7"/>
      <c r="P29" s="7"/>
      <c r="Q29" s="7"/>
    </row>
    <row r="30" spans="1:17" x14ac:dyDescent="0.3">
      <c r="A30" s="7" t="str">
        <f>IF(Notes!BY26="","",Notes!BY26)</f>
        <v>processor</v>
      </c>
      <c r="B30" s="7" t="str">
        <f>IF(Notes!BZ26="","",Notes!BZ26)</f>
        <v>Chevron Usa Inc Birmingham</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Petroleum Fuel &amp; Terminal Co 4</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Petroleum Fuel &amp; Terminal Co 10</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Ergon Asphalt &amp; Emulsions Inc 1</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Circle K Terminal Alabama Llc</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Murphy Oil Usa Inc 50</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Murphy Oil Usa Inc 54</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Murphy Oil Usa Inc 55</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Us Venture Inc 24</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Buckeye Terminals Llc 26</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Buckeye Terminals Llc 71</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Buckeye Se Terminals Lp 3</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Sunoco Llc 3</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Ent Propane Terminals &amp; Storage Llc 8</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Ent Propane Terminals &amp; Storage Llc 5</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Enterprise Refined Products Co Llc 2</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Birmingham Bioenergy Partners Llc</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Alabama Bulk Terminal</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Kinder Morgan Southeast Terminal 4</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Imtt Epic Llc 4</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Imtt Epic Llc 5</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Mplx Terminals Llc 4</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Mplx Terminals Llc 35</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Martin Energy Services Llc 11</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Martin Energy Services Llc 15</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Barcliff Llc 3</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Barcliff Llc 4</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Citgo Petroleum Corp 25</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Shell Oil Products Us 1</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South Florida Materials Corp 13</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United Refining Co 1</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Warrior Asphalt Inc</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Bwc Terminals Llc 1</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Bwc Terminals Llc 2</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processor</v>
      </c>
      <c r="B64" s="7" t="str">
        <f>IF(Notes!BZ60="","",Notes!BZ60)</f>
        <v>Bwc Terminals Llc 6</v>
      </c>
      <c r="C64" s="7" t="str">
        <f>IF(Notes!CA60="","",Notes!CA60)</f>
        <v>blendSAF</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processor</v>
      </c>
      <c r="B65" s="7" t="str">
        <f>IF(Notes!BZ61="","",Notes!BZ61)</f>
        <v>Circle K Terminal Llc</v>
      </c>
      <c r="C65" s="7" t="str">
        <f>IF(Notes!CA61="","",Notes!CA61)</f>
        <v>blendSAF</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processor</v>
      </c>
      <c r="B66" s="7" t="str">
        <f>IF(Notes!BZ62="","",Notes!BZ62)</f>
        <v>Pro Petroleum Inc 6</v>
      </c>
      <c r="C66" s="7" t="str">
        <f>IF(Notes!CA62="","",Notes!CA62)</f>
        <v>blendSAF</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processor</v>
      </c>
      <c r="B67" s="7" t="str">
        <f>IF(Notes!BZ63="","",Notes!BZ63)</f>
        <v>Caljet</v>
      </c>
      <c r="C67" s="7" t="str">
        <f>IF(Notes!CA63="","",Notes!CA63)</f>
        <v>blendSAF</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processor</v>
      </c>
      <c r="B68" s="7" t="str">
        <f>IF(Notes!BZ64="","",Notes!BZ64)</f>
        <v>Enterprise Products Operating Llc 5</v>
      </c>
      <c r="C68" s="7" t="str">
        <f>IF(Notes!CA64="","",Notes!CA64)</f>
        <v>blendSAF</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processor</v>
      </c>
      <c r="B69" s="7" t="str">
        <f>IF(Notes!BZ65="","",Notes!BZ65)</f>
        <v>Enterprise Products Operating Llc 7</v>
      </c>
      <c r="C69" s="7" t="str">
        <f>IF(Notes!CA65="","",Notes!CA65)</f>
        <v>blendSAF</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processor</v>
      </c>
      <c r="B70" s="7" t="str">
        <f>IF(Notes!BZ66="","",Notes!BZ66)</f>
        <v>Nk Asphalt Partners 3</v>
      </c>
      <c r="C70" s="7" t="str">
        <f>IF(Notes!CA66="","",Notes!CA66)</f>
        <v>blendSAF</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processor</v>
      </c>
      <c r="B71" s="7" t="str">
        <f>IF(Notes!BZ67="","",Notes!BZ67)</f>
        <v>Sfpp Lp 13</v>
      </c>
      <c r="C71" s="7" t="str">
        <f>IF(Notes!CA67="","",Notes!CA67)</f>
        <v>blendSAF</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processor</v>
      </c>
      <c r="B72" s="7" t="str">
        <f>IF(Notes!BZ68="","",Notes!BZ68)</f>
        <v>Sfpp Lp 8</v>
      </c>
      <c r="C72" s="7" t="str">
        <f>IF(Notes!CA68="","",Notes!CA68)</f>
        <v>blendSAF</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processor</v>
      </c>
      <c r="B73" s="7" t="str">
        <f>IF(Notes!BZ69="","",Notes!BZ69)</f>
        <v>Andeavor Logistics Lp 22</v>
      </c>
      <c r="C73" s="7" t="str">
        <f>IF(Notes!CA69="","",Notes!CA69)</f>
        <v>blendSAF</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processor</v>
      </c>
      <c r="B74" s="7" t="str">
        <f>IF(Notes!BZ70="","",Notes!BZ70)</f>
        <v>Andeavor Logistics Lp 17</v>
      </c>
      <c r="C74" s="7" t="str">
        <f>IF(Notes!CA70="","",Notes!CA70)</f>
        <v>blendSAF</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processor</v>
      </c>
      <c r="B75" s="7" t="str">
        <f>IF(Notes!BZ71="","",Notes!BZ71)</f>
        <v>Plains Lpg Services 5</v>
      </c>
      <c r="C75" s="7" t="str">
        <f>IF(Notes!CA71="","",Notes!CA71)</f>
        <v>blendSAF</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processor</v>
      </c>
      <c r="B76" s="7" t="str">
        <f>IF(Notes!BZ72="","",Notes!BZ72)</f>
        <v>Petroleum Fuels &amp; Terminal Co</v>
      </c>
      <c r="C76" s="7" t="str">
        <f>IF(Notes!CA72="","",Notes!CA72)</f>
        <v>blendSAF</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processor</v>
      </c>
      <c r="B77" s="7" t="str">
        <f>IF(Notes!BZ73="","",Notes!BZ73)</f>
        <v>Petroleum Fuel &amp; Terminal Co 12</v>
      </c>
      <c r="C77" s="7" t="str">
        <f>IF(Notes!CA73="","",Notes!CA73)</f>
        <v>blendSAF</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processor</v>
      </c>
      <c r="B78" s="7" t="str">
        <f>IF(Notes!BZ74="","",Notes!BZ74)</f>
        <v>Ergon Asphalt And Emulsions 11</v>
      </c>
      <c r="C78" s="7" t="str">
        <f>IF(Notes!CA74="","",Notes!CA74)</f>
        <v>blendSAF</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processor</v>
      </c>
      <c r="B79" s="7" t="str">
        <f>IF(Notes!BZ75="","",Notes!BZ75)</f>
        <v>Murphy Oil Usa Inc 52</v>
      </c>
      <c r="C79" s="7" t="str">
        <f>IF(Notes!CA75="","",Notes!CA75)</f>
        <v>blendSAF</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processor</v>
      </c>
      <c r="B80" s="7" t="str">
        <f>IF(Notes!BZ76="","",Notes!BZ76)</f>
        <v>Premcor Refining Group Inc 3</v>
      </c>
      <c r="C80" s="7" t="str">
        <f>IF(Notes!CA76="","",Notes!CA76)</f>
        <v>blendSAF</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processor</v>
      </c>
      <c r="B81" s="7" t="str">
        <f>IF(Notes!BZ77="","",Notes!BZ77)</f>
        <v>Oakley Fuels Inc</v>
      </c>
      <c r="C81" s="7" t="str">
        <f>IF(Notes!CA77="","",Notes!CA77)</f>
        <v>blendSAF</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processor</v>
      </c>
      <c r="B82" s="7" t="str">
        <f>IF(Notes!BZ78="","",Notes!BZ78)</f>
        <v>Delek Marketing &amp; Supply Lp 2</v>
      </c>
      <c r="C82" s="7" t="str">
        <f>IF(Notes!CA78="","",Notes!CA78)</f>
        <v>blendSAF</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processor</v>
      </c>
      <c r="B83" s="7" t="str">
        <f>IF(Notes!BZ79="","",Notes!BZ79)</f>
        <v>Sunoco Llc 11</v>
      </c>
      <c r="C83" s="7" t="str">
        <f>IF(Notes!CA79="","",Notes!CA79)</f>
        <v>blendSAF</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processor</v>
      </c>
      <c r="B84" s="7" t="str">
        <f>IF(Notes!BZ80="","",Notes!BZ80)</f>
        <v>Hwrt Oil Co Llc 6</v>
      </c>
      <c r="C84" s="7" t="str">
        <f>IF(Notes!CA80="","",Notes!CA80)</f>
        <v>blendSAF</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processor</v>
      </c>
      <c r="B85" s="7" t="str">
        <f>IF(Notes!BZ81="","",Notes!BZ81)</f>
        <v>Magellan Pl Co 3</v>
      </c>
      <c r="C85" s="7" t="str">
        <f>IF(Notes!CA81="","",Notes!CA81)</f>
        <v>blendSAF</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processor</v>
      </c>
      <c r="B86" s="7" t="str">
        <f>IF(Notes!BZ82="","",Notes!BZ82)</f>
        <v>Magellan Pipeline Co Lp 31</v>
      </c>
      <c r="C86" s="7" t="str">
        <f>IF(Notes!CA82="","",Notes!CA82)</f>
        <v>blendSAF</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processor</v>
      </c>
      <c r="B87" s="7" t="str">
        <f>IF(Notes!BZ83="","",Notes!BZ83)</f>
        <v>Magellan Pipeline Co Lp 32</v>
      </c>
      <c r="C87" s="7" t="str">
        <f>IF(Notes!CA83="","",Notes!CA83)</f>
        <v>blendSAF</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processor</v>
      </c>
      <c r="B88" s="7" t="str">
        <f>IF(Notes!BZ84="","",Notes!BZ84)</f>
        <v>Magellan Pipeline Co Lp 41</v>
      </c>
      <c r="C88" s="7" t="str">
        <f>IF(Notes!CA84="","",Notes!CA84)</f>
        <v>blendSAF</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processor</v>
      </c>
      <c r="B89" s="7" t="str">
        <f>IF(Notes!BZ85="","",Notes!BZ85)</f>
        <v>Ngl Supply Wholesale Llc 6</v>
      </c>
      <c r="C89" s="7" t="str">
        <f>IF(Notes!CA85="","",Notes!CA85)</f>
        <v>blendSAF</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processor</v>
      </c>
      <c r="B90" s="7" t="str">
        <f>IF(Notes!BZ86="","",Notes!BZ86)</f>
        <v>Ngl Supply Wholesale Llc 1</v>
      </c>
      <c r="C90" s="7" t="str">
        <f>IF(Notes!CA86="","",Notes!CA86)</f>
        <v>blendSAF</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processor</v>
      </c>
      <c r="B91" s="7" t="str">
        <f>IF(Notes!BZ87="","",Notes!BZ87)</f>
        <v>Transmontaigne Operating Company 5</v>
      </c>
      <c r="C91" s="7" t="str">
        <f>IF(Notes!CA87="","",Notes!CA87)</f>
        <v>blendSAF</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processor</v>
      </c>
      <c r="B92" s="7" t="str">
        <f>IF(Notes!BZ88="","",Notes!BZ88)</f>
        <v>Chevron Usa Inc El Segundo</v>
      </c>
      <c r="C92" s="7" t="str">
        <f>IF(Notes!CA88="","",Notes!CA88)</f>
        <v>blendSAF</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processor</v>
      </c>
      <c r="B93" s="7" t="str">
        <f>IF(Notes!BZ89="","",Notes!BZ89)</f>
        <v>Chevron Usa Inc San Diego Terminal</v>
      </c>
      <c r="C93" s="7" t="str">
        <f>IF(Notes!CA89="","",Notes!CA89)</f>
        <v>blendSAF</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processor</v>
      </c>
      <c r="B94" s="7" t="str">
        <f>IF(Notes!BZ90="","",Notes!BZ90)</f>
        <v>Chevron Usa Inc Van Nuys</v>
      </c>
      <c r="C94" s="7" t="str">
        <f>IF(Notes!CA90="","",Notes!CA90)</f>
        <v>blendSAF</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processor</v>
      </c>
      <c r="B95" s="7" t="str">
        <f>IF(Notes!BZ91="","",Notes!BZ91)</f>
        <v>Chevron Usa Inc Huntington Beach</v>
      </c>
      <c r="C95" s="7" t="str">
        <f>IF(Notes!CA91="","",Notes!CA91)</f>
        <v>blendSAF</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processor</v>
      </c>
      <c r="B96" s="7" t="str">
        <f>IF(Notes!BZ92="","",Notes!BZ92)</f>
        <v>Chevron Usa Inc Montebello</v>
      </c>
      <c r="C96" s="7" t="str">
        <f>IF(Notes!CA92="","",Notes!CA92)</f>
        <v>blendSAF</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processor</v>
      </c>
      <c r="B97" s="7" t="str">
        <f>IF(Notes!BZ93="","",Notes!BZ93)</f>
        <v>Chevron Usa Inc Tracy</v>
      </c>
      <c r="C97" s="7" t="str">
        <f>IF(Notes!CA93="","",Notes!CA93)</f>
        <v>blendSAF</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processor</v>
      </c>
      <c r="B98" s="7" t="str">
        <f>IF(Notes!BZ94="","",Notes!BZ94)</f>
        <v>Chevron Usa Inc San Jose</v>
      </c>
      <c r="C98" s="7" t="str">
        <f>IF(Notes!CA94="","",Notes!CA94)</f>
        <v>blendSAF</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processor</v>
      </c>
      <c r="B99" s="7" t="str">
        <f>IF(Notes!BZ95="","",Notes!BZ95)</f>
        <v>Chevron Usa Inc Sacramento</v>
      </c>
      <c r="C99" s="7" t="str">
        <f>IF(Notes!CA95="","",Notes!CA95)</f>
        <v>blendSAF</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processor</v>
      </c>
      <c r="B100" s="7" t="str">
        <f>IF(Notes!BZ96="","",Notes!BZ96)</f>
        <v>Chevron Usa Inc Martinez</v>
      </c>
      <c r="C100" s="7" t="str">
        <f>IF(Notes!CA96="","",Notes!CA96)</f>
        <v>blendSAF</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processor</v>
      </c>
      <c r="B101" s="7" t="str">
        <f>IF(Notes!BZ97="","",Notes!BZ97)</f>
        <v>Chevron Usa Inc Eureka</v>
      </c>
      <c r="C101" s="7" t="str">
        <f>IF(Notes!CA97="","",Notes!CA97)</f>
        <v>blendSAF</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processor</v>
      </c>
      <c r="B102" s="7" t="str">
        <f>IF(Notes!BZ98="","",Notes!BZ98)</f>
        <v>Chevron Usa Inc Richmond</v>
      </c>
      <c r="C102" s="7" t="str">
        <f>IF(Notes!CA98="","",Notes!CA98)</f>
        <v>blendSAF</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processor</v>
      </c>
      <c r="B103" s="7" t="str">
        <f>IF(Notes!BZ99="","",Notes!BZ99)</f>
        <v>Ergon Asphalt And Emulsions 6</v>
      </c>
      <c r="C103" s="7" t="str">
        <f>IF(Notes!CA99="","",Notes!CA99)</f>
        <v>blendSAF</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processor</v>
      </c>
      <c r="B104" s="7" t="str">
        <f>IF(Notes!BZ100="","",Notes!BZ100)</f>
        <v>Canary Renewables Corp</v>
      </c>
      <c r="C104" s="7" t="str">
        <f>IF(Notes!CA100="","",Notes!CA100)</f>
        <v>blendSAF</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processor</v>
      </c>
      <c r="B105" s="7" t="str">
        <f>IF(Notes!BZ101="","",Notes!BZ101)</f>
        <v>Phillips 66 Company 10</v>
      </c>
      <c r="C105" s="7" t="str">
        <f>IF(Notes!CA101="","",Notes!CA101)</f>
        <v>blendSAF</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processor</v>
      </c>
      <c r="B106" s="7" t="str">
        <f>IF(Notes!BZ102="","",Notes!BZ102)</f>
        <v>Phillips 66 Company 2</v>
      </c>
      <c r="C106" s="7" t="str">
        <f>IF(Notes!CA102="","",Notes!CA102)</f>
        <v>blendSAF</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processor</v>
      </c>
      <c r="B107" s="7" t="str">
        <f>IF(Notes!BZ103="","",Notes!BZ103)</f>
        <v>Phillips 66 Company 21</v>
      </c>
      <c r="C107" s="7" t="str">
        <f>IF(Notes!CA103="","",Notes!CA103)</f>
        <v>blendSAF</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processor</v>
      </c>
      <c r="B108" s="7" t="str">
        <f>IF(Notes!BZ104="","",Notes!BZ104)</f>
        <v>Phillips 66 Company 18</v>
      </c>
      <c r="C108" s="7" t="str">
        <f>IF(Notes!CA104="","",Notes!CA104)</f>
        <v>blendSAF</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processor</v>
      </c>
      <c r="B109" s="7" t="str">
        <f>IF(Notes!BZ105="","",Notes!BZ105)</f>
        <v>Phillips P66</v>
      </c>
      <c r="C109" s="7" t="str">
        <f>IF(Notes!CA105="","",Notes!CA105)</f>
        <v>blendSAF</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processor</v>
      </c>
      <c r="B110" s="7" t="str">
        <f>IF(Notes!BZ106="","",Notes!BZ106)</f>
        <v>Phillips 66 Pl Llc</v>
      </c>
      <c r="C110" s="7" t="str">
        <f>IF(Notes!CA106="","",Notes!CA106)</f>
        <v>blendSAF</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processor</v>
      </c>
      <c r="B111" s="7" t="str">
        <f>IF(Notes!BZ107="","",Notes!BZ107)</f>
        <v>Torrance Logistics Co Llc</v>
      </c>
      <c r="C111" s="7" t="str">
        <f>IF(Notes!CA107="","",Notes!CA107)</f>
        <v>blendSAF</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processor</v>
      </c>
      <c r="B112" s="7" t="str">
        <f>IF(Notes!BZ108="","",Notes!BZ108)</f>
        <v>Martinez Terminal Company Llc</v>
      </c>
      <c r="C112" s="7" t="str">
        <f>IF(Notes!CA108="","",Notes!CA108)</f>
        <v>blendSAF</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processor</v>
      </c>
      <c r="B113" s="7" t="str">
        <f>IF(Notes!BZ109="","",Notes!BZ109)</f>
        <v>Centennial Asphalt Company</v>
      </c>
      <c r="C113" s="7" t="str">
        <f>IF(Notes!CA109="","",Notes!CA109)</f>
        <v>blendSAF</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processor</v>
      </c>
      <c r="B114" s="7" t="str">
        <f>IF(Notes!BZ110="","",Notes!BZ110)</f>
        <v>Imtt-Richmond</v>
      </c>
      <c r="C114" s="7" t="str">
        <f>IF(Notes!CA110="","",Notes!CA110)</f>
        <v>blendSAF</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processor</v>
      </c>
      <c r="B115" s="7" t="str">
        <f>IF(Notes!BZ111="","",Notes!BZ111)</f>
        <v>Arrow Infrastructure Holding Ia Llc</v>
      </c>
      <c r="C115" s="7" t="str">
        <f>IF(Notes!CA111="","",Notes!CA111)</f>
        <v>blendSAF</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processor</v>
      </c>
      <c r="B116" s="7" t="str">
        <f>IF(Notes!BZ112="","",Notes!BZ112)</f>
        <v>Conduit Infrastructure Holding Ia</v>
      </c>
      <c r="C116" s="7" t="str">
        <f>IF(Notes!CA112="","",Notes!CA112)</f>
        <v>blendSAF</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processor</v>
      </c>
      <c r="B117" s="7" t="str">
        <f>IF(Notes!BZ113="","",Notes!BZ113)</f>
        <v>Sfpp Lp 2</v>
      </c>
      <c r="C117" s="7" t="str">
        <f>IF(Notes!CA113="","",Notes!CA113)</f>
        <v>blendSAF</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processor</v>
      </c>
      <c r="B118" s="7" t="str">
        <f>IF(Notes!BZ114="","",Notes!BZ114)</f>
        <v>Sfpp Lp 3</v>
      </c>
      <c r="C118" s="7" t="str">
        <f>IF(Notes!CA114="","",Notes!CA114)</f>
        <v>blendSAF</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processor</v>
      </c>
      <c r="B119" s="7" t="str">
        <f>IF(Notes!BZ115="","",Notes!BZ115)</f>
        <v>Sfpp Lp 5</v>
      </c>
      <c r="C119" s="7" t="str">
        <f>IF(Notes!CA115="","",Notes!CA115)</f>
        <v>blendSAF</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processor</v>
      </c>
      <c r="B120" s="7" t="str">
        <f>IF(Notes!BZ116="","",Notes!BZ116)</f>
        <v>Sfpp Lp 11</v>
      </c>
      <c r="C120" s="7" t="str">
        <f>IF(Notes!CA116="","",Notes!CA116)</f>
        <v>blendSAF</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processor</v>
      </c>
      <c r="B121" s="7" t="str">
        <f>IF(Notes!BZ117="","",Notes!BZ117)</f>
        <v>Sfpp Lp 7</v>
      </c>
      <c r="C121" s="7" t="str">
        <f>IF(Notes!CA117="","",Notes!CA117)</f>
        <v>blendSAF</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processor</v>
      </c>
      <c r="B122" s="7" t="str">
        <f>IF(Notes!BZ118="","",Notes!BZ118)</f>
        <v>Sfpp Lp 12</v>
      </c>
      <c r="C122" s="7" t="str">
        <f>IF(Notes!CA118="","",Notes!CA118)</f>
        <v>blendSAF</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processor</v>
      </c>
      <c r="B123" s="7" t="str">
        <f>IF(Notes!BZ119="","",Notes!BZ119)</f>
        <v>Sfpp Lp 10</v>
      </c>
      <c r="C123" s="7" t="str">
        <f>IF(Notes!CA119="","",Notes!CA119)</f>
        <v>blendSAF</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processor</v>
      </c>
      <c r="B124" s="7" t="str">
        <f>IF(Notes!BZ120="","",Notes!BZ120)</f>
        <v>Sfpp Lp 6</v>
      </c>
      <c r="C124" s="7" t="str">
        <f>IF(Notes!CA120="","",Notes!CA120)</f>
        <v>blendSAF</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processor</v>
      </c>
      <c r="B125" s="7" t="str">
        <f>IF(Notes!BZ121="","",Notes!BZ121)</f>
        <v>Sfpp Lp 1</v>
      </c>
      <c r="C125" s="7" t="str">
        <f>IF(Notes!CA121="","",Notes!CA121)</f>
        <v>blendSAF</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processor</v>
      </c>
      <c r="B126" s="7" t="str">
        <f>IF(Notes!BZ122="","",Notes!BZ122)</f>
        <v>Kinder Morgan Inc</v>
      </c>
      <c r="C126" s="7" t="str">
        <f>IF(Notes!CA122="","",Notes!CA122)</f>
        <v>blendSAF</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processor</v>
      </c>
      <c r="B127" s="7" t="str">
        <f>IF(Notes!BZ123="","",Notes!BZ123)</f>
        <v>Kinder Morgan Liq Termls Llc 13</v>
      </c>
      <c r="C127" s="7" t="str">
        <f>IF(Notes!CA123="","",Notes!CA123)</f>
        <v>blendSAF</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processor</v>
      </c>
      <c r="B128" s="7" t="str">
        <f>IF(Notes!BZ124="","",Notes!BZ124)</f>
        <v>Kinder Morgan Calnev P L Llc 5</v>
      </c>
      <c r="C128" s="7" t="str">
        <f>IF(Notes!CA124="","",Notes!CA124)</f>
        <v>blendSAF</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processor</v>
      </c>
      <c r="B129" s="7" t="str">
        <f>IF(Notes!BZ125="","",Notes!BZ125)</f>
        <v>Tesoro Refining &amp; Marketing 7</v>
      </c>
      <c r="C129" s="7" t="str">
        <f>IF(Notes!CA125="","",Notes!CA125)</f>
        <v>blendSAF</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processor</v>
      </c>
      <c r="B130" s="7" t="str">
        <f>IF(Notes!BZ126="","",Notes!BZ126)</f>
        <v>Andeavor Logistics Lp 21</v>
      </c>
      <c r="C130" s="7" t="str">
        <f>IF(Notes!CA126="","",Notes!CA126)</f>
        <v>blendSAF</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processor</v>
      </c>
      <c r="B131" s="7" t="str">
        <f>IF(Notes!BZ127="","",Notes!BZ127)</f>
        <v>Andeavor Logistics Lp 5</v>
      </c>
      <c r="C131" s="7" t="str">
        <f>IF(Notes!CA127="","",Notes!CA127)</f>
        <v>blendSAF</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processor</v>
      </c>
      <c r="B132" s="7" t="str">
        <f>IF(Notes!BZ128="","",Notes!BZ128)</f>
        <v>Andeavor Logistics Lp 20</v>
      </c>
      <c r="C132" s="7" t="str">
        <f>IF(Notes!CA128="","",Notes!CA128)</f>
        <v>blendSAF</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processor</v>
      </c>
      <c r="B133" s="7" t="str">
        <f>IF(Notes!BZ129="","",Notes!BZ129)</f>
        <v>Andeavor Logistics Lp 19</v>
      </c>
      <c r="C133" s="7" t="str">
        <f>IF(Notes!CA129="","",Notes!CA129)</f>
        <v>blendSAF</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processor</v>
      </c>
      <c r="B134" s="7" t="str">
        <f>IF(Notes!BZ130="","",Notes!BZ130)</f>
        <v>Andeavor Logistics Lp 12</v>
      </c>
      <c r="C134" s="7" t="str">
        <f>IF(Notes!CA130="","",Notes!CA130)</f>
        <v>blendSAF</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processor</v>
      </c>
      <c r="B135" s="7" t="str">
        <f>IF(Notes!BZ131="","",Notes!BZ131)</f>
        <v/>
      </c>
      <c r="C135" s="7" t="str">
        <f>IF(Notes!CA131="","",Notes!CA131)</f>
        <v>blendSAF</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processor</v>
      </c>
      <c r="B136" s="7" t="str">
        <f>IF(Notes!BZ132="","",Notes!BZ132)</f>
        <v>Andeavor Logistics Lp 13</v>
      </c>
      <c r="C136" s="7" t="str">
        <f>IF(Notes!CA132="","",Notes!CA132)</f>
        <v>blendSAF</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processor</v>
      </c>
      <c r="B137" s="7" t="str">
        <f>IF(Notes!BZ133="","",Notes!BZ133)</f>
        <v>Andeavor Logistics Lp 14</v>
      </c>
      <c r="C137" s="7" t="str">
        <f>IF(Notes!CA133="","",Notes!CA133)</f>
        <v>blendSAF</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processor</v>
      </c>
      <c r="B138" s="7" t="str">
        <f>IF(Notes!BZ134="","",Notes!BZ134)</f>
        <v>Andeavor Logistics Lp 8</v>
      </c>
      <c r="C138" s="7" t="str">
        <f>IF(Notes!CA134="","",Notes!CA134)</f>
        <v>blendSAF</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processor</v>
      </c>
      <c r="B139" s="7" t="str">
        <f>IF(Notes!BZ135="","",Notes!BZ135)</f>
        <v>Andeavor Logistics Lp 24</v>
      </c>
      <c r="C139" s="7" t="str">
        <f>IF(Notes!CA135="","",Notes!CA135)</f>
        <v>blendSAF</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processor</v>
      </c>
      <c r="B140" s="7" t="str">
        <f>IF(Notes!BZ136="","",Notes!BZ136)</f>
        <v>Petro-Diamond Trmnl Co</v>
      </c>
      <c r="C140" s="7" t="str">
        <f>IF(Notes!CA136="","",Notes!CA136)</f>
        <v>blendSAF</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processor</v>
      </c>
      <c r="B141" s="7" t="str">
        <f>IF(Notes!BZ137="","",Notes!BZ137)</f>
        <v>Nustar Energy Lp 42</v>
      </c>
      <c r="C141" s="7" t="str">
        <f>IF(Notes!CA137="","",Notes!CA137)</f>
        <v>blendSAF</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processor</v>
      </c>
      <c r="B142" s="7" t="str">
        <f>IF(Notes!BZ138="","",Notes!BZ138)</f>
        <v>Nustar Energy Lp 32</v>
      </c>
      <c r="C142" s="7" t="str">
        <f>IF(Notes!CA138="","",Notes!CA138)</f>
        <v>blendSAF</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processor</v>
      </c>
      <c r="B143" s="7" t="str">
        <f>IF(Notes!BZ139="","",Notes!BZ139)</f>
        <v>Nustar Energy Lp 12</v>
      </c>
      <c r="C143" s="7" t="str">
        <f>IF(Notes!CA139="","",Notes!CA139)</f>
        <v>blendSAF</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processor</v>
      </c>
      <c r="B144" s="7" t="str">
        <f>IF(Notes!BZ140="","",Notes!BZ140)</f>
        <v>Nustar Energy Lp 45</v>
      </c>
      <c r="C144" s="7" t="str">
        <f>IF(Notes!CA140="","",Notes!CA140)</f>
        <v>blendSAF</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processor</v>
      </c>
      <c r="B145" s="7" t="str">
        <f>IF(Notes!BZ141="","",Notes!BZ141)</f>
        <v>Olympus Terminals Llc</v>
      </c>
      <c r="C145" s="7" t="str">
        <f>IF(Notes!CA141="","",Notes!CA141)</f>
        <v>blendSAF</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processor</v>
      </c>
      <c r="B146" s="7" t="str">
        <f>IF(Notes!BZ142="","",Notes!BZ142)</f>
        <v>Pelican Renewables</v>
      </c>
      <c r="C146" s="7" t="str">
        <f>IF(Notes!CA142="","",Notes!CA142)</f>
        <v>blendSAF</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processor</v>
      </c>
      <c r="B147" s="7" t="str">
        <f>IF(Notes!BZ143="","",Notes!BZ143)</f>
        <v>Plains Lpg Services Lp 7</v>
      </c>
      <c r="C147" s="7" t="str">
        <f>IF(Notes!CA143="","",Notes!CA143)</f>
        <v>blendSAF</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processor</v>
      </c>
      <c r="B148" s="7" t="str">
        <f>IF(Notes!BZ144="","",Notes!BZ144)</f>
        <v>Equilon Enterprises Llc 4</v>
      </c>
      <c r="C148" s="7" t="str">
        <f>IF(Notes!CA144="","",Notes!CA144)</f>
        <v>blendSAF</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processor</v>
      </c>
      <c r="B149" s="7" t="str">
        <f>IF(Notes!BZ145="","",Notes!BZ145)</f>
        <v>Equilon Enterprises Llc 6</v>
      </c>
      <c r="C149" s="7" t="str">
        <f>IF(Notes!CA145="","",Notes!CA145)</f>
        <v>blendSAF</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processor</v>
      </c>
      <c r="B150" s="7" t="str">
        <f>IF(Notes!BZ146="","",Notes!BZ146)</f>
        <v>Shell Oil Products Us 15</v>
      </c>
      <c r="C150" s="7" t="str">
        <f>IF(Notes!CA146="","",Notes!CA146)</f>
        <v>blendSAF</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processor</v>
      </c>
      <c r="B151" s="7" t="str">
        <f>IF(Notes!BZ147="","",Notes!BZ147)</f>
        <v>Shell Oil Product Us</v>
      </c>
      <c r="C151" s="7" t="str">
        <f>IF(Notes!CA147="","",Notes!CA147)</f>
        <v>blendSAF</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processor</v>
      </c>
      <c r="B152" s="7" t="str">
        <f>IF(Notes!BZ148="","",Notes!BZ148)</f>
        <v>Shell Oil Products Us 7</v>
      </c>
      <c r="C152" s="7" t="str">
        <f>IF(Notes!CA148="","",Notes!CA148)</f>
        <v>blendSAF</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processor</v>
      </c>
      <c r="B153" s="7" t="str">
        <f>IF(Notes!BZ149="","",Notes!BZ149)</f>
        <v>Equilon Enterprises Llc 2</v>
      </c>
      <c r="C153" s="7" t="str">
        <f>IF(Notes!CA149="","",Notes!CA149)</f>
        <v>blendSAF</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processor</v>
      </c>
      <c r="B154" s="7" t="str">
        <f>IF(Notes!BZ150="","",Notes!BZ150)</f>
        <v>Safety-Kleen Systems Inc</v>
      </c>
      <c r="C154" s="7" t="str">
        <f>IF(Notes!CA150="","",Notes!CA150)</f>
        <v>blendSAF</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processor</v>
      </c>
      <c r="B155" s="7" t="str">
        <f>IF(Notes!BZ151="","",Notes!BZ151)</f>
        <v>Suburban Propane Partners Lp</v>
      </c>
      <c r="C155" s="7" t="str">
        <f>IF(Notes!CA151="","",Notes!CA151)</f>
        <v>blendSAF</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processor</v>
      </c>
      <c r="B156" s="7" t="str">
        <f>IF(Notes!BZ152="","",Notes!BZ152)</f>
        <v>United Liquid Gas Company</v>
      </c>
      <c r="C156" s="7" t="str">
        <f>IF(Notes!CA152="","",Notes!CA152)</f>
        <v>blendSAF</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processor</v>
      </c>
      <c r="B157" s="7" t="str">
        <f>IF(Notes!BZ153="","",Notes!BZ153)</f>
        <v>Transmontaigne Operating Company 30</v>
      </c>
      <c r="C157" s="7" t="str">
        <f>IF(Notes!CA153="","",Notes!CA153)</f>
        <v>blendSAF</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processor</v>
      </c>
      <c r="B158" s="7" t="str">
        <f>IF(Notes!BZ154="","",Notes!BZ154)</f>
        <v>Transmontaigne Operating Co 2</v>
      </c>
      <c r="C158" s="7" t="str">
        <f>IF(Notes!CA154="","",Notes!CA154)</f>
        <v>blendSAF</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processor</v>
      </c>
      <c r="B159" s="7" t="str">
        <f>IF(Notes!BZ155="","",Notes!BZ155)</f>
        <v>Tricor Refining Llc</v>
      </c>
      <c r="C159" s="7" t="str">
        <f>IF(Notes!CA155="","",Notes!CA155)</f>
        <v>blendSAF</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processor</v>
      </c>
      <c r="B160" s="7" t="str">
        <f>IF(Notes!BZ156="","",Notes!BZ156)</f>
        <v>Owens Corning 2</v>
      </c>
      <c r="C160" s="7" t="str">
        <f>IF(Notes!CA156="","",Notes!CA156)</f>
        <v>blendSAF</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processor</v>
      </c>
      <c r="B161" s="7" t="str">
        <f>IF(Notes!BZ157="","",Notes!BZ157)</f>
        <v>Paktank Terminal Los Angeles</v>
      </c>
      <c r="C161" s="7" t="str">
        <f>IF(Notes!CA157="","",Notes!CA157)</f>
        <v>blendSAF</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processor</v>
      </c>
      <c r="B162" s="7" t="str">
        <f>IF(Notes!BZ158="","",Notes!BZ158)</f>
        <v>Vopak Terminal Long Beach Inc</v>
      </c>
      <c r="C162" s="7" t="str">
        <f>IF(Notes!CA158="","",Notes!CA158)</f>
        <v>blendSAF</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processor</v>
      </c>
      <c r="B163" s="7" t="str">
        <f>IF(Notes!BZ159="","",Notes!BZ159)</f>
        <v>Bwc Terminals Llc 9</v>
      </c>
      <c r="C163" s="7" t="str">
        <f>IF(Notes!CA159="","",Notes!CA159)</f>
        <v>blendSAF</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processor</v>
      </c>
      <c r="B164" s="7" t="str">
        <f>IF(Notes!BZ160="","",Notes!BZ160)</f>
        <v>Ribost Terminal Llc</v>
      </c>
      <c r="C164" s="7" t="str">
        <f>IF(Notes!CA160="","",Notes!CA160)</f>
        <v>blendSAF</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processor</v>
      </c>
      <c r="B165" s="7" t="str">
        <f>IF(Notes!BZ161="","",Notes!BZ161)</f>
        <v>Zenith Energy West Coast Terminals</v>
      </c>
      <c r="C165" s="7" t="str">
        <f>IF(Notes!CA161="","",Notes!CA161)</f>
        <v>blendSAF</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processor</v>
      </c>
      <c r="B166" s="7" t="str">
        <f>IF(Notes!BZ162="","",Notes!BZ162)</f>
        <v>Bkep Materials Llc 4</v>
      </c>
      <c r="C166" s="7" t="str">
        <f>IF(Notes!CA162="","",Notes!CA162)</f>
        <v>blendSAF</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processor</v>
      </c>
      <c r="B167" s="7" t="str">
        <f>IF(Notes!BZ163="","",Notes!BZ163)</f>
        <v>Bkep Materials Llc 8</v>
      </c>
      <c r="C167" s="7" t="str">
        <f>IF(Notes!CA163="","",Notes!CA163)</f>
        <v>blendSAF</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processor</v>
      </c>
      <c r="B168" s="7" t="str">
        <f>IF(Notes!BZ164="","",Notes!BZ164)</f>
        <v>Bkep Materials Llc 14</v>
      </c>
      <c r="C168" s="7" t="str">
        <f>IF(Notes!CA164="","",Notes!CA164)</f>
        <v>blendSAF</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processor</v>
      </c>
      <c r="B169" s="7" t="str">
        <f>IF(Notes!BZ165="","",Notes!BZ165)</f>
        <v>Bkep Materials Llc 9</v>
      </c>
      <c r="C169" s="7" t="str">
        <f>IF(Notes!CA165="","",Notes!CA165)</f>
        <v>blendSAF</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processor</v>
      </c>
      <c r="B170" s="7" t="str">
        <f>IF(Notes!BZ166="","",Notes!BZ166)</f>
        <v>Phillips 66 Pipeline Llc - Denver</v>
      </c>
      <c r="C170" s="7" t="str">
        <f>IF(Notes!CA166="","",Notes!CA166)</f>
        <v>blendSAF</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processor</v>
      </c>
      <c r="B171" s="7" t="str">
        <f>IF(Notes!BZ167="","",Notes!BZ167)</f>
        <v>Phillips 66 Pipeline Llc 6</v>
      </c>
      <c r="C171" s="7" t="str">
        <f>IF(Notes!CA167="","",Notes!CA167)</f>
        <v>blendSAF</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processor</v>
      </c>
      <c r="B172" s="7" t="str">
        <f>IF(Notes!BZ168="","",Notes!BZ168)</f>
        <v>Golden Gateset Petro Partners Of Nv</v>
      </c>
      <c r="C172" s="7" t="str">
        <f>IF(Notes!CA168="","",Notes!CA168)</f>
        <v>blendSAF</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processor</v>
      </c>
      <c r="B173" s="7" t="str">
        <f>IF(Notes!BZ169="","",Notes!BZ169)</f>
        <v>Sinclair Oil Corp 6</v>
      </c>
      <c r="C173" s="7" t="str">
        <f>IF(Notes!CA169="","",Notes!CA169)</f>
        <v>blendSAF</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processor</v>
      </c>
      <c r="B174" s="7" t="str">
        <f>IF(Notes!BZ170="","",Notes!BZ170)</f>
        <v>Magellan Pipeline Co Lp 3</v>
      </c>
      <c r="C174" s="7" t="str">
        <f>IF(Notes!CA170="","",Notes!CA170)</f>
        <v>blendSAF</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processor</v>
      </c>
      <c r="B175" s="7" t="str">
        <f>IF(Notes!BZ171="","",Notes!BZ171)</f>
        <v>Magellan Pipeline Co Lp 14</v>
      </c>
      <c r="C175" s="7" t="str">
        <f>IF(Notes!CA171="","",Notes!CA171)</f>
        <v>blendSAF</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processor</v>
      </c>
      <c r="B176" s="7" t="str">
        <f>IF(Notes!BZ172="","",Notes!BZ172)</f>
        <v>Magellan Pipeline Co Lp 10</v>
      </c>
      <c r="C176" s="7" t="str">
        <f>IF(Notes!CA172="","",Notes!CA172)</f>
        <v>blendSAF</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processor</v>
      </c>
      <c r="B177" s="7" t="str">
        <f>IF(Notes!BZ173="","",Notes!BZ173)</f>
        <v>Nustar Energy Lp 6</v>
      </c>
      <c r="C177" s="7" t="str">
        <f>IF(Notes!CA173="","",Notes!CA173)</f>
        <v>blendSAF</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processor</v>
      </c>
      <c r="B178" s="7" t="str">
        <f>IF(Notes!BZ174="","",Notes!BZ174)</f>
        <v>Nustar Energy Lp 13</v>
      </c>
      <c r="C178" s="7" t="str">
        <f>IF(Notes!CA174="","",Notes!CA174)</f>
        <v>blendSAF</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processor</v>
      </c>
      <c r="B179" s="7" t="str">
        <f>IF(Notes!BZ175="","",Notes!BZ175)</f>
        <v>Owens Corning 3</v>
      </c>
      <c r="C179" s="7" t="str">
        <f>IF(Notes!CA175="","",Notes!CA175)</f>
        <v>blendSAF</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processor</v>
      </c>
      <c r="B180" s="7" t="str">
        <f>IF(Notes!BZ176="","",Notes!BZ176)</f>
        <v>Gulf Oil Lp 3</v>
      </c>
      <c r="C180" s="7" t="str">
        <f>IF(Notes!CA176="","",Notes!CA176)</f>
        <v>blendSAF</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processor</v>
      </c>
      <c r="B181" s="7" t="str">
        <f>IF(Notes!BZ177="","",Notes!BZ177)</f>
        <v>B&amp;B Petroleum Inc 2</v>
      </c>
      <c r="C181" s="7" t="str">
        <f>IF(Notes!CA177="","",Notes!CA177)</f>
        <v>blendSAF</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processor</v>
      </c>
      <c r="B182" s="7" t="str">
        <f>IF(Notes!BZ178="","",Notes!BZ178)</f>
        <v>B&amp;B Petroleum Inc 1</v>
      </c>
      <c r="C182" s="7" t="str">
        <f>IF(Notes!CA178="","",Notes!CA178)</f>
        <v>blendSAF</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processor</v>
      </c>
      <c r="B183" s="7" t="str">
        <f>IF(Notes!BZ179="","",Notes!BZ179)</f>
        <v>Buckeye Terminals Llc 109</v>
      </c>
      <c r="C183" s="7" t="str">
        <f>IF(Notes!CA179="","",Notes!CA179)</f>
        <v>blendSAF</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processor</v>
      </c>
      <c r="B184" s="7" t="str">
        <f>IF(Notes!BZ180="","",Notes!BZ180)</f>
        <v>Buckeye Terminals Llc 53</v>
      </c>
      <c r="C184" s="7" t="str">
        <f>IF(Notes!CA180="","",Notes!CA180)</f>
        <v>blendSAF</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processor</v>
      </c>
      <c r="B185" s="7" t="str">
        <f>IF(Notes!BZ181="","",Notes!BZ181)</f>
        <v>Buckeye Terminals Llc 73</v>
      </c>
      <c r="C185" s="7" t="str">
        <f>IF(Notes!CA181="","",Notes!CA181)</f>
        <v>blendSAF</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processor</v>
      </c>
      <c r="B186" s="7" t="str">
        <f>IF(Notes!BZ182="","",Notes!BZ182)</f>
        <v>Buckeye Terminals Llc 74</v>
      </c>
      <c r="C186" s="7" t="str">
        <f>IF(Notes!CA182="","",Notes!CA182)</f>
        <v>blendSAF</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processor</v>
      </c>
      <c r="B187" s="7" t="str">
        <f>IF(Notes!BZ183="","",Notes!BZ183)</f>
        <v>Buckeye Terminals Llc 75</v>
      </c>
      <c r="C187" s="7" t="str">
        <f>IF(Notes!CA183="","",Notes!CA183)</f>
        <v>blendSAF</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processor</v>
      </c>
      <c r="B188" s="7" t="str">
        <f>IF(Notes!BZ184="","",Notes!BZ184)</f>
        <v>Global Co Llc 11</v>
      </c>
      <c r="C188" s="7" t="str">
        <f>IF(Notes!CA184="","",Notes!CA184)</f>
        <v>blendSAF</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processor</v>
      </c>
      <c r="B189" s="7" t="str">
        <f>IF(Notes!BZ185="","",Notes!BZ185)</f>
        <v>Global Co Llc 1</v>
      </c>
      <c r="C189" s="7" t="str">
        <f>IF(Notes!CA185="","",Notes!CA185)</f>
        <v>blendSAF</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processor</v>
      </c>
      <c r="B190" s="7" t="str">
        <f>IF(Notes!BZ186="","",Notes!BZ186)</f>
        <v>Harborview Terminals Inc</v>
      </c>
      <c r="C190" s="7" t="str">
        <f>IF(Notes!CA186="","",Notes!CA186)</f>
        <v>blendSAF</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processor</v>
      </c>
      <c r="B191" s="7" t="str">
        <f>IF(Notes!BZ187="","",Notes!BZ187)</f>
        <v>Sprague Operating Resources Llc 13</v>
      </c>
      <c r="C191" s="7" t="str">
        <f>IF(Notes!CA187="","",Notes!CA187)</f>
        <v>blendSAF</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processor</v>
      </c>
      <c r="B192" s="7" t="str">
        <f>IF(Notes!BZ188="","",Notes!BZ188)</f>
        <v>Sprague Operating Resources Llc 1</v>
      </c>
      <c r="C192" s="7" t="str">
        <f>IF(Notes!CA188="","",Notes!CA188)</f>
        <v>blendSAF</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processor</v>
      </c>
      <c r="B193" s="7" t="str">
        <f>IF(Notes!BZ189="","",Notes!BZ189)</f>
        <v>Hop Energy Llc 9</v>
      </c>
      <c r="C193" s="7" t="str">
        <f>IF(Notes!CA189="","",Notes!CA189)</f>
        <v>blendSAF</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processor</v>
      </c>
      <c r="B194" s="7" t="str">
        <f>IF(Notes!BZ190="","",Notes!BZ190)</f>
        <v>Ace Energy Llc</v>
      </c>
      <c r="C194" s="7" t="str">
        <f>IF(Notes!CA190="","",Notes!CA190)</f>
        <v>blendSAF</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processor</v>
      </c>
      <c r="B195" s="7" t="str">
        <f>IF(Notes!BZ191="","",Notes!BZ191)</f>
        <v>New Haven Terminal Inc 1</v>
      </c>
      <c r="C195" s="7" t="str">
        <f>IF(Notes!CA191="","",Notes!CA191)</f>
        <v>blendSAF</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processor</v>
      </c>
      <c r="B196" s="7" t="str">
        <f>IF(Notes!BZ192="","",Notes!BZ192)</f>
        <v>New Haven Terminal Inc 2</v>
      </c>
      <c r="C196" s="7" t="str">
        <f>IF(Notes!CA192="","",Notes!CA192)</f>
        <v>blendSAF</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processor</v>
      </c>
      <c r="B197" s="7" t="str">
        <f>IF(Notes!BZ193="","",Notes!BZ193)</f>
        <v>Citgo Petro Corp 23</v>
      </c>
      <c r="C197" s="7" t="str">
        <f>IF(Notes!CA193="","",Notes!CA193)</f>
        <v>blendSAF</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processor</v>
      </c>
      <c r="B198" s="7" t="str">
        <f>IF(Notes!BZ194="","",Notes!BZ194)</f>
        <v>Shell Oil Products Us 9</v>
      </c>
      <c r="C198" s="7" t="str">
        <f>IF(Notes!CA194="","",Notes!CA194)</f>
        <v>blendSAF</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processor</v>
      </c>
      <c r="B199" s="7" t="str">
        <f>IF(Notes!BZ195="","",Notes!BZ195)</f>
        <v>Inland Fuel</v>
      </c>
      <c r="C199" s="7" t="str">
        <f>IF(Notes!CA195="","",Notes!CA195)</f>
        <v>blendSAF</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processor</v>
      </c>
      <c r="B200" s="7" t="str">
        <f>IF(Notes!BZ196="","",Notes!BZ196)</f>
        <v>Waterfront Enterprises Inc</v>
      </c>
      <c r="C200" s="7" t="str">
        <f>IF(Notes!CA196="","",Notes!CA196)</f>
        <v>blendSAF</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processor</v>
      </c>
      <c r="B201" s="7" t="str">
        <f>IF(Notes!BZ197="","",Notes!BZ197)</f>
        <v>Buckeye Terminals Llc 112</v>
      </c>
      <c r="C201" s="7" t="str">
        <f>IF(Notes!CA197="","",Notes!CA197)</f>
        <v>blendSAF</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processor</v>
      </c>
      <c r="B202" s="7" t="str">
        <f>IF(Notes!BZ198="","",Notes!BZ198)</f>
        <v>Chevron Usa Inc Panama City</v>
      </c>
      <c r="C202" s="7" t="str">
        <f>IF(Notes!CA198="","",Notes!CA198)</f>
        <v>blendSAF</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processor</v>
      </c>
      <c r="B203" s="7" t="str">
        <f>IF(Notes!BZ199="","",Notes!BZ199)</f>
        <v>Chevron Usa Inc Tampa</v>
      </c>
      <c r="C203" s="7" t="str">
        <f>IF(Notes!CA199="","",Notes!CA199)</f>
        <v>blendSAF</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processor</v>
      </c>
      <c r="B204" s="7" t="str">
        <f>IF(Notes!BZ200="","",Notes!BZ200)</f>
        <v>Chevron Usa Inc Fort Lauderdale</v>
      </c>
      <c r="C204" s="7" t="str">
        <f>IF(Notes!CA200="","",Notes!CA200)</f>
        <v>blendSAF</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processor</v>
      </c>
      <c r="B205" s="7" t="str">
        <f>IF(Notes!BZ201="","",Notes!BZ201)</f>
        <v>Petroleum Fuel &amp; Terminal Co 8</v>
      </c>
      <c r="C205" s="7" t="str">
        <f>IF(Notes!CA201="","",Notes!CA201)</f>
        <v>blendSAF</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processor</v>
      </c>
      <c r="B206" s="7" t="str">
        <f>IF(Notes!BZ202="","",Notes!BZ202)</f>
        <v>Murphy Oil Usa Inc 56</v>
      </c>
      <c r="C206" s="7" t="str">
        <f>IF(Notes!CA202="","",Notes!CA202)</f>
        <v>blendSAF</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processor</v>
      </c>
      <c r="B207" s="7" t="str">
        <f>IF(Notes!BZ203="","",Notes!BZ203)</f>
        <v>Murphy Oil Usa Inc 51</v>
      </c>
      <c r="C207" s="7" t="str">
        <f>IF(Notes!CA203="","",Notes!CA203)</f>
        <v>blendSAF</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processor</v>
      </c>
      <c r="B208" s="7" t="str">
        <f>IF(Notes!BZ204="","",Notes!BZ204)</f>
        <v>Associated Asphalt Lake City Llc</v>
      </c>
      <c r="C208" s="7" t="str">
        <f>IF(Notes!CA204="","",Notes!CA204)</f>
        <v>blendSAF</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processor</v>
      </c>
      <c r="B209" s="7" t="str">
        <f>IF(Notes!BZ205="","",Notes!BZ205)</f>
        <v>Associated Asphalt Tampa Llc</v>
      </c>
      <c r="C209" s="7" t="str">
        <f>IF(Notes!CA205="","",Notes!CA205)</f>
        <v>blendSAF</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processor</v>
      </c>
      <c r="B210" s="7" t="str">
        <f>IF(Notes!BZ206="","",Notes!BZ206)</f>
        <v>Buckeye Terminals Llc 101</v>
      </c>
      <c r="C210" s="7" t="str">
        <f>IF(Notes!CA206="","",Notes!CA206)</f>
        <v>blendSAF</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processor</v>
      </c>
      <c r="B211" s="7" t="str">
        <f>IF(Notes!BZ207="","",Notes!BZ207)</f>
        <v>Buckeye Terminals Llc 49</v>
      </c>
      <c r="C211" s="7" t="str">
        <f>IF(Notes!CA207="","",Notes!CA207)</f>
        <v>blendSAF</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processor</v>
      </c>
      <c r="B212" s="7" t="str">
        <f>IF(Notes!BZ208="","",Notes!BZ208)</f>
        <v>Buckeye Terminals Llc 60</v>
      </c>
      <c r="C212" s="7" t="str">
        <f>IF(Notes!CA208="","",Notes!CA208)</f>
        <v>blendSAF</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processor</v>
      </c>
      <c r="B213" s="7" t="str">
        <f>IF(Notes!BZ209="","",Notes!BZ209)</f>
        <v>Buckeye Terminals Llc 102</v>
      </c>
      <c r="C213" s="7" t="str">
        <f>IF(Notes!CA209="","",Notes!CA209)</f>
        <v>blendSAF</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processor</v>
      </c>
      <c r="B214" s="7" t="str">
        <f>IF(Notes!BZ210="","",Notes!BZ210)</f>
        <v>Sunoco Llc 8</v>
      </c>
      <c r="C214" s="7" t="str">
        <f>IF(Notes!CA210="","",Notes!CA210)</f>
        <v>blendSAF</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processor</v>
      </c>
      <c r="B215" s="7" t="str">
        <f>IF(Notes!BZ211="","",Notes!BZ211)</f>
        <v>Exxonmobil Pl Co 3</v>
      </c>
      <c r="C215" s="7" t="str">
        <f>IF(Notes!CA211="","",Notes!CA211)</f>
        <v>blendSAF</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processor</v>
      </c>
      <c r="B216" s="7" t="str">
        <f>IF(Notes!BZ212="","",Notes!BZ212)</f>
        <v>Kindermorgan 2</v>
      </c>
      <c r="C216" s="7" t="str">
        <f>IF(Notes!CA212="","",Notes!CA212)</f>
        <v>blendSAF</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processor</v>
      </c>
      <c r="B217" s="7" t="str">
        <f>IF(Notes!BZ213="","",Notes!BZ213)</f>
        <v>Kinder Morgan Se Trmnls Llc 2</v>
      </c>
      <c r="C217" s="7" t="str">
        <f>IF(Notes!CA213="","",Notes!CA213)</f>
        <v>blendSAF</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processor</v>
      </c>
      <c r="B218" s="7" t="str">
        <f>IF(Notes!BZ214="","",Notes!BZ214)</f>
        <v>Marathon Petroleum Co Llc 20</v>
      </c>
      <c r="C218" s="7" t="str">
        <f>IF(Notes!CA214="","",Notes!CA214)</f>
        <v>blendSAF</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processor</v>
      </c>
      <c r="B219" s="7" t="str">
        <f>IF(Notes!BZ215="","",Notes!BZ215)</f>
        <v>Mplx Terminals Llc 18</v>
      </c>
      <c r="C219" s="7" t="str">
        <f>IF(Notes!CA215="","",Notes!CA215)</f>
        <v>blendSAF</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processor</v>
      </c>
      <c r="B220" s="7" t="str">
        <f>IF(Notes!BZ216="","",Notes!BZ216)</f>
        <v>Mplx Terminals Llc 49</v>
      </c>
      <c r="C220" s="7" t="str">
        <f>IF(Notes!CA216="","",Notes!CA216)</f>
        <v>blendSAF</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processor</v>
      </c>
      <c r="B221" s="7" t="str">
        <f>IF(Notes!BZ217="","",Notes!BZ217)</f>
        <v>Mplx Terminals Llc 19</v>
      </c>
      <c r="C221" s="7" t="str">
        <f>IF(Notes!CA217="","",Notes!CA217)</f>
        <v>blendSAF</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processor</v>
      </c>
      <c r="B222" s="7" t="str">
        <f>IF(Notes!BZ218="","",Notes!BZ218)</f>
        <v>Martin Midstream Partnership Lp</v>
      </c>
      <c r="C222" s="7" t="str">
        <f>IF(Notes!CA218="","",Notes!CA218)</f>
        <v>blendSAF</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processor</v>
      </c>
      <c r="B223" s="7" t="str">
        <f>IF(Notes!BZ219="","",Notes!BZ219)</f>
        <v>Mck Terminals Llc 2</v>
      </c>
      <c r="C223" s="7" t="str">
        <f>IF(Notes!CA219="","",Notes!CA219)</f>
        <v>blendSAF</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processor</v>
      </c>
      <c r="B224" s="7" t="str">
        <f>IF(Notes!BZ220="","",Notes!BZ220)</f>
        <v>Omega Partners Iii Llc 3</v>
      </c>
      <c r="C224" s="7" t="str">
        <f>IF(Notes!CA220="","",Notes!CA220)</f>
        <v>blendSAF</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processor</v>
      </c>
      <c r="B225" s="7" t="str">
        <f>IF(Notes!BZ221="","",Notes!BZ221)</f>
        <v>Citgo Petroleum Corp 38</v>
      </c>
      <c r="C225" s="7" t="str">
        <f>IF(Notes!CA221="","",Notes!CA221)</f>
        <v>blendSAF</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processor</v>
      </c>
      <c r="B226" s="7" t="str">
        <f>IF(Notes!BZ222="","",Notes!BZ222)</f>
        <v>Citgo Petroleum Corp 29</v>
      </c>
      <c r="C226" s="7" t="str">
        <f>IF(Notes!CA222="","",Notes!CA222)</f>
        <v>blendSAF</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processor</v>
      </c>
      <c r="B227" s="7" t="str">
        <f>IF(Notes!BZ223="","",Notes!BZ223)</f>
        <v>Citgo Petroleum Corp 33</v>
      </c>
      <c r="C227" s="7" t="str">
        <f>IF(Notes!CA223="","",Notes!CA223)</f>
        <v>blendSAF</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processor</v>
      </c>
      <c r="B228" s="7" t="str">
        <f>IF(Notes!BZ224="","",Notes!BZ224)</f>
        <v>Plains Lpg Services Lp 8</v>
      </c>
      <c r="C228" s="7" t="str">
        <f>IF(Notes!CA224="","",Notes!CA224)</f>
        <v>blendSAF</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processor</v>
      </c>
      <c r="B229" s="7" t="str">
        <f>IF(Notes!BZ225="","",Notes!BZ225)</f>
        <v>Motiva Enterprises Llc 22</v>
      </c>
      <c r="C229" s="7" t="str">
        <f>IF(Notes!CA225="","",Notes!CA225)</f>
        <v>blendSAF</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processor</v>
      </c>
      <c r="B230" s="7" t="str">
        <f>IF(Notes!BZ226="","",Notes!BZ226)</f>
        <v>Motiva Enterprises Llc 12</v>
      </c>
      <c r="C230" s="7" t="str">
        <f>IF(Notes!CA226="","",Notes!CA226)</f>
        <v>blendSAF</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processor</v>
      </c>
      <c r="B231" s="7" t="str">
        <f>IF(Notes!BZ227="","",Notes!BZ227)</f>
        <v>Motiva Enterprises Llc 13</v>
      </c>
      <c r="C231" s="7" t="str">
        <f>IF(Notes!CA227="","",Notes!CA227)</f>
        <v>blendSAF</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processor</v>
      </c>
      <c r="B232" s="7" t="str">
        <f>IF(Notes!BZ228="","",Notes!BZ228)</f>
        <v>Motiva Enterprises Llc 14</v>
      </c>
      <c r="C232" s="7" t="str">
        <f>IF(Notes!CA228="","",Notes!CA228)</f>
        <v>blendSAF</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processor</v>
      </c>
      <c r="B233" s="7" t="str">
        <f>IF(Notes!BZ229="","",Notes!BZ229)</f>
        <v>South Florida Materials Corp 10</v>
      </c>
      <c r="C233" s="7" t="str">
        <f>IF(Notes!CA229="","",Notes!CA229)</f>
        <v>blendSAF</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processor</v>
      </c>
      <c r="B234" s="7" t="str">
        <f>IF(Notes!BZ230="","",Notes!BZ230)</f>
        <v>South Florida Materials Corp 14</v>
      </c>
      <c r="C234" s="7" t="str">
        <f>IF(Notes!CA230="","",Notes!CA230)</f>
        <v>blendSAF</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processor</v>
      </c>
      <c r="B235" s="7" t="str">
        <f>IF(Notes!BZ231="","",Notes!BZ231)</f>
        <v>South Florida Materials Corp 11</v>
      </c>
      <c r="C235" s="7" t="str">
        <f>IF(Notes!CA231="","",Notes!CA231)</f>
        <v>blendSAF</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processor</v>
      </c>
      <c r="B236" s="7" t="str">
        <f>IF(Notes!BZ232="","",Notes!BZ232)</f>
        <v>Targa Midstream Services Llc 6</v>
      </c>
      <c r="C236" s="7" t="str">
        <f>IF(Notes!CA232="","",Notes!CA232)</f>
        <v>blendSAF</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processor</v>
      </c>
      <c r="B237" s="7" t="str">
        <f>IF(Notes!BZ233="","",Notes!BZ233)</f>
        <v>Transmontaigne Operating Company 32</v>
      </c>
      <c r="C237" s="7" t="str">
        <f>IF(Notes!CA233="","",Notes!CA233)</f>
        <v>blendSAF</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processor</v>
      </c>
      <c r="B238" s="7" t="str">
        <f>IF(Notes!BZ234="","",Notes!BZ234)</f>
        <v>Transmontaigne Operating Company 27</v>
      </c>
      <c r="C238" s="7" t="str">
        <f>IF(Notes!CA234="","",Notes!CA234)</f>
        <v>blendSAF</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processor</v>
      </c>
      <c r="B239" s="7" t="str">
        <f>IF(Notes!BZ235="","",Notes!BZ235)</f>
        <v>Transmontaigne Operating Company 39</v>
      </c>
      <c r="C239" s="7" t="str">
        <f>IF(Notes!CA235="","",Notes!CA235)</f>
        <v>blendSAF</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processor</v>
      </c>
      <c r="B240" s="7" t="str">
        <f>IF(Notes!BZ236="","",Notes!BZ236)</f>
        <v>Transmontaigne Operating Company 40</v>
      </c>
      <c r="C240" s="7" t="str">
        <f>IF(Notes!CA236="","",Notes!CA236)</f>
        <v>blendSAF</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processor</v>
      </c>
      <c r="B241" s="7" t="str">
        <f>IF(Notes!BZ237="","",Notes!BZ237)</f>
        <v>Transmontaigne Operating Company 21</v>
      </c>
      <c r="C241" s="7" t="str">
        <f>IF(Notes!CA237="","",Notes!CA237)</f>
        <v>blendSAF</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processor</v>
      </c>
      <c r="B242" s="7" t="str">
        <f>IF(Notes!BZ238="","",Notes!BZ238)</f>
        <v>Transmontaigne Operating Company 22</v>
      </c>
      <c r="C242" s="7" t="str">
        <f>IF(Notes!CA238="","",Notes!CA238)</f>
        <v>blendSAF</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processor</v>
      </c>
      <c r="B243" s="7" t="str">
        <f>IF(Notes!BZ239="","",Notes!BZ239)</f>
        <v>Transmontaigne Operating Company 48</v>
      </c>
      <c r="C243" s="7" t="str">
        <f>IF(Notes!CA239="","",Notes!CA239)</f>
        <v>blendSAF</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processor</v>
      </c>
      <c r="B244" s="7" t="str">
        <f>IF(Notes!BZ240="","",Notes!BZ240)</f>
        <v>Transmontaigne Operating Company 13</v>
      </c>
      <c r="C244" s="7" t="str">
        <f>IF(Notes!CA240="","",Notes!CA240)</f>
        <v>blendSAF</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processor</v>
      </c>
      <c r="B245" s="7" t="str">
        <f>IF(Notes!BZ241="","",Notes!BZ241)</f>
        <v>Owens Corning 5</v>
      </c>
      <c r="C245" s="7" t="str">
        <f>IF(Notes!CA241="","",Notes!CA241)</f>
        <v>blendSAF</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processor</v>
      </c>
      <c r="B246" s="7" t="str">
        <f>IF(Notes!BZ242="","",Notes!BZ242)</f>
        <v>Seaport Canaveral Corp</v>
      </c>
      <c r="C246" s="7" t="str">
        <f>IF(Notes!CA242="","",Notes!CA242)</f>
        <v>blendSAF</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processor</v>
      </c>
      <c r="B247" s="7" t="str">
        <f>IF(Notes!BZ243="","",Notes!BZ243)</f>
        <v>Chevron Usa Inc Doraville</v>
      </c>
      <c r="C247" s="7" t="str">
        <f>IF(Notes!CA243="","",Notes!CA243)</f>
        <v>blendSAF</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processor</v>
      </c>
      <c r="B248" s="7" t="str">
        <f>IF(Notes!BZ244="","",Notes!BZ244)</f>
        <v>Colonial Terminals Inc</v>
      </c>
      <c r="C248" s="7" t="str">
        <f>IF(Notes!CA244="","",Notes!CA244)</f>
        <v>blendSAF</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processor</v>
      </c>
      <c r="B249" s="7" t="str">
        <f>IF(Notes!BZ245="","",Notes!BZ245)</f>
        <v>Cti Wahlstrom Terminal Inc</v>
      </c>
      <c r="C249" s="7" t="str">
        <f>IF(Notes!CA245="","",Notes!CA245)</f>
        <v>blendSAF</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processor</v>
      </c>
      <c r="B250" s="7" t="str">
        <f>IF(Notes!BZ246="","",Notes!BZ246)</f>
        <v>Cti Foundation Terminal Inc</v>
      </c>
      <c r="C250" s="7" t="str">
        <f>IF(Notes!CA246="","",Notes!CA246)</f>
        <v>blendSAF</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processor</v>
      </c>
      <c r="B251" s="7" t="str">
        <f>IF(Notes!BZ247="","",Notes!BZ247)</f>
        <v>Ergon Asphalt &amp; Emulsions Inc 4</v>
      </c>
      <c r="C251" s="7" t="str">
        <f>IF(Notes!CA247="","",Notes!CA247)</f>
        <v>blendSAF</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processor</v>
      </c>
      <c r="B252" s="7" t="str">
        <f>IF(Notes!BZ248="","",Notes!BZ248)</f>
        <v>Bkep Materials Llc 1</v>
      </c>
      <c r="C252" s="7" t="str">
        <f>IF(Notes!CA248="","",Notes!CA248)</f>
        <v>blendSAF</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processor</v>
      </c>
      <c r="B253" s="7" t="str">
        <f>IF(Notes!BZ249="","",Notes!BZ249)</f>
        <v>Saratoga Rp East Llc 2</v>
      </c>
      <c r="C253" s="7" t="str">
        <f>IF(Notes!CA249="","",Notes!CA249)</f>
        <v>blendSAF</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processor</v>
      </c>
      <c r="B254" s="7" t="str">
        <f>IF(Notes!BZ250="","",Notes!BZ250)</f>
        <v>Saratoga Rp East Llc 1</v>
      </c>
      <c r="C254" s="7" t="str">
        <f>IF(Notes!CA250="","",Notes!CA250)</f>
        <v>blendSAF</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processor</v>
      </c>
      <c r="B255" s="7" t="str">
        <f>IF(Notes!BZ251="","",Notes!BZ251)</f>
        <v>Associated Asphalt Gainsville Llc</v>
      </c>
      <c r="C255" s="7" t="str">
        <f>IF(Notes!CA251="","",Notes!CA251)</f>
        <v>blendSAF</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processor</v>
      </c>
      <c r="B256" s="7" t="str">
        <f>IF(Notes!BZ252="","",Notes!BZ252)</f>
        <v>Buckeye Se Terminals Lp 8</v>
      </c>
      <c r="C256" s="7" t="str">
        <f>IF(Notes!CA252="","",Notes!CA252)</f>
        <v>blendSAF</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processor</v>
      </c>
      <c r="B257" s="7" t="str">
        <f>IF(Notes!BZ253="","",Notes!BZ253)</f>
        <v>Buckeye Se Terminals Lp 13</v>
      </c>
      <c r="C257" s="7" t="str">
        <f>IF(Notes!CA253="","",Notes!CA253)</f>
        <v>blendSAF</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processor</v>
      </c>
      <c r="B258" s="7" t="str">
        <f>IF(Notes!BZ254="","",Notes!BZ254)</f>
        <v>Buckeye Se Terminals Lp 1</v>
      </c>
      <c r="C258" s="7" t="str">
        <f>IF(Notes!CA254="","",Notes!CA254)</f>
        <v>blendSAF</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processor</v>
      </c>
      <c r="B259" s="7" t="str">
        <f>IF(Notes!BZ255="","",Notes!BZ255)</f>
        <v>Buckeye Se Terminals Lp 9</v>
      </c>
      <c r="C259" s="7" t="str">
        <f>IF(Notes!CA255="","",Notes!CA255)</f>
        <v>blendSAF</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processor</v>
      </c>
      <c r="B260" s="7" t="str">
        <f>IF(Notes!BZ256="","",Notes!BZ256)</f>
        <v>Buckeye Se Terminals Lp 2</v>
      </c>
      <c r="C260" s="7" t="str">
        <f>IF(Notes!CA256="","",Notes!CA256)</f>
        <v>blendSAF</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processor</v>
      </c>
      <c r="B261" s="7" t="str">
        <f>IF(Notes!BZ257="","",Notes!BZ257)</f>
        <v>Colonial Terminals Operating Co Llc 1</v>
      </c>
      <c r="C261" s="7" t="str">
        <f>IF(Notes!CA257="","",Notes!CA257)</f>
        <v>blendSAF</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processor</v>
      </c>
      <c r="B262" s="7" t="str">
        <f>IF(Notes!BZ258="","",Notes!BZ258)</f>
        <v>Colonial Pipeline Co</v>
      </c>
      <c r="C262" s="7" t="str">
        <f>IF(Notes!CA258="","",Notes!CA258)</f>
        <v>blendSAF</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processor</v>
      </c>
      <c r="B263" s="7" t="str">
        <f>IF(Notes!BZ259="","",Notes!BZ259)</f>
        <v>Phillips 66 4</v>
      </c>
      <c r="C263" s="7" t="str">
        <f>IF(Notes!CA259="","",Notes!CA259)</f>
        <v>blendSAF</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processor</v>
      </c>
      <c r="B264" s="7" t="str">
        <f>IF(Notes!BZ260="","",Notes!BZ260)</f>
        <v>Eco-Energy Distribution Services Llc 2</v>
      </c>
      <c r="C264" s="7" t="str">
        <f>IF(Notes!CA260="","",Notes!CA260)</f>
        <v>blendSAF</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processor</v>
      </c>
      <c r="B265" s="7" t="str">
        <f>IF(Notes!BZ261="","",Notes!BZ261)</f>
        <v>Eco-Energy Distribution Services Llc 1</v>
      </c>
      <c r="C265" s="7" t="str">
        <f>IF(Notes!CA261="","",Notes!CA261)</f>
        <v>blendSAF</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processor</v>
      </c>
      <c r="B266" s="7" t="str">
        <f>IF(Notes!BZ262="","",Notes!BZ262)</f>
        <v>Ent Propane Terminals &amp; Storage Llc 7</v>
      </c>
      <c r="C266" s="7" t="str">
        <f>IF(Notes!CA262="","",Notes!CA262)</f>
        <v>blendSAF</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processor</v>
      </c>
      <c r="B267" s="7" t="str">
        <f>IF(Notes!BZ263="","",Notes!BZ263)</f>
        <v>Ent Propane Terminals &amp; Storage Llc 1</v>
      </c>
      <c r="C267" s="7" t="str">
        <f>IF(Notes!CA263="","",Notes!CA263)</f>
        <v>blendSAF</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processor</v>
      </c>
      <c r="B268" s="7" t="str">
        <f>IF(Notes!BZ264="","",Notes!BZ264)</f>
        <v>Ent Propane Terminals &amp; Storage Llc 2</v>
      </c>
      <c r="C268" s="7" t="str">
        <f>IF(Notes!CA264="","",Notes!CA264)</f>
        <v>blendSAF</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processor</v>
      </c>
      <c r="B269" s="7" t="str">
        <f>IF(Notes!BZ265="","",Notes!BZ265)</f>
        <v>E R Snell Contractor Inc</v>
      </c>
      <c r="C269" s="7" t="str">
        <f>IF(Notes!CA265="","",Notes!CA265)</f>
        <v>blendSAF</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processor</v>
      </c>
      <c r="B270" s="7" t="str">
        <f>IF(Notes!BZ266="","",Notes!BZ266)</f>
        <v>Kinder Morgan Liq Termls Llc 1</v>
      </c>
      <c r="C270" s="7" t="str">
        <f>IF(Notes!CA266="","",Notes!CA266)</f>
        <v>blendSAF</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processor</v>
      </c>
      <c r="B271" s="7" t="str">
        <f>IF(Notes!BZ267="","",Notes!BZ267)</f>
        <v>Kinder Morgan Liq Termls Llc 8</v>
      </c>
      <c r="C271" s="7" t="str">
        <f>IF(Notes!CA267="","",Notes!CA267)</f>
        <v>blendSAF</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processor</v>
      </c>
      <c r="B272" s="7" t="str">
        <f>IF(Notes!BZ268="","",Notes!BZ268)</f>
        <v>Kinder Morgan Liq Termls Llc 9</v>
      </c>
      <c r="C272" s="7" t="str">
        <f>IF(Notes!CA268="","",Notes!CA268)</f>
        <v>blendSAF</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processor</v>
      </c>
      <c r="B273" s="7" t="str">
        <f>IF(Notes!BZ269="","",Notes!BZ269)</f>
        <v>Kinder Morgan Southeast Terminal 3</v>
      </c>
      <c r="C273" s="7" t="str">
        <f>IF(Notes!CA269="","",Notes!CA269)</f>
        <v>blendSAF</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processor</v>
      </c>
      <c r="B274" s="7" t="str">
        <f>IF(Notes!BZ270="","",Notes!BZ270)</f>
        <v>Imtt Epic Llc 2</v>
      </c>
      <c r="C274" s="7" t="str">
        <f>IF(Notes!CA270="","",Notes!CA270)</f>
        <v>blendSAF</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processor</v>
      </c>
      <c r="B275" s="7" t="str">
        <f>IF(Notes!BZ271="","",Notes!BZ271)</f>
        <v>Imtt Epic Llc 3</v>
      </c>
      <c r="C275" s="7" t="str">
        <f>IF(Notes!CA271="","",Notes!CA271)</f>
        <v>blendSAF</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processor</v>
      </c>
      <c r="B276" s="7" t="str">
        <f>IF(Notes!BZ272="","",Notes!BZ272)</f>
        <v>Marathon Petroleum Co Llc 5</v>
      </c>
      <c r="C276" s="7" t="str">
        <f>IF(Notes!CA272="","",Notes!CA272)</f>
        <v>blendSAF</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processor</v>
      </c>
      <c r="B277" s="7" t="str">
        <f>IF(Notes!BZ273="","",Notes!BZ273)</f>
        <v>Mplx Terminals Llc 16</v>
      </c>
      <c r="C277" s="7" t="str">
        <f>IF(Notes!CA273="","",Notes!CA273)</f>
        <v>blendSAF</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processor</v>
      </c>
      <c r="B278" s="7" t="str">
        <f>IF(Notes!BZ274="","",Notes!BZ274)</f>
        <v>Mplx Terminals Llc 1</v>
      </c>
      <c r="C278" s="7" t="str">
        <f>IF(Notes!CA274="","",Notes!CA274)</f>
        <v>blendSAF</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processor</v>
      </c>
      <c r="B279" s="7" t="str">
        <f>IF(Notes!BZ275="","",Notes!BZ275)</f>
        <v>Mplx Terminals Llc 33</v>
      </c>
      <c r="C279" s="7" t="str">
        <f>IF(Notes!CA275="","",Notes!CA275)</f>
        <v>blendSAF</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processor</v>
      </c>
      <c r="B280" s="7" t="str">
        <f>IF(Notes!BZ276="","",Notes!BZ276)</f>
        <v>Cw Matthews Contracting Co Inc</v>
      </c>
      <c r="C280" s="7" t="str">
        <f>IF(Notes!CA276="","",Notes!CA276)</f>
        <v>blendSAF</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processor</v>
      </c>
      <c r="B281" s="7" t="str">
        <f>IF(Notes!BZ277="","",Notes!BZ277)</f>
        <v>Omega Ptnrs Iii Llc</v>
      </c>
      <c r="C281" s="7" t="str">
        <f>IF(Notes!CA277="","",Notes!CA277)</f>
        <v>blendSAF</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processor</v>
      </c>
      <c r="B282" s="7" t="str">
        <f>IF(Notes!BZ278="","",Notes!BZ278)</f>
        <v>Citgo Petro Corp 12</v>
      </c>
      <c r="C282" s="7" t="str">
        <f>IF(Notes!CA278="","",Notes!CA278)</f>
        <v>blendSAF</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processor</v>
      </c>
      <c r="B283" s="7" t="str">
        <f>IF(Notes!BZ279="","",Notes!BZ279)</f>
        <v>Poet Biorefining Camilla Llc</v>
      </c>
      <c r="C283" s="7" t="str">
        <f>IF(Notes!CA279="","",Notes!CA279)</f>
        <v>blendSAF</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processor</v>
      </c>
      <c r="B284" s="7" t="str">
        <f>IF(Notes!BZ280="","",Notes!BZ280)</f>
        <v>Powder Springs Logistics Llc</v>
      </c>
      <c r="C284" s="7" t="str">
        <f>IF(Notes!CA280="","",Notes!CA280)</f>
        <v>blendSAF</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processor</v>
      </c>
      <c r="B285" s="7" t="str">
        <f>IF(Notes!BZ281="","",Notes!BZ281)</f>
        <v>Motiva Enterprises Llc 8</v>
      </c>
      <c r="C285" s="7" t="str">
        <f>IF(Notes!CA281="","",Notes!CA281)</f>
        <v>blendSAF</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processor</v>
      </c>
      <c r="B286" s="7" t="str">
        <f>IF(Notes!BZ282="","",Notes!BZ282)</f>
        <v>Motiva Enterprises Llc 2</v>
      </c>
      <c r="C286" s="7" t="str">
        <f>IF(Notes!CA282="","",Notes!CA282)</f>
        <v>blendSAF</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processor</v>
      </c>
      <c r="B287" s="7" t="str">
        <f>IF(Notes!BZ283="","",Notes!BZ283)</f>
        <v>Motiva Enterprises Llc 9</v>
      </c>
      <c r="C287" s="7" t="str">
        <f>IF(Notes!CA283="","",Notes!CA283)</f>
        <v>blendSAF</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processor</v>
      </c>
      <c r="B288" s="7" t="str">
        <f>IF(Notes!BZ284="","",Notes!BZ284)</f>
        <v>South Florida Materials Corp 12</v>
      </c>
      <c r="C288" s="7" t="str">
        <f>IF(Notes!CA284="","",Notes!CA284)</f>
        <v>blendSAF</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processor</v>
      </c>
      <c r="B289" s="7" t="str">
        <f>IF(Notes!BZ285="","",Notes!BZ285)</f>
        <v>Southeast Emulsions Inc 1</v>
      </c>
      <c r="C289" s="7" t="str">
        <f>IF(Notes!CA285="","",Notes!CA285)</f>
        <v>blendSAF</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processor</v>
      </c>
      <c r="B290" s="7" t="str">
        <f>IF(Notes!BZ286="","",Notes!BZ286)</f>
        <v>Transmontaigne Operating Company 3</v>
      </c>
      <c r="C290" s="7" t="str">
        <f>IF(Notes!CA286="","",Notes!CA286)</f>
        <v>blendSAF</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processor</v>
      </c>
      <c r="B291" s="7" t="str">
        <f>IF(Notes!BZ287="","",Notes!BZ287)</f>
        <v>Transmontaigne Operating Company 4</v>
      </c>
      <c r="C291" s="7" t="str">
        <f>IF(Notes!CA287="","",Notes!CA287)</f>
        <v>blendSAF</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processor</v>
      </c>
      <c r="B292" s="7" t="str">
        <f>IF(Notes!BZ288="","",Notes!BZ288)</f>
        <v>Transmontaigne Operating Company 6</v>
      </c>
      <c r="C292" s="7" t="str">
        <f>IF(Notes!CA288="","",Notes!CA288)</f>
        <v>blendSAF</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processor</v>
      </c>
      <c r="B293" s="7" t="str">
        <f>IF(Notes!BZ289="","",Notes!BZ289)</f>
        <v>Transmontaigne Operating Company 7</v>
      </c>
      <c r="C293" s="7" t="str">
        <f>IF(Notes!CA289="","",Notes!CA289)</f>
        <v>blendSAF</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processor</v>
      </c>
      <c r="B294" s="7" t="str">
        <f>IF(Notes!BZ290="","",Notes!BZ290)</f>
        <v>Transmontaigne Operating Company 17</v>
      </c>
      <c r="C294" s="7" t="str">
        <f>IF(Notes!CA290="","",Notes!CA290)</f>
        <v>blendSAF</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processor</v>
      </c>
      <c r="B295" s="7" t="str">
        <f>IF(Notes!BZ291="","",Notes!BZ291)</f>
        <v>Transmontaigne Operating Company 25</v>
      </c>
      <c r="C295" s="7" t="str">
        <f>IF(Notes!CA291="","",Notes!CA291)</f>
        <v>blendSAF</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processor</v>
      </c>
      <c r="B296" s="7" t="str">
        <f>IF(Notes!BZ292="","",Notes!BZ292)</f>
        <v>Transmontaigne Operating Company 29</v>
      </c>
      <c r="C296" s="7" t="str">
        <f>IF(Notes!CA292="","",Notes!CA292)</f>
        <v>blendSAF</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processor</v>
      </c>
      <c r="B297" s="7" t="str">
        <f>IF(Notes!BZ293="","",Notes!BZ293)</f>
        <v>Transmontaigne Operating Company 44</v>
      </c>
      <c r="C297" s="7" t="str">
        <f>IF(Notes!CA293="","",Notes!CA293)</f>
        <v>blendSAF</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processor</v>
      </c>
      <c r="B298" s="7" t="str">
        <f>IF(Notes!BZ294="","",Notes!BZ294)</f>
        <v>Transmontaigne Operating Company 45</v>
      </c>
      <c r="C298" s="7" t="str">
        <f>IF(Notes!CA294="","",Notes!CA294)</f>
        <v>blendSAF</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processor</v>
      </c>
      <c r="B299" s="7" t="str">
        <f>IF(Notes!BZ295="","",Notes!BZ295)</f>
        <v>Owens Corning 1</v>
      </c>
      <c r="C299" s="7" t="str">
        <f>IF(Notes!CA295="","",Notes!CA295)</f>
        <v>blendSAF</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processor</v>
      </c>
      <c r="B300" s="7" t="str">
        <f>IF(Notes!BZ296="","",Notes!BZ296)</f>
        <v>Vopak Terminals North Amer Inc 2</v>
      </c>
      <c r="C300" s="7" t="str">
        <f>IF(Notes!CA296="","",Notes!CA296)</f>
        <v>blendSAF</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processor</v>
      </c>
      <c r="B301" s="7" t="str">
        <f>IF(Notes!BZ297="","",Notes!BZ297)</f>
        <v>Ergon Asphalt &amp; Emulsions Inc 2</v>
      </c>
      <c r="C301" s="7" t="str">
        <f>IF(Notes!CA297="","",Notes!CA297)</f>
        <v>blendSAF</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processor</v>
      </c>
      <c r="B302" s="7" t="str">
        <f>IF(Notes!BZ298="","",Notes!BZ298)</f>
        <v>Sinclair Oil Corp 1</v>
      </c>
      <c r="C302" s="7" t="str">
        <f>IF(Notes!CA298="","",Notes!CA298)</f>
        <v>blendSAF</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processor</v>
      </c>
      <c r="B303" s="7" t="str">
        <f>IF(Notes!BZ299="","",Notes!BZ299)</f>
        <v>Sinclair Oil Corp 3</v>
      </c>
      <c r="C303" s="7" t="str">
        <f>IF(Notes!CA299="","",Notes!CA299)</f>
        <v>blendSAF</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processor</v>
      </c>
      <c r="B304" s="7" t="str">
        <f>IF(Notes!BZ300="","",Notes!BZ300)</f>
        <v>Sinclair Oil Corp 2</v>
      </c>
      <c r="C304" s="7" t="str">
        <f>IF(Notes!CA300="","",Notes!CA300)</f>
        <v>blendSAF</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processor</v>
      </c>
      <c r="B305" s="7" t="str">
        <f>IF(Notes!BZ301="","",Notes!BZ301)</f>
        <v>Andeavor Logistics Lp 7</v>
      </c>
      <c r="C305" s="7" t="str">
        <f>IF(Notes!CA301="","",Notes!CA301)</f>
        <v>blendSAF</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processor</v>
      </c>
      <c r="B306" s="7" t="str">
        <f>IF(Notes!BZ302="","",Notes!BZ302)</f>
        <v>Andeavor Logistics Lp 6</v>
      </c>
      <c r="C306" s="7" t="str">
        <f>IF(Notes!CA302="","",Notes!CA302)</f>
        <v>blendSAF</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processor</v>
      </c>
      <c r="B307" s="7" t="str">
        <f>IF(Notes!BZ303="","",Notes!BZ303)</f>
        <v>Andeavor Logistics Lp 18</v>
      </c>
      <c r="C307" s="7" t="str">
        <f>IF(Notes!CA303="","",Notes!CA303)</f>
        <v>blendSAF</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processor</v>
      </c>
      <c r="B308" s="7" t="str">
        <f>IF(Notes!BZ304="","",Notes!BZ304)</f>
        <v>Christensen Inc</v>
      </c>
      <c r="C308" s="7" t="str">
        <f>IF(Notes!CA304="","",Notes!CA304)</f>
        <v>blendSAF</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processor</v>
      </c>
      <c r="B309" s="7" t="str">
        <f>IF(Notes!BZ305="","",Notes!BZ305)</f>
        <v>Valvoline Llc 40</v>
      </c>
      <c r="C309" s="7" t="str">
        <f>IF(Notes!CA305="","",Notes!CA305)</f>
        <v>blendSAF</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processor</v>
      </c>
      <c r="B310" s="7" t="str">
        <f>IF(Notes!BZ306="","",Notes!BZ306)</f>
        <v>Petroleum Fuel And Terminal Company 19</v>
      </c>
      <c r="C310" s="7" t="str">
        <f>IF(Notes!CA306="","",Notes!CA306)</f>
        <v>blendSAF</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processor</v>
      </c>
      <c r="B311" s="7" t="str">
        <f>IF(Notes!BZ307="","",Notes!BZ307)</f>
        <v>Petroleum Fuel &amp; Terminal Co 6</v>
      </c>
      <c r="C311" s="7" t="str">
        <f>IF(Notes!CA307="","",Notes!CA307)</f>
        <v>blendSAF</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processor</v>
      </c>
      <c r="B312" s="7" t="str">
        <f>IF(Notes!BZ308="","",Notes!BZ308)</f>
        <v>Emulsicoat Of Southern Illinois Llc 1</v>
      </c>
      <c r="C312" s="7" t="str">
        <f>IF(Notes!CA308="","",Notes!CA308)</f>
        <v>blendSAF</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processor</v>
      </c>
      <c r="B313" s="7" t="str">
        <f>IF(Notes!BZ309="","",Notes!BZ309)</f>
        <v>Emulsicoat Of Southern Illinois Llc 2</v>
      </c>
      <c r="C313" s="7" t="str">
        <f>IF(Notes!CA309="","",Notes!CA309)</f>
        <v>blendSAF</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processor</v>
      </c>
      <c r="B314" s="7" t="str">
        <f>IF(Notes!BZ310="","",Notes!BZ310)</f>
        <v>Valero Terminaling &amp; Distr Co 33</v>
      </c>
      <c r="C314" s="7" t="str">
        <f>IF(Notes!CA310="","",Notes!CA310)</f>
        <v>blendSAF</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processor</v>
      </c>
      <c r="B315" s="7" t="str">
        <f>IF(Notes!BZ311="","",Notes!BZ311)</f>
        <v>Buckeye Terminals Llc 23</v>
      </c>
      <c r="C315" s="7" t="str">
        <f>IF(Notes!CA311="","",Notes!CA311)</f>
        <v>blendSAF</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processor</v>
      </c>
      <c r="B316" s="7" t="str">
        <f>IF(Notes!BZ312="","",Notes!BZ312)</f>
        <v>Buckeye Terminals Llc 94</v>
      </c>
      <c r="C316" s="7" t="str">
        <f>IF(Notes!CA312="","",Notes!CA312)</f>
        <v>blendSAF</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processor</v>
      </c>
      <c r="B317" s="7" t="str">
        <f>IF(Notes!BZ313="","",Notes!BZ313)</f>
        <v>Buckeye Terminals Llc 45</v>
      </c>
      <c r="C317" s="7" t="str">
        <f>IF(Notes!CA313="","",Notes!CA313)</f>
        <v>blendSAF</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processor</v>
      </c>
      <c r="B318" s="7" t="str">
        <f>IF(Notes!BZ314="","",Notes!BZ314)</f>
        <v>Buckeye Terminals Llc 40</v>
      </c>
      <c r="C318" s="7" t="str">
        <f>IF(Notes!CA314="","",Notes!CA314)</f>
        <v>blendSAF</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processor</v>
      </c>
      <c r="B319" s="7" t="str">
        <f>IF(Notes!BZ315="","",Notes!BZ315)</f>
        <v>Buckeye Terminals Llc 61</v>
      </c>
      <c r="C319" s="7" t="str">
        <f>IF(Notes!CA315="","",Notes!CA315)</f>
        <v>blendSAF</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processor</v>
      </c>
      <c r="B320" s="7" t="str">
        <f>IF(Notes!BZ316="","",Notes!BZ316)</f>
        <v>Buckeye Development &amp; Logistics 2</v>
      </c>
      <c r="C320" s="7" t="str">
        <f>IF(Notes!CA316="","",Notes!CA316)</f>
        <v>blendSAF</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processor</v>
      </c>
      <c r="B321" s="7" t="str">
        <f>IF(Notes!BZ317="","",Notes!BZ317)</f>
        <v>Phillips 66 2</v>
      </c>
      <c r="C321" s="7" t="str">
        <f>IF(Notes!CA317="","",Notes!CA317)</f>
        <v>blendSAF</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processor</v>
      </c>
      <c r="B322" s="7" t="str">
        <f>IF(Notes!BZ318="","",Notes!BZ318)</f>
        <v>Phillips 66 Pipeline Llc 4</v>
      </c>
      <c r="C322" s="7" t="str">
        <f>IF(Notes!CA318="","",Notes!CA318)</f>
        <v>blendSAF</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processor</v>
      </c>
      <c r="B323" s="7" t="str">
        <f>IF(Notes!BZ319="","",Notes!BZ319)</f>
        <v>Phillips 66 Company 5</v>
      </c>
      <c r="C323" s="7" t="str">
        <f>IF(Notes!CA319="","",Notes!CA319)</f>
        <v>blendSAF</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processor</v>
      </c>
      <c r="B324" s="7" t="str">
        <f>IF(Notes!BZ320="","",Notes!BZ320)</f>
        <v>Sunoco Llc 4</v>
      </c>
      <c r="C324" s="7" t="str">
        <f>IF(Notes!CA320="","",Notes!CA320)</f>
        <v>blendSAF</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processor</v>
      </c>
      <c r="B325" s="7" t="str">
        <f>IF(Notes!BZ321="","",Notes!BZ321)</f>
        <v>Enterprise Terminals &amp; Storage Llc 24</v>
      </c>
      <c r="C325" s="7" t="str">
        <f>IF(Notes!CA321="","",Notes!CA321)</f>
        <v>blendSAF</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processor</v>
      </c>
      <c r="B326" s="7" t="str">
        <f>IF(Notes!BZ322="","",Notes!BZ322)</f>
        <v>Enterprise Terminals &amp; Storage Llc 14</v>
      </c>
      <c r="C326" s="7" t="str">
        <f>IF(Notes!CA322="","",Notes!CA322)</f>
        <v>blendSAF</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processor</v>
      </c>
      <c r="B327" s="7" t="str">
        <f>IF(Notes!BZ323="","",Notes!BZ323)</f>
        <v>Exxonmobil Corp</v>
      </c>
      <c r="C327" s="7" t="str">
        <f>IF(Notes!CA323="","",Notes!CA323)</f>
        <v>blendSAF</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processor</v>
      </c>
      <c r="B328" s="7" t="str">
        <f>IF(Notes!BZ324="","",Notes!BZ324)</f>
        <v>Exxonmobil Pipeline Co 1</v>
      </c>
      <c r="C328" s="7" t="str">
        <f>IF(Notes!CA324="","",Notes!CA324)</f>
        <v>blendSAF</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processor</v>
      </c>
      <c r="B329" s="7" t="str">
        <f>IF(Notes!BZ325="","",Notes!BZ325)</f>
        <v>Exxon Mobil Refg &amp; Sply Comp 4</v>
      </c>
      <c r="C329" s="7" t="str">
        <f>IF(Notes!CA325="","",Notes!CA325)</f>
        <v>blendSAF</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processor</v>
      </c>
      <c r="B330" s="7" t="str">
        <f>IF(Notes!BZ326="","",Notes!BZ326)</f>
        <v>Growmark Inc 7</v>
      </c>
      <c r="C330" s="7" t="str">
        <f>IF(Notes!CA326="","",Notes!CA326)</f>
        <v>blendSAF</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processor</v>
      </c>
      <c r="B331" s="7" t="str">
        <f>IF(Notes!BZ327="","",Notes!BZ327)</f>
        <v>Growmark Inc 2</v>
      </c>
      <c r="C331" s="7" t="str">
        <f>IF(Notes!CA327="","",Notes!CA327)</f>
        <v>blendSAF</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processor</v>
      </c>
      <c r="B332" s="7" t="str">
        <f>IF(Notes!BZ328="","",Notes!BZ328)</f>
        <v>Growmark Inc 1</v>
      </c>
      <c r="C332" s="7" t="str">
        <f>IF(Notes!CA328="","",Notes!CA328)</f>
        <v>blendSAF</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processor</v>
      </c>
      <c r="B333" s="7" t="str">
        <f>IF(Notes!BZ329="","",Notes!BZ329)</f>
        <v>Growmark Inc 5</v>
      </c>
      <c r="C333" s="7" t="str">
        <f>IF(Notes!CA329="","",Notes!CA329)</f>
        <v>blendSAF</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processor</v>
      </c>
      <c r="B334" s="7" t="str">
        <f>IF(Notes!BZ330="","",Notes!BZ330)</f>
        <v>Heritage Asphalt Llc 1</v>
      </c>
      <c r="C334" s="7" t="str">
        <f>IF(Notes!CA330="","",Notes!CA330)</f>
        <v>blendSAF</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processor</v>
      </c>
      <c r="B335" s="7" t="str">
        <f>IF(Notes!BZ331="","",Notes!BZ331)</f>
        <v>Hwrt Oil Company Llc</v>
      </c>
      <c r="C335" s="7" t="str">
        <f>IF(Notes!CA331="","",Notes!CA331)</f>
        <v>blendSAF</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processor</v>
      </c>
      <c r="B336" s="7" t="str">
        <f>IF(Notes!BZ332="","",Notes!BZ332)</f>
        <v>Hwrt Oil Co Llc 5</v>
      </c>
      <c r="C336" s="7" t="str">
        <f>IF(Notes!CA332="","",Notes!CA332)</f>
        <v>blendSAF</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processor</v>
      </c>
      <c r="B337" s="7" t="str">
        <f>IF(Notes!BZ333="","",Notes!BZ333)</f>
        <v>Meredosia Terminal</v>
      </c>
      <c r="C337" s="7" t="str">
        <f>IF(Notes!CA333="","",Notes!CA333)</f>
        <v>blendSAF</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processor</v>
      </c>
      <c r="B338" s="7" t="str">
        <f>IF(Notes!BZ334="","",Notes!BZ334)</f>
        <v>Intl Matex Tank Terminals 2</v>
      </c>
      <c r="C338" s="7" t="str">
        <f>IF(Notes!CA334="","",Notes!CA334)</f>
        <v>blendSAF</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processor</v>
      </c>
      <c r="B339" s="7" t="str">
        <f>IF(Notes!BZ335="","",Notes!BZ335)</f>
        <v>Imtt-Illinois</v>
      </c>
      <c r="C339" s="7" t="str">
        <f>IF(Notes!CA335="","",Notes!CA335)</f>
        <v>blendSAF</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processor</v>
      </c>
      <c r="B340" s="7" t="str">
        <f>IF(Notes!BZ336="","",Notes!BZ336)</f>
        <v>Kinder Morgan Liquid Terminals</v>
      </c>
      <c r="C340" s="7" t="str">
        <f>IF(Notes!CA336="","",Notes!CA336)</f>
        <v>blendSAF</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processor</v>
      </c>
      <c r="B341" s="7" t="str">
        <f>IF(Notes!BZ337="","",Notes!BZ337)</f>
        <v>Kinder Morgan Liq Termls Llc 10</v>
      </c>
      <c r="C341" s="7" t="str">
        <f>IF(Notes!CA337="","",Notes!CA337)</f>
        <v>blendSAF</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processor</v>
      </c>
      <c r="B342" s="7" t="str">
        <f>IF(Notes!BZ338="","",Notes!BZ338)</f>
        <v>Kinder Morgan Phoenix Holdings Llc</v>
      </c>
      <c r="C342" s="7" t="str">
        <f>IF(Notes!CA338="","",Notes!CA338)</f>
        <v>blendSAF</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processor</v>
      </c>
      <c r="B343" s="7" t="str">
        <f>IF(Notes!BZ339="","",Notes!BZ339)</f>
        <v>Kinder Morgan Liq Termls Llc 7</v>
      </c>
      <c r="C343" s="7" t="str">
        <f>IF(Notes!CA339="","",Notes!CA339)</f>
        <v>blendSAF</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processor</v>
      </c>
      <c r="B344" s="7" t="str">
        <f>IF(Notes!BZ340="","",Notes!BZ340)</f>
        <v>Kinder Morgan Liq Termls Llc 14</v>
      </c>
      <c r="C344" s="7" t="str">
        <f>IF(Notes!CA340="","",Notes!CA340)</f>
        <v>blendSAF</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processor</v>
      </c>
      <c r="B345" s="7" t="str">
        <f>IF(Notes!BZ341="","",Notes!BZ341)</f>
        <v>Magellan Pipeline Co Lp 18</v>
      </c>
      <c r="C345" s="7" t="str">
        <f>IF(Notes!CA341="","",Notes!CA341)</f>
        <v>blendSAF</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processor</v>
      </c>
      <c r="B346" s="7" t="str">
        <f>IF(Notes!BZ342="","",Notes!BZ342)</f>
        <v>Marathon Pipeline Llc 1</v>
      </c>
      <c r="C346" s="7" t="str">
        <f>IF(Notes!CA342="","",Notes!CA342)</f>
        <v>blendSAF</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processor</v>
      </c>
      <c r="B347" s="7" t="str">
        <f>IF(Notes!BZ343="","",Notes!BZ343)</f>
        <v>Marathon Pipeline Llc 2</v>
      </c>
      <c r="C347" s="7" t="str">
        <f>IF(Notes!CA343="","",Notes!CA343)</f>
        <v>blendSAF</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processor</v>
      </c>
      <c r="B348" s="7" t="str">
        <f>IF(Notes!BZ344="","",Notes!BZ344)</f>
        <v>Mplx Terminals Llc 8</v>
      </c>
      <c r="C348" s="7" t="str">
        <f>IF(Notes!CA344="","",Notes!CA344)</f>
        <v>blendSAF</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processor</v>
      </c>
      <c r="B349" s="7" t="str">
        <f>IF(Notes!BZ345="","",Notes!BZ345)</f>
        <v>Mplx Terminals Llc 45</v>
      </c>
      <c r="C349" s="7" t="str">
        <f>IF(Notes!CA345="","",Notes!CA345)</f>
        <v>blendSAF</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processor</v>
      </c>
      <c r="B350" s="7" t="str">
        <f>IF(Notes!BZ346="","",Notes!BZ346)</f>
        <v>Mck Terminals Llc 3</v>
      </c>
      <c r="C350" s="7" t="str">
        <f>IF(Notes!CA346="","",Notes!CA346)</f>
        <v>blendSAF</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processor</v>
      </c>
      <c r="B351" s="7" t="str">
        <f>IF(Notes!BZ347="","",Notes!BZ347)</f>
        <v>Mck Terminals Llc 4</v>
      </c>
      <c r="C351" s="7" t="str">
        <f>IF(Notes!CA347="","",Notes!CA347)</f>
        <v>blendSAF</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processor</v>
      </c>
      <c r="B352" s="7" t="str">
        <f>IF(Notes!BZ348="","",Notes!BZ348)</f>
        <v>Omega Partners Iii Llc 1</v>
      </c>
      <c r="C352" s="7" t="str">
        <f>IF(Notes!CA348="","",Notes!CA348)</f>
        <v>blendSAF</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processor</v>
      </c>
      <c r="B353" s="7" t="str">
        <f>IF(Notes!BZ349="","",Notes!BZ349)</f>
        <v>Oneok North System Llc 8</v>
      </c>
      <c r="C353" s="7" t="str">
        <f>IF(Notes!CA349="","",Notes!CA349)</f>
        <v>blendSAF</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processor</v>
      </c>
      <c r="B354" s="7" t="str">
        <f>IF(Notes!BZ350="","",Notes!BZ350)</f>
        <v>Oneok North System Llc 12</v>
      </c>
      <c r="C354" s="7" t="str">
        <f>IF(Notes!CA350="","",Notes!CA350)</f>
        <v>blendSAF</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processor</v>
      </c>
      <c r="B355" s="7" t="str">
        <f>IF(Notes!BZ351="","",Notes!BZ351)</f>
        <v>Oneok North System Llc 7</v>
      </c>
      <c r="C355" s="7" t="str">
        <f>IF(Notes!CA351="","",Notes!CA351)</f>
        <v>blendSAF</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processor</v>
      </c>
      <c r="B356" s="7" t="str">
        <f>IF(Notes!BZ352="","",Notes!BZ352)</f>
        <v>Oneok North System Llc 11</v>
      </c>
      <c r="C356" s="7" t="str">
        <f>IF(Notes!CA352="","",Notes!CA352)</f>
        <v>blendSAF</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processor</v>
      </c>
      <c r="B357" s="7" t="str">
        <f>IF(Notes!BZ353="","",Notes!BZ353)</f>
        <v>Citgo Petro Corp 20</v>
      </c>
      <c r="C357" s="7" t="str">
        <f>IF(Notes!CA353="","",Notes!CA353)</f>
        <v>blendSAF</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processor</v>
      </c>
      <c r="B358" s="7" t="str">
        <f>IF(Notes!BZ354="","",Notes!BZ354)</f>
        <v>Citgo Petro Corp 6</v>
      </c>
      <c r="C358" s="7" t="str">
        <f>IF(Notes!CA354="","",Notes!CA354)</f>
        <v>blendSAF</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processor</v>
      </c>
      <c r="B359" s="7" t="str">
        <f>IF(Notes!BZ355="","",Notes!BZ355)</f>
        <v>Citgo Petro Corp 9</v>
      </c>
      <c r="C359" s="7" t="str">
        <f>IF(Notes!CA355="","",Notes!CA355)</f>
        <v>blendSAF</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processor</v>
      </c>
      <c r="B360" s="7" t="str">
        <f>IF(Notes!BZ356="","",Notes!BZ356)</f>
        <v>Equilon Enterprises Llc 1</v>
      </c>
      <c r="C360" s="7" t="str">
        <f>IF(Notes!CA356="","",Notes!CA356)</f>
        <v>blendSAF</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processor</v>
      </c>
      <c r="B361" s="7" t="str">
        <f>IF(Notes!BZ357="","",Notes!BZ357)</f>
        <v>Gateway Terminals Llc</v>
      </c>
      <c r="C361" s="7" t="str">
        <f>IF(Notes!CA357="","",Notes!CA357)</f>
        <v>blendSAF</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processor</v>
      </c>
      <c r="B362" s="7" t="str">
        <f>IF(Notes!BZ358="","",Notes!BZ358)</f>
        <v>Owens Corning 12</v>
      </c>
      <c r="C362" s="7" t="str">
        <f>IF(Notes!CA358="","",Notes!CA358)</f>
        <v>blendSAF</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processor</v>
      </c>
      <c r="B363" s="7" t="str">
        <f>IF(Notes!BZ359="","",Notes!BZ359)</f>
        <v>Zenith Energy Terminals Joliet Hldg</v>
      </c>
      <c r="C363" s="7" t="str">
        <f>IF(Notes!CA359="","",Notes!CA359)</f>
        <v>blendSAF</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processor</v>
      </c>
      <c r="B364" s="7" t="str">
        <f>IF(Notes!BZ360="","",Notes!BZ360)</f>
        <v>Us Venture Inc 14</v>
      </c>
      <c r="C364" s="7" t="str">
        <f>IF(Notes!CA360="","",Notes!CA360)</f>
        <v>blendSAF</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processor</v>
      </c>
      <c r="B365" s="7" t="str">
        <f>IF(Notes!BZ361="","",Notes!BZ361)</f>
        <v>Valero Terminaling &amp; Distr Co 34</v>
      </c>
      <c r="C365" s="7" t="str">
        <f>IF(Notes!CA361="","",Notes!CA361)</f>
        <v>blendSAF</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processor</v>
      </c>
      <c r="B366" s="7" t="str">
        <f>IF(Notes!BZ362="","",Notes!BZ362)</f>
        <v>Buckeye Terminals Llc 96</v>
      </c>
      <c r="C366" s="7" t="str">
        <f>IF(Notes!CA362="","",Notes!CA362)</f>
        <v>blendSAF</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processor</v>
      </c>
      <c r="B367" s="7" t="str">
        <f>IF(Notes!BZ363="","",Notes!BZ363)</f>
        <v>Buckeye Terminals Llc 72</v>
      </c>
      <c r="C367" s="7" t="str">
        <f>IF(Notes!CA363="","",Notes!CA363)</f>
        <v>blendSAF</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processor</v>
      </c>
      <c r="B368" s="7" t="str">
        <f>IF(Notes!BZ364="","",Notes!BZ364)</f>
        <v>Buckeye Terminals Llc 55</v>
      </c>
      <c r="C368" s="7" t="str">
        <f>IF(Notes!CA364="","",Notes!CA364)</f>
        <v>blendSAF</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processor</v>
      </c>
      <c r="B369" s="7" t="str">
        <f>IF(Notes!BZ365="","",Notes!BZ365)</f>
        <v>Buckeye Terminals Llc 54</v>
      </c>
      <c r="C369" s="7" t="str">
        <f>IF(Notes!CA365="","",Notes!CA365)</f>
        <v>blendSAF</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processor</v>
      </c>
      <c r="B370" s="7" t="str">
        <f>IF(Notes!BZ366="","",Notes!BZ366)</f>
        <v>Buckeye Terminals Llc 56</v>
      </c>
      <c r="C370" s="7" t="str">
        <f>IF(Notes!CA366="","",Notes!CA366)</f>
        <v>blendSAF</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processor</v>
      </c>
      <c r="B371" s="7" t="str">
        <f>IF(Notes!BZ367="","",Notes!BZ367)</f>
        <v>Buckeye Terminals Llc 44</v>
      </c>
      <c r="C371" s="7" t="str">
        <f>IF(Notes!CA367="","",Notes!CA367)</f>
        <v>blendSAF</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processor</v>
      </c>
      <c r="B372" s="7" t="str">
        <f>IF(Notes!BZ368="","",Notes!BZ368)</f>
        <v>Buckeye Terminals Llc 51</v>
      </c>
      <c r="C372" s="7" t="str">
        <f>IF(Notes!CA368="","",Notes!CA368)</f>
        <v>blendSAF</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processor</v>
      </c>
      <c r="B373" s="7" t="str">
        <f>IF(Notes!BZ369="","",Notes!BZ369)</f>
        <v>Buckeye Terminals Llc 57</v>
      </c>
      <c r="C373" s="7" t="str">
        <f>IF(Notes!CA369="","",Notes!CA369)</f>
        <v>blendSAF</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processor</v>
      </c>
      <c r="B374" s="7" t="str">
        <f>IF(Notes!BZ370="","",Notes!BZ370)</f>
        <v>Buckeye Development &amp; Logistics 1</v>
      </c>
      <c r="C374" s="7" t="str">
        <f>IF(Notes!CA370="","",Notes!CA370)</f>
        <v>blendSAF</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processor</v>
      </c>
      <c r="B375" s="7" t="str">
        <f>IF(Notes!BZ371="","",Notes!BZ371)</f>
        <v>Countrymark Refining &amp; Logistics Llc 2</v>
      </c>
      <c r="C375" s="7" t="str">
        <f>IF(Notes!CA371="","",Notes!CA371)</f>
        <v>blendSAF</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processor</v>
      </c>
      <c r="B376" s="7" t="str">
        <f>IF(Notes!BZ372="","",Notes!BZ372)</f>
        <v>Countrymark Refining &amp; Logistics Llc 1</v>
      </c>
      <c r="C376" s="7" t="str">
        <f>IF(Notes!CA372="","",Notes!CA372)</f>
        <v>blendSAF</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processor</v>
      </c>
      <c r="B377" s="7" t="str">
        <f>IF(Notes!BZ373="","",Notes!BZ373)</f>
        <v>Countrymark Refining &amp; Logistics Llc 3</v>
      </c>
      <c r="C377" s="7" t="str">
        <f>IF(Notes!CA373="","",Notes!CA373)</f>
        <v>blendSAF</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processor</v>
      </c>
      <c r="B378" s="7" t="str">
        <f>IF(Notes!BZ374="","",Notes!BZ374)</f>
        <v>Sunoco Logistics 34</v>
      </c>
      <c r="C378" s="7" t="str">
        <f>IF(Notes!CA374="","",Notes!CA374)</f>
        <v>blendSAF</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processor</v>
      </c>
      <c r="B379" s="7" t="str">
        <f>IF(Notes!BZ375="","",Notes!BZ375)</f>
        <v>Enterprise Refined Products Co Llc 6</v>
      </c>
      <c r="C379" s="7" t="str">
        <f>IF(Notes!CA375="","",Notes!CA375)</f>
        <v>blendSAF</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processor</v>
      </c>
      <c r="B380" s="7" t="str">
        <f>IF(Notes!BZ376="","",Notes!BZ376)</f>
        <v>Exxonmobil</v>
      </c>
      <c r="C380" s="7" t="str">
        <f>IF(Notes!CA376="","",Notes!CA376)</f>
        <v>blendSAF</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processor</v>
      </c>
      <c r="B381" s="7" t="str">
        <f>IF(Notes!BZ377="","",Notes!BZ377)</f>
        <v>Heritage Asphalt Llc 4</v>
      </c>
      <c r="C381" s="7" t="str">
        <f>IF(Notes!CA377="","",Notes!CA377)</f>
        <v>blendSAF</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processor</v>
      </c>
      <c r="B382" s="7" t="str">
        <f>IF(Notes!BZ378="","",Notes!BZ378)</f>
        <v>Heritage Asphalt Llc 3</v>
      </c>
      <c r="C382" s="7" t="str">
        <f>IF(Notes!CA378="","",Notes!CA378)</f>
        <v>blendSAF</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processor</v>
      </c>
      <c r="B383" s="7" t="str">
        <f>IF(Notes!BZ379="","",Notes!BZ379)</f>
        <v>Hwrt Oil Co Llc 7</v>
      </c>
      <c r="C383" s="7" t="str">
        <f>IF(Notes!CA379="","",Notes!CA379)</f>
        <v>blendSAF</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processor</v>
      </c>
      <c r="B384" s="7" t="str">
        <f>IF(Notes!BZ380="","",Notes!BZ380)</f>
        <v>Kinder Morgan Liq Termls Llc 11</v>
      </c>
      <c r="C384" s="7" t="str">
        <f>IF(Notes!CA380="","",Notes!CA380)</f>
        <v>blendSAF</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processor</v>
      </c>
      <c r="B385" s="7" t="str">
        <f>IF(Notes!BZ381="","",Notes!BZ381)</f>
        <v>Lassus Brothers Oil Inc</v>
      </c>
      <c r="C385" s="7" t="str">
        <f>IF(Notes!CA381="","",Notes!CA381)</f>
        <v>blendSAF</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processor</v>
      </c>
      <c r="B386" s="7" t="str">
        <f>IF(Notes!BZ382="","",Notes!BZ382)</f>
        <v>Marathon Petroleum Co Llc 9</v>
      </c>
      <c r="C386" s="7" t="str">
        <f>IF(Notes!CA382="","",Notes!CA382)</f>
        <v>blendSAF</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processor</v>
      </c>
      <c r="B387" s="7" t="str">
        <f>IF(Notes!BZ383="","",Notes!BZ383)</f>
        <v>Mplx Terminals Llc 21</v>
      </c>
      <c r="C387" s="7" t="str">
        <f>IF(Notes!CA383="","",Notes!CA383)</f>
        <v>blendSAF</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processor</v>
      </c>
      <c r="B388" s="7" t="str">
        <f>IF(Notes!BZ384="","",Notes!BZ384)</f>
        <v>Mplx Terminals Llc 39</v>
      </c>
      <c r="C388" s="7" t="str">
        <f>IF(Notes!CA384="","",Notes!CA384)</f>
        <v>blendSAF</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processor</v>
      </c>
      <c r="B389" s="7" t="str">
        <f>IF(Notes!BZ385="","",Notes!BZ385)</f>
        <v>Mplx Terminals Llc 24</v>
      </c>
      <c r="C389" s="7" t="str">
        <f>IF(Notes!CA385="","",Notes!CA385)</f>
        <v>blendSAF</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processor</v>
      </c>
      <c r="B390" s="7" t="str">
        <f>IF(Notes!BZ386="","",Notes!BZ386)</f>
        <v>Mplx Terminals Llc 25</v>
      </c>
      <c r="C390" s="7" t="str">
        <f>IF(Notes!CA386="","",Notes!CA386)</f>
        <v>blendSAF</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processor</v>
      </c>
      <c r="B391" s="7" t="str">
        <f>IF(Notes!BZ387="","",Notes!BZ387)</f>
        <v>Mplx Terminals Llc 23</v>
      </c>
      <c r="C391" s="7" t="str">
        <f>IF(Notes!CA387="","",Notes!CA387)</f>
        <v>blendSAF</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processor</v>
      </c>
      <c r="B392" s="7" t="str">
        <f>IF(Notes!BZ388="","",Notes!BZ388)</f>
        <v>Mplx Terminals Llc 17</v>
      </c>
      <c r="C392" s="7" t="str">
        <f>IF(Notes!CA388="","",Notes!CA388)</f>
        <v>blendSAF</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processor</v>
      </c>
      <c r="B393" s="7" t="str">
        <f>IF(Notes!BZ389="","",Notes!BZ389)</f>
        <v>Mplx Terminals Llc 38</v>
      </c>
      <c r="C393" s="7" t="str">
        <f>IF(Notes!CA389="","",Notes!CA389)</f>
        <v>blendSAF</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processor</v>
      </c>
      <c r="B394" s="7" t="str">
        <f>IF(Notes!BZ390="","",Notes!BZ390)</f>
        <v>Ngl Supply Wholesale Llc 4</v>
      </c>
      <c r="C394" s="7" t="str">
        <f>IF(Notes!CA390="","",Notes!CA390)</f>
        <v>blendSAF</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processor</v>
      </c>
      <c r="B395" s="7" t="str">
        <f>IF(Notes!BZ391="","",Notes!BZ391)</f>
        <v>Pkm Cochin Llc 3</v>
      </c>
      <c r="C395" s="7" t="str">
        <f>IF(Notes!CA391="","",Notes!CA391)</f>
        <v>blendSAF</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processor</v>
      </c>
      <c r="B396" s="7" t="str">
        <f>IF(Notes!BZ392="","",Notes!BZ392)</f>
        <v>Petrogas Terminals Llc</v>
      </c>
      <c r="C396" s="7" t="str">
        <f>IF(Notes!CA392="","",Notes!CA392)</f>
        <v>blendSAF</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processor</v>
      </c>
      <c r="B397" s="7" t="str">
        <f>IF(Notes!BZ393="","",Notes!BZ393)</f>
        <v>Citgo Petro Corp 16</v>
      </c>
      <c r="C397" s="7" t="str">
        <f>IF(Notes!CA393="","",Notes!CA393)</f>
        <v>blendSAF</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processor</v>
      </c>
      <c r="B398" s="7" t="str">
        <f>IF(Notes!BZ394="","",Notes!BZ394)</f>
        <v>Citgo Holding Terminals Llc 2</v>
      </c>
      <c r="C398" s="7" t="str">
        <f>IF(Notes!CA394="","",Notes!CA394)</f>
        <v>blendSAF</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processor</v>
      </c>
      <c r="B399" s="7" t="str">
        <f>IF(Notes!BZ395="","",Notes!BZ395)</f>
        <v>Transmontaigne Operating Company 35</v>
      </c>
      <c r="C399" s="7" t="str">
        <f>IF(Notes!CA395="","",Notes!CA395)</f>
        <v>blendSAF</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processor</v>
      </c>
      <c r="B400" s="7" t="str">
        <f>IF(Notes!BZ396="","",Notes!BZ396)</f>
        <v>Transmontaigne Operating Company 19</v>
      </c>
      <c r="C400" s="7" t="str">
        <f>IF(Notes!CA396="","",Notes!CA396)</f>
        <v>blendSAF</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processor</v>
      </c>
      <c r="B401" s="7" t="str">
        <f>IF(Notes!BZ397="","",Notes!BZ397)</f>
        <v>Benchmark Distribution Terminal Llc</v>
      </c>
      <c r="C401" s="7" t="str">
        <f>IF(Notes!CA397="","",Notes!CA397)</f>
        <v>blendSAF</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processor</v>
      </c>
      <c r="B402" s="7" t="str">
        <f>IF(Notes!BZ398="","",Notes!BZ398)</f>
        <v>Wolf Lake Terminals</v>
      </c>
      <c r="C402" s="7" t="str">
        <f>IF(Notes!CA398="","",Notes!CA398)</f>
        <v>blendSAF</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processor</v>
      </c>
      <c r="B403" s="7" t="str">
        <f>IF(Notes!BZ399="","",Notes!BZ399)</f>
        <v>Flint Hill Resources Lp 1</v>
      </c>
      <c r="C403" s="7" t="str">
        <f>IF(Notes!CA399="","",Notes!CA399)</f>
        <v>blendSAF</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processor</v>
      </c>
      <c r="B404" s="7" t="str">
        <f>IF(Notes!BZ400="","",Notes!BZ400)</f>
        <v>Flint Hills Resources Lp 10</v>
      </c>
      <c r="C404" s="7" t="str">
        <f>IF(Notes!CA400="","",Notes!CA400)</f>
        <v>blendSAF</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processor</v>
      </c>
      <c r="B405" s="7" t="str">
        <f>IF(Notes!BZ401="","",Notes!BZ401)</f>
        <v>Flint Hills Resources Lp 12</v>
      </c>
      <c r="C405" s="7" t="str">
        <f>IF(Notes!CA401="","",Notes!CA401)</f>
        <v>blendSAF</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processor</v>
      </c>
      <c r="B406" s="7" t="str">
        <f>IF(Notes!BZ402="","",Notes!BZ402)</f>
        <v>Us Venture Inc 1</v>
      </c>
      <c r="C406" s="7" t="str">
        <f>IF(Notes!CA402="","",Notes!CA402)</f>
        <v>blendSAF</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processor</v>
      </c>
      <c r="B407" s="7" t="str">
        <f>IF(Notes!BZ403="","",Notes!BZ403)</f>
        <v>Bp Products North America</v>
      </c>
      <c r="C407" s="7" t="str">
        <f>IF(Notes!CA403="","",Notes!CA403)</f>
        <v>blendSAF</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processor</v>
      </c>
      <c r="B408" s="7" t="str">
        <f>IF(Notes!BZ404="","",Notes!BZ404)</f>
        <v>Buckeye Terminals Llc 25</v>
      </c>
      <c r="C408" s="7" t="str">
        <f>IF(Notes!CA404="","",Notes!CA404)</f>
        <v>blendSAF</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processor</v>
      </c>
      <c r="B409" s="7" t="str">
        <f>IF(Notes!BZ405="","",Notes!BZ405)</f>
        <v>Buckeye Terminals Llc 81</v>
      </c>
      <c r="C409" s="7" t="str">
        <f>IF(Notes!CA405="","",Notes!CA405)</f>
        <v>blendSAF</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processor</v>
      </c>
      <c r="B410" s="7" t="str">
        <f>IF(Notes!BZ406="","",Notes!BZ406)</f>
        <v>Buckeye Terminals Llc 41</v>
      </c>
      <c r="C410" s="7" t="str">
        <f>IF(Notes!CA406="","",Notes!CA406)</f>
        <v>blendSAF</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processor</v>
      </c>
      <c r="B411" s="7" t="str">
        <f>IF(Notes!BZ407="","",Notes!BZ407)</f>
        <v>Buckeye Terminals Llc 38</v>
      </c>
      <c r="C411" s="7" t="str">
        <f>IF(Notes!CA407="","",Notes!CA407)</f>
        <v>blendSAF</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processor</v>
      </c>
      <c r="B412" s="7" t="str">
        <f>IF(Notes!BZ408="","",Notes!BZ408)</f>
        <v>Buckeye Terminals Llc 83</v>
      </c>
      <c r="C412" s="7" t="str">
        <f>IF(Notes!CA408="","",Notes!CA408)</f>
        <v>blendSAF</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processor</v>
      </c>
      <c r="B413" s="7" t="str">
        <f>IF(Notes!BZ409="","",Notes!BZ409)</f>
        <v>Phillips 66 Co</v>
      </c>
      <c r="C413" s="7" t="str">
        <f>IF(Notes!CA409="","",Notes!CA409)</f>
        <v>blendSAF</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processor</v>
      </c>
      <c r="B414" s="7" t="str">
        <f>IF(Notes!BZ410="","",Notes!BZ410)</f>
        <v>Mid-America Pipeline Co Llcente</v>
      </c>
      <c r="C414" s="7" t="str">
        <f>IF(Notes!CA410="","",Notes!CA410)</f>
        <v>blendSAF</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processor</v>
      </c>
      <c r="B415" s="7" t="str">
        <f>IF(Notes!BZ411="","",Notes!BZ411)</f>
        <v>Enterprise Terminals &amp; Storage Llc 12</v>
      </c>
      <c r="C415" s="7" t="str">
        <f>IF(Notes!CA411="","",Notes!CA411)</f>
        <v>blendSAF</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processor</v>
      </c>
      <c r="B416" s="7" t="str">
        <f>IF(Notes!BZ412="","",Notes!BZ412)</f>
        <v>Enterprise Terminals &amp; Storage Llc 31</v>
      </c>
      <c r="C416" s="7" t="str">
        <f>IF(Notes!CA412="","",Notes!CA412)</f>
        <v>blendSAF</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processor</v>
      </c>
      <c r="B417" s="7" t="str">
        <f>IF(Notes!BZ413="","",Notes!BZ413)</f>
        <v>Enterprise Terminals &amp; Storage Llc 10</v>
      </c>
      <c r="C417" s="7" t="str">
        <f>IF(Notes!CA413="","",Notes!CA413)</f>
        <v>blendSAF</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processor</v>
      </c>
      <c r="B418" s="7" t="str">
        <f>IF(Notes!BZ414="","",Notes!BZ414)</f>
        <v>Enterprise Terminals &amp; Storage Llc 26</v>
      </c>
      <c r="C418" s="7" t="str">
        <f>IF(Notes!CA414="","",Notes!CA414)</f>
        <v>blendSAF</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processor</v>
      </c>
      <c r="B419" s="7" t="str">
        <f>IF(Notes!BZ415="","",Notes!BZ415)</f>
        <v>Enterprise Terminals &amp; Storage Llc 30</v>
      </c>
      <c r="C419" s="7" t="str">
        <f>IF(Notes!CA415="","",Notes!CA415)</f>
        <v>blendSAF</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processor</v>
      </c>
      <c r="B420" s="7" t="str">
        <f>IF(Notes!BZ416="","",Notes!BZ416)</f>
        <v>Growmark Inc 3</v>
      </c>
      <c r="C420" s="7" t="str">
        <f>IF(Notes!CA416="","",Notes!CA416)</f>
        <v>blendSAF</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processor</v>
      </c>
      <c r="B421" s="7" t="str">
        <f>IF(Notes!BZ417="","",Notes!BZ417)</f>
        <v>Growmark Inc 6</v>
      </c>
      <c r="C421" s="7" t="str">
        <f>IF(Notes!CA417="","",Notes!CA417)</f>
        <v>blendSAF</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processor</v>
      </c>
      <c r="B422" s="7" t="str">
        <f>IF(Notes!BZ418="","",Notes!BZ418)</f>
        <v>Growmark Inc 4</v>
      </c>
      <c r="C422" s="7" t="str">
        <f>IF(Notes!CA418="","",Notes!CA418)</f>
        <v>blendSAF</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processor</v>
      </c>
      <c r="B423" s="7" t="str">
        <f>IF(Notes!BZ419="","",Notes!BZ419)</f>
        <v>Sinclair Oil Corp 7</v>
      </c>
      <c r="C423" s="7" t="str">
        <f>IF(Notes!CA419="","",Notes!CA419)</f>
        <v>blendSAF</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processor</v>
      </c>
      <c r="B424" s="7" t="str">
        <f>IF(Notes!BZ420="","",Notes!BZ420)</f>
        <v>Manly Terminal Llc</v>
      </c>
      <c r="C424" s="7" t="str">
        <f>IF(Notes!CA420="","",Notes!CA420)</f>
        <v>blendSAF</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processor</v>
      </c>
      <c r="B425" s="7" t="str">
        <f>IF(Notes!BZ421="","",Notes!BZ421)</f>
        <v>Jebro Incorporated 3</v>
      </c>
      <c r="C425" s="7" t="str">
        <f>IF(Notes!CA421="","",Notes!CA421)</f>
        <v>blendSAF</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processor</v>
      </c>
      <c r="B426" s="7" t="str">
        <f>IF(Notes!BZ422="","",Notes!BZ422)</f>
        <v>Magellan Pipeline Co Lp 8</v>
      </c>
      <c r="C426" s="7" t="str">
        <f>IF(Notes!CA422="","",Notes!CA422)</f>
        <v>blendSAF</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processor</v>
      </c>
      <c r="B427" s="7" t="str">
        <f>IF(Notes!BZ423="","",Notes!BZ423)</f>
        <v>Magellan Pipeline Co Lp 19</v>
      </c>
      <c r="C427" s="7" t="str">
        <f>IF(Notes!CA423="","",Notes!CA423)</f>
        <v>blendSAF</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processor</v>
      </c>
      <c r="B428" s="7" t="str">
        <f>IF(Notes!BZ424="","",Notes!BZ424)</f>
        <v>Magellan Pipeline Co Lp 25</v>
      </c>
      <c r="C428" s="7" t="str">
        <f>IF(Notes!CA424="","",Notes!CA424)</f>
        <v>blendSAF</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processor</v>
      </c>
      <c r="B429" s="7" t="str">
        <f>IF(Notes!BZ425="","",Notes!BZ425)</f>
        <v>Magellan Pipeline Co Lp 27</v>
      </c>
      <c r="C429" s="7" t="str">
        <f>IF(Notes!CA425="","",Notes!CA425)</f>
        <v>blendSAF</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processor</v>
      </c>
      <c r="B430" s="7" t="str">
        <f>IF(Notes!BZ426="","",Notes!BZ426)</f>
        <v>Magellan Pipeline Co Lp 42</v>
      </c>
      <c r="C430" s="7" t="str">
        <f>IF(Notes!CA426="","",Notes!CA426)</f>
        <v>blendSAF</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processor</v>
      </c>
      <c r="B431" s="7" t="str">
        <f>IF(Notes!BZ427="","",Notes!BZ427)</f>
        <v>Magellan Pipeline Co Lp 47</v>
      </c>
      <c r="C431" s="7" t="str">
        <f>IF(Notes!CA427="","",Notes!CA427)</f>
        <v>blendSAF</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processor</v>
      </c>
      <c r="B432" s="7" t="str">
        <f>IF(Notes!BZ428="","",Notes!BZ428)</f>
        <v>Magellan Pl Co 2</v>
      </c>
      <c r="C432" s="7" t="str">
        <f>IF(Notes!CA428="","",Notes!CA428)</f>
        <v>blendSAF</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processor</v>
      </c>
      <c r="B433" s="7" t="str">
        <f>IF(Notes!BZ429="","",Notes!BZ429)</f>
        <v>Magellan Pipeline Co Lp 39</v>
      </c>
      <c r="C433" s="7" t="str">
        <f>IF(Notes!CA429="","",Notes!CA429)</f>
        <v>blendSAF</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processor</v>
      </c>
      <c r="B434" s="7" t="str">
        <f>IF(Notes!BZ430="","",Notes!BZ430)</f>
        <v>Nustar Energy Lp 34</v>
      </c>
      <c r="C434" s="7" t="str">
        <f>IF(Notes!CA430="","",Notes!CA430)</f>
        <v>blendSAF</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processor</v>
      </c>
      <c r="B435" s="7" t="str">
        <f>IF(Notes!BZ431="","",Notes!BZ431)</f>
        <v>Nustar Energy Lp 23</v>
      </c>
      <c r="C435" s="7" t="str">
        <f>IF(Notes!CA431="","",Notes!CA431)</f>
        <v>blendSAF</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processor</v>
      </c>
      <c r="B436" s="7" t="str">
        <f>IF(Notes!BZ432="","",Notes!BZ432)</f>
        <v>Nustar Energy Lp 25</v>
      </c>
      <c r="C436" s="7" t="str">
        <f>IF(Notes!CA432="","",Notes!CA432)</f>
        <v>blendSAF</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processor</v>
      </c>
      <c r="B437" s="7" t="str">
        <f>IF(Notes!BZ433="","",Notes!BZ433)</f>
        <v>Nustar Energy Lp 11</v>
      </c>
      <c r="C437" s="7" t="str">
        <f>IF(Notes!CA433="","",Notes!CA433)</f>
        <v>blendSAF</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processor</v>
      </c>
      <c r="B438" s="7" t="str">
        <f>IF(Notes!BZ434="","",Notes!BZ434)</f>
        <v>Oneok North System Llc 10</v>
      </c>
      <c r="C438" s="7" t="str">
        <f>IF(Notes!CA434="","",Notes!CA434)</f>
        <v>blendSAF</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processor</v>
      </c>
      <c r="B439" s="7" t="str">
        <f>IF(Notes!BZ435="","",Notes!BZ435)</f>
        <v>Oneok North System Llc 6</v>
      </c>
      <c r="C439" s="7" t="str">
        <f>IF(Notes!CA435="","",Notes!CA435)</f>
        <v>blendSAF</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processor</v>
      </c>
      <c r="B440" s="7" t="str">
        <f>IF(Notes!BZ436="","",Notes!BZ436)</f>
        <v>Oneok North System Llc 5</v>
      </c>
      <c r="C440" s="7" t="str">
        <f>IF(Notes!CA436="","",Notes!CA436)</f>
        <v>blendSAF</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processor</v>
      </c>
      <c r="B441" s="7" t="str">
        <f>IF(Notes!BZ437="","",Notes!BZ437)</f>
        <v>Texpar Energy Llc</v>
      </c>
      <c r="C441" s="7" t="str">
        <f>IF(Notes!CA437="","",Notes!CA437)</f>
        <v>blendSAF</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processor</v>
      </c>
      <c r="B442" s="7" t="str">
        <f>IF(Notes!BZ438="","",Notes!BZ438)</f>
        <v>Ergon Asphalt &amp; Emulsions Inc 6</v>
      </c>
      <c r="C442" s="7" t="str">
        <f>IF(Notes!CA438="","",Notes!CA438)</f>
        <v>blendSAF</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processor</v>
      </c>
      <c r="B443" s="7" t="str">
        <f>IF(Notes!BZ439="","",Notes!BZ439)</f>
        <v>Ergon Asphalt And Emulsions 3</v>
      </c>
      <c r="C443" s="7" t="str">
        <f>IF(Notes!CA439="","",Notes!CA439)</f>
        <v>blendSAF</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processor</v>
      </c>
      <c r="B444" s="7" t="str">
        <f>IF(Notes!BZ440="","",Notes!BZ440)</f>
        <v>Ergon Asphalt And Emulsions 4</v>
      </c>
      <c r="C444" s="7" t="str">
        <f>IF(Notes!CA440="","",Notes!CA440)</f>
        <v>blendSAF</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processor</v>
      </c>
      <c r="B445" s="7" t="str">
        <f>IF(Notes!BZ441="","",Notes!BZ441)</f>
        <v>Ergon Asphalt And Emulsions 7</v>
      </c>
      <c r="C445" s="7" t="str">
        <f>IF(Notes!CA441="","",Notes!CA441)</f>
        <v>blendSAF</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processor</v>
      </c>
      <c r="B446" s="7" t="str">
        <f>IF(Notes!BZ442="","",Notes!BZ442)</f>
        <v>Ergon Asphalt And Emulsions 13</v>
      </c>
      <c r="C446" s="7" t="str">
        <f>IF(Notes!CA442="","",Notes!CA442)</f>
        <v>blendSAF</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processor</v>
      </c>
      <c r="B447" s="7" t="str">
        <f>IF(Notes!BZ443="","",Notes!BZ443)</f>
        <v>Premcor Refining Group Inc 1</v>
      </c>
      <c r="C447" s="7" t="str">
        <f>IF(Notes!CA443="","",Notes!CA443)</f>
        <v>blendSAF</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processor</v>
      </c>
      <c r="B448" s="7" t="str">
        <f>IF(Notes!BZ444="","",Notes!BZ444)</f>
        <v>Phillips 66 Company 26</v>
      </c>
      <c r="C448" s="7" t="str">
        <f>IF(Notes!CA444="","",Notes!CA444)</f>
        <v>blendSAF</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processor</v>
      </c>
      <c r="B449" s="7" t="str">
        <f>IF(Notes!BZ445="","",Notes!BZ445)</f>
        <v>Phillips 66 Carrier Llc 5</v>
      </c>
      <c r="C449" s="7" t="str">
        <f>IF(Notes!CA445="","",Notes!CA445)</f>
        <v>blendSAF</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processor</v>
      </c>
      <c r="B450" s="7" t="str">
        <f>IF(Notes!BZ446="","",Notes!BZ446)</f>
        <v>Phillips 66 Carrier Llc 3</v>
      </c>
      <c r="C450" s="7" t="str">
        <f>IF(Notes!CA446="","",Notes!CA446)</f>
        <v>blendSAF</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processor</v>
      </c>
      <c r="B451" s="7" t="str">
        <f>IF(Notes!BZ447="","",Notes!BZ447)</f>
        <v>Phillips 66 Carrier Llc 4</v>
      </c>
      <c r="C451" s="7" t="str">
        <f>IF(Notes!CA447="","",Notes!CA447)</f>
        <v>blendSAF</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processor</v>
      </c>
      <c r="B452" s="7" t="str">
        <f>IF(Notes!BZ448="","",Notes!BZ448)</f>
        <v>Enterprise Products Operating Llc 8</v>
      </c>
      <c r="C452" s="7" t="str">
        <f>IF(Notes!CA448="","",Notes!CA448)</f>
        <v>blendSAF</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processor</v>
      </c>
      <c r="B453" s="7" t="str">
        <f>IF(Notes!BZ449="","",Notes!BZ449)</f>
        <v>Mid-America Pipeline Co Llc</v>
      </c>
      <c r="C453" s="7" t="str">
        <f>IF(Notes!CA449="","",Notes!CA449)</f>
        <v>blendSAF</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processor</v>
      </c>
      <c r="B454" s="7" t="str">
        <f>IF(Notes!BZ450="","",Notes!BZ450)</f>
        <v>Growmark Inc 8</v>
      </c>
      <c r="C454" s="7" t="str">
        <f>IF(Notes!CA450="","",Notes!CA450)</f>
        <v>blendSAF</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processor</v>
      </c>
      <c r="B455" s="7" t="str">
        <f>IF(Notes!BZ451="","",Notes!BZ451)</f>
        <v>Sinclair Oil Corp 8</v>
      </c>
      <c r="C455" s="7" t="str">
        <f>IF(Notes!CA451="","",Notes!CA451)</f>
        <v>blendSAF</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processor</v>
      </c>
      <c r="B456" s="7" t="str">
        <f>IF(Notes!BZ452="","",Notes!BZ452)</f>
        <v>Magellan Pipeline Co Lp 21</v>
      </c>
      <c r="C456" s="7" t="str">
        <f>IF(Notes!CA452="","",Notes!CA452)</f>
        <v>blendSAF</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processor</v>
      </c>
      <c r="B457" s="7" t="str">
        <f>IF(Notes!BZ453="","",Notes!BZ453)</f>
        <v>Magellan Pipeline Co Lp 44</v>
      </c>
      <c r="C457" s="7" t="str">
        <f>IF(Notes!CA453="","",Notes!CA453)</f>
        <v>blendSAF</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processor</v>
      </c>
      <c r="B458" s="7" t="str">
        <f>IF(Notes!BZ454="","",Notes!BZ454)</f>
        <v>Magellan Pipeline Co Lp 35</v>
      </c>
      <c r="C458" s="7" t="str">
        <f>IF(Notes!CA454="","",Notes!CA454)</f>
        <v>blendSAF</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processor</v>
      </c>
      <c r="B459" s="7" t="str">
        <f>IF(Notes!BZ455="","",Notes!BZ455)</f>
        <v>Magellan Pipeline Co Lp 46</v>
      </c>
      <c r="C459" s="7" t="str">
        <f>IF(Notes!CA455="","",Notes!CA455)</f>
        <v>blendSAF</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processor</v>
      </c>
      <c r="B460" s="7" t="str">
        <f>IF(Notes!BZ456="","",Notes!BZ456)</f>
        <v>Magellan Pl Co 5</v>
      </c>
      <c r="C460" s="7" t="str">
        <f>IF(Notes!CA456="","",Notes!CA456)</f>
        <v>blendSAF</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processor</v>
      </c>
      <c r="B461" s="7" t="str">
        <f>IF(Notes!BZ457="","",Notes!BZ457)</f>
        <v>Magellan Pipeline Co Lp 17</v>
      </c>
      <c r="C461" s="7" t="str">
        <f>IF(Notes!CA457="","",Notes!CA457)</f>
        <v>blendSAF</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processor</v>
      </c>
      <c r="B462" s="7" t="str">
        <f>IF(Notes!BZ458="","",Notes!BZ458)</f>
        <v>Nustar Energy Lp 36</v>
      </c>
      <c r="C462" s="7" t="str">
        <f>IF(Notes!CA458="","",Notes!CA458)</f>
        <v>blendSAF</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processor</v>
      </c>
      <c r="B463" s="7" t="str">
        <f>IF(Notes!BZ459="","",Notes!BZ459)</f>
        <v>Nustar Energy Lp 20</v>
      </c>
      <c r="C463" s="7" t="str">
        <f>IF(Notes!CA459="","",Notes!CA459)</f>
        <v>blendSAF</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processor</v>
      </c>
      <c r="B464" s="7" t="str">
        <f>IF(Notes!BZ460="","",Notes!BZ460)</f>
        <v>Nustar Energy Lp 8</v>
      </c>
      <c r="C464" s="7" t="str">
        <f>IF(Notes!CA460="","",Notes!CA460)</f>
        <v>blendSAF</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processor</v>
      </c>
      <c r="B465" s="7" t="str">
        <f>IF(Notes!BZ461="","",Notes!BZ461)</f>
        <v>Nustar Energy Lp 15</v>
      </c>
      <c r="C465" s="7" t="str">
        <f>IF(Notes!CA461="","",Notes!CA461)</f>
        <v>blendSAF</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processor</v>
      </c>
      <c r="B466" s="7" t="str">
        <f>IF(Notes!BZ462="","",Notes!BZ462)</f>
        <v>Nustar Energy Lp 24</v>
      </c>
      <c r="C466" s="7" t="str">
        <f>IF(Notes!CA462="","",Notes!CA462)</f>
        <v>blendSAF</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processor</v>
      </c>
      <c r="B467" s="7" t="str">
        <f>IF(Notes!BZ463="","",Notes!BZ463)</f>
        <v>Oneok Hydrocarbon Lp 1</v>
      </c>
      <c r="C467" s="7" t="str">
        <f>IF(Notes!CA463="","",Notes!CA463)</f>
        <v>blendSAF</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processor</v>
      </c>
      <c r="B468" s="7" t="str">
        <f>IF(Notes!BZ464="","",Notes!BZ464)</f>
        <v>Oneok Hydrocarbon Lp 2</v>
      </c>
      <c r="C468" s="7" t="str">
        <f>IF(Notes!CA464="","",Notes!CA464)</f>
        <v>blendSAF</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processor</v>
      </c>
      <c r="B469" s="7" t="str">
        <f>IF(Notes!BZ465="","",Notes!BZ465)</f>
        <v>Oneok Hydrocarbon Lp 3</v>
      </c>
      <c r="C469" s="7" t="str">
        <f>IF(Notes!CA465="","",Notes!CA465)</f>
        <v>blendSAF</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processor</v>
      </c>
      <c r="B470" s="7" t="str">
        <f>IF(Notes!BZ466="","",Notes!BZ466)</f>
        <v>Oneok North System Llc 13</v>
      </c>
      <c r="C470" s="7" t="str">
        <f>IF(Notes!CA466="","",Notes!CA466)</f>
        <v>blendSAF</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processor</v>
      </c>
      <c r="B471" s="7" t="str">
        <f>IF(Notes!BZ467="","",Notes!BZ467)</f>
        <v>Mid Continent Frac &amp; Storage</v>
      </c>
      <c r="C471" s="7" t="str">
        <f>IF(Notes!CA467="","",Notes!CA467)</f>
        <v>blendSAF</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processor</v>
      </c>
      <c r="B472" s="7" t="str">
        <f>IF(Notes!BZ468="","",Notes!BZ468)</f>
        <v>Williams Hutch Rail Company Llc</v>
      </c>
      <c r="C472" s="7" t="str">
        <f>IF(Notes!CA468="","",Notes!CA468)</f>
        <v>blendSAF</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processor</v>
      </c>
      <c r="B473" s="7" t="str">
        <f>IF(Notes!BZ469="","",Notes!BZ469)</f>
        <v>Southern States Cooperative Inc</v>
      </c>
      <c r="C473" s="7" t="str">
        <f>IF(Notes!CA469="","",Notes!CA469)</f>
        <v>blendSAF</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processor</v>
      </c>
      <c r="B474" s="7" t="str">
        <f>IF(Notes!BZ470="","",Notes!BZ470)</f>
        <v>Valero Terminaling And Distr Co 36</v>
      </c>
      <c r="C474" s="7" t="str">
        <f>IF(Notes!CA470="","",Notes!CA470)</f>
        <v>blendSAF</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processor</v>
      </c>
      <c r="B475" s="7" t="str">
        <f>IF(Notes!BZ471="","",Notes!BZ471)</f>
        <v>Valero Terminaling And Distr Co 35</v>
      </c>
      <c r="C475" s="7" t="str">
        <f>IF(Notes!CA471="","",Notes!CA471)</f>
        <v>blendSAF</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processor</v>
      </c>
      <c r="B476" s="7" t="str">
        <f>IF(Notes!BZ472="","",Notes!BZ472)</f>
        <v>Bp Oil</v>
      </c>
      <c r="C476" s="7" t="str">
        <f>IF(Notes!CA472="","",Notes!CA472)</f>
        <v>blendSAF</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processor</v>
      </c>
      <c r="B477" s="7" t="str">
        <f>IF(Notes!BZ473="","",Notes!BZ473)</f>
        <v>Buckeye Terminals Llc 64</v>
      </c>
      <c r="C477" s="7" t="str">
        <f>IF(Notes!CA473="","",Notes!CA473)</f>
        <v>blendSAF</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processor</v>
      </c>
      <c r="B478" s="7" t="str">
        <f>IF(Notes!BZ474="","",Notes!BZ474)</f>
        <v>Marathon Petroleum Co Llc 17</v>
      </c>
      <c r="C478" s="7" t="str">
        <f>IF(Notes!CA474="","",Notes!CA474)</f>
        <v>blendSAF</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processor</v>
      </c>
      <c r="B479" s="7" t="str">
        <f>IF(Notes!BZ475="","",Notes!BZ475)</f>
        <v>Marathon Petroleum Co Llc 3</v>
      </c>
      <c r="C479" s="7" t="str">
        <f>IF(Notes!CA475="","",Notes!CA475)</f>
        <v>blendSAF</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processor</v>
      </c>
      <c r="B480" s="7" t="str">
        <f>IF(Notes!BZ476="","",Notes!BZ476)</f>
        <v>Marathon Petroleum Co Llc 11</v>
      </c>
      <c r="C480" s="7" t="str">
        <f>IF(Notes!CA476="","",Notes!CA476)</f>
        <v>blendSAF</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processor</v>
      </c>
      <c r="B481" s="7" t="str">
        <f>IF(Notes!BZ477="","",Notes!BZ477)</f>
        <v>Marathon Petroleum Co Llc 12</v>
      </c>
      <c r="C481" s="7" t="str">
        <f>IF(Notes!CA477="","",Notes!CA477)</f>
        <v>blendSAF</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processor</v>
      </c>
      <c r="B482" s="7" t="str">
        <f>IF(Notes!BZ478="","",Notes!BZ478)</f>
        <v>Mplx Terminals Llc 31</v>
      </c>
      <c r="C482" s="7" t="str">
        <f>IF(Notes!CA478="","",Notes!CA478)</f>
        <v>blendSAF</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processor</v>
      </c>
      <c r="B483" s="7" t="str">
        <f>IF(Notes!BZ479="","",Notes!BZ479)</f>
        <v>Mplx Terminals Llc 14</v>
      </c>
      <c r="C483" s="7" t="str">
        <f>IF(Notes!CA479="","",Notes!CA479)</f>
        <v>blendSAF</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processor</v>
      </c>
      <c r="B484" s="7" t="str">
        <f>IF(Notes!BZ480="","",Notes!BZ480)</f>
        <v>Mplx Terminals Llc 7</v>
      </c>
      <c r="C484" s="7" t="str">
        <f>IF(Notes!CA480="","",Notes!CA480)</f>
        <v>blendSAF</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processor</v>
      </c>
      <c r="B485" s="7" t="str">
        <f>IF(Notes!BZ481="","",Notes!BZ481)</f>
        <v>Mplx Terminals Llc 29</v>
      </c>
      <c r="C485" s="7" t="str">
        <f>IF(Notes!CA481="","",Notes!CA481)</f>
        <v>blendSAF</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processor</v>
      </c>
      <c r="B486" s="7" t="str">
        <f>IF(Notes!BZ482="","",Notes!BZ482)</f>
        <v>Mplx Terminals Llc 32</v>
      </c>
      <c r="C486" s="7" t="str">
        <f>IF(Notes!CA482="","",Notes!CA482)</f>
        <v>blendSAF</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processor</v>
      </c>
      <c r="B487" s="7" t="str">
        <f>IF(Notes!BZ483="","",Notes!BZ483)</f>
        <v>Omega Partners Iii Llc 2</v>
      </c>
      <c r="C487" s="7" t="str">
        <f>IF(Notes!CA483="","",Notes!CA483)</f>
        <v>blendSAF</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processor</v>
      </c>
      <c r="B488" s="7" t="str">
        <f>IF(Notes!BZ484="","",Notes!BZ484)</f>
        <v>Transmontaigne Operating Company 26</v>
      </c>
      <c r="C488" s="7" t="str">
        <f>IF(Notes!CA484="","",Notes!CA484)</f>
        <v>blendSAF</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processor</v>
      </c>
      <c r="B489" s="7" t="str">
        <f>IF(Notes!BZ485="","",Notes!BZ485)</f>
        <v>Transmontaigne Operating Company 28</v>
      </c>
      <c r="C489" s="7" t="str">
        <f>IF(Notes!CA485="","",Notes!CA485)</f>
        <v>blendSAF</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processor</v>
      </c>
      <c r="B490" s="7" t="str">
        <f>IF(Notes!BZ486="","",Notes!BZ486)</f>
        <v>Transmontaigne Operation Company</v>
      </c>
      <c r="C490" s="7" t="str">
        <f>IF(Notes!CA486="","",Notes!CA486)</f>
        <v>blendSAF</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processor</v>
      </c>
      <c r="B491" s="7" t="str">
        <f>IF(Notes!BZ487="","",Notes!BZ487)</f>
        <v>Transmontaigne Operating Company 38</v>
      </c>
      <c r="C491" s="7" t="str">
        <f>IF(Notes!CA487="","",Notes!CA487)</f>
        <v>blendSAF</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processor</v>
      </c>
      <c r="B492" s="7" t="str">
        <f>IF(Notes!BZ488="","",Notes!BZ488)</f>
        <v>Transmontaigne Operating Co 1</v>
      </c>
      <c r="C492" s="7" t="str">
        <f>IF(Notes!CA488="","",Notes!CA488)</f>
        <v>blendSAF</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processor</v>
      </c>
      <c r="B493" s="7" t="str">
        <f>IF(Notes!BZ489="","",Notes!BZ489)</f>
        <v>Chevron Usa Inc Arcadia</v>
      </c>
      <c r="C493" s="7" t="str">
        <f>IF(Notes!CA489="","",Notes!CA489)</f>
        <v>blendSAF</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processor</v>
      </c>
      <c r="B494" s="7" t="str">
        <f>IF(Notes!BZ490="","",Notes!BZ490)</f>
        <v>Apex Oil Company Inc 25</v>
      </c>
      <c r="C494" s="7" t="str">
        <f>IF(Notes!CA490="","",Notes!CA490)</f>
        <v>blendSAF</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processor</v>
      </c>
      <c r="B495" s="7" t="str">
        <f>IF(Notes!BZ491="","",Notes!BZ491)</f>
        <v>Petroleum Fuel &amp; Terminal Co 2</v>
      </c>
      <c r="C495" s="7" t="str">
        <f>IF(Notes!CA491="","",Notes!CA491)</f>
        <v>blendSAF</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processor</v>
      </c>
      <c r="B496" s="7" t="str">
        <f>IF(Notes!BZ492="","",Notes!BZ492)</f>
        <v>Alexandria Terminal Co Llc</v>
      </c>
      <c r="C496" s="7" t="str">
        <f>IF(Notes!CA492="","",Notes!CA492)</f>
        <v>blendSAF</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processor</v>
      </c>
      <c r="B497" s="7" t="str">
        <f>IF(Notes!BZ493="","",Notes!BZ493)</f>
        <v>Monroe Terminal Company Llc</v>
      </c>
      <c r="C497" s="7" t="str">
        <f>IF(Notes!CA493="","",Notes!CA493)</f>
        <v>blendSAF</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processor</v>
      </c>
      <c r="B498" s="7" t="str">
        <f>IF(Notes!BZ494="","",Notes!BZ494)</f>
        <v>Vrm</v>
      </c>
      <c r="C498" s="7" t="str">
        <f>IF(Notes!CA494="","",Notes!CA494)</f>
        <v>blendSAF</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processor</v>
      </c>
      <c r="B499" s="7" t="str">
        <f>IF(Notes!BZ495="","",Notes!BZ495)</f>
        <v>Boardwalk Louisiana Midstream Llc 1</v>
      </c>
      <c r="C499" s="7" t="str">
        <f>IF(Notes!CA495="","",Notes!CA495)</f>
        <v>blendSAF</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processor</v>
      </c>
      <c r="B500" s="7" t="str">
        <f>IF(Notes!BZ496="","",Notes!BZ496)</f>
        <v>Boardwalk Louisiana Midstream Llc 2</v>
      </c>
      <c r="C500" s="7" t="str">
        <f>IF(Notes!CA496="","",Notes!CA496)</f>
        <v>blendSAF</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processor</v>
      </c>
      <c r="B501" s="7" t="str">
        <f>IF(Notes!BZ497="","",Notes!BZ497)</f>
        <v>Bp Lubricants Usa Inc</v>
      </c>
      <c r="C501" s="7" t="str">
        <f>IF(Notes!CA497="","",Notes!CA497)</f>
        <v>blendSAF</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processor</v>
      </c>
      <c r="B502" s="7" t="str">
        <f>IF(Notes!BZ498="","",Notes!BZ498)</f>
        <v>Buckeye Terminals Llc 82</v>
      </c>
      <c r="C502" s="7" t="str">
        <f>IF(Notes!CA498="","",Notes!CA498)</f>
        <v>blendSAF</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processor</v>
      </c>
      <c r="B503" s="7" t="str">
        <f>IF(Notes!BZ499="","",Notes!BZ499)</f>
        <v>Buckeye Terminals Llc 68</v>
      </c>
      <c r="C503" s="7" t="str">
        <f>IF(Notes!CA499="","",Notes!CA499)</f>
        <v>blendSAF</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processor</v>
      </c>
      <c r="B504" s="7" t="str">
        <f>IF(Notes!BZ500="","",Notes!BZ500)</f>
        <v>C-Portstone Llc 1</v>
      </c>
      <c r="C504" s="7" t="str">
        <f>IF(Notes!CA500="","",Notes!CA500)</f>
        <v>blendSAF</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processor</v>
      </c>
      <c r="B505" s="7" t="str">
        <f>IF(Notes!BZ501="","",Notes!BZ501)</f>
        <v>C-Portstone Llc 2</v>
      </c>
      <c r="C505" s="7" t="str">
        <f>IF(Notes!CA501="","",Notes!CA501)</f>
        <v>blendSAF</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processor</v>
      </c>
      <c r="B506" s="7" t="str">
        <f>IF(Notes!BZ502="","",Notes!BZ502)</f>
        <v>Energy Logistics Solutions Llc</v>
      </c>
      <c r="C506" s="7" t="str">
        <f>IF(Notes!CA502="","",Notes!CA502)</f>
        <v>blendSAF</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processor</v>
      </c>
      <c r="B507" s="7" t="str">
        <f>IF(Notes!BZ503="","",Notes!BZ503)</f>
        <v>Phillips 66 Company 25</v>
      </c>
      <c r="C507" s="7" t="str">
        <f>IF(Notes!CA503="","",Notes!CA503)</f>
        <v>blendSAF</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processor</v>
      </c>
      <c r="B508" s="7" t="str">
        <f>IF(Notes!BZ504="","",Notes!BZ504)</f>
        <v>Phillips 66 5</v>
      </c>
      <c r="C508" s="7" t="str">
        <f>IF(Notes!CA504="","",Notes!CA504)</f>
        <v>blendSAF</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processor</v>
      </c>
      <c r="B509" s="7" t="str">
        <f>IF(Notes!BZ505="","",Notes!BZ505)</f>
        <v>Dow Hydrocarbons &amp; Resrcs Llc 9</v>
      </c>
      <c r="C509" s="7" t="str">
        <f>IF(Notes!CA505="","",Notes!CA505)</f>
        <v>blendSAF</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processor</v>
      </c>
      <c r="B510" s="7" t="str">
        <f>IF(Notes!BZ506="","",Notes!BZ506)</f>
        <v>Five Star Fuels</v>
      </c>
      <c r="C510" s="7" t="str">
        <f>IF(Notes!CA506="","",Notes!CA506)</f>
        <v>blendSAF</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processor</v>
      </c>
      <c r="B511" s="7" t="str">
        <f>IF(Notes!BZ507="","",Notes!BZ507)</f>
        <v>Economy/Stone Midstream Fuel Llc</v>
      </c>
      <c r="C511" s="7" t="str">
        <f>IF(Notes!CA507="","",Notes!CA507)</f>
        <v>blendSAF</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processor</v>
      </c>
      <c r="B512" s="7" t="str">
        <f>IF(Notes!BZ508="","",Notes!BZ508)</f>
        <v>Sunoco Logistics 18</v>
      </c>
      <c r="C512" s="7" t="str">
        <f>IF(Notes!CA508="","",Notes!CA508)</f>
        <v>blendSAF</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processor</v>
      </c>
      <c r="B513" s="7" t="str">
        <f>IF(Notes!BZ509="","",Notes!BZ509)</f>
        <v>Enterprise Field Services Llc</v>
      </c>
      <c r="C513" s="7" t="str">
        <f>IF(Notes!CA509="","",Notes!CA509)</f>
        <v>blendSAF</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processor</v>
      </c>
      <c r="B514" s="7" t="str">
        <f>IF(Notes!BZ510="","",Notes!BZ510)</f>
        <v>Enterprise Products Operating Llc 6</v>
      </c>
      <c r="C514" s="7" t="str">
        <f>IF(Notes!CA510="","",Notes!CA510)</f>
        <v>blendSAF</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processor</v>
      </c>
      <c r="B515" s="7" t="str">
        <f>IF(Notes!BZ511="","",Notes!BZ511)</f>
        <v>Enterprise Refined Products Co Llc 3</v>
      </c>
      <c r="C515" s="7" t="str">
        <f>IF(Notes!CA511="","",Notes!CA511)</f>
        <v>blendSAF</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processor</v>
      </c>
      <c r="B516" s="7" t="str">
        <f>IF(Notes!BZ512="","",Notes!BZ512)</f>
        <v>Exxon Mobil Refg &amp; Sply Comp 1</v>
      </c>
      <c r="C516" s="7" t="str">
        <f>IF(Notes!CA512="","",Notes!CA512)</f>
        <v>blendSAF</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processor</v>
      </c>
      <c r="B517" s="7" t="str">
        <f>IF(Notes!BZ513="","",Notes!BZ513)</f>
        <v>Exxonmobil Chemical Company</v>
      </c>
      <c r="C517" s="7" t="str">
        <f>IF(Notes!CA513="","",Notes!CA513)</f>
        <v>blendSAF</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processor</v>
      </c>
      <c r="B518" s="7" t="str">
        <f>IF(Notes!BZ514="","",Notes!BZ514)</f>
        <v>Exxonmobil Port Allen Lubricants B</v>
      </c>
      <c r="C518" s="7" t="str">
        <f>IF(Notes!CA514="","",Notes!CA514)</f>
        <v>blendSAF</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processor</v>
      </c>
      <c r="B519" s="7" t="str">
        <f>IF(Notes!BZ515="","",Notes!BZ515)</f>
        <v>Exxonmobil Pipeline Co 2</v>
      </c>
      <c r="C519" s="7" t="str">
        <f>IF(Notes!CA515="","",Notes!CA515)</f>
        <v>blendSAF</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processor</v>
      </c>
      <c r="B520" s="7" t="str">
        <f>IF(Notes!BZ516="","",Notes!BZ516)</f>
        <v>Red River Terminals Llc</v>
      </c>
      <c r="C520" s="7" t="str">
        <f>IF(Notes!CA516="","",Notes!CA516)</f>
        <v>blendSAF</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processor</v>
      </c>
      <c r="B521" s="7" t="str">
        <f>IF(Notes!BZ517="","",Notes!BZ517)</f>
        <v>Enlink Processing Services Llc</v>
      </c>
      <c r="C521" s="7" t="str">
        <f>IF(Notes!CA517="","",Notes!CA517)</f>
        <v>blendSAF</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processor</v>
      </c>
      <c r="B522" s="7" t="str">
        <f>IF(Notes!BZ518="","",Notes!BZ518)</f>
        <v>Harvest Midstream Co</v>
      </c>
      <c r="C522" s="7" t="str">
        <f>IF(Notes!CA518="","",Notes!CA518)</f>
        <v>blendSAF</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processor</v>
      </c>
      <c r="B523" s="7" t="str">
        <f>IF(Notes!BZ519="","",Notes!BZ519)</f>
        <v>International Matex Tank Terminals</v>
      </c>
      <c r="C523" s="7" t="str">
        <f>IF(Notes!CA519="","",Notes!CA519)</f>
        <v>blendSAF</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processor</v>
      </c>
      <c r="B524" s="7" t="str">
        <f>IF(Notes!BZ520="","",Notes!BZ520)</f>
        <v>Intl Matex Tank Terminals 1</v>
      </c>
      <c r="C524" s="7" t="str">
        <f>IF(Notes!CA520="","",Notes!CA520)</f>
        <v>blendSAF</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processor</v>
      </c>
      <c r="B525" s="7" t="str">
        <f>IF(Notes!BZ521="","",Notes!BZ521)</f>
        <v>John W Stone Oil Distributor Llc 2</v>
      </c>
      <c r="C525" s="7" t="str">
        <f>IF(Notes!CA521="","",Notes!CA521)</f>
        <v>blendSAF</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processor</v>
      </c>
      <c r="B526" s="7" t="str">
        <f>IF(Notes!BZ522="","",Notes!BZ522)</f>
        <v>John W Stone Oil Dstr Llc</v>
      </c>
      <c r="C526" s="7" t="str">
        <f>IF(Notes!CA522="","",Notes!CA522)</f>
        <v>blendSAF</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processor</v>
      </c>
      <c r="B527" s="7" t="str">
        <f>IF(Notes!BZ523="","",Notes!BZ523)</f>
        <v>John W Stone Oil Distributor Llc 1</v>
      </c>
      <c r="C527" s="7" t="str">
        <f>IF(Notes!CA523="","",Notes!CA523)</f>
        <v>blendSAF</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processor</v>
      </c>
      <c r="B528" s="7" t="str">
        <f>IF(Notes!BZ524="","",Notes!BZ524)</f>
        <v>Kinder Morgan 3</v>
      </c>
      <c r="C528" s="7" t="str">
        <f>IF(Notes!CA524="","",Notes!CA524)</f>
        <v>blendSAF</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processor</v>
      </c>
      <c r="B529" s="7" t="str">
        <f>IF(Notes!BZ525="","",Notes!BZ525)</f>
        <v>Marathon Petroleum Co Llc 8</v>
      </c>
      <c r="C529" s="7" t="str">
        <f>IF(Notes!CA525="","",Notes!CA525)</f>
        <v>blendSAF</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processor</v>
      </c>
      <c r="B530" s="7" t="str">
        <f>IF(Notes!BZ526="","",Notes!BZ526)</f>
        <v>Mplx Terminals Llc 20</v>
      </c>
      <c r="C530" s="7" t="str">
        <f>IF(Notes!CA526="","",Notes!CA526)</f>
        <v>blendSAF</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processor</v>
      </c>
      <c r="B531" s="7" t="str">
        <f>IF(Notes!BZ527="","",Notes!BZ527)</f>
        <v>Mplx Terminals Llc 36</v>
      </c>
      <c r="C531" s="7" t="str">
        <f>IF(Notes!CA527="","",Notes!CA527)</f>
        <v>blendSAF</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processor</v>
      </c>
      <c r="B532" s="7" t="str">
        <f>IF(Notes!BZ528="","",Notes!BZ528)</f>
        <v>Martin Energy Services Llc 14</v>
      </c>
      <c r="C532" s="7" t="str">
        <f>IF(Notes!CA528="","",Notes!CA528)</f>
        <v>blendSAF</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processor</v>
      </c>
      <c r="B533" s="7" t="str">
        <f>IF(Notes!BZ529="","",Notes!BZ529)</f>
        <v>Martin Energy Services Llc 4</v>
      </c>
      <c r="C533" s="7" t="str">
        <f>IF(Notes!CA529="","",Notes!CA529)</f>
        <v>blendSAF</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processor</v>
      </c>
      <c r="B534" s="7" t="str">
        <f>IF(Notes!BZ530="","",Notes!BZ530)</f>
        <v>Martin Energy Services Llc 7</v>
      </c>
      <c r="C534" s="7" t="str">
        <f>IF(Notes!CA530="","",Notes!CA530)</f>
        <v>blendSAF</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processor</v>
      </c>
      <c r="B535" s="7" t="str">
        <f>IF(Notes!BZ531="","",Notes!BZ531)</f>
        <v>Martin Energy Services Llc 8</v>
      </c>
      <c r="C535" s="7" t="str">
        <f>IF(Notes!CA531="","",Notes!CA531)</f>
        <v>blendSAF</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processor</v>
      </c>
      <c r="B536" s="7" t="str">
        <f>IF(Notes!BZ532="","",Notes!BZ532)</f>
        <v>Martin Energy Services Llc 9</v>
      </c>
      <c r="C536" s="7" t="str">
        <f>IF(Notes!CA532="","",Notes!CA532)</f>
        <v>blendSAF</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processor</v>
      </c>
      <c r="B537" s="7" t="str">
        <f>IF(Notes!BZ533="","",Notes!BZ533)</f>
        <v>Martin Energy Services Llc 10</v>
      </c>
      <c r="C537" s="7" t="str">
        <f>IF(Notes!CA533="","",Notes!CA533)</f>
        <v>blendSAF</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processor</v>
      </c>
      <c r="B538" s="7" t="str">
        <f>IF(Notes!BZ534="","",Notes!BZ534)</f>
        <v>Gulf Gateway Terminal Llc</v>
      </c>
      <c r="C538" s="7" t="str">
        <f>IF(Notes!CA534="","",Notes!CA534)</f>
        <v>blendSAF</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processor</v>
      </c>
      <c r="B539" s="7" t="str">
        <f>IF(Notes!BZ535="","",Notes!BZ535)</f>
        <v>Lbc Baton Rouge</v>
      </c>
      <c r="C539" s="7" t="str">
        <f>IF(Notes!CA535="","",Notes!CA535)</f>
        <v>blendSAF</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processor</v>
      </c>
      <c r="B540" s="7" t="str">
        <f>IF(Notes!BZ536="","",Notes!BZ536)</f>
        <v>Shell Oil Products Us 4</v>
      </c>
      <c r="C540" s="7" t="str">
        <f>IF(Notes!CA536="","",Notes!CA536)</f>
        <v>blendSAF</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processor</v>
      </c>
      <c r="B541" s="7" t="str">
        <f>IF(Notes!BZ537="","",Notes!BZ537)</f>
        <v>Stolthaven New Orleans Llc</v>
      </c>
      <c r="C541" s="7" t="str">
        <f>IF(Notes!CA537="","",Notes!CA537)</f>
        <v>blendSAF</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processor</v>
      </c>
      <c r="B542" s="7" t="str">
        <f>IF(Notes!BZ538="","",Notes!BZ538)</f>
        <v>Targa Midstream Services Llc 3</v>
      </c>
      <c r="C542" s="7" t="str">
        <f>IF(Notes!CA538="","",Notes!CA538)</f>
        <v>blendSAF</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processor</v>
      </c>
      <c r="B543" s="7" t="str">
        <f>IF(Notes!BZ539="","",Notes!BZ539)</f>
        <v>Valero Marketing &amp; Supply Co 32</v>
      </c>
      <c r="C543" s="7" t="str">
        <f>IF(Notes!CA539="","",Notes!CA539)</f>
        <v>blendSAF</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processor</v>
      </c>
      <c r="B544" s="7" t="str">
        <f>IF(Notes!BZ540="","",Notes!BZ540)</f>
        <v>Bwc Terminals Llc 7</v>
      </c>
      <c r="C544" s="7" t="str">
        <f>IF(Notes!CA540="","",Notes!CA540)</f>
        <v>blendSAF</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processor</v>
      </c>
      <c r="B545" s="7" t="str">
        <f>IF(Notes!BZ541="","",Notes!BZ541)</f>
        <v>Bwc Terminals Llc 3</v>
      </c>
      <c r="C545" s="7" t="str">
        <f>IF(Notes!CA541="","",Notes!CA541)</f>
        <v>blendSAF</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processor</v>
      </c>
      <c r="B546" s="7" t="str">
        <f>IF(Notes!BZ542="","",Notes!BZ542)</f>
        <v>Gulf Oil Lp 4</v>
      </c>
      <c r="C546" s="7" t="str">
        <f>IF(Notes!CA542="","",Notes!CA542)</f>
        <v>blendSAF</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processor</v>
      </c>
      <c r="B547" s="7" t="str">
        <f>IF(Notes!BZ543="","",Notes!BZ543)</f>
        <v>Buckeye Terminals Llc 21</v>
      </c>
      <c r="C547" s="7" t="str">
        <f>IF(Notes!CA543="","",Notes!CA543)</f>
        <v>blendSAF</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processor</v>
      </c>
      <c r="B548" s="7" t="str">
        <f>IF(Notes!BZ544="","",Notes!BZ544)</f>
        <v>Cold Brook Energy Inc</v>
      </c>
      <c r="C548" s="7" t="str">
        <f>IF(Notes!CA544="","",Notes!CA544)</f>
        <v>blendSAF</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processor</v>
      </c>
      <c r="B549" s="7" t="str">
        <f>IF(Notes!BZ545="","",Notes!BZ545)</f>
        <v>Global Co Llc 9</v>
      </c>
      <c r="C549" s="7" t="str">
        <f>IF(Notes!CA545="","",Notes!CA545)</f>
        <v>blendSAF</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processor</v>
      </c>
      <c r="B550" s="7" t="str">
        <f>IF(Notes!BZ546="","",Notes!BZ546)</f>
        <v>Sprague Operating Resources Llc 10</v>
      </c>
      <c r="C550" s="7" t="str">
        <f>IF(Notes!CA546="","",Notes!CA546)</f>
        <v>blendSAF</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processor</v>
      </c>
      <c r="B551" s="7" t="str">
        <f>IF(Notes!BZ547="","",Notes!BZ547)</f>
        <v>Sprague Operating Resources Llc 9</v>
      </c>
      <c r="C551" s="7" t="str">
        <f>IF(Notes!CA547="","",Notes!CA547)</f>
        <v>blendSAF</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processor</v>
      </c>
      <c r="B552" s="7" t="str">
        <f>IF(Notes!BZ548="","",Notes!BZ548)</f>
        <v>Irving Oil Terminals Inc 7</v>
      </c>
      <c r="C552" s="7" t="str">
        <f>IF(Notes!CA548="","",Notes!CA548)</f>
        <v>blendSAF</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processor</v>
      </c>
      <c r="B553" s="7" t="str">
        <f>IF(Notes!BZ549="","",Notes!BZ549)</f>
        <v>Citgo Petro Corp 24</v>
      </c>
      <c r="C553" s="7" t="str">
        <f>IF(Notes!CA549="","",Notes!CA549)</f>
        <v>blendSAF</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processor</v>
      </c>
      <c r="B554" s="7" t="str">
        <f>IF(Notes!BZ550="","",Notes!BZ550)</f>
        <v>South Portland Terminal Llc</v>
      </c>
      <c r="C554" s="7" t="str">
        <f>IF(Notes!CA550="","",Notes!CA550)</f>
        <v>blendSAF</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processor</v>
      </c>
      <c r="B555" s="7" t="str">
        <f>IF(Notes!BZ551="","",Notes!BZ551)</f>
        <v>Webber Tanks Inc</v>
      </c>
      <c r="C555" s="7" t="str">
        <f>IF(Notes!CA551="","",Notes!CA551)</f>
        <v>blendSAF</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processor</v>
      </c>
      <c r="B556" s="7" t="str">
        <f>IF(Notes!BZ552="","",Notes!BZ552)</f>
        <v>Petroleum Fuel And Terminal Company 17</v>
      </c>
      <c r="C556" s="7" t="str">
        <f>IF(Notes!CA552="","",Notes!CA552)</f>
        <v>blendSAF</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processor</v>
      </c>
      <c r="B557" s="7" t="str">
        <f>IF(Notes!BZ553="","",Notes!BZ553)</f>
        <v>Petroleum Fuel And Terminal Company 18</v>
      </c>
      <c r="C557" s="7" t="str">
        <f>IF(Notes!CA553="","",Notes!CA553)</f>
        <v>blendSAF</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processor</v>
      </c>
      <c r="B558" s="7" t="str">
        <f>IF(Notes!BZ554="","",Notes!BZ554)</f>
        <v>Petroleum Fuel &amp; Terminal Co 1</v>
      </c>
      <c r="C558" s="7" t="str">
        <f>IF(Notes!CA554="","",Notes!CA554)</f>
        <v>blendSAF</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processor</v>
      </c>
      <c r="B559" s="7" t="str">
        <f>IF(Notes!BZ555="","",Notes!BZ555)</f>
        <v>Petroleum Fuel &amp; Terminal Co 15</v>
      </c>
      <c r="C559" s="7" t="str">
        <f>IF(Notes!CA555="","",Notes!CA555)</f>
        <v>blendSAF</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processor</v>
      </c>
      <c r="B560" s="7" t="str">
        <f>IF(Notes!BZ556="","",Notes!BZ556)</f>
        <v>Pike Baltimore Terminals Llc</v>
      </c>
      <c r="C560" s="7" t="str">
        <f>IF(Notes!CA556="","",Notes!CA556)</f>
        <v>blendSAF</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processor</v>
      </c>
      <c r="B561" s="7" t="str">
        <f>IF(Notes!BZ557="","",Notes!BZ557)</f>
        <v>Buckeye Terminals Llc 20</v>
      </c>
      <c r="C561" s="7" t="str">
        <f>IF(Notes!CA557="","",Notes!CA557)</f>
        <v>blendSAF</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processor</v>
      </c>
      <c r="B562" s="7" t="str">
        <f>IF(Notes!BZ558="","",Notes!BZ558)</f>
        <v>Sunoco Logistics 20</v>
      </c>
      <c r="C562" s="7" t="str">
        <f>IF(Notes!CA558="","",Notes!CA558)</f>
        <v>blendSAF</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processor</v>
      </c>
      <c r="B563" s="7" t="str">
        <f>IF(Notes!BZ559="","",Notes!BZ559)</f>
        <v>Energy Transfer</v>
      </c>
      <c r="C563" s="7" t="str">
        <f>IF(Notes!CA559="","",Notes!CA559)</f>
        <v>blendSAF</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processor</v>
      </c>
      <c r="B564" s="7" t="str">
        <f>IF(Notes!BZ560="","",Notes!BZ560)</f>
        <v>Sunoco Llc 1</v>
      </c>
      <c r="C564" s="7" t="str">
        <f>IF(Notes!CA560="","",Notes!CA560)</f>
        <v>blendSAF</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processor</v>
      </c>
      <c r="B565" s="7" t="str">
        <f>IF(Notes!BZ561="","",Notes!BZ561)</f>
        <v>Kinder Morgan Liq Termls Llc 5</v>
      </c>
      <c r="C565" s="7" t="str">
        <f>IF(Notes!CA561="","",Notes!CA561)</f>
        <v>blendSAF</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processor</v>
      </c>
      <c r="B566" s="7" t="str">
        <f>IF(Notes!BZ562="","",Notes!BZ562)</f>
        <v>Citgo Petro Corp 7</v>
      </c>
      <c r="C566" s="7" t="str">
        <f>IF(Notes!CA562="","",Notes!CA562)</f>
        <v>blendSAF</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processor</v>
      </c>
      <c r="B567" s="7" t="str">
        <f>IF(Notes!BZ563="","",Notes!BZ563)</f>
        <v>Motiva Enterprises Llc 3</v>
      </c>
      <c r="C567" s="7" t="str">
        <f>IF(Notes!CA563="","",Notes!CA563)</f>
        <v>blendSAF</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processor</v>
      </c>
      <c r="B568" s="7" t="str">
        <f>IF(Notes!BZ564="","",Notes!BZ564)</f>
        <v>Gulf Oil Lp 1</v>
      </c>
      <c r="C568" s="7" t="str">
        <f>IF(Notes!CA564="","",Notes!CA564)</f>
        <v>blendSAF</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processor</v>
      </c>
      <c r="B569" s="7" t="str">
        <f>IF(Notes!BZ565="","",Notes!BZ565)</f>
        <v>Buckeye Terminals Llc 99</v>
      </c>
      <c r="C569" s="7" t="str">
        <f>IF(Notes!CA565="","",Notes!CA565)</f>
        <v>blendSAF</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processor</v>
      </c>
      <c r="B570" s="7" t="str">
        <f>IF(Notes!BZ566="","",Notes!BZ566)</f>
        <v>Sunoco Logistics 31</v>
      </c>
      <c r="C570" s="7" t="str">
        <f>IF(Notes!CA566="","",Notes!CA566)</f>
        <v>blendSAF</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processor</v>
      </c>
      <c r="B571" s="7" t="str">
        <f>IF(Notes!BZ567="","",Notes!BZ567)</f>
        <v>Global Co Llc 3</v>
      </c>
      <c r="C571" s="7" t="str">
        <f>IF(Notes!CA567="","",Notes!CA567)</f>
        <v>blendSAF</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processor</v>
      </c>
      <c r="B572" s="7" t="str">
        <f>IF(Notes!BZ568="","",Notes!BZ568)</f>
        <v>Global Co Llc 10</v>
      </c>
      <c r="C572" s="7" t="str">
        <f>IF(Notes!CA568="","",Notes!CA568)</f>
        <v>blendSAF</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processor</v>
      </c>
      <c r="B573" s="7" t="str">
        <f>IF(Notes!BZ569="","",Notes!BZ569)</f>
        <v>Global Companies Llc 17</v>
      </c>
      <c r="C573" s="7" t="str">
        <f>IF(Notes!CA569="","",Notes!CA569)</f>
        <v>blendSAF</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processor</v>
      </c>
      <c r="B574" s="7" t="str">
        <f>IF(Notes!BZ570="","",Notes!BZ570)</f>
        <v>Harbor Fuel Oil Corp</v>
      </c>
      <c r="C574" s="7" t="str">
        <f>IF(Notes!CA570="","",Notes!CA570)</f>
        <v>blendSAF</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processor</v>
      </c>
      <c r="B575" s="7" t="str">
        <f>IF(Notes!BZ571="","",Notes!BZ571)</f>
        <v>Sprague Operating Resources Llc 6</v>
      </c>
      <c r="C575" s="7" t="str">
        <f>IF(Notes!CA571="","",Notes!CA571)</f>
        <v>blendSAF</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processor</v>
      </c>
      <c r="B576" s="7" t="str">
        <f>IF(Notes!BZ572="","",Notes!BZ572)</f>
        <v>Sprague Operating Resources Llc 7</v>
      </c>
      <c r="C576" s="7" t="str">
        <f>IF(Notes!CA572="","",Notes!CA572)</f>
        <v>blendSAF</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processor</v>
      </c>
      <c r="B577" s="7" t="str">
        <f>IF(Notes!BZ573="","",Notes!BZ573)</f>
        <v>Sprague Operating Resources Llc 11</v>
      </c>
      <c r="C577" s="7" t="str">
        <f>IF(Notes!CA573="","",Notes!CA573)</f>
        <v>blendSAF</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processor</v>
      </c>
      <c r="B578" s="7" t="str">
        <f>IF(Notes!BZ574="","",Notes!BZ574)</f>
        <v>Sprague Operating Resources Llc 12</v>
      </c>
      <c r="C578" s="7" t="str">
        <f>IF(Notes!CA574="","",Notes!CA574)</f>
        <v>blendSAF</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processor</v>
      </c>
      <c r="B579" s="7" t="str">
        <f>IF(Notes!BZ575="","",Notes!BZ575)</f>
        <v>Irving Oil Terminals Inc 6</v>
      </c>
      <c r="C579" s="7" t="str">
        <f>IF(Notes!CA575="","",Notes!CA575)</f>
        <v>blendSAF</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processor</v>
      </c>
      <c r="B580" s="7" t="str">
        <f>IF(Notes!BZ576="","",Notes!BZ576)</f>
        <v>Peterson Oil Service Inc</v>
      </c>
      <c r="C580" s="7" t="str">
        <f>IF(Notes!CA576="","",Notes!CA576)</f>
        <v>blendSAF</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processor</v>
      </c>
      <c r="B581" s="7" t="str">
        <f>IF(Notes!BZ577="","",Notes!BZ577)</f>
        <v>Citgo Petro Corp 13</v>
      </c>
      <c r="C581" s="7" t="str">
        <f>IF(Notes!CA577="","",Notes!CA577)</f>
        <v>blendSAF</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processor</v>
      </c>
      <c r="B582" s="7" t="str">
        <f>IF(Notes!BZ578="","",Notes!BZ578)</f>
        <v>Springfield Terminal Inc 18</v>
      </c>
      <c r="C582" s="7" t="str">
        <f>IF(Notes!CA578="","",Notes!CA578)</f>
        <v>blendSAF</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processor</v>
      </c>
      <c r="B583" s="7" t="str">
        <f>IF(Notes!BZ579="","",Notes!BZ579)</f>
        <v>Springfield Terminal Inc 19</v>
      </c>
      <c r="C583" s="7" t="str">
        <f>IF(Notes!CA579="","",Notes!CA579)</f>
        <v>blendSAF</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processor</v>
      </c>
      <c r="B584" s="7" t="str">
        <f>IF(Notes!BZ580="","",Notes!BZ580)</f>
        <v>Surner Heating Co Inc</v>
      </c>
      <c r="C584" s="7" t="str">
        <f>IF(Notes!CA580="","",Notes!CA580)</f>
        <v>blendSAF</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processor</v>
      </c>
      <c r="B585" s="7" t="str">
        <f>IF(Notes!BZ581="","",Notes!BZ581)</f>
        <v>Us Venture Inc 3</v>
      </c>
      <c r="C585" s="7" t="str">
        <f>IF(Notes!CA581="","",Notes!CA581)</f>
        <v>blendSAF</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processor</v>
      </c>
      <c r="B586" s="7" t="str">
        <f>IF(Notes!BZ582="","",Notes!BZ582)</f>
        <v>Us Venture Inc 27</v>
      </c>
      <c r="C586" s="7" t="str">
        <f>IF(Notes!CA582="","",Notes!CA582)</f>
        <v>blendSAF</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processor</v>
      </c>
      <c r="B587" s="7" t="str">
        <f>IF(Notes!BZ583="","",Notes!BZ583)</f>
        <v>Buckeye Terminals Llc 98</v>
      </c>
      <c r="C587" s="7" t="str">
        <f>IF(Notes!CA583="","",Notes!CA583)</f>
        <v>blendSAF</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processor</v>
      </c>
      <c r="B588" s="7" t="str">
        <f>IF(Notes!BZ584="","",Notes!BZ584)</f>
        <v>Buckeye Terminals Llc 69</v>
      </c>
      <c r="C588" s="7" t="str">
        <f>IF(Notes!CA584="","",Notes!CA584)</f>
        <v>blendSAF</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processor</v>
      </c>
      <c r="B589" s="7" t="str">
        <f>IF(Notes!BZ585="","",Notes!BZ585)</f>
        <v>Buckeye Terminals Llc 42</v>
      </c>
      <c r="C589" s="7" t="str">
        <f>IF(Notes!CA585="","",Notes!CA585)</f>
        <v>blendSAF</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processor</v>
      </c>
      <c r="B590" s="7" t="str">
        <f>IF(Notes!BZ586="","",Notes!BZ586)</f>
        <v>Buckeye Terminals Llc 48</v>
      </c>
      <c r="C590" s="7" t="str">
        <f>IF(Notes!CA586="","",Notes!CA586)</f>
        <v>blendSAF</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processor</v>
      </c>
      <c r="B591" s="7" t="str">
        <f>IF(Notes!BZ587="","",Notes!BZ587)</f>
        <v>Buckeye Terminals Llc 77</v>
      </c>
      <c r="C591" s="7" t="str">
        <f>IF(Notes!CA587="","",Notes!CA587)</f>
        <v>blendSAF</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processor</v>
      </c>
      <c r="B592" s="7" t="str">
        <f>IF(Notes!BZ588="","",Notes!BZ588)</f>
        <v>Buckeye Terminals Llc 78</v>
      </c>
      <c r="C592" s="7" t="str">
        <f>IF(Notes!CA588="","",Notes!CA588)</f>
        <v>blendSAF</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processor</v>
      </c>
      <c r="B593" s="7" t="str">
        <f>IF(Notes!BZ589="","",Notes!BZ589)</f>
        <v>Buckeye Terminals Llc 103</v>
      </c>
      <c r="C593" s="7" t="str">
        <f>IF(Notes!CA589="","",Notes!CA589)</f>
        <v>blendSAF</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processor</v>
      </c>
      <c r="B594" s="7" t="str">
        <f>IF(Notes!BZ590="","",Notes!BZ590)</f>
        <v>Buckeye Terminals Llc 113</v>
      </c>
      <c r="C594" s="7" t="str">
        <f>IF(Notes!CA590="","",Notes!CA590)</f>
        <v>blendSAF</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processor</v>
      </c>
      <c r="B595" s="7" t="str">
        <f>IF(Notes!BZ591="","",Notes!BZ591)</f>
        <v>Buckeye Terminals Llc 90</v>
      </c>
      <c r="C595" s="7" t="str">
        <f>IF(Notes!CA591="","",Notes!CA591)</f>
        <v>blendSAF</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processor</v>
      </c>
      <c r="B596" s="7" t="str">
        <f>IF(Notes!BZ592="","",Notes!BZ592)</f>
        <v>Buckeye Terminals Llc 59</v>
      </c>
      <c r="C596" s="7" t="str">
        <f>IF(Notes!CA592="","",Notes!CA592)</f>
        <v>blendSAF</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processor</v>
      </c>
      <c r="B597" s="7" t="str">
        <f>IF(Notes!BZ593="","",Notes!BZ593)</f>
        <v>Buckeye Terminals Llc 104</v>
      </c>
      <c r="C597" s="7" t="str">
        <f>IF(Notes!CA593="","",Notes!CA593)</f>
        <v>blendSAF</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processor</v>
      </c>
      <c r="B598" s="7" t="str">
        <f>IF(Notes!BZ594="","",Notes!BZ594)</f>
        <v>Buckeye Pipe Line Holdings Lp</v>
      </c>
      <c r="C598" s="7" t="str">
        <f>IF(Notes!CA594="","",Notes!CA594)</f>
        <v>blendSAF</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processor</v>
      </c>
      <c r="B599" s="7" t="str">
        <f>IF(Notes!BZ595="","",Notes!BZ595)</f>
        <v>Crestwood Services Llc 1</v>
      </c>
      <c r="C599" s="7" t="str">
        <f>IF(Notes!CA595="","",Notes!CA595)</f>
        <v>blendSAF</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processor</v>
      </c>
      <c r="B600" s="7" t="str">
        <f>IF(Notes!BZ596="","",Notes!BZ596)</f>
        <v>Marysville Hydrocarbons Llc</v>
      </c>
      <c r="C600" s="7" t="str">
        <f>IF(Notes!CA596="","",Notes!CA596)</f>
        <v>blendSAF</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processor</v>
      </c>
      <c r="B601" s="7" t="str">
        <f>IF(Notes!BZ597="","",Notes!BZ597)</f>
        <v>Sunoco Logistics 30</v>
      </c>
      <c r="C601" s="7" t="str">
        <f>IF(Notes!CA597="","",Notes!CA597)</f>
        <v>blendSAF</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processor</v>
      </c>
      <c r="B602" s="7" t="str">
        <f>IF(Notes!BZ598="","",Notes!BZ598)</f>
        <v>Sunoco Logistics 44</v>
      </c>
      <c r="C602" s="7" t="str">
        <f>IF(Notes!CA598="","",Notes!CA598)</f>
        <v>blendSAF</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processor</v>
      </c>
      <c r="B603" s="7" t="str">
        <f>IF(Notes!BZ599="","",Notes!BZ599)</f>
        <v>Sunoco Logistics 35</v>
      </c>
      <c r="C603" s="7" t="str">
        <f>IF(Notes!CA599="","",Notes!CA599)</f>
        <v>blendSAF</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processor</v>
      </c>
      <c r="B604" s="7" t="str">
        <f>IF(Notes!BZ600="","",Notes!BZ600)</f>
        <v>Sunoco Logistics 47</v>
      </c>
      <c r="C604" s="7" t="str">
        <f>IF(Notes!CA600="","",Notes!CA600)</f>
        <v>blendSAF</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processor</v>
      </c>
      <c r="B605" s="7" t="str">
        <f>IF(Notes!BZ601="","",Notes!BZ601)</f>
        <v>Marathon Petroleum Co Llc 6</v>
      </c>
      <c r="C605" s="7" t="str">
        <f>IF(Notes!CA601="","",Notes!CA601)</f>
        <v>blendSAF</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processor</v>
      </c>
      <c r="B606" s="7" t="str">
        <f>IF(Notes!BZ602="","",Notes!BZ602)</f>
        <v>Marathon Petroleum Co Llc 15</v>
      </c>
      <c r="C606" s="7" t="str">
        <f>IF(Notes!CA602="","",Notes!CA602)</f>
        <v>blendSAF</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processor</v>
      </c>
      <c r="B607" s="7" t="str">
        <f>IF(Notes!BZ603="","",Notes!BZ603)</f>
        <v>Marathon Pipeline Llc 3</v>
      </c>
      <c r="C607" s="7" t="str">
        <f>IF(Notes!CA603="","",Notes!CA603)</f>
        <v>blendSAF</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processor</v>
      </c>
      <c r="B608" s="7" t="str">
        <f>IF(Notes!BZ604="","",Notes!BZ604)</f>
        <v>Mplx Terminals Llc 37</v>
      </c>
      <c r="C608" s="7" t="str">
        <f>IF(Notes!CA604="","",Notes!CA604)</f>
        <v>blendSAF</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processor</v>
      </c>
      <c r="B609" s="7" t="str">
        <f>IF(Notes!BZ605="","",Notes!BZ605)</f>
        <v>Mplx Terminals Llc 2</v>
      </c>
      <c r="C609" s="7" t="str">
        <f>IF(Notes!CA605="","",Notes!CA605)</f>
        <v>blendSAF</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processor</v>
      </c>
      <c r="B610" s="7" t="str">
        <f>IF(Notes!BZ606="","",Notes!BZ606)</f>
        <v>Mplx Terminals Llc 46</v>
      </c>
      <c r="C610" s="7" t="str">
        <f>IF(Notes!CA606="","",Notes!CA606)</f>
        <v>blendSAF</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processor</v>
      </c>
      <c r="B611" s="7" t="str">
        <f>IF(Notes!BZ607="","",Notes!BZ607)</f>
        <v>Mplx Terminals Llc 43</v>
      </c>
      <c r="C611" s="7" t="str">
        <f>IF(Notes!CA607="","",Notes!CA607)</f>
        <v>blendSAF</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processor</v>
      </c>
      <c r="B612" s="7" t="str">
        <f>IF(Notes!BZ608="","",Notes!BZ608)</f>
        <v>Mplx Terminals Llc 42</v>
      </c>
      <c r="C612" s="7" t="str">
        <f>IF(Notes!CA608="","",Notes!CA608)</f>
        <v>blendSAF</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processor</v>
      </c>
      <c r="B613" s="7" t="str">
        <f>IF(Notes!BZ609="","",Notes!BZ609)</f>
        <v>Mplx Terminals Llc 26</v>
      </c>
      <c r="C613" s="7" t="str">
        <f>IF(Notes!CA609="","",Notes!CA609)</f>
        <v>blendSAF</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processor</v>
      </c>
      <c r="B614" s="7" t="str">
        <f>IF(Notes!BZ610="","",Notes!BZ610)</f>
        <v>Mplx Terminals Llc 28</v>
      </c>
      <c r="C614" s="7" t="str">
        <f>IF(Notes!CA610="","",Notes!CA610)</f>
        <v>blendSAF</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processor</v>
      </c>
      <c r="B615" s="7" t="str">
        <f>IF(Notes!BZ611="","",Notes!BZ611)</f>
        <v>Mplx Terminals Llc 15</v>
      </c>
      <c r="C615" s="7" t="str">
        <f>IF(Notes!CA611="","",Notes!CA611)</f>
        <v>blendSAF</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processor</v>
      </c>
      <c r="B616" s="7" t="str">
        <f>IF(Notes!BZ612="","",Notes!BZ612)</f>
        <v>Midwest Marine Inc</v>
      </c>
      <c r="C616" s="7" t="str">
        <f>IF(Notes!CA612="","",Notes!CA612)</f>
        <v>blendSAF</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processor</v>
      </c>
      <c r="B617" s="7" t="str">
        <f>IF(Notes!BZ613="","",Notes!BZ613)</f>
        <v>Citgo Petro Corp 15</v>
      </c>
      <c r="C617" s="7" t="str">
        <f>IF(Notes!CA613="","",Notes!CA613)</f>
        <v>blendSAF</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processor</v>
      </c>
      <c r="B618" s="7" t="str">
        <f>IF(Notes!BZ614="","",Notes!BZ614)</f>
        <v>Citgo Petro Corp 17</v>
      </c>
      <c r="C618" s="7" t="str">
        <f>IF(Notes!CA614="","",Notes!CA614)</f>
        <v>blendSAF</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processor</v>
      </c>
      <c r="B619" s="7" t="str">
        <f>IF(Notes!BZ615="","",Notes!BZ615)</f>
        <v>Citgo Petro Corp 21</v>
      </c>
      <c r="C619" s="7" t="str">
        <f>IF(Notes!CA615="","",Notes!CA615)</f>
        <v>blendSAF</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processor</v>
      </c>
      <c r="B620" s="7" t="str">
        <f>IF(Notes!BZ616="","",Notes!BZ616)</f>
        <v>Plains Lpg Services Lp 6</v>
      </c>
      <c r="C620" s="7" t="str">
        <f>IF(Notes!CA616="","",Notes!CA616)</f>
        <v>blendSAF</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processor</v>
      </c>
      <c r="B621" s="7" t="str">
        <f>IF(Notes!BZ617="","",Notes!BZ617)</f>
        <v>Holland Terminal Inc</v>
      </c>
      <c r="C621" s="7" t="str">
        <f>IF(Notes!CA617="","",Notes!CA617)</f>
        <v>blendSAF</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processor</v>
      </c>
      <c r="B622" s="7" t="str">
        <f>IF(Notes!BZ618="","",Notes!BZ618)</f>
        <v>Shell Oil Products Us 13</v>
      </c>
      <c r="C622" s="7" t="str">
        <f>IF(Notes!CA618="","",Notes!CA618)</f>
        <v>blendSAF</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processor</v>
      </c>
      <c r="B623" s="7" t="str">
        <f>IF(Notes!BZ619="","",Notes!BZ619)</f>
        <v>Us Energy Distribution Llc</v>
      </c>
      <c r="C623" s="7" t="str">
        <f>IF(Notes!CA619="","",Notes!CA619)</f>
        <v>blendSAF</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processor</v>
      </c>
      <c r="B624" s="7" t="str">
        <f>IF(Notes!BZ620="","",Notes!BZ620)</f>
        <v>Waterfront Petroleum Terminal</v>
      </c>
      <c r="C624" s="7" t="str">
        <f>IF(Notes!CA620="","",Notes!CA620)</f>
        <v>blendSAF</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processor</v>
      </c>
      <c r="B625" s="7" t="str">
        <f>IF(Notes!BZ621="","",Notes!BZ621)</f>
        <v>Waterfront Petroleum</v>
      </c>
      <c r="C625" s="7" t="str">
        <f>IF(Notes!CA621="","",Notes!CA621)</f>
        <v>blendSAF</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processor</v>
      </c>
      <c r="B626" s="7" t="str">
        <f>IF(Notes!BZ622="","",Notes!BZ622)</f>
        <v>Wolverine Pipeline Company</v>
      </c>
      <c r="C626" s="7" t="str">
        <f>IF(Notes!CA622="","",Notes!CA622)</f>
        <v>blendSAF</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processor</v>
      </c>
      <c r="B627" s="7" t="str">
        <f>IF(Notes!BZ623="","",Notes!BZ623)</f>
        <v>Hess Corp</v>
      </c>
      <c r="C627" s="7" t="str">
        <f>IF(Notes!CA623="","",Notes!CA623)</f>
        <v>blendSAF</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processor</v>
      </c>
      <c r="B628" s="7" t="str">
        <f>IF(Notes!BZ624="","",Notes!BZ624)</f>
        <v>Flint Hills Resources Lp 15</v>
      </c>
      <c r="C628" s="7" t="str">
        <f>IF(Notes!CA624="","",Notes!CA624)</f>
        <v>blendSAF</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processor</v>
      </c>
      <c r="B629" s="7" t="str">
        <f>IF(Notes!BZ625="","",Notes!BZ625)</f>
        <v>Flint Hill Resources Lp 4</v>
      </c>
      <c r="C629" s="7" t="str">
        <f>IF(Notes!CA625="","",Notes!CA625)</f>
        <v>blendSAF</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processor</v>
      </c>
      <c r="B630" s="7" t="str">
        <f>IF(Notes!BZ626="","",Notes!BZ626)</f>
        <v>Flint Hill Resources Lp 3</v>
      </c>
      <c r="C630" s="7" t="str">
        <f>IF(Notes!CA626="","",Notes!CA626)</f>
        <v>blendSAF</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processor</v>
      </c>
      <c r="B631" s="7" t="str">
        <f>IF(Notes!BZ627="","",Notes!BZ627)</f>
        <v>Flint Hills Resources Lp 19</v>
      </c>
      <c r="C631" s="7" t="str">
        <f>IF(Notes!CA627="","",Notes!CA627)</f>
        <v>blendSAF</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processor</v>
      </c>
      <c r="B632" s="7" t="str">
        <f>IF(Notes!BZ628="","",Notes!BZ628)</f>
        <v>Husky Energy 1</v>
      </c>
      <c r="C632" s="7" t="str">
        <f>IF(Notes!CA628="","",Notes!CA628)</f>
        <v>blendSAF</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processor</v>
      </c>
      <c r="B633" s="7" t="str">
        <f>IF(Notes!BZ629="","",Notes!BZ629)</f>
        <v>Husky Energy 2</v>
      </c>
      <c r="C633" s="7" t="str">
        <f>IF(Notes!CA629="","",Notes!CA629)</f>
        <v>blendSAF</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processor</v>
      </c>
      <c r="B634" s="7" t="str">
        <f>IF(Notes!BZ630="","",Notes!BZ630)</f>
        <v>Enterprise Products Operating Lp</v>
      </c>
      <c r="C634" s="7" t="str">
        <f>IF(Notes!CA630="","",Notes!CA630)</f>
        <v>blendSAF</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processor</v>
      </c>
      <c r="B635" s="7" t="str">
        <f>IF(Notes!BZ631="","",Notes!BZ631)</f>
        <v>Enterprise Products Operating Llc 9</v>
      </c>
      <c r="C635" s="7" t="str">
        <f>IF(Notes!CA631="","",Notes!CA631)</f>
        <v>blendSAF</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processor</v>
      </c>
      <c r="B636" s="7" t="str">
        <f>IF(Notes!BZ632="","",Notes!BZ632)</f>
        <v>Enterprise Terminals &amp; Storage Llc 28</v>
      </c>
      <c r="C636" s="7" t="str">
        <f>IF(Notes!CA632="","",Notes!CA632)</f>
        <v>blendSAF</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processor</v>
      </c>
      <c r="B637" s="7" t="str">
        <f>IF(Notes!BZ633="","",Notes!BZ633)</f>
        <v>Enterprise Terminals &amp; Storage Llc 19</v>
      </c>
      <c r="C637" s="7" t="str">
        <f>IF(Notes!CA633="","",Notes!CA633)</f>
        <v>blendSAF</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processor</v>
      </c>
      <c r="B638" s="7" t="str">
        <f>IF(Notes!BZ634="","",Notes!BZ634)</f>
        <v>Newport Terminal Corporation</v>
      </c>
      <c r="C638" s="7" t="str">
        <f>IF(Notes!CA634="","",Notes!CA634)</f>
        <v>blendSAF</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processor</v>
      </c>
      <c r="B639" s="7" t="str">
        <f>IF(Notes!BZ635="","",Notes!BZ635)</f>
        <v>Kinder Morgan Liq Termls Llc 15</v>
      </c>
      <c r="C639" s="7" t="str">
        <f>IF(Notes!CA635="","",Notes!CA635)</f>
        <v>blendSAF</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processor</v>
      </c>
      <c r="B640" s="7" t="str">
        <f>IF(Notes!BZ636="","",Notes!BZ636)</f>
        <v>Magellan Pipeline Co Lp 1</v>
      </c>
      <c r="C640" s="7" t="str">
        <f>IF(Notes!CA636="","",Notes!CA636)</f>
        <v>blendSAF</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processor</v>
      </c>
      <c r="B641" s="7" t="str">
        <f>IF(Notes!BZ637="","",Notes!BZ637)</f>
        <v>Magellan Pipeline Co Lp 23</v>
      </c>
      <c r="C641" s="7" t="str">
        <f>IF(Notes!CA637="","",Notes!CA637)</f>
        <v>blendSAF</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processor</v>
      </c>
      <c r="B642" s="7" t="str">
        <f>IF(Notes!BZ638="","",Notes!BZ638)</f>
        <v>Magellan Pipeline Co Lp 24</v>
      </c>
      <c r="C642" s="7" t="str">
        <f>IF(Notes!CA638="","",Notes!CA638)</f>
        <v>blendSAF</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processor</v>
      </c>
      <c r="B643" s="7" t="str">
        <f>IF(Notes!BZ639="","",Notes!BZ639)</f>
        <v>Magellan Pipeline Co Lp 40</v>
      </c>
      <c r="C643" s="7" t="str">
        <f>IF(Notes!CA639="","",Notes!CA639)</f>
        <v>blendSAF</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processor</v>
      </c>
      <c r="B644" s="7" t="str">
        <f>IF(Notes!BZ640="","",Notes!BZ640)</f>
        <v>Magellan Pipeline Co Lp 28</v>
      </c>
      <c r="C644" s="7" t="str">
        <f>IF(Notes!CA640="","",Notes!CA640)</f>
        <v>blendSAF</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processor</v>
      </c>
      <c r="B645" s="7" t="str">
        <f>IF(Notes!BZ641="","",Notes!BZ641)</f>
        <v>Magellan Pipeline  Co Lp</v>
      </c>
      <c r="C645" s="7" t="str">
        <f>IF(Notes!CA641="","",Notes!CA641)</f>
        <v>blendSAF</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processor</v>
      </c>
      <c r="B646" s="7" t="str">
        <f>IF(Notes!BZ642="","",Notes!BZ642)</f>
        <v>Ngl Supply Wholesale Llc 5</v>
      </c>
      <c r="C646" s="7" t="str">
        <f>IF(Notes!CA642="","",Notes!CA642)</f>
        <v>blendSAF</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processor</v>
      </c>
      <c r="B647" s="7" t="str">
        <f>IF(Notes!BZ643="","",Notes!BZ643)</f>
        <v>Nustar Energy Lp 27</v>
      </c>
      <c r="C647" s="7" t="str">
        <f>IF(Notes!CA643="","",Notes!CA643)</f>
        <v>blendSAF</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processor</v>
      </c>
      <c r="B648" s="7" t="str">
        <f>IF(Notes!BZ644="","",Notes!BZ644)</f>
        <v>Nustar Energy Lp 35</v>
      </c>
      <c r="C648" s="7" t="str">
        <f>IF(Notes!CA644="","",Notes!CA644)</f>
        <v>blendSAF</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processor</v>
      </c>
      <c r="B649" s="7" t="str">
        <f>IF(Notes!BZ645="","",Notes!BZ645)</f>
        <v>Nustar Energy Lp 39</v>
      </c>
      <c r="C649" s="7" t="str">
        <f>IF(Notes!CA645="","",Notes!CA645)</f>
        <v>blendSAF</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processor</v>
      </c>
      <c r="B650" s="7" t="str">
        <f>IF(Notes!BZ646="","",Notes!BZ646)</f>
        <v>Pkm Cochin Llc 1</v>
      </c>
      <c r="C650" s="7" t="str">
        <f>IF(Notes!CA646="","",Notes!CA646)</f>
        <v>blendSAF</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processor</v>
      </c>
      <c r="B651" s="7" t="str">
        <f>IF(Notes!BZ647="","",Notes!BZ647)</f>
        <v>Texpar Energy</v>
      </c>
      <c r="C651" s="7" t="str">
        <f>IF(Notes!CA647="","",Notes!CA647)</f>
        <v>blendSAF</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processor</v>
      </c>
      <c r="B652" s="7" t="str">
        <f>IF(Notes!BZ648="","",Notes!BZ648)</f>
        <v>Tiller Corp</v>
      </c>
      <c r="C652" s="7" t="str">
        <f>IF(Notes!CA648="","",Notes!CA648)</f>
        <v>blendSAF</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processor</v>
      </c>
      <c r="B653" s="7" t="str">
        <f>IF(Notes!BZ649="","",Notes!BZ649)</f>
        <v>Owens Corning 9</v>
      </c>
      <c r="C653" s="7" t="str">
        <f>IF(Notes!CA649="","",Notes!CA649)</f>
        <v>blendSAF</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processor</v>
      </c>
      <c r="B654" s="7" t="str">
        <f>IF(Notes!BZ650="","",Notes!BZ650)</f>
        <v>Bwc Terminals Llc 8</v>
      </c>
      <c r="C654" s="7" t="str">
        <f>IF(Notes!CA650="","",Notes!CA650)</f>
        <v>blendSAF</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processor</v>
      </c>
      <c r="B655" s="7" t="str">
        <f>IF(Notes!BZ651="","",Notes!BZ651)</f>
        <v>Chevron Usa Inc Collins</v>
      </c>
      <c r="C655" s="7" t="str">
        <f>IF(Notes!CA651="","",Notes!CA651)</f>
        <v>blendSAF</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processor</v>
      </c>
      <c r="B656" s="7" t="str">
        <f>IF(Notes!BZ652="","",Notes!BZ652)</f>
        <v>Chevron Usa Inc Pascagoula</v>
      </c>
      <c r="C656" s="7" t="str">
        <f>IF(Notes!CA652="","",Notes!CA652)</f>
        <v>blendSAF</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processor</v>
      </c>
      <c r="B657" s="7" t="str">
        <f>IF(Notes!BZ653="","",Notes!BZ653)</f>
        <v>Ergon Asphalt &amp; Emulsions Inc 5</v>
      </c>
      <c r="C657" s="7" t="str">
        <f>IF(Notes!CA653="","",Notes!CA653)</f>
        <v>blendSAF</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processor</v>
      </c>
      <c r="B658" s="7" t="str">
        <f>IF(Notes!BZ654="","",Notes!BZ654)</f>
        <v>Murphy Oil Usa Inc 53</v>
      </c>
      <c r="C658" s="7" t="str">
        <f>IF(Notes!CA654="","",Notes!CA654)</f>
        <v>blendSAF</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processor</v>
      </c>
      <c r="B659" s="7" t="str">
        <f>IF(Notes!BZ655="","",Notes!BZ655)</f>
        <v>Delta Terminal Inc</v>
      </c>
      <c r="C659" s="7" t="str">
        <f>IF(Notes!CA655="","",Notes!CA655)</f>
        <v>blendSAF</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processor</v>
      </c>
      <c r="B660" s="7" t="str">
        <f>IF(Notes!BZ656="","",Notes!BZ656)</f>
        <v>Pbf T&amp;M Terminal</v>
      </c>
      <c r="C660" s="7" t="str">
        <f>IF(Notes!CA656="","",Notes!CA656)</f>
        <v>blendSAF</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processor</v>
      </c>
      <c r="B661" s="7" t="str">
        <f>IF(Notes!BZ657="","",Notes!BZ657)</f>
        <v>Energy Transfer Gc Ngls Llc</v>
      </c>
      <c r="C661" s="7" t="str">
        <f>IF(Notes!CA657="","",Notes!CA657)</f>
        <v>blendSAF</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processor</v>
      </c>
      <c r="B662" s="7" t="str">
        <f>IF(Notes!BZ658="","",Notes!BZ658)</f>
        <v>Enterprise Products Operating Llc 11</v>
      </c>
      <c r="C662" s="7" t="str">
        <f>IF(Notes!CA658="","",Notes!CA658)</f>
        <v>blendSAF</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processor</v>
      </c>
      <c r="B663" s="7" t="str">
        <f>IF(Notes!BZ659="","",Notes!BZ659)</f>
        <v>Enterprise Refined Products Co Llc 1</v>
      </c>
      <c r="C663" s="7" t="str">
        <f>IF(Notes!CA659="","",Notes!CA659)</f>
        <v>blendSAF</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processor</v>
      </c>
      <c r="B664" s="7" t="str">
        <f>IF(Notes!BZ660="","",Notes!BZ660)</f>
        <v>Hunt Southland Refining Company</v>
      </c>
      <c r="C664" s="7" t="str">
        <f>IF(Notes!CA660="","",Notes!CA660)</f>
        <v>blendSAF</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processor</v>
      </c>
      <c r="B665" s="7" t="str">
        <f>IF(Notes!BZ661="","",Notes!BZ661)</f>
        <v>Hunt Southland Refining Co</v>
      </c>
      <c r="C665" s="7" t="str">
        <f>IF(Notes!CA661="","",Notes!CA661)</f>
        <v>blendSAF</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processor</v>
      </c>
      <c r="B666" s="7" t="str">
        <f>IF(Notes!BZ662="","",Notes!BZ662)</f>
        <v>Kinder Morgan Southeast Terminal 9</v>
      </c>
      <c r="C666" s="7" t="str">
        <f>IF(Notes!CA662="","",Notes!CA662)</f>
        <v>blendSAF</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processor</v>
      </c>
      <c r="B667" s="7" t="str">
        <f>IF(Notes!BZ663="","",Notes!BZ663)</f>
        <v>Lincoln Terminal Company</v>
      </c>
      <c r="C667" s="7" t="str">
        <f>IF(Notes!CA663="","",Notes!CA663)</f>
        <v>blendSAF</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processor</v>
      </c>
      <c r="B668" s="7" t="str">
        <f>IF(Notes!BZ664="","",Notes!BZ664)</f>
        <v>Maples Gas Co Inc</v>
      </c>
      <c r="C668" s="7" t="str">
        <f>IF(Notes!CA664="","",Notes!CA664)</f>
        <v>blendSAF</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processor</v>
      </c>
      <c r="B669" s="7" t="str">
        <f>IF(Notes!BZ665="","",Notes!BZ665)</f>
        <v>Martin Energy Services Llc 12</v>
      </c>
      <c r="C669" s="7" t="str">
        <f>IF(Notes!CA665="","",Notes!CA665)</f>
        <v>blendSAF</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processor</v>
      </c>
      <c r="B670" s="7" t="str">
        <f>IF(Notes!BZ666="","",Notes!BZ666)</f>
        <v>Citgo Petroleum Corp 31</v>
      </c>
      <c r="C670" s="7" t="str">
        <f>IF(Notes!CA666="","",Notes!CA666)</f>
        <v>blendSAF</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processor</v>
      </c>
      <c r="B671" s="7" t="str">
        <f>IF(Notes!BZ667="","",Notes!BZ667)</f>
        <v>Citgo Petroleum Corp 40</v>
      </c>
      <c r="C671" s="7" t="str">
        <f>IF(Notes!CA667="","",Notes!CA667)</f>
        <v>blendSAF</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processor</v>
      </c>
      <c r="B672" s="7" t="str">
        <f>IF(Notes!BZ668="","",Notes!BZ668)</f>
        <v>Shell Oil Products Us 2</v>
      </c>
      <c r="C672" s="7" t="str">
        <f>IF(Notes!CA668="","",Notes!CA668)</f>
        <v>blendSAF</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processor</v>
      </c>
      <c r="B673" s="7" t="str">
        <f>IF(Notes!BZ669="","",Notes!BZ669)</f>
        <v>Scott Petroleum Corp</v>
      </c>
      <c r="C673" s="7" t="str">
        <f>IF(Notes!CA669="","",Notes!CA669)</f>
        <v>blendSAF</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processor</v>
      </c>
      <c r="B674" s="7" t="str">
        <f>IF(Notes!BZ670="","",Notes!BZ670)</f>
        <v>Targa Midstream Services Llc 2</v>
      </c>
      <c r="C674" s="7" t="str">
        <f>IF(Notes!CA670="","",Notes!CA670)</f>
        <v>blendSAF</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processor</v>
      </c>
      <c r="B675" s="7" t="str">
        <f>IF(Notes!BZ671="","",Notes!BZ671)</f>
        <v>Targa Midstream Services Llc 5</v>
      </c>
      <c r="C675" s="7" t="str">
        <f>IF(Notes!CA671="","",Notes!CA671)</f>
        <v>blendSAF</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processor</v>
      </c>
      <c r="B676" s="7" t="str">
        <f>IF(Notes!BZ672="","",Notes!BZ672)</f>
        <v>Transmontaigne Operating Company 24</v>
      </c>
      <c r="C676" s="7" t="str">
        <f>IF(Notes!CA672="","",Notes!CA672)</f>
        <v>blendSAF</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processor</v>
      </c>
      <c r="B677" s="7" t="str">
        <f>IF(Notes!BZ673="","",Notes!BZ673)</f>
        <v>Transmontaigne Operating Company 31</v>
      </c>
      <c r="C677" s="7" t="str">
        <f>IF(Notes!CA673="","",Notes!CA673)</f>
        <v>blendSAF</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processor</v>
      </c>
      <c r="B678" s="7" t="str">
        <f>IF(Notes!BZ674="","",Notes!BZ674)</f>
        <v>Transmontaigne Operating Company 16</v>
      </c>
      <c r="C678" s="7" t="str">
        <f>IF(Notes!CA674="","",Notes!CA674)</f>
        <v>blendSAF</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processor</v>
      </c>
      <c r="B679" s="7" t="str">
        <f>IF(Notes!BZ675="","",Notes!BZ675)</f>
        <v>Transmontaigne Operating Company 41</v>
      </c>
      <c r="C679" s="7" t="str">
        <f>IF(Notes!CA675="","",Notes!CA675)</f>
        <v>blendSAF</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processor</v>
      </c>
      <c r="B680" s="7" t="str">
        <f>IF(Notes!BZ676="","",Notes!BZ676)</f>
        <v>Valvoline Llc 39</v>
      </c>
      <c r="C680" s="7" t="str">
        <f>IF(Notes!CA676="","",Notes!CA676)</f>
        <v>blendSAF</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processor</v>
      </c>
      <c r="B681" s="7" t="str">
        <f>IF(Notes!BZ677="","",Notes!BZ677)</f>
        <v>Petroleum Fuel &amp; Terminal Co 14</v>
      </c>
      <c r="C681" s="7" t="str">
        <f>IF(Notes!CA677="","",Notes!CA677)</f>
        <v>blendSAF</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processor</v>
      </c>
      <c r="B682" s="7" t="str">
        <f>IF(Notes!BZ678="","",Notes!BZ678)</f>
        <v>Bkep Materials Llc 15</v>
      </c>
      <c r="C682" s="7" t="str">
        <f>IF(Notes!CA678="","",Notes!CA678)</f>
        <v>blendSAF</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processor</v>
      </c>
      <c r="B683" s="7" t="str">
        <f>IF(Notes!BZ679="","",Notes!BZ679)</f>
        <v>American River Transp Co</v>
      </c>
      <c r="C683" s="7" t="str">
        <f>IF(Notes!CA679="","",Notes!CA679)</f>
        <v>blendSAF</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processor</v>
      </c>
      <c r="B684" s="7" t="str">
        <f>IF(Notes!BZ680="","",Notes!BZ680)</f>
        <v>Ayers Oil Co</v>
      </c>
      <c r="C684" s="7" t="str">
        <f>IF(Notes!CA680="","",Notes!CA680)</f>
        <v>blendSAF</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processor</v>
      </c>
      <c r="B685" s="7" t="str">
        <f>IF(Notes!BZ681="","",Notes!BZ681)</f>
        <v>Oakmar Terminal Llc</v>
      </c>
      <c r="C685" s="7" t="str">
        <f>IF(Notes!CA681="","",Notes!CA681)</f>
        <v>blendSAF</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processor</v>
      </c>
      <c r="B686" s="7" t="str">
        <f>IF(Notes!BZ682="","",Notes!BZ682)</f>
        <v>Buckeye Terminals Llc 95</v>
      </c>
      <c r="C686" s="7" t="str">
        <f>IF(Notes!CA682="","",Notes!CA682)</f>
        <v>blendSAF</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processor</v>
      </c>
      <c r="B687" s="7" t="str">
        <f>IF(Notes!BZ683="","",Notes!BZ683)</f>
        <v>Buckeye Terminals Llc 100</v>
      </c>
      <c r="C687" s="7" t="str">
        <f>IF(Notes!CA683="","",Notes!CA683)</f>
        <v>blendSAF</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processor</v>
      </c>
      <c r="B688" s="7" t="str">
        <f>IF(Notes!BZ684="","",Notes!BZ684)</f>
        <v>Buckeye Se Terminals Lp 18</v>
      </c>
      <c r="C688" s="7" t="str">
        <f>IF(Notes!CA684="","",Notes!CA684)</f>
        <v>blendSAF</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processor</v>
      </c>
      <c r="B689" s="7" t="str">
        <f>IF(Notes!BZ685="","",Notes!BZ685)</f>
        <v>Phillips 66 Company 13</v>
      </c>
      <c r="C689" s="7" t="str">
        <f>IF(Notes!CA685="","",Notes!CA685)</f>
        <v>blendSAF</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processor</v>
      </c>
      <c r="B690" s="7" t="str">
        <f>IF(Notes!BZ686="","",Notes!BZ686)</f>
        <v>Phillips 66 Carrier Llc 2</v>
      </c>
      <c r="C690" s="7" t="str">
        <f>IF(Notes!CA686="","",Notes!CA686)</f>
        <v>blendSAF</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processor</v>
      </c>
      <c r="B691" s="7" t="str">
        <f>IF(Notes!BZ687="","",Notes!BZ687)</f>
        <v>Brown Sand &amp; Gravel</v>
      </c>
      <c r="C691" s="7" t="str">
        <f>IF(Notes!CA687="","",Notes!CA687)</f>
        <v>blendSAF</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processor</v>
      </c>
      <c r="B692" s="7" t="str">
        <f>IF(Notes!BZ688="","",Notes!BZ688)</f>
        <v>Enterprise Terminals &amp; Storage Llc 21</v>
      </c>
      <c r="C692" s="7" t="str">
        <f>IF(Notes!CA688="","",Notes!CA688)</f>
        <v>blendSAF</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processor</v>
      </c>
      <c r="B693" s="7" t="str">
        <f>IF(Notes!BZ689="","",Notes!BZ689)</f>
        <v>Enterprise Terminals &amp; Storage Llc 11</v>
      </c>
      <c r="C693" s="7" t="str">
        <f>IF(Notes!CA689="","",Notes!CA689)</f>
        <v>blendSAF</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processor</v>
      </c>
      <c r="B694" s="7" t="str">
        <f>IF(Notes!BZ690="","",Notes!BZ690)</f>
        <v>Enterprise Refined Products Co Llc 8</v>
      </c>
      <c r="C694" s="7" t="str">
        <f>IF(Notes!CA690="","",Notes!CA690)</f>
        <v>blendSAF</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processor</v>
      </c>
      <c r="B695" s="7" t="str">
        <f>IF(Notes!BZ691="","",Notes!BZ691)</f>
        <v>Sinclair Oil Corp 4</v>
      </c>
      <c r="C695" s="7" t="str">
        <f>IF(Notes!CA691="","",Notes!CA691)</f>
        <v>blendSAF</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processor</v>
      </c>
      <c r="B696" s="7" t="str">
        <f>IF(Notes!BZ692="","",Notes!BZ692)</f>
        <v>Kinder Morgan Transmix Llc 2</v>
      </c>
      <c r="C696" s="7" t="str">
        <f>IF(Notes!CA692="","",Notes!CA692)</f>
        <v>blendSAF</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processor</v>
      </c>
      <c r="B697" s="7" t="str">
        <f>IF(Notes!BZ693="","",Notes!BZ693)</f>
        <v>Magellan Pipeline Co Lp 6</v>
      </c>
      <c r="C697" s="7" t="str">
        <f>IF(Notes!CA693="","",Notes!CA693)</f>
        <v>blendSAF</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processor</v>
      </c>
      <c r="B698" s="7" t="str">
        <f>IF(Notes!BZ694="","",Notes!BZ694)</f>
        <v>Magellan Pipeline Co Lp 37</v>
      </c>
      <c r="C698" s="7" t="str">
        <f>IF(Notes!CA694="","",Notes!CA694)</f>
        <v>blendSAF</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processor</v>
      </c>
      <c r="B699" s="7" t="str">
        <f>IF(Notes!BZ695="","",Notes!BZ695)</f>
        <v>Magellan Pipeline Co Lp 4</v>
      </c>
      <c r="C699" s="7" t="str">
        <f>IF(Notes!CA695="","",Notes!CA695)</f>
        <v>blendSAF</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processor</v>
      </c>
      <c r="B700" s="7" t="str">
        <f>IF(Notes!BZ696="","",Notes!BZ696)</f>
        <v>Magellan Pipeline Co Lp 20</v>
      </c>
      <c r="C700" s="7" t="str">
        <f>IF(Notes!CA696="","",Notes!CA696)</f>
        <v>blendSAF</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processor</v>
      </c>
      <c r="B701" s="7" t="str">
        <f>IF(Notes!BZ697="","",Notes!BZ697)</f>
        <v>Magellan Pipeline Co Lp 29</v>
      </c>
      <c r="C701" s="7" t="str">
        <f>IF(Notes!CA697="","",Notes!CA697)</f>
        <v>blendSAF</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processor</v>
      </c>
      <c r="B702" s="7" t="str">
        <f>IF(Notes!BZ698="","",Notes!BZ698)</f>
        <v>Ngl Supply Wholesale Llc 2</v>
      </c>
      <c r="C702" s="7" t="str">
        <f>IF(Notes!CA698="","",Notes!CA698)</f>
        <v>blendSAF</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processor</v>
      </c>
      <c r="B703" s="7" t="str">
        <f>IF(Notes!BZ699="","",Notes!BZ699)</f>
        <v>J D Streett &amp; Co Inc</v>
      </c>
      <c r="C703" s="7" t="str">
        <f>IF(Notes!CA699="","",Notes!CA699)</f>
        <v>blendSAF</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processor</v>
      </c>
      <c r="B704" s="7" t="str">
        <f>IF(Notes!BZ700="","",Notes!BZ700)</f>
        <v>Jd Streett &amp; Co Inc</v>
      </c>
      <c r="C704" s="7" t="str">
        <f>IF(Notes!CA700="","",Notes!CA700)</f>
        <v>blendSAF</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processor</v>
      </c>
      <c r="B705" s="7" t="str">
        <f>IF(Notes!BZ701="","",Notes!BZ701)</f>
        <v>Transmontaigne Operating Company 14</v>
      </c>
      <c r="C705" s="7" t="str">
        <f>IF(Notes!CA701="","",Notes!CA701)</f>
        <v>blendSAF</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processor</v>
      </c>
      <c r="B706" s="7" t="str">
        <f>IF(Notes!BZ702="","",Notes!BZ702)</f>
        <v>Vance Brothers Inc</v>
      </c>
      <c r="C706" s="7" t="str">
        <f>IF(Notes!CA702="","",Notes!CA702)</f>
        <v>blendSAF</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processor</v>
      </c>
      <c r="B707" s="7" t="str">
        <f>IF(Notes!BZ703="","",Notes!BZ703)</f>
        <v>Chs Inc 2</v>
      </c>
      <c r="C707" s="7" t="str">
        <f>IF(Notes!CA703="","",Notes!CA703)</f>
        <v>blendSAF</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processor</v>
      </c>
      <c r="B708" s="7" t="str">
        <f>IF(Notes!BZ704="","",Notes!BZ704)</f>
        <v>Cenex Pl Llc 1</v>
      </c>
      <c r="C708" s="7" t="str">
        <f>IF(Notes!CA704="","",Notes!CA704)</f>
        <v>blendSAF</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processor</v>
      </c>
      <c r="B709" s="7" t="str">
        <f>IF(Notes!BZ705="","",Notes!BZ705)</f>
        <v>Cenex Pl Llc 2</v>
      </c>
      <c r="C709" s="7" t="str">
        <f>IF(Notes!CA705="","",Notes!CA705)</f>
        <v>blendSAF</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processor</v>
      </c>
      <c r="B710" s="7" t="str">
        <f>IF(Notes!BZ706="","",Notes!BZ706)</f>
        <v>Phillips 66 Company 3</v>
      </c>
      <c r="C710" s="7" t="str">
        <f>IF(Notes!CA706="","",Notes!CA706)</f>
        <v>blendSAF</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processor</v>
      </c>
      <c r="B711" s="7" t="str">
        <f>IF(Notes!BZ707="","",Notes!BZ707)</f>
        <v>Phillips 66 Company 4</v>
      </c>
      <c r="C711" s="7" t="str">
        <f>IF(Notes!CA707="","",Notes!CA707)</f>
        <v>blendSAF</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processor</v>
      </c>
      <c r="B712" s="7" t="str">
        <f>IF(Notes!BZ708="","",Notes!BZ708)</f>
        <v>Phillips 66 Company 1</v>
      </c>
      <c r="C712" s="7" t="str">
        <f>IF(Notes!CA708="","",Notes!CA708)</f>
        <v>blendSAF</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processor</v>
      </c>
      <c r="B713" s="7" t="str">
        <f>IF(Notes!BZ709="","",Notes!BZ709)</f>
        <v>Phillips 66 Company 6</v>
      </c>
      <c r="C713" s="7" t="str">
        <f>IF(Notes!CA709="","",Notes!CA709)</f>
        <v>blendSAF</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processor</v>
      </c>
      <c r="B714" s="7" t="str">
        <f>IF(Notes!BZ710="","",Notes!BZ710)</f>
        <v>Exxon Mobil Refg &amp; Sply Comp 3</v>
      </c>
      <c r="C714" s="7" t="str">
        <f>IF(Notes!CA710="","",Notes!CA710)</f>
        <v>blendSAF</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processor</v>
      </c>
      <c r="B715" s="7" t="str">
        <f>IF(Notes!BZ711="","",Notes!BZ711)</f>
        <v>Western Emulsions Inc 1</v>
      </c>
      <c r="C715" s="7" t="str">
        <f>IF(Notes!CA711="","",Notes!CA711)</f>
        <v>blendSAF</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processor</v>
      </c>
      <c r="B716" s="7" t="str">
        <f>IF(Notes!BZ712="","",Notes!BZ712)</f>
        <v>Oneok Rockies Midstream Llc</v>
      </c>
      <c r="C716" s="7" t="str">
        <f>IF(Notes!CA712="","",Notes!CA712)</f>
        <v>blendSAF</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processor</v>
      </c>
      <c r="B717" s="7" t="str">
        <f>IF(Notes!BZ713="","",Notes!BZ713)</f>
        <v>Par Montana Llc 8</v>
      </c>
      <c r="C717" s="7" t="str">
        <f>IF(Notes!CA713="","",Notes!CA713)</f>
        <v>blendSAF</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processor</v>
      </c>
      <c r="B718" s="7" t="str">
        <f>IF(Notes!BZ714="","",Notes!BZ714)</f>
        <v>Par Montana Llc 6</v>
      </c>
      <c r="C718" s="7" t="str">
        <f>IF(Notes!CA714="","",Notes!CA714)</f>
        <v>blendSAF</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processor</v>
      </c>
      <c r="B719" s="7" t="str">
        <f>IF(Notes!BZ715="","",Notes!BZ715)</f>
        <v>Par Montana Llc 7</v>
      </c>
      <c r="C719" s="7" t="str">
        <f>IF(Notes!CA715="","",Notes!CA715)</f>
        <v>blendSAF</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processor</v>
      </c>
      <c r="B720" s="7" t="str">
        <f>IF(Notes!BZ716="","",Notes!BZ716)</f>
        <v>Bkep Materials Llc 7</v>
      </c>
      <c r="C720" s="7" t="str">
        <f>IF(Notes!CA716="","",Notes!CA716)</f>
        <v>blendSAF</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processor</v>
      </c>
      <c r="B721" s="7" t="str">
        <f>IF(Notes!BZ717="","",Notes!BZ717)</f>
        <v>Flint Hills Resources Lp 18</v>
      </c>
      <c r="C721" s="7" t="str">
        <f>IF(Notes!CA717="","",Notes!CA717)</f>
        <v>blendSAF</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processor</v>
      </c>
      <c r="B722" s="7" t="str">
        <f>IF(Notes!BZ718="","",Notes!BZ718)</f>
        <v>Phillips 66 Company 19</v>
      </c>
      <c r="C722" s="7" t="str">
        <f>IF(Notes!CA718="","",Notes!CA718)</f>
        <v>blendSAF</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processor</v>
      </c>
      <c r="B723" s="7" t="str">
        <f>IF(Notes!BZ719="","",Notes!BZ719)</f>
        <v>Enterprise Terminals &amp; Storage Llc 16</v>
      </c>
      <c r="C723" s="7" t="str">
        <f>IF(Notes!CA719="","",Notes!CA719)</f>
        <v>blendSAF</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processor</v>
      </c>
      <c r="B724" s="7" t="str">
        <f>IF(Notes!BZ720="","",Notes!BZ720)</f>
        <v>Holly Energy Partners Oper Lp 5</v>
      </c>
      <c r="C724" s="7" t="str">
        <f>IF(Notes!CA720="","",Notes!CA720)</f>
        <v>blendSAF</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processor</v>
      </c>
      <c r="B725" s="7" t="str">
        <f>IF(Notes!BZ721="","",Notes!BZ721)</f>
        <v>Magellan Pipeline Co Lp 9</v>
      </c>
      <c r="C725" s="7" t="str">
        <f>IF(Notes!CA721="","",Notes!CA721)</f>
        <v>blendSAF</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processor</v>
      </c>
      <c r="B726" s="7" t="str">
        <f>IF(Notes!BZ722="","",Notes!BZ722)</f>
        <v>Magellan Pipeline Co Lp 22</v>
      </c>
      <c r="C726" s="7" t="str">
        <f>IF(Notes!CA722="","",Notes!CA722)</f>
        <v>blendSAF</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processor</v>
      </c>
      <c r="B727" s="7" t="str">
        <f>IF(Notes!BZ723="","",Notes!BZ723)</f>
        <v>Magellan Pipeline Co Lp 36</v>
      </c>
      <c r="C727" s="7" t="str">
        <f>IF(Notes!CA723="","",Notes!CA723)</f>
        <v>blendSAF</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processor</v>
      </c>
      <c r="B728" s="7" t="str">
        <f>IF(Notes!BZ724="","",Notes!BZ724)</f>
        <v>Magellan Pipeline Co Lp 30</v>
      </c>
      <c r="C728" s="7" t="str">
        <f>IF(Notes!CA724="","",Notes!CA724)</f>
        <v>blendSAF</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processor</v>
      </c>
      <c r="B729" s="7" t="str">
        <f>IF(Notes!BZ725="","",Notes!BZ725)</f>
        <v>Nustar Energy Lp 29</v>
      </c>
      <c r="C729" s="7" t="str">
        <f>IF(Notes!CA725="","",Notes!CA725)</f>
        <v>blendSAF</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processor</v>
      </c>
      <c r="B730" s="7" t="str">
        <f>IF(Notes!BZ726="","",Notes!BZ726)</f>
        <v>Nustar Energy Lp 7</v>
      </c>
      <c r="C730" s="7" t="str">
        <f>IF(Notes!CA726="","",Notes!CA726)</f>
        <v>blendSAF</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processor</v>
      </c>
      <c r="B731" s="7" t="str">
        <f>IF(Notes!BZ727="","",Notes!BZ727)</f>
        <v>Nustar Energy Lp 17</v>
      </c>
      <c r="C731" s="7" t="str">
        <f>IF(Notes!CA727="","",Notes!CA727)</f>
        <v>blendSAF</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processor</v>
      </c>
      <c r="B732" s="7" t="str">
        <f>IF(Notes!BZ728="","",Notes!BZ728)</f>
        <v>Nustar Energy Lp 28</v>
      </c>
      <c r="C732" s="7" t="str">
        <f>IF(Notes!CA728="","",Notes!CA728)</f>
        <v>blendSAF</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processor</v>
      </c>
      <c r="B733" s="7" t="str">
        <f>IF(Notes!BZ729="","",Notes!BZ729)</f>
        <v>Nustar Energy Lp 30</v>
      </c>
      <c r="C733" s="7" t="str">
        <f>IF(Notes!CA729="","",Notes!CA729)</f>
        <v>blendSAF</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processor</v>
      </c>
      <c r="B734" s="7" t="str">
        <f>IF(Notes!BZ730="","",Notes!BZ730)</f>
        <v>Oneok North System Llc 9</v>
      </c>
      <c r="C734" s="7" t="str">
        <f>IF(Notes!CA730="","",Notes!CA730)</f>
        <v>blendSAF</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processor</v>
      </c>
      <c r="B735" s="7" t="str">
        <f>IF(Notes!BZ731="","",Notes!BZ731)</f>
        <v>Ergon Asphalt And Emulsions 8</v>
      </c>
      <c r="C735" s="7" t="str">
        <f>IF(Notes!CA731="","",Notes!CA731)</f>
        <v>blendSAF</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processor</v>
      </c>
      <c r="B736" s="7" t="str">
        <f>IF(Notes!BZ732="","",Notes!BZ732)</f>
        <v>Ergon Asphalt And Emulsions 9</v>
      </c>
      <c r="C736" s="7" t="str">
        <f>IF(Notes!CA732="","",Notes!CA732)</f>
        <v>blendSAF</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processor</v>
      </c>
      <c r="B737" s="7" t="str">
        <f>IF(Notes!BZ733="","",Notes!BZ733)</f>
        <v>Pro Petroleum Inc 4</v>
      </c>
      <c r="C737" s="7" t="str">
        <f>IF(Notes!CA733="","",Notes!CA733)</f>
        <v>blendSAF</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processor</v>
      </c>
      <c r="B738" s="7" t="str">
        <f>IF(Notes!BZ734="","",Notes!BZ734)</f>
        <v>Unev Pipeline Llc 2</v>
      </c>
      <c r="C738" s="7" t="str">
        <f>IF(Notes!CA734="","",Notes!CA734)</f>
        <v>blendSAF</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processor</v>
      </c>
      <c r="B739" s="7" t="str">
        <f>IF(Notes!BZ735="","",Notes!BZ735)</f>
        <v>Sfpp Lp 9</v>
      </c>
      <c r="C739" s="7" t="str">
        <f>IF(Notes!CA735="","",Notes!CA735)</f>
        <v>blendSAF</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processor</v>
      </c>
      <c r="B740" s="7" t="str">
        <f>IF(Notes!BZ736="","",Notes!BZ736)</f>
        <v>Kinder Morgan Calnev P L Llc 6</v>
      </c>
      <c r="C740" s="7" t="str">
        <f>IF(Notes!CA736="","",Notes!CA736)</f>
        <v>blendSAF</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processor</v>
      </c>
      <c r="B741" s="7" t="str">
        <f>IF(Notes!BZ737="","",Notes!BZ737)</f>
        <v>Andeavor Logistics Lp 10</v>
      </c>
      <c r="C741" s="7" t="str">
        <f>IF(Notes!CA737="","",Notes!CA737)</f>
        <v>blendSAF</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processor</v>
      </c>
      <c r="B742" s="7" t="str">
        <f>IF(Notes!BZ738="","",Notes!BZ738)</f>
        <v>Op Reno Llc</v>
      </c>
      <c r="C742" s="7" t="str">
        <f>IF(Notes!CA738="","",Notes!CA738)</f>
        <v>blendSAF</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processor</v>
      </c>
      <c r="B743" s="7" t="str">
        <f>IF(Notes!BZ739="","",Notes!BZ739)</f>
        <v>Rebel Oil Co</v>
      </c>
      <c r="C743" s="7" t="str">
        <f>IF(Notes!CA739="","",Notes!CA739)</f>
        <v>blendSAF</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processor</v>
      </c>
      <c r="B744" s="7" t="str">
        <f>IF(Notes!BZ740="","",Notes!BZ740)</f>
        <v>Sea-3 Llc</v>
      </c>
      <c r="C744" s="7" t="str">
        <f>IF(Notes!CA740="","",Notes!CA740)</f>
        <v>blendSAF</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processor</v>
      </c>
      <c r="B745" s="7" t="str">
        <f>IF(Notes!BZ741="","",Notes!BZ741)</f>
        <v>Sprague Operating Resources Llc 3</v>
      </c>
      <c r="C745" s="7" t="str">
        <f>IF(Notes!CA741="","",Notes!CA741)</f>
        <v>blendSAF</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processor</v>
      </c>
      <c r="B746" s="7" t="str">
        <f>IF(Notes!BZ742="","",Notes!BZ742)</f>
        <v>Sprague Operating Resources Llc 4</v>
      </c>
      <c r="C746" s="7" t="str">
        <f>IF(Notes!CA742="","",Notes!CA742)</f>
        <v>blendSAF</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processor</v>
      </c>
      <c r="B747" s="7" t="str">
        <f>IF(Notes!BZ743="","",Notes!BZ743)</f>
        <v>Irving Oil Terminals Inc 5</v>
      </c>
      <c r="C747" s="7" t="str">
        <f>IF(Notes!CA743="","",Notes!CA743)</f>
        <v>blendSAF</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processor</v>
      </c>
      <c r="B748" s="7" t="str">
        <f>IF(Notes!BZ744="","",Notes!BZ744)</f>
        <v>Petroleum Fuel &amp; Terminal Co 11</v>
      </c>
      <c r="C748" s="7" t="str">
        <f>IF(Notes!CA744="","",Notes!CA744)</f>
        <v>blendSAF</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processor</v>
      </c>
      <c r="B749" s="7" t="str">
        <f>IF(Notes!BZ745="","",Notes!BZ745)</f>
        <v>Bkep Materials Llc 6</v>
      </c>
      <c r="C749" s="7" t="str">
        <f>IF(Notes!CA745="","",Notes!CA745)</f>
        <v>blendSAF</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processor</v>
      </c>
      <c r="B750" s="7" t="str">
        <f>IF(Notes!BZ746="","",Notes!BZ746)</f>
        <v>Gulf Oil Lp 2</v>
      </c>
      <c r="C750" s="7" t="str">
        <f>IF(Notes!CA746="","",Notes!CA746)</f>
        <v>blendSAF</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processor</v>
      </c>
      <c r="B751" s="7" t="str">
        <f>IF(Notes!BZ747="","",Notes!BZ747)</f>
        <v>Gulf Oil Lp 5</v>
      </c>
      <c r="C751" s="7" t="str">
        <f>IF(Notes!CA747="","",Notes!CA747)</f>
        <v>blendSAF</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processor</v>
      </c>
      <c r="B752" s="7" t="str">
        <f>IF(Notes!BZ748="","",Notes!BZ748)</f>
        <v>Buckeye Terminals Llc 85</v>
      </c>
      <c r="C752" s="7" t="str">
        <f>IF(Notes!CA748="","",Notes!CA748)</f>
        <v>blendSAF</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processor</v>
      </c>
      <c r="B753" s="7" t="str">
        <f>IF(Notes!BZ749="","",Notes!BZ749)</f>
        <v>Buckeye Terminals Llc 86</v>
      </c>
      <c r="C753" s="7" t="str">
        <f>IF(Notes!CA749="","",Notes!CA749)</f>
        <v>blendSAF</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processor</v>
      </c>
      <c r="B754" s="7" t="str">
        <f>IF(Notes!BZ750="","",Notes!BZ750)</f>
        <v>Buckeye Terminals Llc 87</v>
      </c>
      <c r="C754" s="7" t="str">
        <f>IF(Notes!CA750="","",Notes!CA750)</f>
        <v>blendSAF</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processor</v>
      </c>
      <c r="B755" s="7" t="str">
        <f>IF(Notes!BZ751="","",Notes!BZ751)</f>
        <v>Buckeye Terminals Llc 84</v>
      </c>
      <c r="C755" s="7" t="str">
        <f>IF(Notes!CA751="","",Notes!CA751)</f>
        <v>blendSAF</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processor</v>
      </c>
      <c r="B756" s="7" t="str">
        <f>IF(Notes!BZ752="","",Notes!BZ752)</f>
        <v>Buckeye Terminals Llc 22</v>
      </c>
      <c r="C756" s="7" t="str">
        <f>IF(Notes!CA752="","",Notes!CA752)</f>
        <v>blendSAF</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processor</v>
      </c>
      <c r="B757" s="7" t="str">
        <f>IF(Notes!BZ753="","",Notes!BZ753)</f>
        <v>Buckeye Terminals Llc 106</v>
      </c>
      <c r="C757" s="7" t="str">
        <f>IF(Notes!CA753="","",Notes!CA753)</f>
        <v>blendSAF</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processor</v>
      </c>
      <c r="B758" s="7" t="str">
        <f>IF(Notes!BZ754="","",Notes!BZ754)</f>
        <v>Phillips 66 Company 8</v>
      </c>
      <c r="C758" s="7" t="str">
        <f>IF(Notes!CA754="","",Notes!CA754)</f>
        <v>blendSAF</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processor</v>
      </c>
      <c r="B759" s="7" t="str">
        <f>IF(Notes!BZ755="","",Notes!BZ755)</f>
        <v>Phillips 66 Company 9</v>
      </c>
      <c r="C759" s="7" t="str">
        <f>IF(Notes!CA755="","",Notes!CA755)</f>
        <v>blendSAF</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processor</v>
      </c>
      <c r="B760" s="7" t="str">
        <f>IF(Notes!BZ756="","",Notes!BZ756)</f>
        <v>Consumers Oil Corp</v>
      </c>
      <c r="C760" s="7" t="str">
        <f>IF(Notes!CA756="","",Notes!CA756)</f>
        <v>blendSAF</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processor</v>
      </c>
      <c r="B761" s="7" t="str">
        <f>IF(Notes!BZ757="","",Notes!BZ757)</f>
        <v>Pbf Logistics Products Terminals Llc 13</v>
      </c>
      <c r="C761" s="7" t="str">
        <f>IF(Notes!CA757="","",Notes!CA757)</f>
        <v>blendSAF</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processor</v>
      </c>
      <c r="B762" s="7" t="str">
        <f>IF(Notes!BZ758="","",Notes!BZ758)</f>
        <v>Cpi Operations Llc</v>
      </c>
      <c r="C762" s="7" t="str">
        <f>IF(Notes!CA758="","",Notes!CA758)</f>
        <v>blendSAF</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processor</v>
      </c>
      <c r="B763" s="7" t="str">
        <f>IF(Notes!BZ759="","",Notes!BZ759)</f>
        <v>Sunoco Logistics 51</v>
      </c>
      <c r="C763" s="7" t="str">
        <f>IF(Notes!CA759="","",Notes!CA759)</f>
        <v>blendSAF</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processor</v>
      </c>
      <c r="B764" s="7" t="str">
        <f>IF(Notes!BZ760="","",Notes!BZ760)</f>
        <v>Sunoco Logistics 42</v>
      </c>
      <c r="C764" s="7" t="str">
        <f>IF(Notes!CA760="","",Notes!CA760)</f>
        <v>blendSAF</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processor</v>
      </c>
      <c r="B765" s="7" t="str">
        <f>IF(Notes!BZ761="","",Notes!BZ761)</f>
        <v>Sunoco Logistics 52</v>
      </c>
      <c r="C765" s="7" t="str">
        <f>IF(Notes!CA761="","",Notes!CA761)</f>
        <v>blendSAF</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processor</v>
      </c>
      <c r="B766" s="7" t="str">
        <f>IF(Notes!BZ762="","",Notes!BZ762)</f>
        <v>Sunoco Llc 12</v>
      </c>
      <c r="C766" s="7" t="str">
        <f>IF(Notes!CA762="","",Notes!CA762)</f>
        <v>blendSAF</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processor</v>
      </c>
      <c r="B767" s="7" t="str">
        <f>IF(Notes!BZ763="","",Notes!BZ763)</f>
        <v>Sunoco Llc 9</v>
      </c>
      <c r="C767" s="7" t="str">
        <f>IF(Notes!CA763="","",Notes!CA763)</f>
        <v>blendSAF</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processor</v>
      </c>
      <c r="B768" s="7" t="str">
        <f>IF(Notes!BZ764="","",Notes!BZ764)</f>
        <v>Exxon Mobil Refg &amp; Sply Comp 6</v>
      </c>
      <c r="C768" s="7" t="str">
        <f>IF(Notes!CA764="","",Notes!CA764)</f>
        <v>blendSAF</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processor</v>
      </c>
      <c r="B769" s="7" t="str">
        <f>IF(Notes!BZ765="","",Notes!BZ765)</f>
        <v>Delaware River Partners Llc</v>
      </c>
      <c r="C769" s="7" t="str">
        <f>IF(Notes!CA765="","",Notes!CA765)</f>
        <v>blendSAF</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processor</v>
      </c>
      <c r="B770" s="7" t="str">
        <f>IF(Notes!BZ766="","",Notes!BZ766)</f>
        <v>Gordon Terminal Service Co 3</v>
      </c>
      <c r="C770" s="7" t="str">
        <f>IF(Notes!CA766="","",Notes!CA766)</f>
        <v>blendSAF</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processor</v>
      </c>
      <c r="B771" s="7" t="str">
        <f>IF(Notes!BZ767="","",Notes!BZ767)</f>
        <v>Imtt</v>
      </c>
      <c r="C771" s="7" t="str">
        <f>IF(Notes!CA767="","",Notes!CA767)</f>
        <v>blendSAF</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processor</v>
      </c>
      <c r="B772" s="7" t="str">
        <f>IF(Notes!BZ768="","",Notes!BZ768)</f>
        <v>Kindermorgan 1</v>
      </c>
      <c r="C772" s="7" t="str">
        <f>IF(Notes!CA768="","",Notes!CA768)</f>
        <v>blendSAF</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processor</v>
      </c>
      <c r="B773" s="7" t="str">
        <f>IF(Notes!BZ769="","",Notes!BZ769)</f>
        <v>Kinder Morgan 1</v>
      </c>
      <c r="C773" s="7" t="str">
        <f>IF(Notes!CA769="","",Notes!CA769)</f>
        <v>blendSAF</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processor</v>
      </c>
      <c r="B774" s="7" t="str">
        <f>IF(Notes!BZ770="","",Notes!BZ770)</f>
        <v>Kinder Morgan Liq Termls Llc 3</v>
      </c>
      <c r="C774" s="7" t="str">
        <f>IF(Notes!CA770="","",Notes!CA770)</f>
        <v>blendSAF</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processor</v>
      </c>
      <c r="B775" s="7" t="str">
        <f>IF(Notes!BZ771="","",Notes!BZ771)</f>
        <v>Citgo Holding Terminals Llc 4</v>
      </c>
      <c r="C775" s="7" t="str">
        <f>IF(Notes!CA771="","",Notes!CA771)</f>
        <v>blendSAF</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processor</v>
      </c>
      <c r="B776" s="7" t="str">
        <f>IF(Notes!BZ772="","",Notes!BZ772)</f>
        <v>Shell Oil Products Us 14</v>
      </c>
      <c r="C776" s="7" t="str">
        <f>IF(Notes!CA772="","",Notes!CA772)</f>
        <v>blendSAF</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processor</v>
      </c>
      <c r="B777" s="7" t="str">
        <f>IF(Notes!BZ773="","",Notes!BZ773)</f>
        <v>Shell Oil Products Us 10</v>
      </c>
      <c r="C777" s="7" t="str">
        <f>IF(Notes!CA773="","",Notes!CA773)</f>
        <v>blendSAF</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processor</v>
      </c>
      <c r="B778" s="7" t="str">
        <f>IF(Notes!BZ774="","",Notes!BZ774)</f>
        <v>Owens Corning 6</v>
      </c>
      <c r="C778" s="7" t="str">
        <f>IF(Notes!CA774="","",Notes!CA774)</f>
        <v>blendSAF</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processor</v>
      </c>
      <c r="B779" s="7" t="str">
        <f>IF(Notes!BZ775="","",Notes!BZ775)</f>
        <v>Phillips 66 Pipeline Llc 1</v>
      </c>
      <c r="C779" s="7" t="str">
        <f>IF(Notes!CA775="","",Notes!CA775)</f>
        <v>blendSAF</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processor</v>
      </c>
      <c r="B780" s="7" t="str">
        <f>IF(Notes!BZ776="","",Notes!BZ776)</f>
        <v>Dansk Wholesale Inc</v>
      </c>
      <c r="C780" s="7" t="str">
        <f>IF(Notes!CA776="","",Notes!CA776)</f>
        <v>blendSAF</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processor</v>
      </c>
      <c r="B781" s="7" t="str">
        <f>IF(Notes!BZ777="","",Notes!BZ777)</f>
        <v>Holly Energy Partners Oper Lp 3</v>
      </c>
      <c r="C781" s="7" t="str">
        <f>IF(Notes!CA777="","",Notes!CA777)</f>
        <v>blendSAF</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processor</v>
      </c>
      <c r="B782" s="7" t="str">
        <f>IF(Notes!BZ778="","",Notes!BZ778)</f>
        <v>Nk Asphalt Partners 2</v>
      </c>
      <c r="C782" s="7" t="str">
        <f>IF(Notes!CA778="","",Notes!CA778)</f>
        <v>blendSAF</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processor</v>
      </c>
      <c r="B783" s="7" t="str">
        <f>IF(Notes!BZ779="","",Notes!BZ779)</f>
        <v>Nk Asphalt Partners 1</v>
      </c>
      <c r="C783" s="7" t="str">
        <f>IF(Notes!CA779="","",Notes!CA779)</f>
        <v>blendSAF</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processor</v>
      </c>
      <c r="B784" s="7" t="str">
        <f>IF(Notes!BZ780="","",Notes!BZ780)</f>
        <v>Imtt Epic Llc 1</v>
      </c>
      <c r="C784" s="7" t="str">
        <f>IF(Notes!CA780="","",Notes!CA780)</f>
        <v>blendSAF</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processor</v>
      </c>
      <c r="B785" s="7" t="str">
        <f>IF(Notes!BZ781="","",Notes!BZ781)</f>
        <v>Andeavor Logistics Lp 1</v>
      </c>
      <c r="C785" s="7" t="str">
        <f>IF(Notes!CA781="","",Notes!CA781)</f>
        <v>blendSAF</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processor</v>
      </c>
      <c r="B786" s="7" t="str">
        <f>IF(Notes!BZ782="","",Notes!BZ782)</f>
        <v>Andeavor Logistics Lp 11</v>
      </c>
      <c r="C786" s="7" t="str">
        <f>IF(Notes!CA782="","",Notes!CA782)</f>
        <v>blendSAF</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processor</v>
      </c>
      <c r="B787" s="7" t="str">
        <f>IF(Notes!BZ783="","",Notes!BZ783)</f>
        <v>Andeavor Logistics Lp 4</v>
      </c>
      <c r="C787" s="7" t="str">
        <f>IF(Notes!CA783="","",Notes!CA783)</f>
        <v>blendSAF</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processor</v>
      </c>
      <c r="B788" s="7" t="str">
        <f>IF(Notes!BZ784="","",Notes!BZ784)</f>
        <v>Musket Corp 57</v>
      </c>
      <c r="C788" s="7" t="str">
        <f>IF(Notes!CA784="","",Notes!CA784)</f>
        <v>blendSAF</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processor</v>
      </c>
      <c r="B789" s="7" t="str">
        <f>IF(Notes!BZ785="","",Notes!BZ785)</f>
        <v>Nustar Energy Lp 3</v>
      </c>
      <c r="C789" s="7" t="str">
        <f>IF(Notes!CA785="","",Notes!CA785)</f>
        <v>blendSAF</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processor</v>
      </c>
      <c r="B790" s="7" t="str">
        <f>IF(Notes!BZ786="","",Notes!BZ786)</f>
        <v>Nustar Energy Lp 31</v>
      </c>
      <c r="C790" s="7" t="str">
        <f>IF(Notes!CA786="","",Notes!CA786)</f>
        <v>blendSAF</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processor</v>
      </c>
      <c r="B791" s="7" t="str">
        <f>IF(Notes!BZ787="","",Notes!BZ787)</f>
        <v>Petroleum Fuel And Terminal Company 20</v>
      </c>
      <c r="C791" s="7" t="str">
        <f>IF(Notes!CA787="","",Notes!CA787)</f>
        <v>blendSAF</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processor</v>
      </c>
      <c r="B792" s="7" t="str">
        <f>IF(Notes!BZ788="","",Notes!BZ788)</f>
        <v>Petroleum Fuel &amp; Terminal Co 13</v>
      </c>
      <c r="C792" s="7" t="str">
        <f>IF(Notes!CA788="","",Notes!CA788)</f>
        <v>blendSAF</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processor</v>
      </c>
      <c r="B793" s="7" t="str">
        <f>IF(Notes!BZ789="","",Notes!BZ789)</f>
        <v>Petroleum Fuel &amp; Terminal Co 5</v>
      </c>
      <c r="C793" s="7" t="str">
        <f>IF(Notes!CA789="","",Notes!CA789)</f>
        <v>blendSAF</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processor</v>
      </c>
      <c r="B794" s="7" t="str">
        <f>IF(Notes!BZ790="","",Notes!BZ790)</f>
        <v>Bayside Fuel Oil Depot Corp 1</v>
      </c>
      <c r="C794" s="7" t="str">
        <f>IF(Notes!CA790="","",Notes!CA790)</f>
        <v>blendSAF</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processor</v>
      </c>
      <c r="B795" s="7" t="str">
        <f>IF(Notes!BZ791="","",Notes!BZ791)</f>
        <v>Bayside Fuel Oil Depot Corp 2</v>
      </c>
      <c r="C795" s="7" t="str">
        <f>IF(Notes!CA791="","",Notes!CA791)</f>
        <v>blendSAF</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processor</v>
      </c>
      <c r="B796" s="7" t="str">
        <f>IF(Notes!BZ792="","",Notes!BZ792)</f>
        <v>Buckeye Terminals Llc 27</v>
      </c>
      <c r="C796" s="7" t="str">
        <f>IF(Notes!CA792="","",Notes!CA792)</f>
        <v>blendSAF</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processor</v>
      </c>
      <c r="B797" s="7" t="str">
        <f>IF(Notes!BZ793="","",Notes!BZ793)</f>
        <v>Buckeye Terminals Llc 67</v>
      </c>
      <c r="C797" s="7" t="str">
        <f>IF(Notes!CA793="","",Notes!CA793)</f>
        <v>blendSAF</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processor</v>
      </c>
      <c r="B798" s="7" t="str">
        <f>IF(Notes!BZ794="","",Notes!BZ794)</f>
        <v>Buckeye Terminals Llc 91</v>
      </c>
      <c r="C798" s="7" t="str">
        <f>IF(Notes!CA794="","",Notes!CA794)</f>
        <v>blendSAF</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processor</v>
      </c>
      <c r="B799" s="7" t="str">
        <f>IF(Notes!BZ795="","",Notes!BZ795)</f>
        <v>Buckeye Terminals Llc 107</v>
      </c>
      <c r="C799" s="7" t="str">
        <f>IF(Notes!CA795="","",Notes!CA795)</f>
        <v>blendSAF</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processor</v>
      </c>
      <c r="B800" s="7" t="str">
        <f>IF(Notes!BZ796="","",Notes!BZ796)</f>
        <v>Buckeye Terminals Llc 108</v>
      </c>
      <c r="C800" s="7" t="str">
        <f>IF(Notes!CA796="","",Notes!CA796)</f>
        <v>blendSAF</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processor</v>
      </c>
      <c r="B801" s="7" t="str">
        <f>IF(Notes!BZ797="","",Notes!BZ797)</f>
        <v>Buckeye Terminals Llc 28</v>
      </c>
      <c r="C801" s="7" t="str">
        <f>IF(Notes!CA797="","",Notes!CA797)</f>
        <v>blendSAF</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processor</v>
      </c>
      <c r="B802" s="7" t="str">
        <f>IF(Notes!BZ798="","",Notes!BZ798)</f>
        <v>Buckeye Terminals Llc 92</v>
      </c>
      <c r="C802" s="7" t="str">
        <f>IF(Notes!CA798="","",Notes!CA798)</f>
        <v>blendSAF</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processor</v>
      </c>
      <c r="B803" s="7" t="str">
        <f>IF(Notes!BZ799="","",Notes!BZ799)</f>
        <v>Buckeye Terminals Llc 76</v>
      </c>
      <c r="C803" s="7" t="str">
        <f>IF(Notes!CA799="","",Notes!CA799)</f>
        <v>blendSAF</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processor</v>
      </c>
      <c r="B804" s="7" t="str">
        <f>IF(Notes!BZ800="","",Notes!BZ800)</f>
        <v>Buckeye Terminals Llc 93</v>
      </c>
      <c r="C804" s="7" t="str">
        <f>IF(Notes!CA800="","",Notes!CA800)</f>
        <v>blendSAF</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processor</v>
      </c>
      <c r="B805" s="7" t="str">
        <f>IF(Notes!BZ801="","",Notes!BZ801)</f>
        <v>Buckeye Terminals Llc 88</v>
      </c>
      <c r="C805" s="7" t="str">
        <f>IF(Notes!CA801="","",Notes!CA801)</f>
        <v>blendSAF</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processor</v>
      </c>
      <c r="B806" s="7" t="str">
        <f>IF(Notes!BZ802="","",Notes!BZ802)</f>
        <v>Buckeye Albany Terminal Llc</v>
      </c>
      <c r="C806" s="7" t="str">
        <f>IF(Notes!CA802="","",Notes!CA802)</f>
        <v>blendSAF</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processor</v>
      </c>
      <c r="B807" s="7" t="str">
        <f>IF(Notes!BZ803="","",Notes!BZ803)</f>
        <v>Crestwood Midstream Partners Lp</v>
      </c>
      <c r="C807" s="7" t="str">
        <f>IF(Notes!CA803="","",Notes!CA803)</f>
        <v>blendSAF</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processor</v>
      </c>
      <c r="B808" s="7" t="str">
        <f>IF(Notes!BZ804="","",Notes!BZ804)</f>
        <v>The Energy Consrv Group Llc</v>
      </c>
      <c r="C808" s="7" t="str">
        <f>IF(Notes!CA804="","",Notes!CA804)</f>
        <v>blendSAF</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processor</v>
      </c>
      <c r="B809" s="7" t="str">
        <f>IF(Notes!BZ805="","",Notes!BZ805)</f>
        <v>Sunoco Logistics 23</v>
      </c>
      <c r="C809" s="7" t="str">
        <f>IF(Notes!CA805="","",Notes!CA805)</f>
        <v>blendSAF</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processor</v>
      </c>
      <c r="B810" s="7" t="str">
        <f>IF(Notes!BZ806="","",Notes!BZ806)</f>
        <v>Sunoco Logistics 46</v>
      </c>
      <c r="C810" s="7" t="str">
        <f>IF(Notes!CA806="","",Notes!CA806)</f>
        <v>blendSAF</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processor</v>
      </c>
      <c r="B811" s="7" t="str">
        <f>IF(Notes!BZ807="","",Notes!BZ807)</f>
        <v>Sunoco Logistics 49</v>
      </c>
      <c r="C811" s="7" t="str">
        <f>IF(Notes!CA807="","",Notes!CA807)</f>
        <v>blendSAF</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processor</v>
      </c>
      <c r="B812" s="7" t="str">
        <f>IF(Notes!BZ808="","",Notes!BZ808)</f>
        <v>Sunoco Llc 2</v>
      </c>
      <c r="C812" s="7" t="str">
        <f>IF(Notes!CA808="","",Notes!CA808)</f>
        <v>blendSAF</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processor</v>
      </c>
      <c r="B813" s="7" t="str">
        <f>IF(Notes!BZ809="","",Notes!BZ809)</f>
        <v>Sunoco Llc 14</v>
      </c>
      <c r="C813" s="7" t="str">
        <f>IF(Notes!CA809="","",Notes!CA809)</f>
        <v>blendSAF</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processor</v>
      </c>
      <c r="B814" s="7" t="str">
        <f>IF(Notes!BZ810="","",Notes!BZ810)</f>
        <v>Sunoco Llc 10</v>
      </c>
      <c r="C814" s="7" t="str">
        <f>IF(Notes!CA810="","",Notes!CA810)</f>
        <v>blendSAF</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processor</v>
      </c>
      <c r="B815" s="7" t="str">
        <f>IF(Notes!BZ811="","",Notes!BZ811)</f>
        <v>Sunoco Llc 13</v>
      </c>
      <c r="C815" s="7" t="str">
        <f>IF(Notes!CA811="","",Notes!CA811)</f>
        <v>blendSAF</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processor</v>
      </c>
      <c r="B816" s="7" t="str">
        <f>IF(Notes!BZ812="","",Notes!BZ812)</f>
        <v>Sunoco Midstream Llc 4</v>
      </c>
      <c r="C816" s="7" t="str">
        <f>IF(Notes!CA812="","",Notes!CA812)</f>
        <v>blendSAF</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processor</v>
      </c>
      <c r="B817" s="7" t="str">
        <f>IF(Notes!BZ813="","",Notes!BZ813)</f>
        <v>Enterprise Terminals &amp; Storage Llc 17</v>
      </c>
      <c r="C817" s="7" t="str">
        <f>IF(Notes!CA813="","",Notes!CA813)</f>
        <v>blendSAF</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processor</v>
      </c>
      <c r="B818" s="7" t="str">
        <f>IF(Notes!BZ814="","",Notes!BZ814)</f>
        <v>Enterprise Terminals &amp; Storage Llc 29</v>
      </c>
      <c r="C818" s="7" t="str">
        <f>IF(Notes!CA814="","",Notes!CA814)</f>
        <v>blendSAF</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processor</v>
      </c>
      <c r="B819" s="7" t="str">
        <f>IF(Notes!BZ815="","",Notes!BZ815)</f>
        <v>Enterprise Terminals &amp; Storage Llc 25</v>
      </c>
      <c r="C819" s="7" t="str">
        <f>IF(Notes!CA815="","",Notes!CA815)</f>
        <v>blendSAF</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processor</v>
      </c>
      <c r="B820" s="7" t="str">
        <f>IF(Notes!BZ816="","",Notes!BZ816)</f>
        <v>Enterprise Terminals &amp; Storage Llc 27</v>
      </c>
      <c r="C820" s="7" t="str">
        <f>IF(Notes!CA816="","",Notes!CA816)</f>
        <v>blendSAF</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processor</v>
      </c>
      <c r="B821" s="7" t="str">
        <f>IF(Notes!BZ817="","",Notes!BZ817)</f>
        <v>Global Companies Llc 12</v>
      </c>
      <c r="C821" s="7" t="str">
        <f>IF(Notes!CA817="","",Notes!CA817)</f>
        <v>blendSAF</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processor</v>
      </c>
      <c r="B822" s="7" t="str">
        <f>IF(Notes!BZ818="","",Notes!BZ818)</f>
        <v>Global Companies Llc 16</v>
      </c>
      <c r="C822" s="7" t="str">
        <f>IF(Notes!CA818="","",Notes!CA818)</f>
        <v>blendSAF</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processor</v>
      </c>
      <c r="B823" s="7" t="str">
        <f>IF(Notes!BZ819="","",Notes!BZ819)</f>
        <v>Global Companies Llc 14</v>
      </c>
      <c r="C823" s="7" t="str">
        <f>IF(Notes!CA819="","",Notes!CA819)</f>
        <v>blendSAF</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processor</v>
      </c>
      <c r="B824" s="7" t="str">
        <f>IF(Notes!BZ820="","",Notes!BZ820)</f>
        <v>Global Companies Llc 15</v>
      </c>
      <c r="C824" s="7" t="str">
        <f>IF(Notes!CA820="","",Notes!CA820)</f>
        <v>blendSAF</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processor</v>
      </c>
      <c r="B825" s="7" t="str">
        <f>IF(Notes!BZ821="","",Notes!BZ821)</f>
        <v>Global Co Llc 7</v>
      </c>
      <c r="C825" s="7" t="str">
        <f>IF(Notes!CA821="","",Notes!CA821)</f>
        <v>blendSAF</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processor</v>
      </c>
      <c r="B826" s="7" t="str">
        <f>IF(Notes!BZ822="","",Notes!BZ822)</f>
        <v>Global Co Llc 6</v>
      </c>
      <c r="C826" s="7" t="str">
        <f>IF(Notes!CA822="","",Notes!CA822)</f>
        <v>blendSAF</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processor</v>
      </c>
      <c r="B827" s="7" t="str">
        <f>IF(Notes!BZ823="","",Notes!BZ823)</f>
        <v>Global Co Llc 8</v>
      </c>
      <c r="C827" s="7" t="str">
        <f>IF(Notes!CA823="","",Notes!CA823)</f>
        <v>blendSAF</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processor</v>
      </c>
      <c r="B828" s="7" t="str">
        <f>IF(Notes!BZ824="","",Notes!BZ824)</f>
        <v>Global Companies Llc 13</v>
      </c>
      <c r="C828" s="7" t="str">
        <f>IF(Notes!CA824="","",Notes!CA824)</f>
        <v>blendSAF</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processor</v>
      </c>
      <c r="B829" s="7" t="str">
        <f>IF(Notes!BZ825="","",Notes!BZ825)</f>
        <v>Peckham Industries Inc</v>
      </c>
      <c r="C829" s="7" t="str">
        <f>IF(Notes!CA825="","",Notes!CA825)</f>
        <v>blendSAF</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processor</v>
      </c>
      <c r="B830" s="7" t="str">
        <f>IF(Notes!BZ826="","",Notes!BZ826)</f>
        <v>Sprague Operating Resources Llc 8</v>
      </c>
      <c r="C830" s="7" t="str">
        <f>IF(Notes!CA826="","",Notes!CA826)</f>
        <v>blendSAF</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processor</v>
      </c>
      <c r="B831" s="7" t="str">
        <f>IF(Notes!BZ827="","",Notes!BZ827)</f>
        <v>Sprague Operating Resrcs Llc 14</v>
      </c>
      <c r="C831" s="7" t="str">
        <f>IF(Notes!CA827="","",Notes!CA827)</f>
        <v>blendSAF</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processor</v>
      </c>
      <c r="B832" s="7" t="str">
        <f>IF(Notes!BZ828="","",Notes!BZ828)</f>
        <v>Sprague Operating Resrcs Llc 17</v>
      </c>
      <c r="C832" s="7" t="str">
        <f>IF(Notes!CA828="","",Notes!CA828)</f>
        <v>blendSAF</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processor</v>
      </c>
      <c r="B833" s="7" t="str">
        <f>IF(Notes!BZ829="","",Notes!BZ829)</f>
        <v>Sprague Operating Resrcs Llc 16</v>
      </c>
      <c r="C833" s="7" t="str">
        <f>IF(Notes!CA829="","",Notes!CA829)</f>
        <v>blendSAF</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processor</v>
      </c>
      <c r="B834" s="7" t="str">
        <f>IF(Notes!BZ830="","",Notes!BZ830)</f>
        <v>Sprague Operating Resrcs Llc 15</v>
      </c>
      <c r="C834" s="7" t="str">
        <f>IF(Notes!CA830="","",Notes!CA830)</f>
        <v>blendSAF</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processor</v>
      </c>
      <c r="B835" s="7" t="str">
        <f>IF(Notes!BZ831="","",Notes!BZ831)</f>
        <v>Hop Energy Llc 8</v>
      </c>
      <c r="C835" s="7" t="str">
        <f>IF(Notes!CA831="","",Notes!CA831)</f>
        <v>blendSAF</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processor</v>
      </c>
      <c r="B836" s="7" t="str">
        <f>IF(Notes!BZ832="","",Notes!BZ832)</f>
        <v>Kinder Morgan Liq Termls Llc 2</v>
      </c>
      <c r="C836" s="7" t="str">
        <f>IF(Notes!CA832="","",Notes!CA832)</f>
        <v>blendSAF</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processor</v>
      </c>
      <c r="B837" s="7" t="str">
        <f>IF(Notes!BZ833="","",Notes!BZ833)</f>
        <v>Marathon Petroleum Co Lp</v>
      </c>
      <c r="C837" s="7" t="str">
        <f>IF(Notes!CA833="","",Notes!CA833)</f>
        <v>blendSAF</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processor</v>
      </c>
      <c r="B838" s="7" t="str">
        <f>IF(Notes!BZ834="","",Notes!BZ834)</f>
        <v>Suit-Kote Corp</v>
      </c>
      <c r="C838" s="7" t="str">
        <f>IF(Notes!CA834="","",Notes!CA834)</f>
        <v>blendSAF</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processor</v>
      </c>
      <c r="B839" s="7" t="str">
        <f>IF(Notes!BZ835="","",Notes!BZ835)</f>
        <v>Nic Holding Corp</v>
      </c>
      <c r="C839" s="7" t="str">
        <f>IF(Notes!CA835="","",Notes!CA835)</f>
        <v>blendSAF</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processor</v>
      </c>
      <c r="B840" s="7" t="str">
        <f>IF(Notes!BZ836="","",Notes!BZ836)</f>
        <v>Northville Industries Corp</v>
      </c>
      <c r="C840" s="7" t="str">
        <f>IF(Notes!CA836="","",Notes!CA836)</f>
        <v>blendSAF</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processor</v>
      </c>
      <c r="B841" s="7" t="str">
        <f>IF(Notes!BZ837="","",Notes!BZ837)</f>
        <v>Citgo Petroleum Corp 39</v>
      </c>
      <c r="C841" s="7" t="str">
        <f>IF(Notes!CA837="","",Notes!CA837)</f>
        <v>blendSAF</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processor</v>
      </c>
      <c r="B842" s="7" t="str">
        <f>IF(Notes!BZ838="","",Notes!BZ838)</f>
        <v>Citgo Holding Terminals Llc 3</v>
      </c>
      <c r="C842" s="7" t="str">
        <f>IF(Notes!CA838="","",Notes!CA838)</f>
        <v>blendSAF</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processor</v>
      </c>
      <c r="B843" s="7" t="str">
        <f>IF(Notes!BZ839="","",Notes!BZ839)</f>
        <v>Shell Oil Products Us 6</v>
      </c>
      <c r="C843" s="7" t="str">
        <f>IF(Notes!CA839="","",Notes!CA839)</f>
        <v>blendSAF</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processor</v>
      </c>
      <c r="B844" s="7" t="str">
        <f>IF(Notes!BZ840="","",Notes!BZ840)</f>
        <v>Meenan Oil Lp 1</v>
      </c>
      <c r="C844" s="7" t="str">
        <f>IF(Notes!CA840="","",Notes!CA840)</f>
        <v>blendSAF</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processor</v>
      </c>
      <c r="B845" s="7" t="str">
        <f>IF(Notes!BZ841="","",Notes!BZ841)</f>
        <v>Meenan Oil Lp 2</v>
      </c>
      <c r="C845" s="7" t="str">
        <f>IF(Notes!CA841="","",Notes!CA841)</f>
        <v>blendSAF</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processor</v>
      </c>
      <c r="B846" s="7" t="str">
        <f>IF(Notes!BZ842="","",Notes!BZ842)</f>
        <v>United Metro Energy Corp</v>
      </c>
      <c r="C846" s="7" t="str">
        <f>IF(Notes!CA842="","",Notes!CA842)</f>
        <v>blendSAF</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processor</v>
      </c>
      <c r="B847" s="7" t="str">
        <f>IF(Notes!BZ843="","",Notes!BZ843)</f>
        <v>United Refining Co 5</v>
      </c>
      <c r="C847" s="7" t="str">
        <f>IF(Notes!CA843="","",Notes!CA843)</f>
        <v>blendSAF</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processor</v>
      </c>
      <c r="B848" s="7" t="str">
        <f>IF(Notes!BZ844="","",Notes!BZ844)</f>
        <v>United Refining Co 3</v>
      </c>
      <c r="C848" s="7" t="str">
        <f>IF(Notes!CA844="","",Notes!CA844)</f>
        <v>blendSAF</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processor</v>
      </c>
      <c r="B849" s="7" t="str">
        <f>IF(Notes!BZ845="","",Notes!BZ845)</f>
        <v>United Refining Co 2</v>
      </c>
      <c r="C849" s="7" t="str">
        <f>IF(Notes!CA845="","",Notes!CA845)</f>
        <v>blendSAF</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processor</v>
      </c>
      <c r="B850" s="7" t="str">
        <f>IF(Notes!BZ846="","",Notes!BZ846)</f>
        <v>Wt Terminal Oswego Llc</v>
      </c>
      <c r="C850" s="7" t="str">
        <f>IF(Notes!CA846="","",Notes!CA846)</f>
        <v>blendSAF</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processor</v>
      </c>
      <c r="B851" s="7" t="str">
        <f>IF(Notes!BZ847="","",Notes!BZ847)</f>
        <v>Westmore Fuels</v>
      </c>
      <c r="C851" s="7" t="str">
        <f>IF(Notes!CA847="","",Notes!CA847)</f>
        <v>blendSAF</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processor</v>
      </c>
      <c r="B852" s="7" t="str">
        <f>IF(Notes!BZ848="","",Notes!BZ848)</f>
        <v>Apex Oil Company Inc 26</v>
      </c>
      <c r="C852" s="7" t="str">
        <f>IF(Notes!CA848="","",Notes!CA848)</f>
        <v>blendSAF</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processor</v>
      </c>
      <c r="B853" s="7" t="str">
        <f>IF(Notes!BZ849="","",Notes!BZ849)</f>
        <v>Petroleum Fuel &amp; Terminal Co 7</v>
      </c>
      <c r="C853" s="7" t="str">
        <f>IF(Notes!CA849="","",Notes!CA849)</f>
        <v>blendSAF</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processor</v>
      </c>
      <c r="B854" s="7" t="str">
        <f>IF(Notes!BZ850="","",Notes!BZ850)</f>
        <v>Cti Of North Carolina Inc</v>
      </c>
      <c r="C854" s="7" t="str">
        <f>IF(Notes!CA850="","",Notes!CA850)</f>
        <v>blendSAF</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processor</v>
      </c>
      <c r="B855" s="7" t="str">
        <f>IF(Notes!BZ851="","",Notes!BZ851)</f>
        <v>Bkep Materials Llc 16</v>
      </c>
      <c r="C855" s="7" t="str">
        <f>IF(Notes!CA851="","",Notes!CA851)</f>
        <v>blendSAF</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processor</v>
      </c>
      <c r="B856" s="7" t="str">
        <f>IF(Notes!BZ852="","",Notes!BZ852)</f>
        <v>Associated Asphalt Charlotte Llc</v>
      </c>
      <c r="C856" s="7" t="str">
        <f>IF(Notes!CA852="","",Notes!CA852)</f>
        <v>blendSAF</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processor</v>
      </c>
      <c r="B857" s="7" t="str">
        <f>IF(Notes!BZ853="","",Notes!BZ853)</f>
        <v>Associated Asphalt Salisbury Llc</v>
      </c>
      <c r="C857" s="7" t="str">
        <f>IF(Notes!CA853="","",Notes!CA853)</f>
        <v>blendSAF</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processor</v>
      </c>
      <c r="B858" s="7" t="str">
        <f>IF(Notes!BZ854="","",Notes!BZ854)</f>
        <v>Associated Asphalt Greensboro Llc</v>
      </c>
      <c r="C858" s="7" t="str">
        <f>IF(Notes!CA854="","",Notes!CA854)</f>
        <v>blendSAF</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processor</v>
      </c>
      <c r="B859" s="7" t="str">
        <f>IF(Notes!BZ855="","",Notes!BZ855)</f>
        <v>Buckeye Terminals Llc 111</v>
      </c>
      <c r="C859" s="7" t="str">
        <f>IF(Notes!CA855="","",Notes!CA855)</f>
        <v>blendSAF</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processor</v>
      </c>
      <c r="B860" s="7" t="str">
        <f>IF(Notes!BZ856="","",Notes!BZ856)</f>
        <v>Buckeye Se Terminals Lp 19</v>
      </c>
      <c r="C860" s="7" t="str">
        <f>IF(Notes!CA856="","",Notes!CA856)</f>
        <v>blendSAF</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processor</v>
      </c>
      <c r="B861" s="7" t="str">
        <f>IF(Notes!BZ857="","",Notes!BZ857)</f>
        <v>Buckeye Se Terminals Lp 10</v>
      </c>
      <c r="C861" s="7" t="str">
        <f>IF(Notes!CA857="","",Notes!CA857)</f>
        <v>blendSAF</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processor</v>
      </c>
      <c r="B862" s="7" t="str">
        <f>IF(Notes!BZ858="","",Notes!BZ858)</f>
        <v>Buckeye Se Terminals Lp 4</v>
      </c>
      <c r="C862" s="7" t="str">
        <f>IF(Notes!CA858="","",Notes!CA858)</f>
        <v>blendSAF</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processor</v>
      </c>
      <c r="B863" s="7" t="str">
        <f>IF(Notes!BZ859="","",Notes!BZ859)</f>
        <v>Buckeye Se Terminals Lp 5</v>
      </c>
      <c r="C863" s="7" t="str">
        <f>IF(Notes!CA859="","",Notes!CA859)</f>
        <v>blendSAF</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processor</v>
      </c>
      <c r="B864" s="7" t="str">
        <f>IF(Notes!BZ860="","",Notes!BZ860)</f>
        <v>Buckeye Se Terminals Lp 11</v>
      </c>
      <c r="C864" s="7" t="str">
        <f>IF(Notes!CA860="","",Notes!CA860)</f>
        <v>blendSAF</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processor</v>
      </c>
      <c r="B865" s="7" t="str">
        <f>IF(Notes!BZ861="","",Notes!BZ861)</f>
        <v>Colonial Terminals Operating Co Llc 2</v>
      </c>
      <c r="C865" s="7" t="str">
        <f>IF(Notes!CA861="","",Notes!CA861)</f>
        <v>blendSAF</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processor</v>
      </c>
      <c r="B866" s="7" t="str">
        <f>IF(Notes!BZ862="","",Notes!BZ862)</f>
        <v>Colonial Pipeline Company</v>
      </c>
      <c r="C866" s="7" t="str">
        <f>IF(Notes!CA862="","",Notes!CA862)</f>
        <v>blendSAF</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processor</v>
      </c>
      <c r="B867" s="7" t="str">
        <f>IF(Notes!BZ863="","",Notes!BZ863)</f>
        <v>Eco-Energy Distribution Services Llc 3</v>
      </c>
      <c r="C867" s="7" t="str">
        <f>IF(Notes!CA863="","",Notes!CA863)</f>
        <v>blendSAF</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processor</v>
      </c>
      <c r="B868" s="7" t="str">
        <f>IF(Notes!BZ864="","",Notes!BZ864)</f>
        <v>Sunoco Midstream Llc 10</v>
      </c>
      <c r="C868" s="7" t="str">
        <f>IF(Notes!CA864="","",Notes!CA864)</f>
        <v>blendSAF</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processor</v>
      </c>
      <c r="B869" s="7" t="str">
        <f>IF(Notes!BZ865="","",Notes!BZ865)</f>
        <v>Enterprise Products Operating Llc 12</v>
      </c>
      <c r="C869" s="7" t="str">
        <f>IF(Notes!CA865="","",Notes!CA865)</f>
        <v>blendSAF</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processor</v>
      </c>
      <c r="B870" s="7" t="str">
        <f>IF(Notes!BZ866="","",Notes!BZ866)</f>
        <v>Ent Propane Terminals &amp; Storage Llc 3</v>
      </c>
      <c r="C870" s="7" t="str">
        <f>IF(Notes!CA866="","",Notes!CA866)</f>
        <v>blendSAF</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processor</v>
      </c>
      <c r="B871" s="7" t="str">
        <f>IF(Notes!BZ867="","",Notes!BZ867)</f>
        <v>Asphalt Emulsions Llc</v>
      </c>
      <c r="C871" s="7" t="str">
        <f>IF(Notes!CA867="","",Notes!CA867)</f>
        <v>blendSAF</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processor</v>
      </c>
      <c r="B872" s="7" t="str">
        <f>IF(Notes!BZ868="","",Notes!BZ868)</f>
        <v>Kinder Morgan Southeast Terminal 21</v>
      </c>
      <c r="C872" s="7" t="str">
        <f>IF(Notes!CA868="","",Notes!CA868)</f>
        <v>blendSAF</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processor</v>
      </c>
      <c r="B873" s="7" t="str">
        <f>IF(Notes!BZ869="","",Notes!BZ869)</f>
        <v>Kinder Morgan Southeast Terminal 10</v>
      </c>
      <c r="C873" s="7" t="str">
        <f>IF(Notes!CA869="","",Notes!CA869)</f>
        <v>blendSAF</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processor</v>
      </c>
      <c r="B874" s="7" t="str">
        <f>IF(Notes!BZ870="","",Notes!BZ870)</f>
        <v>Kinder Morgan Southeast Terminal 5</v>
      </c>
      <c r="C874" s="7" t="str">
        <f>IF(Notes!CA870="","",Notes!CA870)</f>
        <v>blendSAF</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processor</v>
      </c>
      <c r="B875" s="7" t="str">
        <f>IF(Notes!BZ871="","",Notes!BZ871)</f>
        <v>Kinder Morgan Southeast Terminal 6</v>
      </c>
      <c r="C875" s="7" t="str">
        <f>IF(Notes!CA871="","",Notes!CA871)</f>
        <v>blendSAF</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processor</v>
      </c>
      <c r="B876" s="7" t="str">
        <f>IF(Notes!BZ872="","",Notes!BZ872)</f>
        <v>Kinder Morgan Southeast Terminal 11</v>
      </c>
      <c r="C876" s="7" t="str">
        <f>IF(Notes!CA872="","",Notes!CA872)</f>
        <v>blendSAF</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processor</v>
      </c>
      <c r="B877" s="7" t="str">
        <f>IF(Notes!BZ873="","",Notes!BZ873)</f>
        <v>Kinder Morgan Southeast Terminal 22</v>
      </c>
      <c r="C877" s="7" t="str">
        <f>IF(Notes!CA873="","",Notes!CA873)</f>
        <v>blendSAF</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processor</v>
      </c>
      <c r="B878" s="7" t="str">
        <f>IF(Notes!BZ874="","",Notes!BZ874)</f>
        <v>Kinder Morgan Southeast Terminal 7</v>
      </c>
      <c r="C878" s="7" t="str">
        <f>IF(Notes!CA874="","",Notes!CA874)</f>
        <v>blendSAF</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processor</v>
      </c>
      <c r="B879" s="7" t="str">
        <f>IF(Notes!BZ875="","",Notes!BZ875)</f>
        <v>Kinder Morgan Southeast Terminal 23</v>
      </c>
      <c r="C879" s="7" t="str">
        <f>IF(Notes!CA875="","",Notes!CA875)</f>
        <v>blendSAF</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processor</v>
      </c>
      <c r="B880" s="7" t="str">
        <f>IF(Notes!BZ876="","",Notes!BZ876)</f>
        <v>Kinder Morgan Southeast Terminal 24</v>
      </c>
      <c r="C880" s="7" t="str">
        <f>IF(Notes!CA876="","",Notes!CA876)</f>
        <v>blendSAF</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processor</v>
      </c>
      <c r="B881" s="7" t="str">
        <f>IF(Notes!BZ877="","",Notes!BZ877)</f>
        <v>Kinder Morgan Tmnls Wilmington Llc</v>
      </c>
      <c r="C881" s="7" t="str">
        <f>IF(Notes!CA877="","",Notes!CA877)</f>
        <v>blendSAF</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processor</v>
      </c>
      <c r="B882" s="7" t="str">
        <f>IF(Notes!BZ878="","",Notes!BZ878)</f>
        <v>Mplx Terminals Llc 47</v>
      </c>
      <c r="C882" s="7" t="str">
        <f>IF(Notes!CA878="","",Notes!CA878)</f>
        <v>blendSAF</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processor</v>
      </c>
      <c r="B883" s="7" t="str">
        <f>IF(Notes!BZ879="","",Notes!BZ879)</f>
        <v>Mplx Terminals Llc 48</v>
      </c>
      <c r="C883" s="7" t="str">
        <f>IF(Notes!CA879="","",Notes!CA879)</f>
        <v>blendSAF</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processor</v>
      </c>
      <c r="B884" s="7" t="str">
        <f>IF(Notes!BZ880="","",Notes!BZ880)</f>
        <v>Mplx Terminals Llc 10</v>
      </c>
      <c r="C884" s="7" t="str">
        <f>IF(Notes!CA880="","",Notes!CA880)</f>
        <v>blendSAF</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processor</v>
      </c>
      <c r="B885" s="7" t="str">
        <f>IF(Notes!BZ881="","",Notes!BZ881)</f>
        <v>Mck Terminals Llc 1</v>
      </c>
      <c r="C885" s="7" t="str">
        <f>IF(Notes!CA881="","",Notes!CA881)</f>
        <v>blendSAF</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processor</v>
      </c>
      <c r="B886" s="7" t="str">
        <f>IF(Notes!BZ882="","",Notes!BZ882)</f>
        <v>Citgo Petroleum Corp 36</v>
      </c>
      <c r="C886" s="7" t="str">
        <f>IF(Notes!CA882="","",Notes!CA882)</f>
        <v>blendSAF</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processor</v>
      </c>
      <c r="B887" s="7" t="str">
        <f>IF(Notes!BZ883="","",Notes!BZ883)</f>
        <v>Citgo Petroleum Corp 27</v>
      </c>
      <c r="C887" s="7" t="str">
        <f>IF(Notes!CA883="","",Notes!CA883)</f>
        <v>blendSAF</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processor</v>
      </c>
      <c r="B888" s="7" t="str">
        <f>IF(Notes!BZ884="","",Notes!BZ884)</f>
        <v>Motiva Enterprises Llc 16</v>
      </c>
      <c r="C888" s="7" t="str">
        <f>IF(Notes!CA884="","",Notes!CA884)</f>
        <v>blendSAF</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processor</v>
      </c>
      <c r="B889" s="7" t="str">
        <f>IF(Notes!BZ885="","",Notes!BZ885)</f>
        <v>Motiva Enterprises Llc 1</v>
      </c>
      <c r="C889" s="7" t="str">
        <f>IF(Notes!CA885="","",Notes!CA885)</f>
        <v>blendSAF</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processor</v>
      </c>
      <c r="B890" s="7" t="str">
        <f>IF(Notes!BZ886="","",Notes!BZ886)</f>
        <v>Motiva Enterprises Llc 5</v>
      </c>
      <c r="C890" s="7" t="str">
        <f>IF(Notes!CA886="","",Notes!CA886)</f>
        <v>blendSAF</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processor</v>
      </c>
      <c r="B891" s="7" t="str">
        <f>IF(Notes!BZ887="","",Notes!BZ887)</f>
        <v>Motiva Enterprises Llc 11</v>
      </c>
      <c r="C891" s="7" t="str">
        <f>IF(Notes!CA887="","",Notes!CA887)</f>
        <v>blendSAF</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processor</v>
      </c>
      <c r="B892" s="7" t="str">
        <f>IF(Notes!BZ888="","",Notes!BZ888)</f>
        <v>Motiva Enterprises Llc 6</v>
      </c>
      <c r="C892" s="7" t="str">
        <f>IF(Notes!CA888="","",Notes!CA888)</f>
        <v>blendSAF</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processor</v>
      </c>
      <c r="B893" s="7" t="str">
        <f>IF(Notes!BZ889="","",Notes!BZ889)</f>
        <v>Texon Lp</v>
      </c>
      <c r="C893" s="7" t="str">
        <f>IF(Notes!CA889="","",Notes!CA889)</f>
        <v>blendSAF</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processor</v>
      </c>
      <c r="B894" s="7" t="str">
        <f>IF(Notes!BZ890="","",Notes!BZ890)</f>
        <v>Transmontaigne Operating Company 15</v>
      </c>
      <c r="C894" s="7" t="str">
        <f>IF(Notes!CA890="","",Notes!CA890)</f>
        <v>blendSAF</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processor</v>
      </c>
      <c r="B895" s="7" t="str">
        <f>IF(Notes!BZ891="","",Notes!BZ891)</f>
        <v>Transmontaigne Operating Company 23</v>
      </c>
      <c r="C895" s="7" t="str">
        <f>IF(Notes!CA891="","",Notes!CA891)</f>
        <v>blendSAF</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processor</v>
      </c>
      <c r="B896" s="7" t="str">
        <f>IF(Notes!BZ892="","",Notes!BZ892)</f>
        <v>Transmontaigne Operating Company 46</v>
      </c>
      <c r="C896" s="7" t="str">
        <f>IF(Notes!CA892="","",Notes!CA892)</f>
        <v>blendSAF</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processor</v>
      </c>
      <c r="B897" s="7" t="str">
        <f>IF(Notes!BZ893="","",Notes!BZ893)</f>
        <v>Flint Hill Resources Lp 6</v>
      </c>
      <c r="C897" s="7" t="str">
        <f>IF(Notes!CA893="","",Notes!CA893)</f>
        <v>blendSAF</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processor</v>
      </c>
      <c r="B898" s="7" t="str">
        <f>IF(Notes!BZ894="","",Notes!BZ894)</f>
        <v>Chs Inc 4</v>
      </c>
      <c r="C898" s="7" t="str">
        <f>IF(Notes!CA894="","",Notes!CA894)</f>
        <v>blendSAF</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processor</v>
      </c>
      <c r="B899" s="7" t="str">
        <f>IF(Notes!BZ895="","",Notes!BZ895)</f>
        <v>Magellan Pipeline Co Lp 15</v>
      </c>
      <c r="C899" s="7" t="str">
        <f>IF(Notes!CA895="","",Notes!CA895)</f>
        <v>blendSAF</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processor</v>
      </c>
      <c r="B900" s="7" t="str">
        <f>IF(Notes!BZ896="","",Notes!BZ896)</f>
        <v>Magellan Pipeline Co Lp 13</v>
      </c>
      <c r="C900" s="7" t="str">
        <f>IF(Notes!CA896="","",Notes!CA896)</f>
        <v>blendSAF</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processor</v>
      </c>
      <c r="B901" s="7" t="str">
        <f>IF(Notes!BZ897="","",Notes!BZ897)</f>
        <v>Nustar Energy Lp 21</v>
      </c>
      <c r="C901" s="7" t="str">
        <f>IF(Notes!CA897="","",Notes!CA897)</f>
        <v>blendSAF</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processor</v>
      </c>
      <c r="B902" s="7" t="str">
        <f>IF(Notes!BZ898="","",Notes!BZ898)</f>
        <v>Pkm Cochin Llc 2</v>
      </c>
      <c r="C902" s="7" t="str">
        <f>IF(Notes!CA898="","",Notes!CA898)</f>
        <v>blendSAF</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processor</v>
      </c>
      <c r="B903" s="7" t="str">
        <f>IF(Notes!BZ899="","",Notes!BZ899)</f>
        <v>Valvoline 37</v>
      </c>
      <c r="C903" s="7" t="str">
        <f>IF(Notes!CA899="","",Notes!CA899)</f>
        <v>blendSAF</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processor</v>
      </c>
      <c r="B904" s="7" t="str">
        <f>IF(Notes!BZ900="","",Notes!BZ900)</f>
        <v>Benchmark Biodiesel Inc</v>
      </c>
      <c r="C904" s="7" t="str">
        <f>IF(Notes!CA900="","",Notes!CA900)</f>
        <v>blendSAF</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processor</v>
      </c>
      <c r="B905" s="7" t="str">
        <f>IF(Notes!BZ901="","",Notes!BZ901)</f>
        <v>Buckeye Terminals Llc 32</v>
      </c>
      <c r="C905" s="7" t="str">
        <f>IF(Notes!CA901="","",Notes!CA901)</f>
        <v>blendSAF</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processor</v>
      </c>
      <c r="B906" s="7" t="str">
        <f>IF(Notes!BZ902="","",Notes!BZ902)</f>
        <v>Buckeye Terminals Llc 62</v>
      </c>
      <c r="C906" s="7" t="str">
        <f>IF(Notes!CA902="","",Notes!CA902)</f>
        <v>blendSAF</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processor</v>
      </c>
      <c r="B907" s="7" t="str">
        <f>IF(Notes!BZ903="","",Notes!BZ903)</f>
        <v>Buckeye Terminals Llc 39</v>
      </c>
      <c r="C907" s="7" t="str">
        <f>IF(Notes!CA903="","",Notes!CA903)</f>
        <v>blendSAF</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processor</v>
      </c>
      <c r="B908" s="7" t="str">
        <f>IF(Notes!BZ904="","",Notes!BZ904)</f>
        <v>Buckeye Terminals Llc 33</v>
      </c>
      <c r="C908" s="7" t="str">
        <f>IF(Notes!CA904="","",Notes!CA904)</f>
        <v>blendSAF</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processor</v>
      </c>
      <c r="B909" s="7" t="str">
        <f>IF(Notes!BZ905="","",Notes!BZ905)</f>
        <v>Buckeye Terminals Llc 35</v>
      </c>
      <c r="C909" s="7" t="str">
        <f>IF(Notes!CA905="","",Notes!CA905)</f>
        <v>blendSAF</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processor</v>
      </c>
      <c r="B910" s="7" t="str">
        <f>IF(Notes!BZ906="","",Notes!BZ906)</f>
        <v>Buckeye Terminals Llc 63</v>
      </c>
      <c r="C910" s="7" t="str">
        <f>IF(Notes!CA906="","",Notes!CA906)</f>
        <v>blendSAF</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processor</v>
      </c>
      <c r="B911" s="7" t="str">
        <f>IF(Notes!BZ907="","",Notes!BZ907)</f>
        <v>Buckeye Terminals Llc 50</v>
      </c>
      <c r="C911" s="7" t="str">
        <f>IF(Notes!CA907="","",Notes!CA907)</f>
        <v>blendSAF</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processor</v>
      </c>
      <c r="B912" s="7" t="str">
        <f>IF(Notes!BZ908="","",Notes!BZ908)</f>
        <v>Buckeye Terminals Llc 105</v>
      </c>
      <c r="C912" s="7" t="str">
        <f>IF(Notes!CA908="","",Notes!CA908)</f>
        <v>blendSAF</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processor</v>
      </c>
      <c r="B913" s="7" t="str">
        <f>IF(Notes!BZ909="","",Notes!BZ909)</f>
        <v>Buckeye Terminals Llc 36</v>
      </c>
      <c r="C913" s="7" t="str">
        <f>IF(Notes!CA909="","",Notes!CA909)</f>
        <v>blendSAF</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processor</v>
      </c>
      <c r="B914" s="7" t="str">
        <f>IF(Notes!BZ910="","",Notes!BZ910)</f>
        <v>Buckeye Terminals Llc 34</v>
      </c>
      <c r="C914" s="7" t="str">
        <f>IF(Notes!CA910="","",Notes!CA910)</f>
        <v>blendSAF</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processor</v>
      </c>
      <c r="B915" s="7" t="str">
        <f>IF(Notes!BZ911="","",Notes!BZ911)</f>
        <v>Buckeye Terminals Llc 29</v>
      </c>
      <c r="C915" s="7" t="str">
        <f>IF(Notes!CA911="","",Notes!CA911)</f>
        <v>blendSAF</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processor</v>
      </c>
      <c r="B916" s="7" t="str">
        <f>IF(Notes!BZ912="","",Notes!BZ912)</f>
        <v>Buckeye Terminals Llc 79</v>
      </c>
      <c r="C916" s="7" t="str">
        <f>IF(Notes!CA912="","",Notes!CA912)</f>
        <v>blendSAF</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processor</v>
      </c>
      <c r="B917" s="7" t="str">
        <f>IF(Notes!BZ913="","",Notes!BZ913)</f>
        <v>Pbf Logistics Products Terminals Llc 16</v>
      </c>
      <c r="C917" s="7" t="str">
        <f>IF(Notes!CA913="","",Notes!CA913)</f>
        <v>blendSAF</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processor</v>
      </c>
      <c r="B918" s="7" t="str">
        <f>IF(Notes!BZ914="","",Notes!BZ914)</f>
        <v>Sunoco Logistics 26</v>
      </c>
      <c r="C918" s="7" t="str">
        <f>IF(Notes!CA914="","",Notes!CA914)</f>
        <v>blendSAF</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processor</v>
      </c>
      <c r="B919" s="7" t="str">
        <f>IF(Notes!BZ915="","",Notes!BZ915)</f>
        <v>Sunoco Logistics 53</v>
      </c>
      <c r="C919" s="7" t="str">
        <f>IF(Notes!CA915="","",Notes!CA915)</f>
        <v>blendSAF</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processor</v>
      </c>
      <c r="B920" s="7" t="str">
        <f>IF(Notes!BZ916="","",Notes!BZ916)</f>
        <v>Sunoco Logistics 28</v>
      </c>
      <c r="C920" s="7" t="str">
        <f>IF(Notes!CA916="","",Notes!CA916)</f>
        <v>blendSAF</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processor</v>
      </c>
      <c r="B921" s="7" t="str">
        <f>IF(Notes!BZ917="","",Notes!BZ917)</f>
        <v>Sunoco Logistics 25</v>
      </c>
      <c r="C921" s="7" t="str">
        <f>IF(Notes!CA917="","",Notes!CA917)</f>
        <v>blendSAF</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processor</v>
      </c>
      <c r="B922" s="7" t="str">
        <f>IF(Notes!BZ918="","",Notes!BZ918)</f>
        <v>Sunoco Logistics 16</v>
      </c>
      <c r="C922" s="7" t="str">
        <f>IF(Notes!CA918="","",Notes!CA918)</f>
        <v>blendSAF</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processor</v>
      </c>
      <c r="B923" s="7" t="str">
        <f>IF(Notes!BZ919="","",Notes!BZ919)</f>
        <v>Sunoco Logistics 27</v>
      </c>
      <c r="C923" s="7" t="str">
        <f>IF(Notes!CA919="","",Notes!CA919)</f>
        <v>blendSAF</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processor</v>
      </c>
      <c r="B924" s="7" t="str">
        <f>IF(Notes!BZ920="","",Notes!BZ920)</f>
        <v>Sunoco Midstream Llc 5</v>
      </c>
      <c r="C924" s="7" t="str">
        <f>IF(Notes!CA920="","",Notes!CA920)</f>
        <v>blendSAF</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processor</v>
      </c>
      <c r="B925" s="7" t="str">
        <f>IF(Notes!BZ921="","",Notes!BZ921)</f>
        <v>Sunoco Midstream  Llc</v>
      </c>
      <c r="C925" s="7" t="str">
        <f>IF(Notes!CA921="","",Notes!CA921)</f>
        <v>blendSAF</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processor</v>
      </c>
      <c r="B926" s="7" t="str">
        <f>IF(Notes!BZ922="","",Notes!BZ922)</f>
        <v>Sunoco Midstream Llc 2</v>
      </c>
      <c r="C926" s="7" t="str">
        <f>IF(Notes!CA922="","",Notes!CA922)</f>
        <v>blendSAF</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processor</v>
      </c>
      <c r="B927" s="7" t="str">
        <f>IF(Notes!BZ923="","",Notes!BZ923)</f>
        <v>Enterprise Terminals &amp; Storage Llc 13</v>
      </c>
      <c r="C927" s="7" t="str">
        <f>IF(Notes!CA923="","",Notes!CA923)</f>
        <v>blendSAF</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processor</v>
      </c>
      <c r="B928" s="7" t="str">
        <f>IF(Notes!BZ924="","",Notes!BZ924)</f>
        <v>Enterprise Terminals &amp; Storage Llc 23</v>
      </c>
      <c r="C928" s="7" t="str">
        <f>IF(Notes!CA924="","",Notes!CA924)</f>
        <v>blendSAF</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processor</v>
      </c>
      <c r="B929" s="7" t="str">
        <f>IF(Notes!BZ925="","",Notes!BZ925)</f>
        <v>Enterprise Refined Products Co Llc 5</v>
      </c>
      <c r="C929" s="7" t="str">
        <f>IF(Notes!CA925="","",Notes!CA925)</f>
        <v>blendSAF</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processor</v>
      </c>
      <c r="B930" s="7" t="str">
        <f>IF(Notes!BZ926="","",Notes!BZ926)</f>
        <v>Heritage Asphalt Llc 2</v>
      </c>
      <c r="C930" s="7" t="str">
        <f>IF(Notes!CA926="","",Notes!CA926)</f>
        <v>blendSAF</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processor</v>
      </c>
      <c r="B931" s="7" t="str">
        <f>IF(Notes!BZ927="","",Notes!BZ927)</f>
        <v>Kinder Morgan Liq Termls Llc 4</v>
      </c>
      <c r="C931" s="7" t="str">
        <f>IF(Notes!CA927="","",Notes!CA927)</f>
        <v>blendSAF</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processor</v>
      </c>
      <c r="B932" s="7" t="str">
        <f>IF(Notes!BZ928="","",Notes!BZ928)</f>
        <v>Kinder Morgan Liq Termls Llc 6</v>
      </c>
      <c r="C932" s="7" t="str">
        <f>IF(Notes!CA928="","",Notes!CA928)</f>
        <v>blendSAF</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processor</v>
      </c>
      <c r="B933" s="7" t="str">
        <f>IF(Notes!BZ929="","",Notes!BZ929)</f>
        <v>Delta Fuels Inc</v>
      </c>
      <c r="C933" s="7" t="str">
        <f>IF(Notes!CA929="","",Notes!CA929)</f>
        <v>blendSAF</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processor</v>
      </c>
      <c r="B934" s="7" t="str">
        <f>IF(Notes!BZ930="","",Notes!BZ930)</f>
        <v>Marathon Petroleum Co Llc 19</v>
      </c>
      <c r="C934" s="7" t="str">
        <f>IF(Notes!CA930="","",Notes!CA930)</f>
        <v>blendSAF</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processor</v>
      </c>
      <c r="B935" s="7" t="str">
        <f>IF(Notes!BZ931="","",Notes!BZ931)</f>
        <v>Marathon Petroleum Co Llc 18</v>
      </c>
      <c r="C935" s="7" t="str">
        <f>IF(Notes!CA931="","",Notes!CA931)</f>
        <v>blendSAF</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processor</v>
      </c>
      <c r="B936" s="7" t="str">
        <f>IF(Notes!BZ932="","",Notes!BZ932)</f>
        <v>Marathon Petroleum Co Llc 21</v>
      </c>
      <c r="C936" s="7" t="str">
        <f>IF(Notes!CA932="","",Notes!CA932)</f>
        <v>blendSAF</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processor</v>
      </c>
      <c r="B937" s="7" t="str">
        <f>IF(Notes!BZ933="","",Notes!BZ933)</f>
        <v>Marathon Petroleum Co Llc 1</v>
      </c>
      <c r="C937" s="7" t="str">
        <f>IF(Notes!CA933="","",Notes!CA933)</f>
        <v>blendSAF</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processor</v>
      </c>
      <c r="B938" s="7" t="str">
        <f>IF(Notes!BZ934="","",Notes!BZ934)</f>
        <v>Marathon Petroleum Co Llc 4</v>
      </c>
      <c r="C938" s="7" t="str">
        <f>IF(Notes!CA934="","",Notes!CA934)</f>
        <v>blendSAF</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processor</v>
      </c>
      <c r="B939" s="7" t="str">
        <f>IF(Notes!BZ935="","",Notes!BZ935)</f>
        <v>Marathon Petroleum Co Llc 16</v>
      </c>
      <c r="C939" s="7" t="str">
        <f>IF(Notes!CA935="","",Notes!CA935)</f>
        <v>blendSAF</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processor</v>
      </c>
      <c r="B940" s="7" t="str">
        <f>IF(Notes!BZ936="","",Notes!BZ936)</f>
        <v>Mplx Terminals Llc 44</v>
      </c>
      <c r="C940" s="7" t="str">
        <f>IF(Notes!CA936="","",Notes!CA936)</f>
        <v>blendSAF</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processor</v>
      </c>
      <c r="B941" s="7" t="str">
        <f>IF(Notes!BZ937="","",Notes!BZ937)</f>
        <v>Mplx Terminals Llc 30</v>
      </c>
      <c r="C941" s="7" t="str">
        <f>IF(Notes!CA937="","",Notes!CA937)</f>
        <v>blendSAF</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processor</v>
      </c>
      <c r="B942" s="7" t="str">
        <f>IF(Notes!BZ938="","",Notes!BZ938)</f>
        <v>Mplx Terminals Llc 22</v>
      </c>
      <c r="C942" s="7" t="str">
        <f>IF(Notes!CA938="","",Notes!CA938)</f>
        <v>blendSAF</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processor</v>
      </c>
      <c r="B943" s="7" t="str">
        <f>IF(Notes!BZ939="","",Notes!BZ939)</f>
        <v>Mplx Terminals Llc 12</v>
      </c>
      <c r="C943" s="7" t="str">
        <f>IF(Notes!CA939="","",Notes!CA939)</f>
        <v>blendSAF</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processor</v>
      </c>
      <c r="B944" s="7" t="str">
        <f>IF(Notes!BZ940="","",Notes!BZ940)</f>
        <v>Mplx Terminals Llc 13</v>
      </c>
      <c r="C944" s="7" t="str">
        <f>IF(Notes!CA940="","",Notes!CA940)</f>
        <v>blendSAF</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processor</v>
      </c>
      <c r="B945" s="7" t="str">
        <f>IF(Notes!BZ941="","",Notes!BZ941)</f>
        <v>Mplx Terminals Llc 11</v>
      </c>
      <c r="C945" s="7" t="str">
        <f>IF(Notes!CA941="","",Notes!CA941)</f>
        <v>blendSAF</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processor</v>
      </c>
      <c r="B946" s="7" t="str">
        <f>IF(Notes!BZ942="","",Notes!BZ942)</f>
        <v>Mplx Terminals Llc 5</v>
      </c>
      <c r="C946" s="7" t="str">
        <f>IF(Notes!CA942="","",Notes!CA942)</f>
        <v>blendSAF</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processor</v>
      </c>
      <c r="B947" s="7" t="str">
        <f>IF(Notes!BZ943="","",Notes!BZ943)</f>
        <v>Mplx Terminals Llc 6</v>
      </c>
      <c r="C947" s="7" t="str">
        <f>IF(Notes!CA943="","",Notes!CA943)</f>
        <v>blendSAF</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processor</v>
      </c>
      <c r="B948" s="7" t="str">
        <f>IF(Notes!BZ944="","",Notes!BZ944)</f>
        <v>Mplx Terminals Llc 34</v>
      </c>
      <c r="C948" s="7" t="str">
        <f>IF(Notes!CA944="","",Notes!CA944)</f>
        <v>blendSAF</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processor</v>
      </c>
      <c r="B949" s="7" t="str">
        <f>IF(Notes!BZ945="","",Notes!BZ945)</f>
        <v>Citgo Petro Corp 10</v>
      </c>
      <c r="C949" s="7" t="str">
        <f>IF(Notes!CA945="","",Notes!CA945)</f>
        <v>blendSAF</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processor</v>
      </c>
      <c r="B950" s="7" t="str">
        <f>IF(Notes!BZ946="","",Notes!BZ946)</f>
        <v>Citgo Holding Terminals Llc 1</v>
      </c>
      <c r="C950" s="7" t="str">
        <f>IF(Notes!CA946="","",Notes!CA946)</f>
        <v>blendSAF</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processor</v>
      </c>
      <c r="B951" s="7" t="str">
        <f>IF(Notes!BZ947="","",Notes!BZ947)</f>
        <v>Citgo Holding Terminals Llc 5</v>
      </c>
      <c r="C951" s="7" t="str">
        <f>IF(Notes!CA947="","",Notes!CA947)</f>
        <v>blendSAF</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processor</v>
      </c>
      <c r="B952" s="7" t="str">
        <f>IF(Notes!BZ948="","",Notes!BZ948)</f>
        <v>Transmontaigne Operating Company 18</v>
      </c>
      <c r="C952" s="7" t="str">
        <f>IF(Notes!CA948="","",Notes!CA948)</f>
        <v>blendSAF</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processor</v>
      </c>
      <c r="B953" s="7" t="str">
        <f>IF(Notes!BZ949="","",Notes!BZ949)</f>
        <v>Owens Corning 7</v>
      </c>
      <c r="C953" s="7" t="str">
        <f>IF(Notes!CA949="","",Notes!CA949)</f>
        <v>blendSAF</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processor</v>
      </c>
      <c r="B954" s="7" t="str">
        <f>IF(Notes!BZ950="","",Notes!BZ950)</f>
        <v>Ergon Asphalt &amp; Emulsions</v>
      </c>
      <c r="C954" s="7" t="str">
        <f>IF(Notes!CA950="","",Notes!CA950)</f>
        <v>blendSAF</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processor</v>
      </c>
      <c r="B955" s="7" t="str">
        <f>IF(Notes!BZ951="","",Notes!BZ951)</f>
        <v>Ergon Asphalt And Emulsions 10</v>
      </c>
      <c r="C955" s="7" t="str">
        <f>IF(Notes!CA951="","",Notes!CA951)</f>
        <v>blendSAF</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processor</v>
      </c>
      <c r="B956" s="7" t="str">
        <f>IF(Notes!BZ952="","",Notes!BZ952)</f>
        <v>Bkep Materials Llc 2</v>
      </c>
      <c r="C956" s="7" t="str">
        <f>IF(Notes!CA952="","",Notes!CA952)</f>
        <v>blendSAF</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processor</v>
      </c>
      <c r="B957" s="7" t="str">
        <f>IF(Notes!BZ953="","",Notes!BZ953)</f>
        <v>Bkep Materials Llc 3</v>
      </c>
      <c r="C957" s="7" t="str">
        <f>IF(Notes!CA953="","",Notes!CA953)</f>
        <v>blendSAF</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processor</v>
      </c>
      <c r="B958" s="7" t="str">
        <f>IF(Notes!BZ954="","",Notes!BZ954)</f>
        <v>Bkep Materials Llc 11</v>
      </c>
      <c r="C958" s="7" t="str">
        <f>IF(Notes!CA954="","",Notes!CA954)</f>
        <v>blendSAF</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processor</v>
      </c>
      <c r="B959" s="7" t="str">
        <f>IF(Notes!BZ955="","",Notes!BZ955)</f>
        <v>Bkep Materials Llc 12</v>
      </c>
      <c r="C959" s="7" t="str">
        <f>IF(Notes!CA955="","",Notes!CA955)</f>
        <v>blendSAF</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processor</v>
      </c>
      <c r="B960" s="7" t="str">
        <f>IF(Notes!BZ956="","",Notes!BZ956)</f>
        <v>Phillips 66 Company 14</v>
      </c>
      <c r="C960" s="7" t="str">
        <f>IF(Notes!CA956="","",Notes!CA956)</f>
        <v>blendSAF</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processor</v>
      </c>
      <c r="B961" s="7" t="str">
        <f>IF(Notes!BZ957="","",Notes!BZ957)</f>
        <v>Phillips 66 Company 7</v>
      </c>
      <c r="C961" s="7" t="str">
        <f>IF(Notes!CA957="","",Notes!CA957)</f>
        <v>blendSAF</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processor</v>
      </c>
      <c r="B962" s="7" t="str">
        <f>IF(Notes!BZ958="","",Notes!BZ958)</f>
        <v>Phillips 66 Company 12</v>
      </c>
      <c r="C962" s="7" t="str">
        <f>IF(Notes!CA958="","",Notes!CA958)</f>
        <v>blendSAF</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processor</v>
      </c>
      <c r="B963" s="7" t="str">
        <f>IF(Notes!BZ959="","",Notes!BZ959)</f>
        <v>Phillips 66 Company 15</v>
      </c>
      <c r="C963" s="7" t="str">
        <f>IF(Notes!CA959="","",Notes!CA959)</f>
        <v>blendSAF</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processor</v>
      </c>
      <c r="B964" s="7" t="str">
        <f>IF(Notes!BZ960="","",Notes!BZ960)</f>
        <v>Alon Usa Lp</v>
      </c>
      <c r="C964" s="7" t="str">
        <f>IF(Notes!CA960="","",Notes!CA960)</f>
        <v>blendSAF</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processor</v>
      </c>
      <c r="B965" s="7" t="str">
        <f>IF(Notes!BZ961="","",Notes!BZ961)</f>
        <v>Keyera Energy</v>
      </c>
      <c r="C965" s="7" t="str">
        <f>IF(Notes!CA961="","",Notes!CA961)</f>
        <v>blendSAF</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processor</v>
      </c>
      <c r="B966" s="7" t="str">
        <f>IF(Notes!BZ962="","",Notes!BZ962)</f>
        <v>Magellan Pipeline Co Lp 45</v>
      </c>
      <c r="C966" s="7" t="str">
        <f>IF(Notes!CA962="","",Notes!CA962)</f>
        <v>blendSAF</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processor</v>
      </c>
      <c r="B967" s="7" t="str">
        <f>IF(Notes!BZ963="","",Notes!BZ963)</f>
        <v>Magellan Pipeline Co Lp 2</v>
      </c>
      <c r="C967" s="7" t="str">
        <f>IF(Notes!CA963="","",Notes!CA963)</f>
        <v>blendSAF</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processor</v>
      </c>
      <c r="B968" s="7" t="str">
        <f>IF(Notes!BZ964="","",Notes!BZ964)</f>
        <v>Magellan Pipeline Co Lp 12</v>
      </c>
      <c r="C968" s="7" t="str">
        <f>IF(Notes!CA964="","",Notes!CA964)</f>
        <v>blendSAF</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processor</v>
      </c>
      <c r="B969" s="7" t="str">
        <f>IF(Notes!BZ965="","",Notes!BZ965)</f>
        <v>Magellan Pipeline Co Lp 34</v>
      </c>
      <c r="C969" s="7" t="str">
        <f>IF(Notes!CA965="","",Notes!CA965)</f>
        <v>blendSAF</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processor</v>
      </c>
      <c r="B970" s="7" t="str">
        <f>IF(Notes!BZ966="","",Notes!BZ966)</f>
        <v>Nustar Energy Lp 5</v>
      </c>
      <c r="C970" s="7" t="str">
        <f>IF(Notes!CA966="","",Notes!CA966)</f>
        <v>blendSAF</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processor</v>
      </c>
      <c r="B971" s="7" t="str">
        <f>IF(Notes!BZ967="","",Notes!BZ967)</f>
        <v>Citgo Petroleum Corp 34</v>
      </c>
      <c r="C971" s="7" t="str">
        <f>IF(Notes!CA967="","",Notes!CA967)</f>
        <v>blendSAF</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processor</v>
      </c>
      <c r="B972" s="7" t="str">
        <f>IF(Notes!BZ968="","",Notes!BZ968)</f>
        <v>Plains Lpg Services 4</v>
      </c>
      <c r="C972" s="7" t="str">
        <f>IF(Notes!CA968="","",Notes!CA968)</f>
        <v>blendSAF</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processor</v>
      </c>
      <c r="B973" s="7" t="str">
        <f>IF(Notes!BZ969="","",Notes!BZ969)</f>
        <v>Transmontaigne Operating Company 37</v>
      </c>
      <c r="C973" s="7" t="str">
        <f>IF(Notes!CA969="","",Notes!CA969)</f>
        <v>blendSAF</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processor</v>
      </c>
      <c r="B974" s="7" t="str">
        <f>IF(Notes!BZ970="","",Notes!BZ970)</f>
        <v>Owens Corning 10</v>
      </c>
      <c r="C974" s="7" t="str">
        <f>IF(Notes!CA970="","",Notes!CA970)</f>
        <v>blendSAF</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processor</v>
      </c>
      <c r="B975" s="7" t="str">
        <f>IF(Notes!BZ971="","",Notes!BZ971)</f>
        <v>Chevron Usa Inc Willbridge</v>
      </c>
      <c r="C975" s="7" t="str">
        <f>IF(Notes!CA971="","",Notes!CA971)</f>
        <v>blendSAF</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processor</v>
      </c>
      <c r="B976" s="7" t="str">
        <f>IF(Notes!BZ972="","",Notes!BZ972)</f>
        <v>Tlp Management Services Llc 3</v>
      </c>
      <c r="C976" s="7" t="str">
        <f>IF(Notes!CA972="","",Notes!CA972)</f>
        <v>blendSAF</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processor</v>
      </c>
      <c r="B977" s="7" t="str">
        <f>IF(Notes!BZ973="","",Notes!BZ973)</f>
        <v>Phillips 66 Company 16</v>
      </c>
      <c r="C977" s="7" t="str">
        <f>IF(Notes!CA973="","",Notes!CA973)</f>
        <v>blendSAF</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processor</v>
      </c>
      <c r="B978" s="7" t="str">
        <f>IF(Notes!BZ974="","",Notes!BZ974)</f>
        <v>Phillips 66 3</v>
      </c>
      <c r="C978" s="7" t="str">
        <f>IF(Notes!CA974="","",Notes!CA974)</f>
        <v>blendSAF</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processor</v>
      </c>
      <c r="B979" s="7" t="str">
        <f>IF(Notes!BZ975="","",Notes!BZ975)</f>
        <v>Global Co Llc 4</v>
      </c>
      <c r="C979" s="7" t="str">
        <f>IF(Notes!CA975="","",Notes!CA975)</f>
        <v>blendSAF</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processor</v>
      </c>
      <c r="B980" s="7" t="str">
        <f>IF(Notes!BZ976="","",Notes!BZ976)</f>
        <v>Pacific Terminal Services Inc</v>
      </c>
      <c r="C980" s="7" t="str">
        <f>IF(Notes!CA976="","",Notes!CA976)</f>
        <v>blendSAF</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processor</v>
      </c>
      <c r="B981" s="7" t="str">
        <f>IF(Notes!BZ977="","",Notes!BZ977)</f>
        <v>Sfpp Lp 4</v>
      </c>
      <c r="C981" s="7" t="str">
        <f>IF(Notes!CA977="","",Notes!CA977)</f>
        <v>blendSAF</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processor</v>
      </c>
      <c r="B982" s="7" t="str">
        <f>IF(Notes!BZ978="","",Notes!BZ978)</f>
        <v>Kinder Morgan Portland Liquids Termi</v>
      </c>
      <c r="C982" s="7" t="str">
        <f>IF(Notes!CA978="","",Notes!CA978)</f>
        <v>blendSAF</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processor</v>
      </c>
      <c r="B983" s="7" t="str">
        <f>IF(Notes!BZ979="","",Notes!BZ979)</f>
        <v>Mccall Oil &amp; Chemical</v>
      </c>
      <c r="C983" s="7" t="str">
        <f>IF(Notes!CA979="","",Notes!CA979)</f>
        <v>blendSAF</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processor</v>
      </c>
      <c r="B984" s="7" t="str">
        <f>IF(Notes!BZ980="","",Notes!BZ980)</f>
        <v>Nustar Energy Lp 33</v>
      </c>
      <c r="C984" s="7" t="str">
        <f>IF(Notes!CA980="","",Notes!CA980)</f>
        <v>blendSAF</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processor</v>
      </c>
      <c r="B985" s="7" t="str">
        <f>IF(Notes!BZ981="","",Notes!BZ981)</f>
        <v>Equilon Enterprises Llc 3</v>
      </c>
      <c r="C985" s="7" t="str">
        <f>IF(Notes!CA981="","",Notes!CA981)</f>
        <v>blendSAF</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processor</v>
      </c>
      <c r="B986" s="7" t="str">
        <f>IF(Notes!BZ982="","",Notes!BZ982)</f>
        <v>Tidewater Terminal Co 2</v>
      </c>
      <c r="C986" s="7" t="str">
        <f>IF(Notes!CA982="","",Notes!CA982)</f>
        <v>blendSAF</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processor</v>
      </c>
      <c r="B987" s="7" t="str">
        <f>IF(Notes!BZ983="","",Notes!BZ983)</f>
        <v>Owens Corning 11</v>
      </c>
      <c r="C987" s="7" t="str">
        <f>IF(Notes!CA983="","",Notes!CA983)</f>
        <v>blendSAF</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processor</v>
      </c>
      <c r="B988" s="7" t="str">
        <f>IF(Notes!BZ984="","",Notes!BZ984)</f>
        <v>Zenith Energy Terminals Holdings Llc</v>
      </c>
      <c r="C988" s="7" t="str">
        <f>IF(Notes!CA984="","",Notes!CA984)</f>
        <v>blendSAF</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processor</v>
      </c>
      <c r="B989" s="7" t="str">
        <f>IF(Notes!BZ985="","",Notes!BZ985)</f>
        <v>Valvoline 38</v>
      </c>
      <c r="C989" s="7" t="str">
        <f>IF(Notes!CA985="","",Notes!CA985)</f>
        <v>blendSAF</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processor</v>
      </c>
      <c r="B990" s="7" t="str">
        <f>IF(Notes!BZ986="","",Notes!BZ986)</f>
        <v>Lucknow - Highspire Terminal</v>
      </c>
      <c r="C990" s="7" t="str">
        <f>IF(Notes!CA986="","",Notes!CA986)</f>
        <v>blendSAF</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processor</v>
      </c>
      <c r="B991" s="7" t="str">
        <f>IF(Notes!BZ987="","",Notes!BZ987)</f>
        <v>Lucknow - Highspire Terminals 1</v>
      </c>
      <c r="C991" s="7" t="str">
        <f>IF(Notes!CA987="","",Notes!CA987)</f>
        <v>blendSAF</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processor</v>
      </c>
      <c r="B992" s="7" t="str">
        <f>IF(Notes!BZ988="","",Notes!BZ988)</f>
        <v>Lucknow - Highspire Terminals 2</v>
      </c>
      <c r="C992" s="7" t="str">
        <f>IF(Notes!CA988="","",Notes!CA988)</f>
        <v>blendSAF</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processor</v>
      </c>
      <c r="B993" s="7" t="str">
        <f>IF(Notes!BZ989="","",Notes!BZ989)</f>
        <v>Lucknow - Highspire Terminals 10</v>
      </c>
      <c r="C993" s="7" t="str">
        <f>IF(Notes!CA989="","",Notes!CA989)</f>
        <v>blendSAF</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processor</v>
      </c>
      <c r="B994" s="7" t="str">
        <f>IF(Notes!BZ990="","",Notes!BZ990)</f>
        <v>Lucknow - Highspire Terminals 6</v>
      </c>
      <c r="C994" s="7" t="str">
        <f>IF(Notes!CA990="","",Notes!CA990)</f>
        <v>blendSAF</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processor</v>
      </c>
      <c r="B995" s="7" t="str">
        <f>IF(Notes!BZ991="","",Notes!BZ991)</f>
        <v>Lucknow - Highspire Terminals 8</v>
      </c>
      <c r="C995" s="7" t="str">
        <f>IF(Notes!CA991="","",Notes!CA991)</f>
        <v>blendSAF</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processor</v>
      </c>
      <c r="B996" s="7" t="str">
        <f>IF(Notes!BZ992="","",Notes!BZ992)</f>
        <v>Lucknow - Highspire Terminals 5</v>
      </c>
      <c r="C996" s="7" t="str">
        <f>IF(Notes!CA992="","",Notes!CA992)</f>
        <v>blendSAF</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processor</v>
      </c>
      <c r="B997" s="7" t="str">
        <f>IF(Notes!BZ993="","",Notes!BZ993)</f>
        <v>Lucknow - Highspire Terminals 7</v>
      </c>
      <c r="C997" s="7" t="str">
        <f>IF(Notes!CA993="","",Notes!CA993)</f>
        <v>blendSAF</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processor</v>
      </c>
      <c r="B998" s="7" t="str">
        <f>IF(Notes!BZ994="","",Notes!BZ994)</f>
        <v>Lucknow - Highspire Terminals 11</v>
      </c>
      <c r="C998" s="7" t="str">
        <f>IF(Notes!CA994="","",Notes!CA994)</f>
        <v>blendSAF</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processor</v>
      </c>
      <c r="B999" s="7" t="str">
        <f>IF(Notes!BZ995="","",Notes!BZ995)</f>
        <v>Lucknow - Highspire Terminals 3</v>
      </c>
      <c r="C999" s="7" t="str">
        <f>IF(Notes!CA995="","",Notes!CA995)</f>
        <v>blendSAF</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processor</v>
      </c>
      <c r="B1000" s="7" t="str">
        <f>IF(Notes!BZ996="","",Notes!BZ996)</f>
        <v>Lucknow - Highspire Terminals 4</v>
      </c>
      <c r="C1000" s="7" t="str">
        <f>IF(Notes!CA996="","",Notes!CA996)</f>
        <v>blendSAF</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processor</v>
      </c>
      <c r="B1001" s="7" t="str">
        <f>IF(Notes!BZ997="","",Notes!BZ997)</f>
        <v>Lucknow - Highspire Terminals 9</v>
      </c>
      <c r="C1001" s="7" t="str">
        <f>IF(Notes!CA997="","",Notes!CA997)</f>
        <v>blendSAF</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processor</v>
      </c>
      <c r="B1002" s="7" t="str">
        <f>IF(Notes!BZ998="","",Notes!BZ998)</f>
        <v>Buckeye Terminals Llc 66</v>
      </c>
      <c r="C1002" s="7" t="str">
        <f>IF(Notes!CA998="","",Notes!CA998)</f>
        <v>blendSAF</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processor</v>
      </c>
      <c r="B1003" s="7" t="str">
        <f>IF(Notes!BZ999="","",Notes!BZ999)</f>
        <v>Buckeye Terminals Llc 46</v>
      </c>
      <c r="C1003" s="7" t="str">
        <f>IF(Notes!CA999="","",Notes!CA999)</f>
        <v>blendSAF</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processor</v>
      </c>
      <c r="B1004" s="7" t="str">
        <f>IF(Notes!BZ1000="","",Notes!BZ1000)</f>
        <v>Buckeye Terminals Llc 52</v>
      </c>
      <c r="C1004" s="7" t="str">
        <f>IF(Notes!CA1000="","",Notes!CA1000)</f>
        <v>blendSAF</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processor</v>
      </c>
      <c r="B1005" s="7" t="str">
        <f>IF(Notes!BZ1001="","",Notes!BZ1001)</f>
        <v>Buckeye Terminals Llc 37</v>
      </c>
      <c r="C1005" s="7" t="str">
        <f>IF(Notes!CA1001="","",Notes!CA1001)</f>
        <v>blendSAF</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processor</v>
      </c>
      <c r="B1006" s="7" t="str">
        <f>IF(Notes!BZ1002="","",Notes!BZ1002)</f>
        <v>Buckeye Terminals Llc 58</v>
      </c>
      <c r="C1006" s="7" t="str">
        <f>IF(Notes!CA1002="","",Notes!CA1002)</f>
        <v>blendSAF</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processor</v>
      </c>
      <c r="B1007" s="7" t="str">
        <f>IF(Notes!BZ1003="","",Notes!BZ1003)</f>
        <v>Buckeye Terminals Llc 65</v>
      </c>
      <c r="C1007" s="7" t="str">
        <f>IF(Notes!CA1003="","",Notes!CA1003)</f>
        <v>blendSAF</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processor</v>
      </c>
      <c r="B1008" s="7" t="str">
        <f>IF(Notes!BZ1004="","",Notes!BZ1004)</f>
        <v>Buckeye Terminals Llc 110</v>
      </c>
      <c r="C1008" s="7" t="str">
        <f>IF(Notes!CA1004="","",Notes!CA1004)</f>
        <v>blendSAF</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processor</v>
      </c>
      <c r="B1009" s="7" t="str">
        <f>IF(Notes!BZ1005="","",Notes!BZ1005)</f>
        <v>Buckeye Energy Services</v>
      </c>
      <c r="C1009" s="7" t="str">
        <f>IF(Notes!CA1005="","",Notes!CA1005)</f>
        <v>blendSAF</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processor</v>
      </c>
      <c r="B1010" s="7" t="str">
        <f>IF(Notes!BZ1006="","",Notes!BZ1006)</f>
        <v>Crestwood Services Llc 2</v>
      </c>
      <c r="C1010" s="7" t="str">
        <f>IF(Notes!CA1006="","",Notes!CA1006)</f>
        <v>blendSAF</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processor</v>
      </c>
      <c r="B1011" s="7" t="str">
        <f>IF(Notes!BZ1007="","",Notes!BZ1007)</f>
        <v>Monroe Energy Llc 2</v>
      </c>
      <c r="C1011" s="7" t="str">
        <f>IF(Notes!CA1007="","",Notes!CA1007)</f>
        <v>blendSAF</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processor</v>
      </c>
      <c r="B1012" s="7" t="str">
        <f>IF(Notes!BZ1008="","",Notes!BZ1008)</f>
        <v>Monroe Energy Llc 1</v>
      </c>
      <c r="C1012" s="7" t="str">
        <f>IF(Notes!CA1008="","",Notes!CA1008)</f>
        <v>blendSAF</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processor</v>
      </c>
      <c r="B1013" s="7" t="str">
        <f>IF(Notes!BZ1009="","",Notes!BZ1009)</f>
        <v>Pbf Logistics Products Terminals Llc 14</v>
      </c>
      <c r="C1013" s="7" t="str">
        <f>IF(Notes!CA1009="","",Notes!CA1009)</f>
        <v>blendSAF</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processor</v>
      </c>
      <c r="B1014" s="7" t="str">
        <f>IF(Notes!BZ1010="","",Notes!BZ1010)</f>
        <v>Pbf Logistics Products Terminals Llc 15</v>
      </c>
      <c r="C1014" s="7" t="str">
        <f>IF(Notes!CA1010="","",Notes!CA1010)</f>
        <v>blendSAF</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processor</v>
      </c>
      <c r="B1015" s="7" t="str">
        <f>IF(Notes!BZ1011="","",Notes!BZ1011)</f>
        <v>Eco-Energy Dstr Services Llc</v>
      </c>
      <c r="C1015" s="7" t="str">
        <f>IF(Notes!CA1011="","",Notes!CA1011)</f>
        <v>blendSAF</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processor</v>
      </c>
      <c r="B1016" s="7" t="str">
        <f>IF(Notes!BZ1012="","",Notes!BZ1012)</f>
        <v>Sunoco Logistics 17</v>
      </c>
      <c r="C1016" s="7" t="str">
        <f>IF(Notes!CA1012="","",Notes!CA1012)</f>
        <v>blendSAF</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processor</v>
      </c>
      <c r="B1017" s="7" t="str">
        <f>IF(Notes!BZ1013="","",Notes!BZ1013)</f>
        <v>Sunoco Logistics 40</v>
      </c>
      <c r="C1017" s="7" t="str">
        <f>IF(Notes!CA1013="","",Notes!CA1013)</f>
        <v>blendSAF</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processor</v>
      </c>
      <c r="B1018" s="7" t="str">
        <f>IF(Notes!BZ1014="","",Notes!BZ1014)</f>
        <v>Sunoco Logistics 45</v>
      </c>
      <c r="C1018" s="7" t="str">
        <f>IF(Notes!CA1014="","",Notes!CA1014)</f>
        <v>blendSAF</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processor</v>
      </c>
      <c r="B1019" s="7" t="str">
        <f>IF(Notes!BZ1015="","",Notes!BZ1015)</f>
        <v>Sunoco Logistics 29</v>
      </c>
      <c r="C1019" s="7" t="str">
        <f>IF(Notes!CA1015="","",Notes!CA1015)</f>
        <v>blendSAF</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processor</v>
      </c>
      <c r="B1020" s="7" t="str">
        <f>IF(Notes!BZ1016="","",Notes!BZ1016)</f>
        <v>Sunoco Logistics 48</v>
      </c>
      <c r="C1020" s="7" t="str">
        <f>IF(Notes!CA1016="","",Notes!CA1016)</f>
        <v>blendSAF</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processor</v>
      </c>
      <c r="B1021" s="7" t="str">
        <f>IF(Notes!BZ1017="","",Notes!BZ1017)</f>
        <v>Sunoco Logistics 32</v>
      </c>
      <c r="C1021" s="7" t="str">
        <f>IF(Notes!CA1017="","",Notes!CA1017)</f>
        <v>blendSAF</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processor</v>
      </c>
      <c r="B1022" s="7" t="str">
        <f>IF(Notes!BZ1018="","",Notes!BZ1018)</f>
        <v>Sunoco Logistics 36</v>
      </c>
      <c r="C1022" s="7" t="str">
        <f>IF(Notes!CA1018="","",Notes!CA1018)</f>
        <v>blendSAF</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processor</v>
      </c>
      <c r="B1023" s="7" t="str">
        <f>IF(Notes!BZ1019="","",Notes!BZ1019)</f>
        <v>Sunoco Logistics 22</v>
      </c>
      <c r="C1023" s="7" t="str">
        <f>IF(Notes!CA1019="","",Notes!CA1019)</f>
        <v>blendSAF</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processor</v>
      </c>
      <c r="B1024" s="7" t="str">
        <f>IF(Notes!BZ1020="","",Notes!BZ1020)</f>
        <v>Sunoco Logistics 43</v>
      </c>
      <c r="C1024" s="7" t="str">
        <f>IF(Notes!CA1020="","",Notes!CA1020)</f>
        <v>blendSAF</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processor</v>
      </c>
      <c r="B1025" s="7" t="str">
        <f>IF(Notes!BZ1021="","",Notes!BZ1021)</f>
        <v>Sunoco Logistics 37</v>
      </c>
      <c r="C1025" s="7" t="str">
        <f>IF(Notes!CA1021="","",Notes!CA1021)</f>
        <v>blendSAF</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processor</v>
      </c>
      <c r="B1026" s="7" t="str">
        <f>IF(Notes!BZ1022="","",Notes!BZ1022)</f>
        <v>Sunoco Logistics 19</v>
      </c>
      <c r="C1026" s="7" t="str">
        <f>IF(Notes!CA1022="","",Notes!CA1022)</f>
        <v>blendSAF</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processor</v>
      </c>
      <c r="B1027" s="7" t="str">
        <f>IF(Notes!BZ1023="","",Notes!BZ1023)</f>
        <v>Sunoco Logistics 39</v>
      </c>
      <c r="C1027" s="7" t="str">
        <f>IF(Notes!CA1023="","",Notes!CA1023)</f>
        <v>blendSAF</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processor</v>
      </c>
      <c r="B1028" s="7" t="str">
        <f>IF(Notes!BZ1024="","",Notes!BZ1024)</f>
        <v>Sunoco Midstream Llc 1</v>
      </c>
      <c r="C1028" s="7" t="str">
        <f>IF(Notes!CA1024="","",Notes!CA1024)</f>
        <v>blendSAF</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processor</v>
      </c>
      <c r="B1029" s="7" t="str">
        <f>IF(Notes!BZ1025="","",Notes!BZ1025)</f>
        <v>Sunoco Midstream Llc 6</v>
      </c>
      <c r="C1029" s="7" t="str">
        <f>IF(Notes!CA1025="","",Notes!CA1025)</f>
        <v>blendSAF</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processor</v>
      </c>
      <c r="B1030" s="7" t="str">
        <f>IF(Notes!BZ1026="","",Notes!BZ1026)</f>
        <v>Sunoco Midstream Llc 8</v>
      </c>
      <c r="C1030" s="7" t="str">
        <f>IF(Notes!CA1026="","",Notes!CA1026)</f>
        <v>blendSAF</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processor</v>
      </c>
      <c r="B1031" s="7" t="str">
        <f>IF(Notes!BZ1027="","",Notes!BZ1027)</f>
        <v>Sunoco Midstream Llc 12</v>
      </c>
      <c r="C1031" s="7" t="str">
        <f>IF(Notes!CA1027="","",Notes!CA1027)</f>
        <v>blendSAF</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processor</v>
      </c>
      <c r="B1032" s="7" t="str">
        <f>IF(Notes!BZ1028="","",Notes!BZ1028)</f>
        <v>Sunoco Midstream Llc 3</v>
      </c>
      <c r="C1032" s="7" t="str">
        <f>IF(Notes!CA1028="","",Notes!CA1028)</f>
        <v>blendSAF</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processor</v>
      </c>
      <c r="B1033" s="7" t="str">
        <f>IF(Notes!BZ1029="","",Notes!BZ1029)</f>
        <v>Enterprise Terminals &amp; Storage Llc 22</v>
      </c>
      <c r="C1033" s="7" t="str">
        <f>IF(Notes!CA1029="","",Notes!CA1029)</f>
        <v>blendSAF</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processor</v>
      </c>
      <c r="B1034" s="7" t="str">
        <f>IF(Notes!BZ1030="","",Notes!BZ1030)</f>
        <v>Enterprise Terminals &amp; Storage Llc 15</v>
      </c>
      <c r="C1034" s="7" t="str">
        <f>IF(Notes!CA1030="","",Notes!CA1030)</f>
        <v>blendSAF</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processor</v>
      </c>
      <c r="B1035" s="7" t="str">
        <f>IF(Notes!BZ1031="","",Notes!BZ1031)</f>
        <v>Global Co Llc 5</v>
      </c>
      <c r="C1035" s="7" t="str">
        <f>IF(Notes!CA1031="","",Notes!CA1031)</f>
        <v>blendSAF</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processor</v>
      </c>
      <c r="B1036" s="7" t="str">
        <f>IF(Notes!BZ1032="","",Notes!BZ1032)</f>
        <v>Gordon Terminal Service Co 4</v>
      </c>
      <c r="C1036" s="7" t="str">
        <f>IF(Notes!CA1032="","",Notes!CA1032)</f>
        <v>blendSAF</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processor</v>
      </c>
      <c r="B1037" s="7" t="str">
        <f>IF(Notes!BZ1033="","",Notes!BZ1033)</f>
        <v>Philadelphia Energy Solutions</v>
      </c>
      <c r="C1037" s="7" t="str">
        <f>IF(Notes!CA1033="","",Notes!CA1033)</f>
        <v>blendSAF</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processor</v>
      </c>
      <c r="B1038" s="7" t="str">
        <f>IF(Notes!BZ1034="","",Notes!BZ1034)</f>
        <v>Kinder Morgan Liq Termls Llc 12</v>
      </c>
      <c r="C1038" s="7" t="str">
        <f>IF(Notes!CA1034="","",Notes!CA1034)</f>
        <v>blendSAF</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processor</v>
      </c>
      <c r="B1039" s="7" t="str">
        <f>IF(Notes!BZ1035="","",Notes!BZ1035)</f>
        <v>Marathon Petroleum Co Llc 13</v>
      </c>
      <c r="C1039" s="7" t="str">
        <f>IF(Notes!CA1035="","",Notes!CA1035)</f>
        <v>blendSAF</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processor</v>
      </c>
      <c r="B1040" s="7" t="str">
        <f>IF(Notes!BZ1036="","",Notes!BZ1036)</f>
        <v>Marathon Petroleum Co Llc 7</v>
      </c>
      <c r="C1040" s="7" t="str">
        <f>IF(Notes!CA1036="","",Notes!CA1036)</f>
        <v>blendSAF</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processor</v>
      </c>
      <c r="B1041" s="7" t="str">
        <f>IF(Notes!BZ1037="","",Notes!BZ1037)</f>
        <v>Meenan Oil Co Lp</v>
      </c>
      <c r="C1041" s="7" t="str">
        <f>IF(Notes!CA1037="","",Notes!CA1037)</f>
        <v>blendSAF</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processor</v>
      </c>
      <c r="B1042" s="7" t="str">
        <f>IF(Notes!BZ1038="","",Notes!BZ1038)</f>
        <v>Amerigas Propane</v>
      </c>
      <c r="C1042" s="7" t="str">
        <f>IF(Notes!CA1038="","",Notes!CA1038)</f>
        <v>blendSAF</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processor</v>
      </c>
      <c r="B1043" s="7" t="str">
        <f>IF(Notes!BZ1039="","",Notes!BZ1039)</f>
        <v>United Refining Co 4</v>
      </c>
      <c r="C1043" s="7" t="str">
        <f>IF(Notes!CA1039="","",Notes!CA1039)</f>
        <v>blendSAF</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processor</v>
      </c>
      <c r="B1044" s="7" t="str">
        <f>IF(Notes!BZ1040="","",Notes!BZ1040)</f>
        <v>Watco Transloading Llc</v>
      </c>
      <c r="C1044" s="7" t="str">
        <f>IF(Notes!CA1040="","",Notes!CA1040)</f>
        <v>blendSAF</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processor</v>
      </c>
      <c r="B1045" s="7" t="str">
        <f>IF(Notes!BZ1041="","",Notes!BZ1041)</f>
        <v>Sea-3 Providence Llc</v>
      </c>
      <c r="C1045" s="7" t="str">
        <f>IF(Notes!CA1041="","",Notes!CA1041)</f>
        <v>blendSAF</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processor</v>
      </c>
      <c r="B1046" s="7" t="str">
        <f>IF(Notes!BZ1042="","",Notes!BZ1042)</f>
        <v>Exxonmobil Corporation 1</v>
      </c>
      <c r="C1046" s="7" t="str">
        <f>IF(Notes!CA1042="","",Notes!CA1042)</f>
        <v>blendSAF</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processor</v>
      </c>
      <c r="B1047" s="7" t="str">
        <f>IF(Notes!BZ1043="","",Notes!BZ1043)</f>
        <v>Sprague Operating Resources Llc 5</v>
      </c>
      <c r="C1047" s="7" t="str">
        <f>IF(Notes!CA1043="","",Notes!CA1043)</f>
        <v>blendSAF</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processor</v>
      </c>
      <c r="B1048" s="7" t="str">
        <f>IF(Notes!BZ1044="","",Notes!BZ1044)</f>
        <v>Sprague Operating Resources Llc 2</v>
      </c>
      <c r="C1048" s="7" t="str">
        <f>IF(Notes!CA1044="","",Notes!CA1044)</f>
        <v>blendSAF</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processor</v>
      </c>
      <c r="B1049" s="7" t="str">
        <f>IF(Notes!BZ1045="","",Notes!BZ1045)</f>
        <v>The Hudson Co</v>
      </c>
      <c r="C1049" s="7" t="str">
        <f>IF(Notes!CA1045="","",Notes!CA1045)</f>
        <v>blendSAF</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processor</v>
      </c>
      <c r="B1050" s="7" t="str">
        <f>IF(Notes!BZ1046="","",Notes!BZ1046)</f>
        <v>Hudson Co</v>
      </c>
      <c r="C1050" s="7" t="str">
        <f>IF(Notes!CA1046="","",Notes!CA1046)</f>
        <v>blendSAF</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processor</v>
      </c>
      <c r="B1051" s="7" t="str">
        <f>IF(Notes!BZ1047="","",Notes!BZ1047)</f>
        <v>Shell Oil Products Us 12</v>
      </c>
      <c r="C1051" s="7" t="str">
        <f>IF(Notes!CA1047="","",Notes!CA1047)</f>
        <v>blendSAF</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processor</v>
      </c>
      <c r="B1052" s="7" t="str">
        <f>IF(Notes!BZ1048="","",Notes!BZ1048)</f>
        <v>Inland Fuel Terminals</v>
      </c>
      <c r="C1052" s="7" t="str">
        <f>IF(Notes!CA1048="","",Notes!CA1048)</f>
        <v>blendSAF</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processor</v>
      </c>
      <c r="B1053" s="7" t="str">
        <f>IF(Notes!BZ1049="","",Notes!BZ1049)</f>
        <v>Chevron Usa Inc Charleston</v>
      </c>
      <c r="C1053" s="7" t="str">
        <f>IF(Notes!CA1049="","",Notes!CA1049)</f>
        <v>blendSAF</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processor</v>
      </c>
      <c r="B1054" s="7" t="str">
        <f>IF(Notes!BZ1050="","",Notes!BZ1050)</f>
        <v>Associated Asphalt Inman Llc</v>
      </c>
      <c r="C1054" s="7" t="str">
        <f>IF(Notes!CA1050="","",Notes!CA1050)</f>
        <v>blendSAF</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processor</v>
      </c>
      <c r="B1055" s="7" t="str">
        <f>IF(Notes!BZ1051="","",Notes!BZ1051)</f>
        <v>Us Venture Inc 28</v>
      </c>
      <c r="C1055" s="7" t="str">
        <f>IF(Notes!CA1051="","",Notes!CA1051)</f>
        <v>blendSAF</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processor</v>
      </c>
      <c r="B1056" s="7" t="str">
        <f>IF(Notes!BZ1052="","",Notes!BZ1052)</f>
        <v>Us Venture Inc 29</v>
      </c>
      <c r="C1056" s="7" t="str">
        <f>IF(Notes!CA1052="","",Notes!CA1052)</f>
        <v>blendSAF</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processor</v>
      </c>
      <c r="B1057" s="7" t="str">
        <f>IF(Notes!BZ1053="","",Notes!BZ1053)</f>
        <v>Us Venture Inc 25</v>
      </c>
      <c r="C1057" s="7" t="str">
        <f>IF(Notes!CA1053="","",Notes!CA1053)</f>
        <v>blendSAF</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processor</v>
      </c>
      <c r="B1058" s="7" t="str">
        <f>IF(Notes!BZ1054="","",Notes!BZ1054)</f>
        <v>Us Venture Inc 26</v>
      </c>
      <c r="C1058" s="7" t="str">
        <f>IF(Notes!CA1054="","",Notes!CA1054)</f>
        <v>blendSAF</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processor</v>
      </c>
      <c r="B1059" s="7" t="str">
        <f>IF(Notes!BZ1055="","",Notes!BZ1055)</f>
        <v>Buckeye Terminals Llc 97</v>
      </c>
      <c r="C1059" s="7" t="str">
        <f>IF(Notes!CA1055="","",Notes!CA1055)</f>
        <v>blendSAF</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processor</v>
      </c>
      <c r="B1060" s="7" t="str">
        <f>IF(Notes!BZ1056="","",Notes!BZ1056)</f>
        <v>Buckeye Terminals Llc 24</v>
      </c>
      <c r="C1060" s="7" t="str">
        <f>IF(Notes!CA1056="","",Notes!CA1056)</f>
        <v>blendSAF</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processor</v>
      </c>
      <c r="B1061" s="7" t="str">
        <f>IF(Notes!BZ1057="","",Notes!BZ1057)</f>
        <v>Buckeye Terminals Llc 80</v>
      </c>
      <c r="C1061" s="7" t="str">
        <f>IF(Notes!CA1057="","",Notes!CA1057)</f>
        <v>blendSAF</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processor</v>
      </c>
      <c r="B1062" s="7" t="str">
        <f>IF(Notes!BZ1058="","",Notes!BZ1058)</f>
        <v>Buckeye Terminals Llc 30</v>
      </c>
      <c r="C1062" s="7" t="str">
        <f>IF(Notes!CA1058="","",Notes!CA1058)</f>
        <v>blendSAF</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processor</v>
      </c>
      <c r="B1063" s="7" t="str">
        <f>IF(Notes!BZ1059="","",Notes!BZ1059)</f>
        <v>Crestwood Services Llc 3</v>
      </c>
      <c r="C1063" s="7" t="str">
        <f>IF(Notes!CA1059="","",Notes!CA1059)</f>
        <v>blendSAF</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processor</v>
      </c>
      <c r="B1064" s="7" t="str">
        <f>IF(Notes!BZ1060="","",Notes!BZ1060)</f>
        <v>Ent Propane Terminals &amp; Storage Llc 6</v>
      </c>
      <c r="C1064" s="7" t="str">
        <f>IF(Notes!CA1060="","",Notes!CA1060)</f>
        <v>blendSAF</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processor</v>
      </c>
      <c r="B1065" s="7" t="str">
        <f>IF(Notes!BZ1061="","",Notes!BZ1061)</f>
        <v>Ent Propane Terminals &amp; Storage Llc 4</v>
      </c>
      <c r="C1065" s="7" t="str">
        <f>IF(Notes!CA1061="","",Notes!CA1061)</f>
        <v>blendSAF</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processor</v>
      </c>
      <c r="B1066" s="7" t="str">
        <f>IF(Notes!BZ1062="","",Notes!BZ1062)</f>
        <v>Kinder Morgan Se Trmnls Llc 1</v>
      </c>
      <c r="C1066" s="7" t="str">
        <f>IF(Notes!CA1062="","",Notes!CA1062)</f>
        <v>blendSAF</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processor</v>
      </c>
      <c r="B1067" s="7" t="str">
        <f>IF(Notes!BZ1063="","",Notes!BZ1063)</f>
        <v>Kinder Morgan Southeast Terminal 15</v>
      </c>
      <c r="C1067" s="7" t="str">
        <f>IF(Notes!CA1063="","",Notes!CA1063)</f>
        <v>blendSAF</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processor</v>
      </c>
      <c r="B1068" s="7" t="str">
        <f>IF(Notes!BZ1064="","",Notes!BZ1064)</f>
        <v>Kinder Morgan Southeast Terminal 16</v>
      </c>
      <c r="C1068" s="7" t="str">
        <f>IF(Notes!CA1064="","",Notes!CA1064)</f>
        <v>blendSAF</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processor</v>
      </c>
      <c r="B1069" s="7" t="str">
        <f>IF(Notes!BZ1065="","",Notes!BZ1065)</f>
        <v>Kindermorgan Southeast Terminals Llc 4</v>
      </c>
      <c r="C1069" s="7" t="str">
        <f>IF(Notes!CA1065="","",Notes!CA1065)</f>
        <v>blendSAF</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processor</v>
      </c>
      <c r="B1070" s="7" t="str">
        <f>IF(Notes!BZ1066="","",Notes!BZ1066)</f>
        <v>Kinder Morgan 4</v>
      </c>
      <c r="C1070" s="7" t="str">
        <f>IF(Notes!CA1066="","",Notes!CA1066)</f>
        <v>blendSAF</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processor</v>
      </c>
      <c r="B1071" s="7" t="str">
        <f>IF(Notes!BZ1067="","",Notes!BZ1067)</f>
        <v>Mplx Terminals Llc 3</v>
      </c>
      <c r="C1071" s="7" t="str">
        <f>IF(Notes!CA1067="","",Notes!CA1067)</f>
        <v>blendSAF</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processor</v>
      </c>
      <c r="B1072" s="7" t="str">
        <f>IF(Notes!BZ1068="","",Notes!BZ1068)</f>
        <v>Citgo Petroleum Corp 37</v>
      </c>
      <c r="C1072" s="7" t="str">
        <f>IF(Notes!CA1068="","",Notes!CA1068)</f>
        <v>blendSAF</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processor</v>
      </c>
      <c r="B1073" s="7" t="str">
        <f>IF(Notes!BZ1069="","",Notes!BZ1069)</f>
        <v>Motiva Enterprises Llc 21</v>
      </c>
      <c r="C1073" s="7" t="str">
        <f>IF(Notes!CA1069="","",Notes!CA1069)</f>
        <v>blendSAF</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processor</v>
      </c>
      <c r="B1074" s="7" t="str">
        <f>IF(Notes!BZ1070="","",Notes!BZ1070)</f>
        <v>Southeast Emulsions Inc 2</v>
      </c>
      <c r="C1074" s="7" t="str">
        <f>IF(Notes!CA1070="","",Notes!CA1070)</f>
        <v>blendSAF</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processor</v>
      </c>
      <c r="B1075" s="7" t="str">
        <f>IF(Notes!BZ1071="","",Notes!BZ1071)</f>
        <v>Transmontaigne Operating Company 47</v>
      </c>
      <c r="C1075" s="7" t="str">
        <f>IF(Notes!CA1071="","",Notes!CA1071)</f>
        <v>blendSAF</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processor</v>
      </c>
      <c r="B1076" s="7" t="str">
        <f>IF(Notes!BZ1072="","",Notes!BZ1072)</f>
        <v>Jebro Incorporated 2</v>
      </c>
      <c r="C1076" s="7" t="str">
        <f>IF(Notes!CA1072="","",Notes!CA1072)</f>
        <v>blendSAF</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processor</v>
      </c>
      <c r="B1077" s="7" t="str">
        <f>IF(Notes!BZ1073="","",Notes!BZ1073)</f>
        <v>Magellan Pipeline Co Lp 43</v>
      </c>
      <c r="C1077" s="7" t="str">
        <f>IF(Notes!CA1073="","",Notes!CA1073)</f>
        <v>blendSAF</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processor</v>
      </c>
      <c r="B1078" s="7" t="str">
        <f>IF(Notes!BZ1074="","",Notes!BZ1074)</f>
        <v>Magellan Pipeline Co Lp 48</v>
      </c>
      <c r="C1078" s="7" t="str">
        <f>IF(Notes!CA1074="","",Notes!CA1074)</f>
        <v>blendSAF</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processor</v>
      </c>
      <c r="B1079" s="7" t="str">
        <f>IF(Notes!BZ1075="","",Notes!BZ1075)</f>
        <v>Magellan Pipeline Co Lp 38</v>
      </c>
      <c r="C1079" s="7" t="str">
        <f>IF(Notes!CA1075="","",Notes!CA1075)</f>
        <v>blendSAF</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processor</v>
      </c>
      <c r="B1080" s="7" t="str">
        <f>IF(Notes!BZ1076="","",Notes!BZ1076)</f>
        <v>Nustar Energy Lp 26</v>
      </c>
      <c r="C1080" s="7" t="str">
        <f>IF(Notes!CA1076="","",Notes!CA1076)</f>
        <v>blendSAF</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processor</v>
      </c>
      <c r="B1081" s="7" t="str">
        <f>IF(Notes!BZ1077="","",Notes!BZ1077)</f>
        <v>Nustar Energy Lp 47</v>
      </c>
      <c r="C1081" s="7" t="str">
        <f>IF(Notes!CA1077="","",Notes!CA1077)</f>
        <v>blendSAF</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processor</v>
      </c>
      <c r="B1082" s="7" t="str">
        <f>IF(Notes!BZ1078="","",Notes!BZ1078)</f>
        <v>Nustar Energy Lp 1</v>
      </c>
      <c r="C1082" s="7" t="str">
        <f>IF(Notes!CA1078="","",Notes!CA1078)</f>
        <v>blendSAF</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processor</v>
      </c>
      <c r="B1083" s="7" t="str">
        <f>IF(Notes!BZ1079="","",Notes!BZ1079)</f>
        <v>Nustar Energy Lp 40</v>
      </c>
      <c r="C1083" s="7" t="str">
        <f>IF(Notes!CA1079="","",Notes!CA1079)</f>
        <v>blendSAF</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processor</v>
      </c>
      <c r="B1084" s="7" t="str">
        <f>IF(Notes!BZ1080="","",Notes!BZ1080)</f>
        <v>Nustar Energy Lp 46</v>
      </c>
      <c r="C1084" s="7" t="str">
        <f>IF(Notes!CA1080="","",Notes!CA1080)</f>
        <v>blendSAF</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processor</v>
      </c>
      <c r="B1085" s="7" t="str">
        <f>IF(Notes!BZ1081="","",Notes!BZ1081)</f>
        <v>Petroleum Fuel &amp; Terminal Co 9</v>
      </c>
      <c r="C1085" s="7" t="str">
        <f>IF(Notes!CA1081="","",Notes!CA1081)</f>
        <v>blendSAF</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processor</v>
      </c>
      <c r="B1086" s="7" t="str">
        <f>IF(Notes!BZ1082="","",Notes!BZ1082)</f>
        <v>Ergon Asphalt &amp; Emulsions Inc 8</v>
      </c>
      <c r="C1086" s="7" t="str">
        <f>IF(Notes!CA1082="","",Notes!CA1082)</f>
        <v>blendSAF</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processor</v>
      </c>
      <c r="B1087" s="7" t="str">
        <f>IF(Notes!BZ1083="","",Notes!BZ1083)</f>
        <v>Ergon Asphalt &amp; Emulsions Inc 10</v>
      </c>
      <c r="C1087" s="7" t="str">
        <f>IF(Notes!CA1083="","",Notes!CA1083)</f>
        <v>blendSAF</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processor</v>
      </c>
      <c r="B1088" s="7" t="str">
        <f>IF(Notes!BZ1084="","",Notes!BZ1084)</f>
        <v>Ergon Asphalt And Emulsions 12</v>
      </c>
      <c r="C1088" s="7" t="str">
        <f>IF(Notes!CA1084="","",Notes!CA1084)</f>
        <v>blendSAF</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processor</v>
      </c>
      <c r="B1089" s="7" t="str">
        <f>IF(Notes!BZ1085="","",Notes!BZ1085)</f>
        <v>Bkep Materials Llc 10</v>
      </c>
      <c r="C1089" s="7" t="str">
        <f>IF(Notes!CA1085="","",Notes!CA1085)</f>
        <v>blendSAF</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processor</v>
      </c>
      <c r="B1090" s="7" t="str">
        <f>IF(Notes!BZ1086="","",Notes!BZ1086)</f>
        <v>Buckeye Terminals Llc 43</v>
      </c>
      <c r="C1090" s="7" t="str">
        <f>IF(Notes!CA1086="","",Notes!CA1086)</f>
        <v>blendSAF</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processor</v>
      </c>
      <c r="B1091" s="7" t="str">
        <f>IF(Notes!BZ1087="","",Notes!BZ1087)</f>
        <v>Buckeye Se Terminals Lp 14</v>
      </c>
      <c r="C1091" s="7" t="str">
        <f>IF(Notes!CA1087="","",Notes!CA1087)</f>
        <v>blendSAF</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processor</v>
      </c>
      <c r="B1092" s="7" t="str">
        <f>IF(Notes!BZ1088="","",Notes!BZ1088)</f>
        <v>Buckeye Se Terminals Lp 15</v>
      </c>
      <c r="C1092" s="7" t="str">
        <f>IF(Notes!CA1088="","",Notes!CA1088)</f>
        <v>blendSAF</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processor</v>
      </c>
      <c r="B1093" s="7" t="str">
        <f>IF(Notes!BZ1089="","",Notes!BZ1089)</f>
        <v>Buckeye Se Terminals Lp 12</v>
      </c>
      <c r="C1093" s="7" t="str">
        <f>IF(Notes!CA1089="","",Notes!CA1089)</f>
        <v>blendSAF</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processor</v>
      </c>
      <c r="B1094" s="7" t="str">
        <f>IF(Notes!BZ1090="","",Notes!BZ1090)</f>
        <v>Buckeye Se Terminals</v>
      </c>
      <c r="C1094" s="7" t="str">
        <f>IF(Notes!CA1090="","",Notes!CA1090)</f>
        <v>blendSAF</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processor</v>
      </c>
      <c r="B1095" s="7" t="str">
        <f>IF(Notes!BZ1091="","",Notes!BZ1091)</f>
        <v>Buckeye Se Terminals Lp 6</v>
      </c>
      <c r="C1095" s="7" t="str">
        <f>IF(Notes!CA1091="","",Notes!CA1091)</f>
        <v>blendSAF</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processor</v>
      </c>
      <c r="B1096" s="7" t="str">
        <f>IF(Notes!BZ1092="","",Notes!BZ1092)</f>
        <v>Buckeye Se Terminals Lp 7</v>
      </c>
      <c r="C1096" s="7" t="str">
        <f>IF(Notes!CA1092="","",Notes!CA1092)</f>
        <v>blendSAF</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processor</v>
      </c>
      <c r="B1097" s="7" t="str">
        <f>IF(Notes!BZ1093="","",Notes!BZ1093)</f>
        <v>Colonial Terminal Operating Co Llc</v>
      </c>
      <c r="C1097" s="7" t="str">
        <f>IF(Notes!CA1093="","",Notes!CA1093)</f>
        <v>blendSAF</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processor</v>
      </c>
      <c r="B1098" s="7" t="str">
        <f>IF(Notes!BZ1094="","",Notes!BZ1094)</f>
        <v>Cumberland Terminals Inc</v>
      </c>
      <c r="C1098" s="7" t="str">
        <f>IF(Notes!CA1094="","",Notes!CA1094)</f>
        <v>blendSAF</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processor</v>
      </c>
      <c r="B1099" s="7" t="str">
        <f>IF(Notes!BZ1095="","",Notes!BZ1095)</f>
        <v>Lion Oil Co 2</v>
      </c>
      <c r="C1099" s="7" t="str">
        <f>IF(Notes!CA1095="","",Notes!CA1095)</f>
        <v>blendSAF</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processor</v>
      </c>
      <c r="B1100" s="7" t="str">
        <f>IF(Notes!BZ1096="","",Notes!BZ1096)</f>
        <v>Lion Oil Co 1</v>
      </c>
      <c r="C1100" s="7" t="str">
        <f>IF(Notes!CA1096="","",Notes!CA1096)</f>
        <v>blendSAF</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processor</v>
      </c>
      <c r="B1101" s="7" t="str">
        <f>IF(Notes!BZ1097="","",Notes!BZ1097)</f>
        <v>Pbf Logistics Products Terminals Llc 11</v>
      </c>
      <c r="C1101" s="7" t="str">
        <f>IF(Notes!CA1097="","",Notes!CA1097)</f>
        <v>blendSAF</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processor</v>
      </c>
      <c r="B1102" s="7" t="str">
        <f>IF(Notes!BZ1098="","",Notes!BZ1098)</f>
        <v>Pbf Logistics Products Terminals Llc 12</v>
      </c>
      <c r="C1102" s="7" t="str">
        <f>IF(Notes!CA1098="","",Notes!CA1098)</f>
        <v>blendSAF</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processor</v>
      </c>
      <c r="B1103" s="7" t="str">
        <f>IF(Notes!BZ1099="","",Notes!BZ1099)</f>
        <v>Exxon Mobil Refg &amp; Sply Comp 5</v>
      </c>
      <c r="C1103" s="7" t="str">
        <f>IF(Notes!CA1099="","",Notes!CA1099)</f>
        <v>blendSAF</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processor</v>
      </c>
      <c r="B1104" s="7" t="str">
        <f>IF(Notes!BZ1100="","",Notes!BZ1100)</f>
        <v>Exxonmobil Corporation 4</v>
      </c>
      <c r="C1104" s="7" t="str">
        <f>IF(Notes!CA1100="","",Notes!CA1100)</f>
        <v>blendSAF</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processor</v>
      </c>
      <c r="B1105" s="7" t="str">
        <f>IF(Notes!BZ1101="","",Notes!BZ1101)</f>
        <v>Kinder Morgan Southeast Terminal 8</v>
      </c>
      <c r="C1105" s="7" t="str">
        <f>IF(Notes!CA1101="","",Notes!CA1101)</f>
        <v>blendSAF</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processor</v>
      </c>
      <c r="B1106" s="7" t="str">
        <f>IF(Notes!BZ1102="","",Notes!BZ1102)</f>
        <v>Kinder Morgan Southeast Terminal 12</v>
      </c>
      <c r="C1106" s="7" t="str">
        <f>IF(Notes!CA1102="","",Notes!CA1102)</f>
        <v>blendSAF</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processor</v>
      </c>
      <c r="B1107" s="7" t="str">
        <f>IF(Notes!BZ1103="","",Notes!BZ1103)</f>
        <v>Marathon Petroleum Co Llc 2</v>
      </c>
      <c r="C1107" s="7" t="str">
        <f>IF(Notes!CA1103="","",Notes!CA1103)</f>
        <v>blendSAF</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processor</v>
      </c>
      <c r="B1108" s="7" t="str">
        <f>IF(Notes!BZ1104="","",Notes!BZ1104)</f>
        <v>Marathon Petroleum Co Llc 10</v>
      </c>
      <c r="C1108" s="7" t="str">
        <f>IF(Notes!CA1104="","",Notes!CA1104)</f>
        <v>blendSAF</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processor</v>
      </c>
      <c r="B1109" s="7" t="str">
        <f>IF(Notes!BZ1105="","",Notes!BZ1105)</f>
        <v>Marathon Petroleum Co Llc 14</v>
      </c>
      <c r="C1109" s="7" t="str">
        <f>IF(Notes!CA1105="","",Notes!CA1105)</f>
        <v>blendSAF</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processor</v>
      </c>
      <c r="B1110" s="7" t="str">
        <f>IF(Notes!BZ1106="","",Notes!BZ1106)</f>
        <v>Mplx Terminals Llc 27</v>
      </c>
      <c r="C1110" s="7" t="str">
        <f>IF(Notes!CA1106="","",Notes!CA1106)</f>
        <v>blendSAF</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processor</v>
      </c>
      <c r="B1111" s="7" t="str">
        <f>IF(Notes!BZ1107="","",Notes!BZ1107)</f>
        <v>Mplx Terminals Llc 40</v>
      </c>
      <c r="C1111" s="7" t="str">
        <f>IF(Notes!CA1107="","",Notes!CA1107)</f>
        <v>blendSAF</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processor</v>
      </c>
      <c r="B1112" s="7" t="str">
        <f>IF(Notes!BZ1108="","",Notes!BZ1108)</f>
        <v>Mplx Terminals Llc 41</v>
      </c>
      <c r="C1112" s="7" t="str">
        <f>IF(Notes!CA1108="","",Notes!CA1108)</f>
        <v>blendSAF</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processor</v>
      </c>
      <c r="B1113" s="7" t="str">
        <f>IF(Notes!BZ1109="","",Notes!BZ1109)</f>
        <v>Bright Star Energy Inc</v>
      </c>
      <c r="C1113" s="7" t="str">
        <f>IF(Notes!CA1109="","",Notes!CA1109)</f>
        <v>blendSAF</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processor</v>
      </c>
      <c r="B1114" s="7" t="str">
        <f>IF(Notes!BZ1110="","",Notes!BZ1110)</f>
        <v>Citgo Petroleum Corp 30</v>
      </c>
      <c r="C1114" s="7" t="str">
        <f>IF(Notes!CA1110="","",Notes!CA1110)</f>
        <v>blendSAF</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processor</v>
      </c>
      <c r="B1115" s="7" t="str">
        <f>IF(Notes!BZ1111="","",Notes!BZ1111)</f>
        <v>Citgo Petroleum Corp 28</v>
      </c>
      <c r="C1115" s="7" t="str">
        <f>IF(Notes!CA1111="","",Notes!CA1111)</f>
        <v>blendSAF</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processor</v>
      </c>
      <c r="B1116" s="7" t="str">
        <f>IF(Notes!BZ1112="","",Notes!BZ1112)</f>
        <v>Citgo Petroleum Corp 32</v>
      </c>
      <c r="C1116" s="7" t="str">
        <f>IF(Notes!CA1112="","",Notes!CA1112)</f>
        <v>blendSAF</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processor</v>
      </c>
      <c r="B1117" s="7" t="str">
        <f>IF(Notes!BZ1113="","",Notes!BZ1113)</f>
        <v>Shell Oil Products Us 5</v>
      </c>
      <c r="C1117" s="7" t="str">
        <f>IF(Notes!CA1113="","",Notes!CA1113)</f>
        <v>blendSAF</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processor</v>
      </c>
      <c r="B1118" s="7" t="str">
        <f>IF(Notes!BZ1114="","",Notes!BZ1114)</f>
        <v>Shell Oil Products Us 8</v>
      </c>
      <c r="C1118" s="7" t="str">
        <f>IF(Notes!CA1114="","",Notes!CA1114)</f>
        <v>blendSAF</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processor</v>
      </c>
      <c r="B1119" s="7" t="str">
        <f>IF(Notes!BZ1115="","",Notes!BZ1115)</f>
        <v>Owens Corning 8</v>
      </c>
      <c r="C1119" s="7" t="str">
        <f>IF(Notes!CA1115="","",Notes!CA1115)</f>
        <v>blendSAF</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processor</v>
      </c>
      <c r="B1120" s="7" t="str">
        <f>IF(Notes!BZ1116="","",Notes!BZ1116)</f>
        <v>Abc Gulf Coast Terminal</v>
      </c>
      <c r="C1120" s="7" t="str">
        <f>IF(Notes!CA1116="","",Notes!CA1116)</f>
        <v>blendSAF</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processor</v>
      </c>
      <c r="B1121" s="7" t="str">
        <f>IF(Notes!BZ1117="","",Notes!BZ1117)</f>
        <v>Chevron Usa Inc Galena Park</v>
      </c>
      <c r="C1121" s="7" t="str">
        <f>IF(Notes!CA1117="","",Notes!CA1117)</f>
        <v>blendSAF</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processor</v>
      </c>
      <c r="B1122" s="7" t="str">
        <f>IF(Notes!BZ1118="","",Notes!BZ1118)</f>
        <v>Ergon Asphalt &amp; Emulsions Inc 9</v>
      </c>
      <c r="C1122" s="7" t="str">
        <f>IF(Notes!CA1118="","",Notes!CA1118)</f>
        <v>blendSAF</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processor</v>
      </c>
      <c r="B1123" s="7" t="str">
        <f>IF(Notes!BZ1119="","",Notes!BZ1119)</f>
        <v>Ergon Asphalt &amp; Emulsions Inc 12</v>
      </c>
      <c r="C1123" s="7" t="str">
        <f>IF(Notes!CA1119="","",Notes!CA1119)</f>
        <v>blendSAF</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processor</v>
      </c>
      <c r="B1124" s="7" t="str">
        <f>IF(Notes!BZ1120="","",Notes!BZ1120)</f>
        <v>Ergon Asphalt And Emulsions 1</v>
      </c>
      <c r="C1124" s="7" t="str">
        <f>IF(Notes!CA1120="","",Notes!CA1120)</f>
        <v>blendSAF</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processor</v>
      </c>
      <c r="B1125" s="7" t="str">
        <f>IF(Notes!BZ1121="","",Notes!BZ1121)</f>
        <v>Ergon Asphalt And Emulsions 5</v>
      </c>
      <c r="C1125" s="7" t="str">
        <f>IF(Notes!CA1121="","",Notes!CA1121)</f>
        <v>blendSAF</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processor</v>
      </c>
      <c r="B1126" s="7" t="str">
        <f>IF(Notes!BZ1122="","",Notes!BZ1122)</f>
        <v>Ergon Asphalt And Emulsions 2</v>
      </c>
      <c r="C1126" s="7" t="str">
        <f>IF(Notes!CA1122="","",Notes!CA1122)</f>
        <v>blendSAF</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processor</v>
      </c>
      <c r="B1127" s="7" t="str">
        <f>IF(Notes!BZ1123="","",Notes!BZ1123)</f>
        <v>Ergon Asphalt &amp; Emulsions Inc 13</v>
      </c>
      <c r="C1127" s="7" t="str">
        <f>IF(Notes!CA1123="","",Notes!CA1123)</f>
        <v>blendSAF</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processor</v>
      </c>
      <c r="B1128" s="7" t="str">
        <f>IF(Notes!BZ1124="","",Notes!BZ1124)</f>
        <v>Ergon Asphalt &amp; Emulsions Inc 7</v>
      </c>
      <c r="C1128" s="7" t="str">
        <f>IF(Notes!CA1124="","",Notes!CA1124)</f>
        <v>blendSAF</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processor</v>
      </c>
      <c r="B1129" s="7" t="str">
        <f>IF(Notes!BZ1125="","",Notes!BZ1125)</f>
        <v>Flint Hills Resources Lp 13</v>
      </c>
      <c r="C1129" s="7" t="str">
        <f>IF(Notes!CA1125="","",Notes!CA1125)</f>
        <v>blendSAF</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processor</v>
      </c>
      <c r="B1130" s="7" t="str">
        <f>IF(Notes!BZ1126="","",Notes!BZ1126)</f>
        <v>Flint Hills Resources Lp 7</v>
      </c>
      <c r="C1130" s="7" t="str">
        <f>IF(Notes!CA1126="","",Notes!CA1126)</f>
        <v>blendSAF</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processor</v>
      </c>
      <c r="B1131" s="7" t="str">
        <f>IF(Notes!BZ1127="","",Notes!BZ1127)</f>
        <v>Flint Hills Resources Lp 9</v>
      </c>
      <c r="C1131" s="7" t="str">
        <f>IF(Notes!CA1127="","",Notes!CA1127)</f>
        <v>blendSAF</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processor</v>
      </c>
      <c r="B1132" s="7" t="str">
        <f>IF(Notes!BZ1128="","",Notes!BZ1128)</f>
        <v>Flint Hills Resources Lp 23</v>
      </c>
      <c r="C1132" s="7" t="str">
        <f>IF(Notes!CA1128="","",Notes!CA1128)</f>
        <v>blendSAF</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processor</v>
      </c>
      <c r="B1133" s="7" t="str">
        <f>IF(Notes!BZ1129="","",Notes!BZ1129)</f>
        <v>Flint Hills Resources Lp 20</v>
      </c>
      <c r="C1133" s="7" t="str">
        <f>IF(Notes!CA1129="","",Notes!CA1129)</f>
        <v>blendSAF</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processor</v>
      </c>
      <c r="B1134" s="7" t="str">
        <f>IF(Notes!BZ1130="","",Notes!BZ1130)</f>
        <v>Flint Hills Resources Lp 8</v>
      </c>
      <c r="C1134" s="7" t="str">
        <f>IF(Notes!CA1130="","",Notes!CA1130)</f>
        <v>blendSAF</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processor</v>
      </c>
      <c r="B1135" s="7" t="str">
        <f>IF(Notes!BZ1131="","",Notes!BZ1131)</f>
        <v>Flint Hills Resources Lp 21</v>
      </c>
      <c r="C1135" s="7" t="str">
        <f>IF(Notes!CA1131="","",Notes!CA1131)</f>
        <v>blendSAF</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processor</v>
      </c>
      <c r="B1136" s="7" t="str">
        <f>IF(Notes!BZ1132="","",Notes!BZ1132)</f>
        <v>Flint Hills Resources Lp 22</v>
      </c>
      <c r="C1136" s="7" t="str">
        <f>IF(Notes!CA1132="","",Notes!CA1132)</f>
        <v>blendSAF</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processor</v>
      </c>
      <c r="B1137" s="7" t="str">
        <f>IF(Notes!BZ1133="","",Notes!BZ1133)</f>
        <v>Flint Hills Resources Lp 11</v>
      </c>
      <c r="C1137" s="7" t="str">
        <f>IF(Notes!CA1133="","",Notes!CA1133)</f>
        <v>blendSAF</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processor</v>
      </c>
      <c r="B1138" s="7" t="str">
        <f>IF(Notes!BZ1134="","",Notes!BZ1134)</f>
        <v>Pro Petroleum Inc 5</v>
      </c>
      <c r="C1138" s="7" t="str">
        <f>IF(Notes!CA1134="","",Notes!CA1134)</f>
        <v>blendSAF</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processor</v>
      </c>
      <c r="B1139" s="7" t="str">
        <f>IF(Notes!BZ1135="","",Notes!BZ1135)</f>
        <v>Us Venture Inc 2</v>
      </c>
      <c r="C1139" s="7" t="str">
        <f>IF(Notes!CA1135="","",Notes!CA1135)</f>
        <v>blendSAF</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processor</v>
      </c>
      <c r="B1140" s="7" t="str">
        <f>IF(Notes!BZ1136="","",Notes!BZ1136)</f>
        <v>Us Venture Inc 5</v>
      </c>
      <c r="C1140" s="7" t="str">
        <f>IF(Notes!CA1136="","",Notes!CA1136)</f>
        <v>blendSAF</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processor</v>
      </c>
      <c r="B1141" s="7" t="str">
        <f>IF(Notes!BZ1137="","",Notes!BZ1137)</f>
        <v>Us Venture Inc 13</v>
      </c>
      <c r="C1141" s="7" t="str">
        <f>IF(Notes!CA1137="","",Notes!CA1137)</f>
        <v>blendSAF</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processor</v>
      </c>
      <c r="B1142" s="7" t="str">
        <f>IF(Notes!BZ1138="","",Notes!BZ1138)</f>
        <v>Us Venture Inc 6</v>
      </c>
      <c r="C1142" s="7" t="str">
        <f>IF(Notes!CA1138="","",Notes!CA1138)</f>
        <v>blendSAF</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processor</v>
      </c>
      <c r="B1143" s="7" t="str">
        <f>IF(Notes!BZ1139="","",Notes!BZ1139)</f>
        <v>Us Venture Inc 18</v>
      </c>
      <c r="C1143" s="7" t="str">
        <f>IF(Notes!CA1139="","",Notes!CA1139)</f>
        <v>blendSAF</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processor</v>
      </c>
      <c r="B1144" s="7" t="str">
        <f>IF(Notes!BZ1140="","",Notes!BZ1140)</f>
        <v>Premcor Refining Group Inc 2</v>
      </c>
      <c r="C1144" s="7" t="str">
        <f>IF(Notes!CA1140="","",Notes!CA1140)</f>
        <v>blendSAF</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processor</v>
      </c>
      <c r="B1145" s="7" t="str">
        <f>IF(Notes!BZ1141="","",Notes!BZ1141)</f>
        <v>V-Tex Logistics Llc 2</v>
      </c>
      <c r="C1145" s="7" t="str">
        <f>IF(Notes!CA1141="","",Notes!CA1141)</f>
        <v>blendSAF</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processor</v>
      </c>
      <c r="B1146" s="7" t="str">
        <f>IF(Notes!BZ1142="","",Notes!BZ1142)</f>
        <v>V-Tex Logistics Llc 1</v>
      </c>
      <c r="C1146" s="7" t="str">
        <f>IF(Notes!CA1142="","",Notes!CA1142)</f>
        <v>blendSAF</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processor</v>
      </c>
      <c r="B1147" s="7" t="str">
        <f>IF(Notes!BZ1143="","",Notes!BZ1143)</f>
        <v>Bluewing One Llc</v>
      </c>
      <c r="C1147" s="7" t="str">
        <f>IF(Notes!CA1143="","",Notes!CA1143)</f>
        <v>blendSAF</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processor</v>
      </c>
      <c r="B1148" s="7" t="str">
        <f>IF(Notes!BZ1144="","",Notes!BZ1144)</f>
        <v>Bluewing Royal Llc</v>
      </c>
      <c r="C1148" s="7" t="str">
        <f>IF(Notes!CA1144="","",Notes!CA1144)</f>
        <v>blendSAF</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processor</v>
      </c>
      <c r="B1149" s="7" t="str">
        <f>IF(Notes!BZ1145="","",Notes!BZ1145)</f>
        <v>Ineos Usa Llc</v>
      </c>
      <c r="C1149" s="7" t="str">
        <f>IF(Notes!CA1145="","",Notes!CA1145)</f>
        <v>blendSAF</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processor</v>
      </c>
      <c r="B1150" s="7" t="str">
        <f>IF(Notes!BZ1146="","",Notes!BZ1146)</f>
        <v>Buckeye Texas Hub Llc</v>
      </c>
      <c r="C1150" s="7" t="str">
        <f>IF(Notes!CA1146="","",Notes!CA1146)</f>
        <v>blendSAF</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processor</v>
      </c>
      <c r="B1151" s="7" t="str">
        <f>IF(Notes!BZ1147="","",Notes!BZ1147)</f>
        <v>Chevron Phillips Chemical Co</v>
      </c>
      <c r="C1151" s="7" t="str">
        <f>IF(Notes!CA1147="","",Notes!CA1147)</f>
        <v>blendSAF</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processor</v>
      </c>
      <c r="B1152" s="7" t="str">
        <f>IF(Notes!BZ1148="","",Notes!BZ1148)</f>
        <v>Phillips 66 1</v>
      </c>
      <c r="C1152" s="7" t="str">
        <f>IF(Notes!CA1148="","",Notes!CA1148)</f>
        <v>blendSAF</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processor</v>
      </c>
      <c r="B1153" s="7" t="str">
        <f>IF(Notes!BZ1149="","",Notes!BZ1149)</f>
        <v>Phillips 66 Company 11</v>
      </c>
      <c r="C1153" s="7" t="str">
        <f>IF(Notes!CA1149="","",Notes!CA1149)</f>
        <v>blendSAF</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processor</v>
      </c>
      <c r="B1154" s="7" t="str">
        <f>IF(Notes!BZ1150="","",Notes!BZ1150)</f>
        <v>Phillips 66 Pipeline Llc 2</v>
      </c>
      <c r="C1154" s="7" t="str">
        <f>IF(Notes!CA1150="","",Notes!CA1150)</f>
        <v>blendSAF</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processor</v>
      </c>
      <c r="B1155" s="7" t="str">
        <f>IF(Notes!BZ1151="","",Notes!BZ1151)</f>
        <v>Phillips 66 Pipeline Llc 3</v>
      </c>
      <c r="C1155" s="7" t="str">
        <f>IF(Notes!CA1151="","",Notes!CA1151)</f>
        <v>blendSAF</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processor</v>
      </c>
      <c r="B1156" s="7" t="str">
        <f>IF(Notes!BZ1152="","",Notes!BZ1152)</f>
        <v>Phillips 66 Carrier Llc 1</v>
      </c>
      <c r="C1156" s="7" t="str">
        <f>IF(Notes!CA1152="","",Notes!CA1152)</f>
        <v>blendSAF</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processor</v>
      </c>
      <c r="B1157" s="7" t="str">
        <f>IF(Notes!BZ1153="","",Notes!BZ1153)</f>
        <v>Phillips 66 Gulf Coast Properties Ll</v>
      </c>
      <c r="C1157" s="7" t="str">
        <f>IF(Notes!CA1153="","",Notes!CA1153)</f>
        <v>blendSAF</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processor</v>
      </c>
      <c r="B1158" s="7" t="str">
        <f>IF(Notes!BZ1154="","",Notes!BZ1154)</f>
        <v>Delek Marketing - Big Sandy Llc</v>
      </c>
      <c r="C1158" s="7" t="str">
        <f>IF(Notes!CA1154="","",Notes!CA1154)</f>
        <v>blendSAF</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processor</v>
      </c>
      <c r="B1159" s="7" t="str">
        <f>IF(Notes!BZ1155="","",Notes!BZ1155)</f>
        <v>Delek Marketing &amp; Supply Lp 1</v>
      </c>
      <c r="C1159" s="7" t="str">
        <f>IF(Notes!CA1155="","",Notes!CA1155)</f>
        <v>blendSAF</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processor</v>
      </c>
      <c r="B1160" s="7" t="str">
        <f>IF(Notes!BZ1156="","",Notes!BZ1156)</f>
        <v>Delek Marketing &amp; Supply Lp 4</v>
      </c>
      <c r="C1160" s="7" t="str">
        <f>IF(Notes!CA1156="","",Notes!CA1156)</f>
        <v>blendSAF</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processor</v>
      </c>
      <c r="B1161" s="7" t="str">
        <f>IF(Notes!BZ1157="","",Notes!BZ1157)</f>
        <v>Delek Marketing &amp; Supply Lp 3</v>
      </c>
      <c r="C1161" s="7" t="str">
        <f>IF(Notes!CA1157="","",Notes!CA1157)</f>
        <v>blendSAF</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processor</v>
      </c>
      <c r="B1162" s="7" t="str">
        <f>IF(Notes!BZ1158="","",Notes!BZ1158)</f>
        <v>Dow Hydrocarbons &amp; Resrcs Llc 8</v>
      </c>
      <c r="C1162" s="7" t="str">
        <f>IF(Notes!CA1158="","",Notes!CA1158)</f>
        <v>blendSAF</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processor</v>
      </c>
      <c r="B1163" s="7" t="str">
        <f>IF(Notes!BZ1159="","",Notes!BZ1159)</f>
        <v>Dow Hydrocarbons &amp; Resrcs Llc 7</v>
      </c>
      <c r="C1163" s="7" t="str">
        <f>IF(Notes!CA1159="","",Notes!CA1159)</f>
        <v>blendSAF</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processor</v>
      </c>
      <c r="B1164" s="7" t="str">
        <f>IF(Notes!BZ1160="","",Notes!BZ1160)</f>
        <v>Texas Eastman Div Eastman Chem Co</v>
      </c>
      <c r="C1164" s="7" t="str">
        <f>IF(Notes!CA1160="","",Notes!CA1160)</f>
        <v>blendSAF</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processor</v>
      </c>
      <c r="B1165" s="7" t="str">
        <f>IF(Notes!BZ1161="","",Notes!BZ1161)</f>
        <v>Enbridge Ingleside Energy Center Llc</v>
      </c>
      <c r="C1165" s="7" t="str">
        <f>IF(Notes!CA1161="","",Notes!CA1161)</f>
        <v>blendSAF</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processor</v>
      </c>
      <c r="B1166" s="7" t="str">
        <f>IF(Notes!BZ1162="","",Notes!BZ1162)</f>
        <v>Sunoco Logistics 41</v>
      </c>
      <c r="C1166" s="7" t="str">
        <f>IF(Notes!CA1162="","",Notes!CA1162)</f>
        <v>blendSAF</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processor</v>
      </c>
      <c r="B1167" s="7" t="str">
        <f>IF(Notes!BZ1163="","",Notes!BZ1163)</f>
        <v>Sunoco Logistics 24</v>
      </c>
      <c r="C1167" s="7" t="str">
        <f>IF(Notes!CA1163="","",Notes!CA1163)</f>
        <v>blendSAF</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processor</v>
      </c>
      <c r="B1168" s="7" t="str">
        <f>IF(Notes!BZ1164="","",Notes!BZ1164)</f>
        <v>Sunoco Logistics 33</v>
      </c>
      <c r="C1168" s="7" t="str">
        <f>IF(Notes!CA1164="","",Notes!CA1164)</f>
        <v>blendSAF</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processor</v>
      </c>
      <c r="B1169" s="7" t="str">
        <f>IF(Notes!BZ1165="","",Notes!BZ1165)</f>
        <v>Sunoco Logistics 50</v>
      </c>
      <c r="C1169" s="7" t="str">
        <f>IF(Notes!CA1165="","",Notes!CA1165)</f>
        <v>blendSAF</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processor</v>
      </c>
      <c r="B1170" s="7" t="str">
        <f>IF(Notes!BZ1166="","",Notes!BZ1166)</f>
        <v>Sunoco Logistics 21</v>
      </c>
      <c r="C1170" s="7" t="str">
        <f>IF(Notes!CA1166="","",Notes!CA1166)</f>
        <v>blendSAF</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processor</v>
      </c>
      <c r="B1171" s="7" t="str">
        <f>IF(Notes!BZ1167="","",Notes!BZ1167)</f>
        <v>Sunoco Partners Ngl Facilities Llc</v>
      </c>
      <c r="C1171" s="7" t="str">
        <f>IF(Notes!CA1167="","",Notes!CA1167)</f>
        <v>blendSAF</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processor</v>
      </c>
      <c r="B1172" s="7" t="str">
        <f>IF(Notes!BZ1168="","",Notes!BZ1168)</f>
        <v>Sunoco Llc 6</v>
      </c>
      <c r="C1172" s="7" t="str">
        <f>IF(Notes!CA1168="","",Notes!CA1168)</f>
        <v>blendSAF</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processor</v>
      </c>
      <c r="B1173" s="7" t="str">
        <f>IF(Notes!BZ1169="","",Notes!BZ1169)</f>
        <v>Sunoco Llc 7</v>
      </c>
      <c r="C1173" s="7" t="str">
        <f>IF(Notes!CA1169="","",Notes!CA1169)</f>
        <v>blendSAF</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processor</v>
      </c>
      <c r="B1174" s="7" t="str">
        <f>IF(Notes!BZ1170="","",Notes!BZ1170)</f>
        <v>Sunoco Llc 5</v>
      </c>
      <c r="C1174" s="7" t="str">
        <f>IF(Notes!CA1170="","",Notes!CA1170)</f>
        <v>blendSAF</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processor</v>
      </c>
      <c r="B1175" s="7" t="str">
        <f>IF(Notes!BZ1171="","",Notes!BZ1171)</f>
        <v>Hfotco Llc</v>
      </c>
      <c r="C1175" s="7" t="str">
        <f>IF(Notes!CA1171="","",Notes!CA1171)</f>
        <v>blendSAF</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processor</v>
      </c>
      <c r="B1176" s="7" t="str">
        <f>IF(Notes!BZ1172="","",Notes!BZ1172)</f>
        <v>Orbit Gulf Coast Ng Exports Llc</v>
      </c>
      <c r="C1176" s="7" t="str">
        <f>IF(Notes!CA1172="","",Notes!CA1172)</f>
        <v>blendSAF</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processor</v>
      </c>
      <c r="B1177" s="7" t="str">
        <f>IF(Notes!BZ1173="","",Notes!BZ1173)</f>
        <v>Energy Transfer Gc Ngls Lls</v>
      </c>
      <c r="C1177" s="7" t="str">
        <f>IF(Notes!CA1173="","",Notes!CA1173)</f>
        <v>blendSAF</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processor</v>
      </c>
      <c r="B1178" s="7" t="str">
        <f>IF(Notes!BZ1174="","",Notes!BZ1174)</f>
        <v>Pelican Island Storage Termls</v>
      </c>
      <c r="C1178" s="7" t="str">
        <f>IF(Notes!CA1174="","",Notes!CA1174)</f>
        <v>blendSAF</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processor</v>
      </c>
      <c r="B1179" s="7" t="str">
        <f>IF(Notes!BZ1175="","",Notes!BZ1175)</f>
        <v>Ent Houston Ship Channel Lp</v>
      </c>
      <c r="C1179" s="7" t="str">
        <f>IF(Notes!CA1175="","",Notes!CA1175)</f>
        <v>blendSAF</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processor</v>
      </c>
      <c r="B1180" s="7" t="str">
        <f>IF(Notes!BZ1176="","",Notes!BZ1176)</f>
        <v>Enterprise Products Operating Llc 10</v>
      </c>
      <c r="C1180" s="7" t="str">
        <f>IF(Notes!CA1176="","",Notes!CA1176)</f>
        <v>blendSAF</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processor</v>
      </c>
      <c r="B1181" s="7" t="str">
        <f>IF(Notes!BZ1177="","",Notes!BZ1177)</f>
        <v>Mont Belvieu Caverns Llc</v>
      </c>
      <c r="C1181" s="7" t="str">
        <f>IF(Notes!CA1177="","",Notes!CA1177)</f>
        <v>blendSAF</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processor</v>
      </c>
      <c r="B1182" s="7" t="str">
        <f>IF(Notes!BZ1178="","",Notes!BZ1178)</f>
        <v>Enterprise Terminals &amp; Storage Llc 18</v>
      </c>
      <c r="C1182" s="7" t="str">
        <f>IF(Notes!CA1178="","",Notes!CA1178)</f>
        <v>blendSAF</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processor</v>
      </c>
      <c r="B1183" s="7" t="str">
        <f>IF(Notes!BZ1179="","",Notes!BZ1179)</f>
        <v>Enterprise Termls &amp; Stge Llc</v>
      </c>
      <c r="C1183" s="7" t="str">
        <f>IF(Notes!CA1179="","",Notes!CA1179)</f>
        <v>blendSAF</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processor</v>
      </c>
      <c r="B1184" s="7" t="str">
        <f>IF(Notes!BZ1180="","",Notes!BZ1180)</f>
        <v>Enterprise Gc Llc 2</v>
      </c>
      <c r="C1184" s="7" t="str">
        <f>IF(Notes!CA1180="","",Notes!CA1180)</f>
        <v>blendSAF</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processor</v>
      </c>
      <c r="B1185" s="7" t="str">
        <f>IF(Notes!BZ1181="","",Notes!BZ1181)</f>
        <v>Enterprise Gc Llc 4</v>
      </c>
      <c r="C1185" s="7" t="str">
        <f>IF(Notes!CA1181="","",Notes!CA1181)</f>
        <v>blendSAF</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processor</v>
      </c>
      <c r="B1186" s="7" t="str">
        <f>IF(Notes!BZ1182="","",Notes!BZ1182)</f>
        <v>Enterprise Gc Llc 1</v>
      </c>
      <c r="C1186" s="7" t="str">
        <f>IF(Notes!CA1182="","",Notes!CA1182)</f>
        <v>blendSAF</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processor</v>
      </c>
      <c r="B1187" s="7" t="str">
        <f>IF(Notes!BZ1183="","",Notes!BZ1183)</f>
        <v>Enterprise Gc Llc 3</v>
      </c>
      <c r="C1187" s="7" t="str">
        <f>IF(Notes!CA1183="","",Notes!CA1183)</f>
        <v>blendSAF</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processor</v>
      </c>
      <c r="B1188" s="7" t="str">
        <f>IF(Notes!BZ1184="","",Notes!BZ1184)</f>
        <v>Enterprise Refined Products Co Llc 7</v>
      </c>
      <c r="C1188" s="7" t="str">
        <f>IF(Notes!CA1184="","",Notes!CA1184)</f>
        <v>blendSAF</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processor</v>
      </c>
      <c r="B1189" s="7" t="str">
        <f>IF(Notes!BZ1185="","",Notes!BZ1185)</f>
        <v>Enterprise Refined Products Co Llc 4</v>
      </c>
      <c r="C1189" s="7" t="str">
        <f>IF(Notes!CA1185="","",Notes!CA1185)</f>
        <v>blendSAF</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processor</v>
      </c>
      <c r="B1190" s="7" t="str">
        <f>IF(Notes!BZ1186="","",Notes!BZ1186)</f>
        <v>Enterprise Refined Products Co Llc 9</v>
      </c>
      <c r="C1190" s="7" t="str">
        <f>IF(Notes!CA1186="","",Notes!CA1186)</f>
        <v>blendSAF</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processor</v>
      </c>
      <c r="B1191" s="7" t="str">
        <f>IF(Notes!BZ1187="","",Notes!BZ1187)</f>
        <v>Ent Beaumont Marine West Lp</v>
      </c>
      <c r="C1191" s="7" t="str">
        <f>IF(Notes!CA1187="","",Notes!CA1187)</f>
        <v>blendSAF</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processor</v>
      </c>
      <c r="B1192" s="7" t="str">
        <f>IF(Notes!BZ1188="","",Notes!BZ1188)</f>
        <v>Exxon Mobil Refg &amp; Sply Comp 7</v>
      </c>
      <c r="C1192" s="7" t="str">
        <f>IF(Notes!CA1188="","",Notes!CA1188)</f>
        <v>blendSAF</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processor</v>
      </c>
      <c r="B1193" s="7" t="str">
        <f>IF(Notes!BZ1189="","",Notes!BZ1189)</f>
        <v>Exxon Mobil Refg &amp; Sply Comp 2</v>
      </c>
      <c r="C1193" s="7" t="str">
        <f>IF(Notes!CA1189="","",Notes!CA1189)</f>
        <v>blendSAF</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processor</v>
      </c>
      <c r="B1194" s="7" t="str">
        <f>IF(Notes!BZ1190="","",Notes!BZ1190)</f>
        <v>Exxonmobil P L Co</v>
      </c>
      <c r="C1194" s="7" t="str">
        <f>IF(Notes!CA1190="","",Notes!CA1190)</f>
        <v>blendSAF</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processor</v>
      </c>
      <c r="B1195" s="7" t="str">
        <f>IF(Notes!BZ1191="","",Notes!BZ1191)</f>
        <v>Exxonmobil Corporation 2</v>
      </c>
      <c r="C1195" s="7" t="str">
        <f>IF(Notes!CA1191="","",Notes!CA1191)</f>
        <v>blendSAF</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processor</v>
      </c>
      <c r="B1196" s="7" t="str">
        <f>IF(Notes!BZ1192="","",Notes!BZ1192)</f>
        <v>Exxonmobil Corporation 3</v>
      </c>
      <c r="C1196" s="7" t="str">
        <f>IF(Notes!CA1192="","",Notes!CA1192)</f>
        <v>blendSAF</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processor</v>
      </c>
      <c r="B1197" s="7" t="str">
        <f>IF(Notes!BZ1193="","",Notes!BZ1193)</f>
        <v>Exxonmobil Pl Co 4</v>
      </c>
      <c r="C1197" s="7" t="str">
        <f>IF(Notes!CA1193="","",Notes!CA1193)</f>
        <v>blendSAF</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processor</v>
      </c>
      <c r="B1198" s="7" t="str">
        <f>IF(Notes!BZ1194="","",Notes!BZ1194)</f>
        <v>Jefferson Gulf Coast Energy Partners</v>
      </c>
      <c r="C1198" s="7" t="str">
        <f>IF(Notes!CA1194="","",Notes!CA1194)</f>
        <v>blendSAF</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processor</v>
      </c>
      <c r="B1199" s="7" t="str">
        <f>IF(Notes!BZ1195="","",Notes!BZ1195)</f>
        <v>Fikes Wholesale Inc</v>
      </c>
      <c r="C1199" s="7" t="str">
        <f>IF(Notes!CA1195="","",Notes!CA1195)</f>
        <v>blendSAF</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processor</v>
      </c>
      <c r="B1200" s="7" t="str">
        <f>IF(Notes!BZ1196="","",Notes!BZ1196)</f>
        <v>Gulf Coast Energy Llc</v>
      </c>
      <c r="C1200" s="7" t="str">
        <f>IF(Notes!CA1196="","",Notes!CA1196)</f>
        <v>blendSAF</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processor</v>
      </c>
      <c r="B1201" s="7" t="str">
        <f>IF(Notes!BZ1197="","",Notes!BZ1197)</f>
        <v>Gt Logistics Llc</v>
      </c>
      <c r="C1201" s="7" t="str">
        <f>IF(Notes!CA1197="","",Notes!CA1197)</f>
        <v>blendSAF</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processor</v>
      </c>
      <c r="B1202" s="7" t="str">
        <f>IF(Notes!BZ1198="","",Notes!BZ1198)</f>
        <v>Maverick Terminals Corpus Llc</v>
      </c>
      <c r="C1202" s="7" t="str">
        <f>IF(Notes!CA1198="","",Notes!CA1198)</f>
        <v>blendSAF</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processor</v>
      </c>
      <c r="B1203" s="7" t="str">
        <f>IF(Notes!BZ1199="","",Notes!BZ1199)</f>
        <v>Gt Gulfway Llc</v>
      </c>
      <c r="C1203" s="7" t="str">
        <f>IF(Notes!CA1199="","",Notes!CA1199)</f>
        <v>blendSAF</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processor</v>
      </c>
      <c r="B1204" s="7" t="str">
        <f>IF(Notes!BZ1200="","",Notes!BZ1200)</f>
        <v>Holly Energy Partners Oper Lp 2</v>
      </c>
      <c r="C1204" s="7" t="str">
        <f>IF(Notes!CA1200="","",Notes!CA1200)</f>
        <v>blendSAF</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processor</v>
      </c>
      <c r="B1205" s="7" t="str">
        <f>IF(Notes!BZ1201="","",Notes!BZ1201)</f>
        <v>Holly Energy Partners Oper Lp 7</v>
      </c>
      <c r="C1205" s="7" t="str">
        <f>IF(Notes!CA1201="","",Notes!CA1201)</f>
        <v>blendSAF</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processor</v>
      </c>
      <c r="B1206" s="7" t="str">
        <f>IF(Notes!BZ1202="","",Notes!BZ1202)</f>
        <v>Holly Energy Partners Oper Lp 1</v>
      </c>
      <c r="C1206" s="7" t="str">
        <f>IF(Notes!CA1202="","",Notes!CA1202)</f>
        <v>blendSAF</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processor</v>
      </c>
      <c r="B1207" s="7" t="str">
        <f>IF(Notes!BZ1203="","",Notes!BZ1203)</f>
        <v>Holly Energy Partners Oper Lp 4</v>
      </c>
      <c r="C1207" s="7" t="str">
        <f>IF(Notes!CA1203="","",Notes!CA1203)</f>
        <v>blendSAF</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processor</v>
      </c>
      <c r="B1208" s="7" t="str">
        <f>IF(Notes!BZ1204="","",Notes!BZ1204)</f>
        <v>Intercontinental Terminals Co</v>
      </c>
      <c r="C1208" s="7" t="str">
        <f>IF(Notes!CA1204="","",Notes!CA1204)</f>
        <v>blendSAF</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processor</v>
      </c>
      <c r="B1209" s="7" t="str">
        <f>IF(Notes!BZ1205="","",Notes!BZ1205)</f>
        <v>Intercontinental Terminals Company</v>
      </c>
      <c r="C1209" s="7" t="str">
        <f>IF(Notes!CA1205="","",Notes!CA1205)</f>
        <v>blendSAF</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processor</v>
      </c>
      <c r="B1210" s="7" t="str">
        <f>IF(Notes!BZ1206="","",Notes!BZ1206)</f>
        <v>Intergulf Corporation</v>
      </c>
      <c r="C1210" s="7" t="str">
        <f>IF(Notes!CA1206="","",Notes!CA1206)</f>
        <v>blendSAF</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processor</v>
      </c>
      <c r="B1211" s="7" t="str">
        <f>IF(Notes!BZ1207="","",Notes!BZ1207)</f>
        <v>Jebro Incorporated 4</v>
      </c>
      <c r="C1211" s="7" t="str">
        <f>IF(Notes!CA1207="","",Notes!CA1207)</f>
        <v>blendSAF</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processor</v>
      </c>
      <c r="B1212" s="7" t="str">
        <f>IF(Notes!BZ1208="","",Notes!BZ1208)</f>
        <v>Key Petrol Llc</v>
      </c>
      <c r="C1212" s="7" t="str">
        <f>IF(Notes!CA1208="","",Notes!CA1208)</f>
        <v>blendSAF</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processor</v>
      </c>
      <c r="B1213" s="7" t="str">
        <f>IF(Notes!BZ1209="","",Notes!BZ1209)</f>
        <v>Kinder Morgan Liq Trmnls Llc</v>
      </c>
      <c r="C1213" s="7" t="str">
        <f>IF(Notes!CA1209="","",Notes!CA1209)</f>
        <v>blendSAF</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processor</v>
      </c>
      <c r="B1214" s="7" t="str">
        <f>IF(Notes!BZ1210="","",Notes!BZ1210)</f>
        <v>Km Liquids Terminals Lp 5</v>
      </c>
      <c r="C1214" s="7" t="str">
        <f>IF(Notes!CA1210="","",Notes!CA1210)</f>
        <v>blendSAF</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processor</v>
      </c>
      <c r="B1215" s="7" t="str">
        <f>IF(Notes!BZ1211="","",Notes!BZ1211)</f>
        <v>Km Liquids Terminals Lp 6</v>
      </c>
      <c r="C1215" s="7" t="str">
        <f>IF(Notes!CA1211="","",Notes!CA1211)</f>
        <v>blendSAF</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processor</v>
      </c>
      <c r="B1216" s="7" t="str">
        <f>IF(Notes!BZ1212="","",Notes!BZ1212)</f>
        <v>Kinder Morgan 2</v>
      </c>
      <c r="C1216" s="7" t="str">
        <f>IF(Notes!CA1212="","",Notes!CA1212)</f>
        <v>blendSAF</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processor</v>
      </c>
      <c r="B1217" s="7" t="str">
        <f>IF(Notes!BZ1213="","",Notes!BZ1213)</f>
        <v>Battleground Oil Specialty Terminal</v>
      </c>
      <c r="C1217" s="7" t="str">
        <f>IF(Notes!CA1213="","",Notes!CA1213)</f>
        <v>blendSAF</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processor</v>
      </c>
      <c r="B1218" s="7" t="str">
        <f>IF(Notes!BZ1214="","",Notes!BZ1214)</f>
        <v>Kinder Morgan Galena Park West Llc</v>
      </c>
      <c r="C1218" s="7" t="str">
        <f>IF(Notes!CA1214="","",Notes!CA1214)</f>
        <v>blendSAF</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processor</v>
      </c>
      <c r="B1219" s="7" t="str">
        <f>IF(Notes!BZ1215="","",Notes!BZ1215)</f>
        <v>Greens Port Crude By Rail</v>
      </c>
      <c r="C1219" s="7" t="str">
        <f>IF(Notes!CA1215="","",Notes!CA1215)</f>
        <v>blendSAF</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processor</v>
      </c>
      <c r="B1220" s="7" t="str">
        <f>IF(Notes!BZ1216="","",Notes!BZ1216)</f>
        <v>Mvp Terminalling Llc</v>
      </c>
      <c r="C1220" s="7" t="str">
        <f>IF(Notes!CA1216="","",Notes!CA1216)</f>
        <v>blendSAF</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processor</v>
      </c>
      <c r="B1221" s="7" t="str">
        <f>IF(Notes!BZ1217="","",Notes!BZ1217)</f>
        <v>Magellan Pipeline Co Lp 33</v>
      </c>
      <c r="C1221" s="7" t="str">
        <f>IF(Notes!CA1217="","",Notes!CA1217)</f>
        <v>blendSAF</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processor</v>
      </c>
      <c r="B1222" s="7" t="str">
        <f>IF(Notes!BZ1218="","",Notes!BZ1218)</f>
        <v>Magellan Pl Co 4</v>
      </c>
      <c r="C1222" s="7" t="str">
        <f>IF(Notes!CA1218="","",Notes!CA1218)</f>
        <v>blendSAF</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processor</v>
      </c>
      <c r="B1223" s="7" t="str">
        <f>IF(Notes!BZ1219="","",Notes!BZ1219)</f>
        <v>Magellan Pl Co 1</v>
      </c>
      <c r="C1223" s="7" t="str">
        <f>IF(Notes!CA1219="","",Notes!CA1219)</f>
        <v>blendSAF</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processor</v>
      </c>
      <c r="B1224" s="7" t="str">
        <f>IF(Notes!BZ1220="","",Notes!BZ1220)</f>
        <v>Magellan Pipeline Company Lp</v>
      </c>
      <c r="C1224" s="7" t="str">
        <f>IF(Notes!CA1220="","",Notes!CA1220)</f>
        <v>blendSAF</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processor</v>
      </c>
      <c r="B1225" s="7" t="str">
        <f>IF(Notes!BZ1221="","",Notes!BZ1221)</f>
        <v>Magellan Pipeline Co Lp 7</v>
      </c>
      <c r="C1225" s="7" t="str">
        <f>IF(Notes!CA1221="","",Notes!CA1221)</f>
        <v>blendSAF</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processor</v>
      </c>
      <c r="B1226" s="7" t="str">
        <f>IF(Notes!BZ1222="","",Notes!BZ1222)</f>
        <v>Magellan Pipeline Co Lp 26</v>
      </c>
      <c r="C1226" s="7" t="str">
        <f>IF(Notes!CA1222="","",Notes!CA1222)</f>
        <v>blendSAF</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processor</v>
      </c>
      <c r="B1227" s="7" t="str">
        <f>IF(Notes!BZ1223="","",Notes!BZ1223)</f>
        <v>Magellan Pipeline Co Lp 11</v>
      </c>
      <c r="C1227" s="7" t="str">
        <f>IF(Notes!CA1223="","",Notes!CA1223)</f>
        <v>blendSAF</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processor</v>
      </c>
      <c r="B1228" s="7" t="str">
        <f>IF(Notes!BZ1224="","",Notes!BZ1224)</f>
        <v>Magellan Pipeline Co Lp 16</v>
      </c>
      <c r="C1228" s="7" t="str">
        <f>IF(Notes!CA1224="","",Notes!CA1224)</f>
        <v>blendSAF</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processor</v>
      </c>
      <c r="B1229" s="7" t="str">
        <f>IF(Notes!BZ1225="","",Notes!BZ1225)</f>
        <v>Magellan Trmnls Holdings Lp</v>
      </c>
      <c r="C1229" s="7" t="str">
        <f>IF(Notes!CA1225="","",Notes!CA1225)</f>
        <v>blendSAF</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processor</v>
      </c>
      <c r="B1230" s="7" t="str">
        <f>IF(Notes!BZ1226="","",Notes!BZ1226)</f>
        <v>Magellan Terminal Holdings Lp</v>
      </c>
      <c r="C1230" s="7" t="str">
        <f>IF(Notes!CA1226="","",Notes!CA1226)</f>
        <v>blendSAF</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processor</v>
      </c>
      <c r="B1231" s="7" t="str">
        <f>IF(Notes!BZ1227="","",Notes!BZ1227)</f>
        <v>Andeavor Logistics Lp 9</v>
      </c>
      <c r="C1231" s="7" t="str">
        <f>IF(Notes!CA1227="","",Notes!CA1227)</f>
        <v>blendSAF</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processor</v>
      </c>
      <c r="B1232" s="7" t="str">
        <f>IF(Notes!BZ1228="","",Notes!BZ1228)</f>
        <v>Advario Texas City Lp</v>
      </c>
      <c r="C1232" s="7" t="str">
        <f>IF(Notes!CA1228="","",Notes!CA1228)</f>
        <v>blendSAF</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processor</v>
      </c>
      <c r="B1233" s="7" t="str">
        <f>IF(Notes!BZ1229="","",Notes!BZ1229)</f>
        <v>Martin Operating Partnership Lp 1</v>
      </c>
      <c r="C1233" s="7" t="str">
        <f>IF(Notes!CA1229="","",Notes!CA1229)</f>
        <v>blendSAF</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processor</v>
      </c>
      <c r="B1234" s="7" t="str">
        <f>IF(Notes!BZ1230="","",Notes!BZ1230)</f>
        <v>Martin Operating Partnership Lp 2</v>
      </c>
      <c r="C1234" s="7" t="str">
        <f>IF(Notes!CA1230="","",Notes!CA1230)</f>
        <v>blendSAF</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processor</v>
      </c>
      <c r="B1235" s="7" t="str">
        <f>IF(Notes!BZ1231="","",Notes!BZ1231)</f>
        <v>Martin Energy Services Llc 6</v>
      </c>
      <c r="C1235" s="7" t="str">
        <f>IF(Notes!CA1231="","",Notes!CA1231)</f>
        <v>blendSAF</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processor</v>
      </c>
      <c r="B1236" s="7" t="str">
        <f>IF(Notes!BZ1232="","",Notes!BZ1232)</f>
        <v>Martin Energy Services Llc 5</v>
      </c>
      <c r="C1236" s="7" t="str">
        <f>IF(Notes!CA1232="","",Notes!CA1232)</f>
        <v>blendSAF</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processor</v>
      </c>
      <c r="B1237" s="7" t="str">
        <f>IF(Notes!BZ1233="","",Notes!BZ1233)</f>
        <v>Martin Energy Services Llc 13</v>
      </c>
      <c r="C1237" s="7" t="str">
        <f>IF(Notes!CA1233="","",Notes!CA1233)</f>
        <v>blendSAF</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processor</v>
      </c>
      <c r="B1238" s="7" t="str">
        <f>IF(Notes!BZ1234="","",Notes!BZ1234)</f>
        <v>Midstream Texas Ingleside Llc</v>
      </c>
      <c r="C1238" s="7" t="str">
        <f>IF(Notes!CA1234="","",Notes!CA1234)</f>
        <v>blendSAF</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processor</v>
      </c>
      <c r="B1239" s="7" t="str">
        <f>IF(Notes!BZ1235="","",Notes!BZ1235)</f>
        <v>Motus T1 Llc</v>
      </c>
      <c r="C1239" s="7" t="str">
        <f>IF(Notes!CA1235="","",Notes!CA1235)</f>
        <v>blendSAF</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processor</v>
      </c>
      <c r="B1240" s="7" t="str">
        <f>IF(Notes!BZ1236="","",Notes!BZ1236)</f>
        <v>Motus T2 Llc</v>
      </c>
      <c r="C1240" s="7" t="str">
        <f>IF(Notes!CA1236="","",Notes!CA1236)</f>
        <v>blendSAF</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processor</v>
      </c>
      <c r="B1241" s="7" t="str">
        <f>IF(Notes!BZ1237="","",Notes!BZ1237)</f>
        <v>Musket Corp 58</v>
      </c>
      <c r="C1241" s="7" t="str">
        <f>IF(Notes!CA1237="","",Notes!CA1237)</f>
        <v>blendSAF</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processor</v>
      </c>
      <c r="B1242" s="7" t="str">
        <f>IF(Notes!BZ1238="","",Notes!BZ1238)</f>
        <v>Musket Corp 59</v>
      </c>
      <c r="C1242" s="7" t="str">
        <f>IF(Notes!CA1238="","",Notes!CA1238)</f>
        <v>blendSAF</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processor</v>
      </c>
      <c r="B1243" s="7" t="str">
        <f>IF(Notes!BZ1239="","",Notes!BZ1239)</f>
        <v>Pelican Asphalt Co Llc</v>
      </c>
      <c r="C1243" s="7" t="str">
        <f>IF(Notes!CA1239="","",Notes!CA1239)</f>
        <v>blendSAF</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processor</v>
      </c>
      <c r="B1244" s="7" t="str">
        <f>IF(Notes!BZ1240="","",Notes!BZ1240)</f>
        <v>Nustar Energy Lp 41</v>
      </c>
      <c r="C1244" s="7" t="str">
        <f>IF(Notes!CA1240="","",Notes!CA1240)</f>
        <v>blendSAF</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processor</v>
      </c>
      <c r="B1245" s="7" t="str">
        <f>IF(Notes!BZ1241="","",Notes!BZ1241)</f>
        <v>Nustar Energy Lp 16</v>
      </c>
      <c r="C1245" s="7" t="str">
        <f>IF(Notes!CA1241="","",Notes!CA1241)</f>
        <v>blendSAF</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processor</v>
      </c>
      <c r="B1246" s="7" t="str">
        <f>IF(Notes!BZ1242="","",Notes!BZ1242)</f>
        <v>Nustar Energy Lp 2</v>
      </c>
      <c r="C1246" s="7" t="str">
        <f>IF(Notes!CA1242="","",Notes!CA1242)</f>
        <v>blendSAF</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processor</v>
      </c>
      <c r="B1247" s="7" t="str">
        <f>IF(Notes!BZ1243="","",Notes!BZ1243)</f>
        <v>Nustar Energy Lp 4</v>
      </c>
      <c r="C1247" s="7" t="str">
        <f>IF(Notes!CA1243="","",Notes!CA1243)</f>
        <v>blendSAF</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processor</v>
      </c>
      <c r="B1248" s="7" t="str">
        <f>IF(Notes!BZ1244="","",Notes!BZ1244)</f>
        <v>Nustar Energy Lp 9</v>
      </c>
      <c r="C1248" s="7" t="str">
        <f>IF(Notes!CA1244="","",Notes!CA1244)</f>
        <v>blendSAF</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processor</v>
      </c>
      <c r="B1249" s="7" t="str">
        <f>IF(Notes!BZ1245="","",Notes!BZ1245)</f>
        <v>Nustar Energy Lp 14</v>
      </c>
      <c r="C1249" s="7" t="str">
        <f>IF(Notes!CA1245="","",Notes!CA1245)</f>
        <v>blendSAF</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processor</v>
      </c>
      <c r="B1250" s="7" t="str">
        <f>IF(Notes!BZ1246="","",Notes!BZ1246)</f>
        <v>Nustar Energy Lp 18</v>
      </c>
      <c r="C1250" s="7" t="str">
        <f>IF(Notes!CA1246="","",Notes!CA1246)</f>
        <v>blendSAF</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processor</v>
      </c>
      <c r="B1251" s="7" t="str">
        <f>IF(Notes!BZ1247="","",Notes!BZ1247)</f>
        <v>Nustar Energy Lp 19</v>
      </c>
      <c r="C1251" s="7" t="str">
        <f>IF(Notes!CA1247="","",Notes!CA1247)</f>
        <v>blendSAF</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processor</v>
      </c>
      <c r="B1252" s="7" t="str">
        <f>IF(Notes!BZ1248="","",Notes!BZ1248)</f>
        <v>Nustar Energy Lp 22</v>
      </c>
      <c r="C1252" s="7" t="str">
        <f>IF(Notes!CA1248="","",Notes!CA1248)</f>
        <v>blendSAF</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processor</v>
      </c>
      <c r="B1253" s="7" t="str">
        <f>IF(Notes!BZ1249="","",Notes!BZ1249)</f>
        <v>Nustar Energy Lp 37</v>
      </c>
      <c r="C1253" s="7" t="str">
        <f>IF(Notes!CA1249="","",Notes!CA1249)</f>
        <v>blendSAF</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processor</v>
      </c>
      <c r="B1254" s="7" t="str">
        <f>IF(Notes!BZ1250="","",Notes!BZ1250)</f>
        <v>Nustar Energy Lp 38</v>
      </c>
      <c r="C1254" s="7" t="str">
        <f>IF(Notes!CA1250="","",Notes!CA1250)</f>
        <v>blendSAF</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processor</v>
      </c>
      <c r="B1255" s="7" t="str">
        <f>IF(Notes!BZ1251="","",Notes!BZ1251)</f>
        <v>Nustar Energy Lp 10</v>
      </c>
      <c r="C1255" s="7" t="str">
        <f>IF(Notes!CA1251="","",Notes!CA1251)</f>
        <v>blendSAF</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processor</v>
      </c>
      <c r="B1256" s="7" t="str">
        <f>IF(Notes!BZ1252="","",Notes!BZ1252)</f>
        <v>Oneok Hydrocarbon Lp 4</v>
      </c>
      <c r="C1256" s="7" t="str">
        <f>IF(Notes!CA1252="","",Notes!CA1252)</f>
        <v>blendSAF</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processor</v>
      </c>
      <c r="B1257" s="7" t="str">
        <f>IF(Notes!BZ1253="","",Notes!BZ1253)</f>
        <v>Citgo Petroleum Corp 26</v>
      </c>
      <c r="C1257" s="7" t="str">
        <f>IF(Notes!CA1253="","",Notes!CA1253)</f>
        <v>blendSAF</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processor</v>
      </c>
      <c r="B1258" s="7" t="str">
        <f>IF(Notes!BZ1254="","",Notes!BZ1254)</f>
        <v>Citgo Petroleum Corp 41</v>
      </c>
      <c r="C1258" s="7" t="str">
        <f>IF(Notes!CA1254="","",Notes!CA1254)</f>
        <v>blendSAF</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processor</v>
      </c>
      <c r="B1259" s="7" t="str">
        <f>IF(Notes!BZ1255="","",Notes!BZ1255)</f>
        <v>Citgo Petroleum Corp 35</v>
      </c>
      <c r="C1259" s="7" t="str">
        <f>IF(Notes!CA1255="","",Notes!CA1255)</f>
        <v>blendSAF</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processor</v>
      </c>
      <c r="B1260" s="7" t="str">
        <f>IF(Notes!BZ1256="","",Notes!BZ1256)</f>
        <v>Citgo Petro Corp 11</v>
      </c>
      <c r="C1260" s="7" t="str">
        <f>IF(Notes!CA1256="","",Notes!CA1256)</f>
        <v>blendSAF</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processor</v>
      </c>
      <c r="B1261" s="7" t="str">
        <f>IF(Notes!BZ1257="","",Notes!BZ1257)</f>
        <v>Petroleum Wholesale Lp</v>
      </c>
      <c r="C1261" s="7" t="str">
        <f>IF(Notes!CA1257="","",Notes!CA1257)</f>
        <v>blendSAF</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processor</v>
      </c>
      <c r="B1262" s="7" t="str">
        <f>IF(Notes!BZ1258="","",Notes!BZ1258)</f>
        <v>Lbc Houston Lp</v>
      </c>
      <c r="C1262" s="7" t="str">
        <f>IF(Notes!CA1258="","",Notes!CA1258)</f>
        <v>blendSAF</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processor</v>
      </c>
      <c r="B1263" s="7" t="str">
        <f>IF(Notes!BZ1259="","",Notes!BZ1259)</f>
        <v>Phoenix Park Energy Marketing Llc</v>
      </c>
      <c r="C1263" s="7" t="str">
        <f>IF(Notes!CA1259="","",Notes!CA1259)</f>
        <v>blendSAF</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processor</v>
      </c>
      <c r="B1264" s="7" t="str">
        <f>IF(Notes!BZ1260="","",Notes!BZ1260)</f>
        <v>Potac Llc</v>
      </c>
      <c r="C1264" s="7" t="str">
        <f>IF(Notes!CA1260="","",Notes!CA1260)</f>
        <v>blendSAF</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processor</v>
      </c>
      <c r="B1265" s="7" t="str">
        <f>IF(Notes!BZ1261="","",Notes!BZ1261)</f>
        <v>Arguindegui Oil Co Ii Ltd</v>
      </c>
      <c r="C1265" s="7" t="str">
        <f>IF(Notes!CA1261="","",Notes!CA1261)</f>
        <v>blendSAF</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processor</v>
      </c>
      <c r="B1266" s="7" t="str">
        <f>IF(Notes!BZ1262="","",Notes!BZ1262)</f>
        <v>Shell Oil Products Us 3</v>
      </c>
      <c r="C1266" s="7" t="str">
        <f>IF(Notes!CA1262="","",Notes!CA1262)</f>
        <v>blendSAF</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processor</v>
      </c>
      <c r="B1267" s="7" t="str">
        <f>IF(Notes!BZ1263="","",Notes!BZ1263)</f>
        <v>Motiva Enterprises Llc 7</v>
      </c>
      <c r="C1267" s="7" t="str">
        <f>IF(Notes!CA1263="","",Notes!CA1263)</f>
        <v>blendSAF</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processor</v>
      </c>
      <c r="B1268" s="7" t="str">
        <f>IF(Notes!BZ1264="","",Notes!BZ1264)</f>
        <v>Motiva Enterprises Llc 15</v>
      </c>
      <c r="C1268" s="7" t="str">
        <f>IF(Notes!CA1264="","",Notes!CA1264)</f>
        <v>blendSAF</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processor</v>
      </c>
      <c r="B1269" s="7" t="str">
        <f>IF(Notes!BZ1265="","",Notes!BZ1265)</f>
        <v>Motiva Enterprises Llc 18</v>
      </c>
      <c r="C1269" s="7" t="str">
        <f>IF(Notes!CA1265="","",Notes!CA1265)</f>
        <v>blendSAF</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processor</v>
      </c>
      <c r="B1270" s="7" t="str">
        <f>IF(Notes!BZ1266="","",Notes!BZ1266)</f>
        <v>Motiva Enterprises Llc 17</v>
      </c>
      <c r="C1270" s="7" t="str">
        <f>IF(Notes!CA1266="","",Notes!CA1266)</f>
        <v>blendSAF</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processor</v>
      </c>
      <c r="B1271" s="7" t="str">
        <f>IF(Notes!BZ1267="","",Notes!BZ1267)</f>
        <v>Motiva Enterprises Llc 20</v>
      </c>
      <c r="C1271" s="7" t="str">
        <f>IF(Notes!CA1267="","",Notes!CA1267)</f>
        <v>blendSAF</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processor</v>
      </c>
      <c r="B1272" s="7" t="str">
        <f>IF(Notes!BZ1268="","",Notes!BZ1268)</f>
        <v>Motiva Enterprises Llc 23</v>
      </c>
      <c r="C1272" s="7" t="str">
        <f>IF(Notes!CA1268="","",Notes!CA1268)</f>
        <v>blendSAF</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processor</v>
      </c>
      <c r="B1273" s="7" t="str">
        <f>IF(Notes!BZ1269="","",Notes!BZ1269)</f>
        <v>Motiva Enterprises Llc 4</v>
      </c>
      <c r="C1273" s="7" t="str">
        <f>IF(Notes!CA1269="","",Notes!CA1269)</f>
        <v>blendSAF</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processor</v>
      </c>
      <c r="B1274" s="7" t="str">
        <f>IF(Notes!BZ1270="","",Notes!BZ1270)</f>
        <v>Motiva Enterprises Llc Port Neches</v>
      </c>
      <c r="C1274" s="7" t="str">
        <f>IF(Notes!CA1270="","",Notes!CA1270)</f>
        <v>blendSAF</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processor</v>
      </c>
      <c r="B1275" s="7" t="str">
        <f>IF(Notes!BZ1271="","",Notes!BZ1271)</f>
        <v>Stolthaven Houston Llc</v>
      </c>
      <c r="C1275" s="7" t="str">
        <f>IF(Notes!CA1271="","",Notes!CA1271)</f>
        <v>blendSAF</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processor</v>
      </c>
      <c r="B1276" s="7" t="str">
        <f>IF(Notes!BZ1272="","",Notes!BZ1272)</f>
        <v>Targa Midstream Services Llc 4</v>
      </c>
      <c r="C1276" s="7" t="str">
        <f>IF(Notes!CA1272="","",Notes!CA1272)</f>
        <v>blendSAF</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processor</v>
      </c>
      <c r="B1277" s="7" t="str">
        <f>IF(Notes!BZ1273="","",Notes!BZ1273)</f>
        <v>Targa Midstream Services Llc 1</v>
      </c>
      <c r="C1277" s="7" t="str">
        <f>IF(Notes!CA1273="","",Notes!CA1273)</f>
        <v>blendSAF</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processor</v>
      </c>
      <c r="B1278" s="7" t="str">
        <f>IF(Notes!BZ1274="","",Notes!BZ1274)</f>
        <v>Valero Marketing &amp; Supply Co 30</v>
      </c>
      <c r="C1278" s="7" t="str">
        <f>IF(Notes!CA1274="","",Notes!CA1274)</f>
        <v>blendSAF</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processor</v>
      </c>
      <c r="B1279" s="7" t="str">
        <f>IF(Notes!BZ1275="","",Notes!BZ1275)</f>
        <v>Valero Marketing &amp; Supply Co 31</v>
      </c>
      <c r="C1279" s="7" t="str">
        <f>IF(Notes!CA1275="","",Notes!CA1275)</f>
        <v>blendSAF</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processor</v>
      </c>
      <c r="B1280" s="7" t="str">
        <f>IF(Notes!BZ1276="","",Notes!BZ1276)</f>
        <v>Texas Deepwater Deer Park Treml Llc</v>
      </c>
      <c r="C1280" s="7" t="str">
        <f>IF(Notes!CA1276="","",Notes!CA1276)</f>
        <v>blendSAF</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processor</v>
      </c>
      <c r="B1281" s="7" t="str">
        <f>IF(Notes!BZ1277="","",Notes!BZ1277)</f>
        <v>Titan Marine Fuel Llc 1</v>
      </c>
      <c r="C1281" s="7" t="str">
        <f>IF(Notes!CA1277="","",Notes!CA1277)</f>
        <v>blendSAF</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processor</v>
      </c>
      <c r="B1282" s="7" t="str">
        <f>IF(Notes!BZ1278="","",Notes!BZ1278)</f>
        <v>Titan Marine Fuel Llc 2</v>
      </c>
      <c r="C1282" s="7" t="str">
        <f>IF(Notes!CA1278="","",Notes!CA1278)</f>
        <v>blendSAF</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processor</v>
      </c>
      <c r="B1283" s="7" t="str">
        <f>IF(Notes!BZ1279="","",Notes!BZ1279)</f>
        <v>Total Petrochemicals Usa Inc</v>
      </c>
      <c r="C1283" s="7" t="str">
        <f>IF(Notes!CA1279="","",Notes!CA1279)</f>
        <v>blendSAF</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processor</v>
      </c>
      <c r="B1284" s="7" t="str">
        <f>IF(Notes!BZ1280="","",Notes!BZ1280)</f>
        <v>Transmontaigne Operating Company 9</v>
      </c>
      <c r="C1284" s="7" t="str">
        <f>IF(Notes!CA1280="","",Notes!CA1280)</f>
        <v>blendSAF</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processor</v>
      </c>
      <c r="B1285" s="7" t="str">
        <f>IF(Notes!BZ1281="","",Notes!BZ1281)</f>
        <v>Transmontaigne Operating Company 10</v>
      </c>
      <c r="C1285" s="7" t="str">
        <f>IF(Notes!CA1281="","",Notes!CA1281)</f>
        <v>blendSAF</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processor</v>
      </c>
      <c r="B1286" s="7" t="str">
        <f>IF(Notes!BZ1282="","",Notes!BZ1282)</f>
        <v>Transmontaigne Operating Company 11</v>
      </c>
      <c r="C1286" s="7" t="str">
        <f>IF(Notes!CA1282="","",Notes!CA1282)</f>
        <v>blendSAF</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processor</v>
      </c>
      <c r="B1287" s="7" t="str">
        <f>IF(Notes!BZ1283="","",Notes!BZ1283)</f>
        <v>Transmontaigne Operating Company 12</v>
      </c>
      <c r="C1287" s="7" t="str">
        <f>IF(Notes!CA1283="","",Notes!CA1283)</f>
        <v>blendSAF</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processor</v>
      </c>
      <c r="B1288" s="7" t="str">
        <f>IF(Notes!BZ1284="","",Notes!BZ1284)</f>
        <v>Transmontaigne Operating Company 8</v>
      </c>
      <c r="C1288" s="7" t="str">
        <f>IF(Notes!CA1284="","",Notes!CA1284)</f>
        <v>blendSAF</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processor</v>
      </c>
      <c r="B1289" s="7" t="str">
        <f>IF(Notes!BZ1285="","",Notes!BZ1285)</f>
        <v>Owens Corning 4</v>
      </c>
      <c r="C1289" s="7" t="str">
        <f>IF(Notes!CA1285="","",Notes!CA1285)</f>
        <v>blendSAF</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processor</v>
      </c>
      <c r="B1290" s="7" t="str">
        <f>IF(Notes!BZ1286="","",Notes!BZ1286)</f>
        <v>Vopak Terminals North Amer Inc 1</v>
      </c>
      <c r="C1290" s="7" t="str">
        <f>IF(Notes!CA1286="","",Notes!CA1286)</f>
        <v>blendSAF</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processor</v>
      </c>
      <c r="B1291" s="7" t="str">
        <f>IF(Notes!BZ1287="","",Notes!BZ1287)</f>
        <v>Bwc Terminals Llc 4</v>
      </c>
      <c r="C1291" s="7" t="str">
        <f>IF(Notes!CA1287="","",Notes!CA1287)</f>
        <v>blendSAF</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processor</v>
      </c>
      <c r="B1292" s="7" t="str">
        <f>IF(Notes!BZ1288="","",Notes!BZ1288)</f>
        <v>Bwc Terminals Llc 5</v>
      </c>
      <c r="C1292" s="7" t="str">
        <f>IF(Notes!CA1288="","",Notes!CA1288)</f>
        <v>blendSAF</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processor</v>
      </c>
      <c r="B1293" s="7" t="str">
        <f>IF(Notes!BZ1289="","",Notes!BZ1289)</f>
        <v>Bwc Texas City Terminals Inc</v>
      </c>
      <c r="C1293" s="7" t="str">
        <f>IF(Notes!CA1289="","",Notes!CA1289)</f>
        <v>blendSAF</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processor</v>
      </c>
      <c r="B1294" s="7" t="str">
        <f>IF(Notes!BZ1290="","",Notes!BZ1290)</f>
        <v>Phillips 66 Pipeline Llc 7</v>
      </c>
      <c r="C1294" s="7" t="str">
        <f>IF(Notes!CA1290="","",Notes!CA1290)</f>
        <v>blendSAF</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processor</v>
      </c>
      <c r="B1295" s="7" t="str">
        <f>IF(Notes!BZ1291="","",Notes!BZ1291)</f>
        <v>Staker Parson Companies</v>
      </c>
      <c r="C1295" s="7" t="str">
        <f>IF(Notes!CA1291="","",Notes!CA1291)</f>
        <v>blendSAF</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processor</v>
      </c>
      <c r="B1296" s="7" t="str">
        <f>IF(Notes!BZ1292="","",Notes!BZ1292)</f>
        <v>Unev Pipeline Llc 1</v>
      </c>
      <c r="C1296" s="7" t="str">
        <f>IF(Notes!CA1292="","",Notes!CA1292)</f>
        <v>blendSAF</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processor</v>
      </c>
      <c r="B1297" s="7" t="str">
        <f>IF(Notes!BZ1293="","",Notes!BZ1293)</f>
        <v>Western Emulsions Inc 2</v>
      </c>
      <c r="C1297" s="7" t="str">
        <f>IF(Notes!CA1293="","",Notes!CA1293)</f>
        <v>blendSAF</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processor</v>
      </c>
      <c r="B1298" s="7" t="str">
        <f>IF(Notes!BZ1294="","",Notes!BZ1294)</f>
        <v>Western Emulsions Inc 3</v>
      </c>
      <c r="C1298" s="7" t="str">
        <f>IF(Notes!CA1294="","",Notes!CA1294)</f>
        <v>blendSAF</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processor</v>
      </c>
      <c r="B1299" s="7" t="str">
        <f>IF(Notes!BZ1295="","",Notes!BZ1295)</f>
        <v>Mountain States Asphalt Inc</v>
      </c>
      <c r="C1299" s="7" t="str">
        <f>IF(Notes!CA1295="","",Notes!CA1295)</f>
        <v>blendSAF</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processor</v>
      </c>
      <c r="B1300" s="7" t="str">
        <f>IF(Notes!BZ1296="","",Notes!BZ1296)</f>
        <v>Sawtooth Ngl Caverns Llc</v>
      </c>
      <c r="C1300" s="7" t="str">
        <f>IF(Notes!CA1296="","",Notes!CA1296)</f>
        <v>blendSAF</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processor</v>
      </c>
      <c r="B1301" s="7" t="str">
        <f>IF(Notes!BZ1297="","",Notes!BZ1297)</f>
        <v>Global Co Llc 2</v>
      </c>
      <c r="C1301" s="7" t="str">
        <f>IF(Notes!CA1297="","",Notes!CA1297)</f>
        <v>blendSAF</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processor</v>
      </c>
      <c r="B1302" s="7" t="str">
        <f>IF(Notes!BZ1298="","",Notes!BZ1298)</f>
        <v>Petroleum Fuel &amp; Terminal Co 3</v>
      </c>
      <c r="C1302" s="7" t="str">
        <f>IF(Notes!CA1298="","",Notes!CA1298)</f>
        <v>blendSAF</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processor</v>
      </c>
      <c r="B1303" s="7" t="str">
        <f>IF(Notes!BZ1299="","",Notes!BZ1299)</f>
        <v>Bkep Materials Llc 13</v>
      </c>
      <c r="C1303" s="7" t="str">
        <f>IF(Notes!CA1299="","",Notes!CA1299)</f>
        <v>blendSAF</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processor</v>
      </c>
      <c r="B1304" s="7" t="str">
        <f>IF(Notes!BZ1300="","",Notes!BZ1300)</f>
        <v>Bkep Materials Llc 5</v>
      </c>
      <c r="C1304" s="7" t="str">
        <f>IF(Notes!CA1300="","",Notes!CA1300)</f>
        <v>blendSAF</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processor</v>
      </c>
      <c r="B1305" s="7" t="str">
        <f>IF(Notes!BZ1301="","",Notes!BZ1301)</f>
        <v>Associated Asphalt Bristol Llc</v>
      </c>
      <c r="C1305" s="7" t="str">
        <f>IF(Notes!CA1301="","",Notes!CA1301)</f>
        <v>blendSAF</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processor</v>
      </c>
      <c r="B1306" s="7" t="str">
        <f>IF(Notes!BZ1302="","",Notes!BZ1302)</f>
        <v>Associated Asphalt Roanoke Llc</v>
      </c>
      <c r="C1306" s="7" t="str">
        <f>IF(Notes!CA1302="","",Notes!CA1302)</f>
        <v>blendSAF</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processor</v>
      </c>
      <c r="B1307" s="7" t="str">
        <f>IF(Notes!BZ1303="","",Notes!BZ1303)</f>
        <v>Associated Asphalt Hopewell Llc</v>
      </c>
      <c r="C1307" s="7" t="str">
        <f>IF(Notes!CA1303="","",Notes!CA1303)</f>
        <v>blendSAF</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processor</v>
      </c>
      <c r="B1308" s="7" t="str">
        <f>IF(Notes!BZ1304="","",Notes!BZ1304)</f>
        <v>Buckeye Terminals Llc 47</v>
      </c>
      <c r="C1308" s="7" t="str">
        <f>IF(Notes!CA1304="","",Notes!CA1304)</f>
        <v>blendSAF</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processor</v>
      </c>
      <c r="B1309" s="7" t="str">
        <f>IF(Notes!BZ1305="","",Notes!BZ1305)</f>
        <v>Buckeye Terminals Llc 89</v>
      </c>
      <c r="C1309" s="7" t="str">
        <f>IF(Notes!CA1305="","",Notes!CA1305)</f>
        <v>blendSAF</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processor</v>
      </c>
      <c r="B1310" s="7" t="str">
        <f>IF(Notes!BZ1306="","",Notes!BZ1306)</f>
        <v>Buckeye Terminals Llc 31</v>
      </c>
      <c r="C1310" s="7" t="str">
        <f>IF(Notes!CA1306="","",Notes!CA1306)</f>
        <v>blendSAF</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processor</v>
      </c>
      <c r="B1311" s="7" t="str">
        <f>IF(Notes!BZ1307="","",Notes!BZ1307)</f>
        <v>Buckeye Se Terminals Lp 16</v>
      </c>
      <c r="C1311" s="7" t="str">
        <f>IF(Notes!CA1307="","",Notes!CA1307)</f>
        <v>blendSAF</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processor</v>
      </c>
      <c r="B1312" s="7" t="str">
        <f>IF(Notes!BZ1308="","",Notes!BZ1308)</f>
        <v>Buckeye Se Terminals Lp 17</v>
      </c>
      <c r="C1312" s="7" t="str">
        <f>IF(Notes!CA1308="","",Notes!CA1308)</f>
        <v>blendSAF</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processor</v>
      </c>
      <c r="B1313" s="7" t="str">
        <f>IF(Notes!BZ1309="","",Notes!BZ1309)</f>
        <v>Colonial Terminals Operating Co Llc 3</v>
      </c>
      <c r="C1313" s="7" t="str">
        <f>IF(Notes!CA1309="","",Notes!CA1309)</f>
        <v>blendSAF</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processor</v>
      </c>
      <c r="B1314" s="7" t="str">
        <f>IF(Notes!BZ1310="","",Notes!BZ1310)</f>
        <v>Sunoco Logistics 38</v>
      </c>
      <c r="C1314" s="7" t="str">
        <f>IF(Notes!CA1310="","",Notes!CA1310)</f>
        <v>blendSAF</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processor</v>
      </c>
      <c r="B1315" s="7" t="str">
        <f>IF(Notes!BZ1311="","",Notes!BZ1311)</f>
        <v>Sunoco Llc 15</v>
      </c>
      <c r="C1315" s="7" t="str">
        <f>IF(Notes!CA1311="","",Notes!CA1311)</f>
        <v>blendSAF</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processor</v>
      </c>
      <c r="B1316" s="7" t="str">
        <f>IF(Notes!BZ1312="","",Notes!BZ1312)</f>
        <v>Sunoco Midstream Llc 9</v>
      </c>
      <c r="C1316" s="7" t="str">
        <f>IF(Notes!CA1312="","",Notes!CA1312)</f>
        <v>blendSAF</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processor</v>
      </c>
      <c r="B1317" s="7" t="str">
        <f>IF(Notes!BZ1313="","",Notes!BZ1313)</f>
        <v>Intl Matex Tank Terminals 3</v>
      </c>
      <c r="C1317" s="7" t="str">
        <f>IF(Notes!CA1313="","",Notes!CA1313)</f>
        <v>blendSAF</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processor</v>
      </c>
      <c r="B1318" s="7" t="str">
        <f>IF(Notes!BZ1314="","",Notes!BZ1314)</f>
        <v>Intl Matex Tank Terminals 4</v>
      </c>
      <c r="C1318" s="7" t="str">
        <f>IF(Notes!CA1314="","",Notes!CA1314)</f>
        <v>blendSAF</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processor</v>
      </c>
      <c r="B1319" s="7" t="str">
        <f>IF(Notes!BZ1315="","",Notes!BZ1315)</f>
        <v>Kinder Morgan Transmix Llc 1</v>
      </c>
      <c r="C1319" s="7" t="str">
        <f>IF(Notes!CA1315="","",Notes!CA1315)</f>
        <v>blendSAF</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processor</v>
      </c>
      <c r="B1320" s="7" t="str">
        <f>IF(Notes!BZ1316="","",Notes!BZ1316)</f>
        <v>Kindermorgan Southeast Terminals Llc 3</v>
      </c>
      <c r="C1320" s="7" t="str">
        <f>IF(Notes!CA1316="","",Notes!CA1316)</f>
        <v>blendSAF</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processor</v>
      </c>
      <c r="B1321" s="7" t="str">
        <f>IF(Notes!BZ1317="","",Notes!BZ1317)</f>
        <v>Kinder Morgan Southeast Terminal 14</v>
      </c>
      <c r="C1321" s="7" t="str">
        <f>IF(Notes!CA1317="","",Notes!CA1317)</f>
        <v>blendSAF</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processor</v>
      </c>
      <c r="B1322" s="7" t="str">
        <f>IF(Notes!BZ1318="","",Notes!BZ1318)</f>
        <v>Kinder Morgan Southeast Terminal 17</v>
      </c>
      <c r="C1322" s="7" t="str">
        <f>IF(Notes!CA1318="","",Notes!CA1318)</f>
        <v>blendSAF</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processor</v>
      </c>
      <c r="B1323" s="7" t="str">
        <f>IF(Notes!BZ1319="","",Notes!BZ1319)</f>
        <v>Kinder Morgan Southeast Terminal 18</v>
      </c>
      <c r="C1323" s="7" t="str">
        <f>IF(Notes!CA1319="","",Notes!CA1319)</f>
        <v>blendSAF</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processor</v>
      </c>
      <c r="B1324" s="7" t="str">
        <f>IF(Notes!BZ1320="","",Notes!BZ1320)</f>
        <v>Kinder Morgan Southeast Terminal 19</v>
      </c>
      <c r="C1324" s="7" t="str">
        <f>IF(Notes!CA1320="","",Notes!CA1320)</f>
        <v>blendSAF</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processor</v>
      </c>
      <c r="B1325" s="7" t="str">
        <f>IF(Notes!BZ1321="","",Notes!BZ1321)</f>
        <v>Kinder Morgan Southeast Terminal 20</v>
      </c>
      <c r="C1325" s="7" t="str">
        <f>IF(Notes!CA1321="","",Notes!CA1321)</f>
        <v>blendSAF</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processor</v>
      </c>
      <c r="B1326" s="7" t="str">
        <f>IF(Notes!BZ1322="","",Notes!BZ1322)</f>
        <v>Kinder Morgan Southeast Terminal 13</v>
      </c>
      <c r="C1326" s="7" t="str">
        <f>IF(Notes!CA1322="","",Notes!CA1322)</f>
        <v>blendSAF</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processor</v>
      </c>
      <c r="B1327" s="7" t="str">
        <f>IF(Notes!BZ1323="","",Notes!BZ1323)</f>
        <v>Kinder Morgan Va Liq Terminals Llc</v>
      </c>
      <c r="C1327" s="7" t="str">
        <f>IF(Notes!CA1323="","",Notes!CA1323)</f>
        <v>blendSAF</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processor</v>
      </c>
      <c r="B1328" s="7" t="str">
        <f>IF(Notes!BZ1324="","",Notes!BZ1324)</f>
        <v>Ngl Energy Partners Lp</v>
      </c>
      <c r="C1328" s="7" t="str">
        <f>IF(Notes!CA1324="","",Notes!CA1324)</f>
        <v>blendSAF</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processor</v>
      </c>
      <c r="B1329" s="7" t="str">
        <f>IF(Notes!BZ1325="","",Notes!BZ1325)</f>
        <v>First Energy Corp</v>
      </c>
      <c r="C1329" s="7" t="str">
        <f>IF(Notes!CA1325="","",Notes!CA1325)</f>
        <v>blendSAF</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processor</v>
      </c>
      <c r="B1330" s="7" t="str">
        <f>IF(Notes!BZ1326="","",Notes!BZ1326)</f>
        <v>Citgo Petro Corp 8</v>
      </c>
      <c r="C1330" s="7" t="str">
        <f>IF(Notes!CA1326="","",Notes!CA1326)</f>
        <v>blendSAF</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processor</v>
      </c>
      <c r="B1331" s="7" t="str">
        <f>IF(Notes!BZ1327="","",Notes!BZ1327)</f>
        <v>Citgo Petro Corp 14</v>
      </c>
      <c r="C1331" s="7" t="str">
        <f>IF(Notes!CA1327="","",Notes!CA1327)</f>
        <v>blendSAF</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processor</v>
      </c>
      <c r="B1332" s="7" t="str">
        <f>IF(Notes!BZ1328="","",Notes!BZ1328)</f>
        <v>Citgo Petro Corp 22</v>
      </c>
      <c r="C1332" s="7" t="str">
        <f>IF(Notes!CA1328="","",Notes!CA1328)</f>
        <v>blendSAF</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processor</v>
      </c>
      <c r="B1333" s="7" t="str">
        <f>IF(Notes!BZ1329="","",Notes!BZ1329)</f>
        <v>Plains Marketing Lp - Yorktown Trml</v>
      </c>
      <c r="C1333" s="7" t="str">
        <f>IF(Notes!CA1329="","",Notes!CA1329)</f>
        <v>blendSAF</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processor</v>
      </c>
      <c r="B1334" s="7" t="str">
        <f>IF(Notes!BZ1330="","",Notes!BZ1330)</f>
        <v>Motiva Enterprises Llc 10</v>
      </c>
      <c r="C1334" s="7" t="str">
        <f>IF(Notes!CA1330="","",Notes!CA1330)</f>
        <v>blendSAF</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processor</v>
      </c>
      <c r="B1335" s="7" t="str">
        <f>IF(Notes!BZ1331="","",Notes!BZ1331)</f>
        <v>Motiva Enterprises Llc 19</v>
      </c>
      <c r="C1335" s="7" t="str">
        <f>IF(Notes!CA1331="","",Notes!CA1331)</f>
        <v>blendSAF</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processor</v>
      </c>
      <c r="B1336" s="7" t="str">
        <f>IF(Notes!BZ1332="","",Notes!BZ1332)</f>
        <v>Transmontaigne Operating Company 36</v>
      </c>
      <c r="C1336" s="7" t="str">
        <f>IF(Notes!CA1332="","",Notes!CA1332)</f>
        <v>blendSAF</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processor</v>
      </c>
      <c r="B1337" s="7" t="str">
        <f>IF(Notes!BZ1333="","",Notes!BZ1333)</f>
        <v>Transmontaigne Operating Company 33</v>
      </c>
      <c r="C1337" s="7" t="str">
        <f>IF(Notes!CA1333="","",Notes!CA1333)</f>
        <v>blendSAF</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processor</v>
      </c>
      <c r="B1338" s="7" t="str">
        <f>IF(Notes!BZ1334="","",Notes!BZ1334)</f>
        <v>Transmontaigne Operating Company 34</v>
      </c>
      <c r="C1338" s="7" t="str">
        <f>IF(Notes!CA1334="","",Notes!CA1334)</f>
        <v>blendSAF</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processor</v>
      </c>
      <c r="B1339" s="7" t="str">
        <f>IF(Notes!BZ1335="","",Notes!BZ1335)</f>
        <v>Transmontaigne Operating Company 42</v>
      </c>
      <c r="C1339" s="7" t="str">
        <f>IF(Notes!CA1335="","",Notes!CA1335)</f>
        <v>blendSAF</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processor</v>
      </c>
      <c r="B1340" s="7" t="str">
        <f>IF(Notes!BZ1336="","",Notes!BZ1336)</f>
        <v>Transmontaigne Operating Company 20</v>
      </c>
      <c r="C1340" s="7" t="str">
        <f>IF(Notes!CA1336="","",Notes!CA1336)</f>
        <v>blendSAF</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processor</v>
      </c>
      <c r="B1341" s="7" t="str">
        <f>IF(Notes!BZ1337="","",Notes!BZ1337)</f>
        <v>Transmontaigne Operating Company 43</v>
      </c>
      <c r="C1341" s="7" t="str">
        <f>IF(Notes!CA1337="","",Notes!CA1337)</f>
        <v>blendSAF</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processor</v>
      </c>
      <c r="B1342" s="7" t="str">
        <f>IF(Notes!BZ1338="","",Notes!BZ1338)</f>
        <v>World Fuel Services</v>
      </c>
      <c r="C1342" s="7" t="str">
        <f>IF(Notes!CA1338="","",Notes!CA1338)</f>
        <v>blendSAF</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processor</v>
      </c>
      <c r="B1343" s="7" t="str">
        <f>IF(Notes!BZ1339="","",Notes!BZ1339)</f>
        <v>Reg Grays Harbor Llc</v>
      </c>
      <c r="C1343" s="7" t="str">
        <f>IF(Notes!CA1339="","",Notes!CA1339)</f>
        <v>blendSAF</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processor</v>
      </c>
      <c r="B1344" s="7" t="str">
        <f>IF(Notes!BZ1340="","",Notes!BZ1340)</f>
        <v>Ergon Asphalt &amp; Emulsions Inc 11</v>
      </c>
      <c r="C1344" s="7" t="str">
        <f>IF(Notes!CA1340="","",Notes!CA1340)</f>
        <v>blendSAF</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processor</v>
      </c>
      <c r="B1345" s="7" t="str">
        <f>IF(Notes!BZ1341="","",Notes!BZ1341)</f>
        <v>Ergon Asphalt 7 Emulsions Inc</v>
      </c>
      <c r="C1345" s="7" t="str">
        <f>IF(Notes!CA1341="","",Notes!CA1341)</f>
        <v>blendSAF</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processor</v>
      </c>
      <c r="B1346" s="7" t="str">
        <f>IF(Notes!BZ1342="","",Notes!BZ1342)</f>
        <v>Ergon Asphalt &amp; Emulsions Inc 14</v>
      </c>
      <c r="C1346" s="7" t="str">
        <f>IF(Notes!CA1342="","",Notes!CA1342)</f>
        <v>blendSAF</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processor</v>
      </c>
      <c r="B1347" s="7" t="str">
        <f>IF(Notes!BZ1343="","",Notes!BZ1343)</f>
        <v>Tlp Management Services Llc 4</v>
      </c>
      <c r="C1347" s="7" t="str">
        <f>IF(Notes!CA1343="","",Notes!CA1343)</f>
        <v>blendSAF</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processor</v>
      </c>
      <c r="B1348" s="7" t="str">
        <f>IF(Notes!BZ1344="","",Notes!BZ1344)</f>
        <v>Seaport Sound Terminal Llc</v>
      </c>
      <c r="C1348" s="7" t="str">
        <f>IF(Notes!CA1344="","",Notes!CA1344)</f>
        <v>blendSAF</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processor</v>
      </c>
      <c r="B1349" s="7" t="str">
        <f>IF(Notes!BZ1345="","",Notes!BZ1345)</f>
        <v>Phillips 66 Company 23</v>
      </c>
      <c r="C1349" s="7" t="str">
        <f>IF(Notes!CA1345="","",Notes!CA1345)</f>
        <v>blendSAF</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processor</v>
      </c>
      <c r="B1350" s="7" t="str">
        <f>IF(Notes!BZ1346="","",Notes!BZ1346)</f>
        <v>Phillips 66 Company 24</v>
      </c>
      <c r="C1350" s="7" t="str">
        <f>IF(Notes!CA1346="","",Notes!CA1346)</f>
        <v>blendSAF</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processor</v>
      </c>
      <c r="B1351" s="7" t="str">
        <f>IF(Notes!BZ1347="","",Notes!BZ1347)</f>
        <v>Phillips 66 Company 17</v>
      </c>
      <c r="C1351" s="7" t="str">
        <f>IF(Notes!CA1347="","",Notes!CA1347)</f>
        <v>blendSAF</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processor</v>
      </c>
      <c r="B1352" s="7" t="str">
        <f>IF(Notes!BZ1348="","",Notes!BZ1348)</f>
        <v>Holly Energy Partners Oper Lp 6</v>
      </c>
      <c r="C1352" s="7" t="str">
        <f>IF(Notes!CA1348="","",Notes!CA1348)</f>
        <v>blendSAF</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processor</v>
      </c>
      <c r="B1353" s="7" t="str">
        <f>IF(Notes!BZ1349="","",Notes!BZ1349)</f>
        <v>Kinder Morgan Energy Partner Lp</v>
      </c>
      <c r="C1353" s="7" t="str">
        <f>IF(Notes!CA1349="","",Notes!CA1349)</f>
        <v>blendSAF</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processor</v>
      </c>
      <c r="B1354" s="7" t="str">
        <f>IF(Notes!BZ1350="","",Notes!BZ1350)</f>
        <v>Tesoro Refining &amp; Marketing 8</v>
      </c>
      <c r="C1354" s="7" t="str">
        <f>IF(Notes!CA1350="","",Notes!CA1350)</f>
        <v>blendSAF</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processor</v>
      </c>
      <c r="B1355" s="7" t="str">
        <f>IF(Notes!BZ1351="","",Notes!BZ1351)</f>
        <v>Andeavor Logistics Lp 23</v>
      </c>
      <c r="C1355" s="7" t="str">
        <f>IF(Notes!CA1351="","",Notes!CA1351)</f>
        <v>blendSAF</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processor</v>
      </c>
      <c r="B1356" s="7" t="str">
        <f>IF(Notes!BZ1352="","",Notes!BZ1352)</f>
        <v>Andeavor Logistics Lp 16</v>
      </c>
      <c r="C1356" s="7" t="str">
        <f>IF(Notes!CA1352="","",Notes!CA1352)</f>
        <v>blendSAF</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processor</v>
      </c>
      <c r="B1357" s="7" t="str">
        <f>IF(Notes!BZ1353="","",Notes!BZ1353)</f>
        <v>Nustar Energy Lp 43</v>
      </c>
      <c r="C1357" s="7" t="str">
        <f>IF(Notes!CA1353="","",Notes!CA1353)</f>
        <v>blendSAF</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processor</v>
      </c>
      <c r="B1358" s="7" t="str">
        <f>IF(Notes!BZ1354="","",Notes!BZ1354)</f>
        <v>Nustar Energy Lp 44</v>
      </c>
      <c r="C1358" s="7" t="str">
        <f>IF(Notes!CA1354="","",Notes!CA1354)</f>
        <v>blendSAF</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processor</v>
      </c>
      <c r="B1359" s="7" t="str">
        <f>IF(Notes!BZ1355="","",Notes!BZ1355)</f>
        <v>Par Montana Llc 9</v>
      </c>
      <c r="C1359" s="7" t="str">
        <f>IF(Notes!CA1355="","",Notes!CA1355)</f>
        <v>blendSAF</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processor</v>
      </c>
      <c r="B1360" s="7" t="str">
        <f>IF(Notes!BZ1356="","",Notes!BZ1356)</f>
        <v>Par Montana Llc 10</v>
      </c>
      <c r="C1360" s="7" t="str">
        <f>IF(Notes!CA1356="","",Notes!CA1356)</f>
        <v>blendSAF</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processor</v>
      </c>
      <c r="B1361" s="7" t="str">
        <f>IF(Notes!BZ1357="","",Notes!BZ1357)</f>
        <v>Petrogas West Llc</v>
      </c>
      <c r="C1361" s="7" t="str">
        <f>IF(Notes!CA1357="","",Notes!CA1357)</f>
        <v>blendSAF</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processor</v>
      </c>
      <c r="B1362" s="7" t="str">
        <f>IF(Notes!BZ1358="","",Notes!BZ1358)</f>
        <v>Equilon Enterprises Llc 5</v>
      </c>
      <c r="C1362" s="7" t="str">
        <f>IF(Notes!CA1358="","",Notes!CA1358)</f>
        <v>blendSAF</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processor</v>
      </c>
      <c r="B1363" s="7" t="str">
        <f>IF(Notes!BZ1359="","",Notes!BZ1359)</f>
        <v>Tidewater Terminal Co 1</v>
      </c>
      <c r="C1363" s="7" t="str">
        <f>IF(Notes!CA1359="","",Notes!CA1359)</f>
        <v>blendSAF</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processor</v>
      </c>
      <c r="B1364" s="7" t="str">
        <f>IF(Notes!BZ1360="","",Notes!BZ1360)</f>
        <v>Tidewater Terminal Co 3</v>
      </c>
      <c r="C1364" s="7" t="str">
        <f>IF(Notes!CA1360="","",Notes!CA1360)</f>
        <v>blendSAF</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processor</v>
      </c>
      <c r="B1365" s="7" t="str">
        <f>IF(Notes!BZ1361="","",Notes!BZ1361)</f>
        <v>Petroleum Fuel &amp; Terminal Co 16</v>
      </c>
      <c r="C1365" s="7" t="str">
        <f>IF(Notes!CA1361="","",Notes!CA1361)</f>
        <v>blendSAF</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processor</v>
      </c>
      <c r="B1366" s="7" t="str">
        <f>IF(Notes!BZ1362="","",Notes!BZ1362)</f>
        <v>Ergon West Virginia Inc</v>
      </c>
      <c r="C1366" s="7" t="str">
        <f>IF(Notes!CA1362="","",Notes!CA1362)</f>
        <v>blendSAF</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processor</v>
      </c>
      <c r="B1367" s="7" t="str">
        <f>IF(Notes!BZ1363="","",Notes!BZ1363)</f>
        <v>Associated Asphalt Martinsburg Llc</v>
      </c>
      <c r="C1367" s="7" t="str">
        <f>IF(Notes!CA1363="","",Notes!CA1363)</f>
        <v>blendSAF</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processor</v>
      </c>
      <c r="B1368" s="7" t="str">
        <f>IF(Notes!BZ1364="","",Notes!BZ1364)</f>
        <v>Sunoco Midstream Llc 11</v>
      </c>
      <c r="C1368" s="7" t="str">
        <f>IF(Notes!CA1364="","",Notes!CA1364)</f>
        <v>blendSAF</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processor</v>
      </c>
      <c r="B1369" s="7" t="str">
        <f>IF(Notes!BZ1365="","",Notes!BZ1365)</f>
        <v>Go-Mart Inc 1</v>
      </c>
      <c r="C1369" s="7" t="str">
        <f>IF(Notes!CA1365="","",Notes!CA1365)</f>
        <v>blendSAF</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processor</v>
      </c>
      <c r="B1370" s="7" t="str">
        <f>IF(Notes!BZ1366="","",Notes!BZ1366)</f>
        <v>Go-Mart Inc 2</v>
      </c>
      <c r="C1370" s="7" t="str">
        <f>IF(Notes!CA1366="","",Notes!CA1366)</f>
        <v>blendSAF</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processor</v>
      </c>
      <c r="B1371" s="7" t="str">
        <f>IF(Notes!BZ1367="","",Notes!BZ1367)</f>
        <v>Mplx Terminals Llc 9</v>
      </c>
      <c r="C1371" s="7" t="str">
        <f>IF(Notes!CA1367="","",Notes!CA1367)</f>
        <v>blendSAF</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processor</v>
      </c>
      <c r="B1372" s="7" t="str">
        <f>IF(Notes!BZ1368="","",Notes!BZ1368)</f>
        <v>Shell Oil Products Us 11</v>
      </c>
      <c r="C1372" s="7" t="str">
        <f>IF(Notes!CA1368="","",Notes!CA1368)</f>
        <v>blendSAF</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processor</v>
      </c>
      <c r="B1373" s="7" t="str">
        <f>IF(Notes!BZ1369="","",Notes!BZ1369)</f>
        <v>Flint Hills Resources Lp 24</v>
      </c>
      <c r="C1373" s="7" t="str">
        <f>IF(Notes!CA1369="","",Notes!CA1369)</f>
        <v>blendSAF</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processor</v>
      </c>
      <c r="B1374" s="7" t="str">
        <f>IF(Notes!BZ1370="","",Notes!BZ1370)</f>
        <v>Flint Hills Resources Lp 17</v>
      </c>
      <c r="C1374" s="7" t="str">
        <f>IF(Notes!CA1370="","",Notes!CA1370)</f>
        <v>blendSAF</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processor</v>
      </c>
      <c r="B1375" s="7" t="str">
        <f>IF(Notes!BZ1371="","",Notes!BZ1371)</f>
        <v>Flint Hills Resources Lp 16</v>
      </c>
      <c r="C1375" s="7" t="str">
        <f>IF(Notes!CA1371="","",Notes!CA1371)</f>
        <v>blendSAF</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processor</v>
      </c>
      <c r="B1376" s="7" t="str">
        <f>IF(Notes!BZ1372="","",Notes!BZ1372)</f>
        <v>Flint Hills Resources Lp 14</v>
      </c>
      <c r="C1376" s="7" t="str">
        <f>IF(Notes!CA1372="","",Notes!CA1372)</f>
        <v>blendSAF</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processor</v>
      </c>
      <c r="B1377" s="7" t="str">
        <f>IF(Notes!BZ1373="","",Notes!BZ1373)</f>
        <v>Flint Hill Resources Lp 2</v>
      </c>
      <c r="C1377" s="7" t="str">
        <f>IF(Notes!CA1373="","",Notes!CA1373)</f>
        <v>blendSAF</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processor</v>
      </c>
      <c r="B1378" s="7" t="str">
        <f>IF(Notes!BZ1374="","",Notes!BZ1374)</f>
        <v>Flint Hill Resources Lp 5</v>
      </c>
      <c r="C1378" s="7" t="str">
        <f>IF(Notes!CA1374="","",Notes!CA1374)</f>
        <v>blendSAF</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processor</v>
      </c>
      <c r="B1379" s="7" t="str">
        <f>IF(Notes!BZ1375="","",Notes!BZ1375)</f>
        <v>Us Venture Inc 15</v>
      </c>
      <c r="C1379" s="7" t="str">
        <f>IF(Notes!CA1375="","",Notes!CA1375)</f>
        <v>blendSAF</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processor</v>
      </c>
      <c r="B1380" s="7" t="str">
        <f>IF(Notes!BZ1376="","",Notes!BZ1376)</f>
        <v>Us Venture Inc 19</v>
      </c>
      <c r="C1380" s="7" t="str">
        <f>IF(Notes!CA1376="","",Notes!CA1376)</f>
        <v>blendSAF</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processor</v>
      </c>
      <c r="B1381" s="7" t="str">
        <f>IF(Notes!BZ1377="","",Notes!BZ1377)</f>
        <v>Us Venture Inc 20</v>
      </c>
      <c r="C1381" s="7" t="str">
        <f>IF(Notes!CA1377="","",Notes!CA1377)</f>
        <v>blendSAF</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processor</v>
      </c>
      <c r="B1382" s="7" t="str">
        <f>IF(Notes!BZ1378="","",Notes!BZ1378)</f>
        <v>Us Venture Inc 21</v>
      </c>
      <c r="C1382" s="7" t="str">
        <f>IF(Notes!CA1378="","",Notes!CA1378)</f>
        <v>blendSAF</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processor</v>
      </c>
      <c r="B1383" s="7" t="str">
        <f>IF(Notes!BZ1379="","",Notes!BZ1379)</f>
        <v>Us Venture Inc 4</v>
      </c>
      <c r="C1383" s="7" t="str">
        <f>IF(Notes!CA1379="","",Notes!CA1379)</f>
        <v>blendSAF</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processor</v>
      </c>
      <c r="B1384" s="7" t="str">
        <f>IF(Notes!BZ1380="","",Notes!BZ1380)</f>
        <v>Us Venture Inc 7</v>
      </c>
      <c r="C1384" s="7" t="str">
        <f>IF(Notes!CA1380="","",Notes!CA1380)</f>
        <v>blendSAF</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processor</v>
      </c>
      <c r="B1385" s="7" t="str">
        <f>IF(Notes!BZ1381="","",Notes!BZ1381)</f>
        <v>Us Venture Inc 8</v>
      </c>
      <c r="C1385" s="7" t="str">
        <f>IF(Notes!CA1381="","",Notes!CA1381)</f>
        <v>blendSAF</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processor</v>
      </c>
      <c r="B1386" s="7" t="str">
        <f>IF(Notes!BZ1382="","",Notes!BZ1382)</f>
        <v>Us Venture Inc 16</v>
      </c>
      <c r="C1386" s="7" t="str">
        <f>IF(Notes!CA1382="","",Notes!CA1382)</f>
        <v>blendSAF</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processor</v>
      </c>
      <c r="B1387" s="7" t="str">
        <f>IF(Notes!BZ1383="","",Notes!BZ1383)</f>
        <v>Us Venture Inc 9</v>
      </c>
      <c r="C1387" s="7" t="str">
        <f>IF(Notes!CA1383="","",Notes!CA1383)</f>
        <v>blendSAF</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processor</v>
      </c>
      <c r="B1388" s="7" t="str">
        <f>IF(Notes!BZ1384="","",Notes!BZ1384)</f>
        <v>Us Venture Inc 17</v>
      </c>
      <c r="C1388" s="7" t="str">
        <f>IF(Notes!CA1384="","",Notes!CA1384)</f>
        <v>blendSAF</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processor</v>
      </c>
      <c r="B1389" s="7" t="str">
        <f>IF(Notes!BZ1385="","",Notes!BZ1385)</f>
        <v>Us Venture Inc 22</v>
      </c>
      <c r="C1389" s="7" t="str">
        <f>IF(Notes!CA1385="","",Notes!CA1385)</f>
        <v>blendSAF</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processor</v>
      </c>
      <c r="B1390" s="7" t="str">
        <f>IF(Notes!BZ1386="","",Notes!BZ1386)</f>
        <v>Us Venture Inc 10</v>
      </c>
      <c r="C1390" s="7" t="str">
        <f>IF(Notes!CA1386="","",Notes!CA1386)</f>
        <v>blendSAF</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processor</v>
      </c>
      <c r="B1391" s="7" t="str">
        <f>IF(Notes!BZ1387="","",Notes!BZ1387)</f>
        <v>Us Venture Inc 23</v>
      </c>
      <c r="C1391" s="7" t="str">
        <f>IF(Notes!CA1387="","",Notes!CA1387)</f>
        <v>blendSAF</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processor</v>
      </c>
      <c r="B1392" s="7" t="str">
        <f>IF(Notes!BZ1388="","",Notes!BZ1388)</f>
        <v>Us Venture Inc 11</v>
      </c>
      <c r="C1392" s="7" t="str">
        <f>IF(Notes!CA1388="","",Notes!CA1388)</f>
        <v>blendSAF</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processor</v>
      </c>
      <c r="B1393" s="7" t="str">
        <f>IF(Notes!BZ1389="","",Notes!BZ1389)</f>
        <v>Us Venture Inc 12</v>
      </c>
      <c r="C1393" s="7" t="str">
        <f>IF(Notes!CA1389="","",Notes!CA1389)</f>
        <v>blendSAF</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processor</v>
      </c>
      <c r="B1394" s="7" t="str">
        <f>IF(Notes!BZ1390="","",Notes!BZ1390)</f>
        <v>Buckeye Terminals Llc 70</v>
      </c>
      <c r="C1394" s="7" t="str">
        <f>IF(Notes!CA1390="","",Notes!CA1390)</f>
        <v>blendSAF</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processor</v>
      </c>
      <c r="B1395" s="7" t="str">
        <f>IF(Notes!BZ1391="","",Notes!BZ1391)</f>
        <v>Chs Inc 3</v>
      </c>
      <c r="C1395" s="7" t="str">
        <f>IF(Notes!CA1391="","",Notes!CA1391)</f>
        <v>blendSAF</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processor</v>
      </c>
      <c r="B1396" s="7" t="str">
        <f>IF(Notes!BZ1392="","",Notes!BZ1392)</f>
        <v>Chs Inc 1</v>
      </c>
      <c r="C1396" s="7" t="str">
        <f>IF(Notes!CA1392="","",Notes!CA1392)</f>
        <v>blendSAF</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processor</v>
      </c>
      <c r="B1397" s="7" t="str">
        <f>IF(Notes!BZ1393="","",Notes!BZ1393)</f>
        <v>Husky Energy 3</v>
      </c>
      <c r="C1397" s="7" t="str">
        <f>IF(Notes!CA1393="","",Notes!CA1393)</f>
        <v>blendSAF</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processor</v>
      </c>
      <c r="B1398" s="7" t="str">
        <f>IF(Notes!BZ1394="","",Notes!BZ1394)</f>
        <v>Husky Energy 4</v>
      </c>
      <c r="C1398" s="7" t="str">
        <f>IF(Notes!CA1394="","",Notes!CA1394)</f>
        <v>blendSAF</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processor</v>
      </c>
      <c r="B1399" s="7" t="str">
        <f>IF(Notes!BZ1395="","",Notes!BZ1395)</f>
        <v>Sunoco Midstream Llc 7</v>
      </c>
      <c r="C1399" s="7" t="str">
        <f>IF(Notes!CA1395="","",Notes!CA1395)</f>
        <v>blendSAF</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processor</v>
      </c>
      <c r="B1400" s="7" t="str">
        <f>IF(Notes!BZ1396="","",Notes!BZ1396)</f>
        <v>Enterprise Terminals &amp; Storage Llc 20</v>
      </c>
      <c r="C1400" s="7" t="str">
        <f>IF(Notes!CA1396="","",Notes!CA1396)</f>
        <v>blendSAF</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processor</v>
      </c>
      <c r="B1401" s="7" t="str">
        <f>IF(Notes!BZ1397="","",Notes!BZ1397)</f>
        <v>Ngl Supply Wholesale Llc 3</v>
      </c>
      <c r="C1401" s="7" t="str">
        <f>IF(Notes!CA1397="","",Notes!CA1397)</f>
        <v>blendSAF</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processor</v>
      </c>
      <c r="B1402" s="7" t="str">
        <f>IF(Notes!BZ1398="","",Notes!BZ1398)</f>
        <v>Midwest Industrial Asphalt Inc</v>
      </c>
      <c r="C1402" s="7" t="str">
        <f>IF(Notes!CA1398="","",Notes!CA1398)</f>
        <v>blendSAF</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processor</v>
      </c>
      <c r="B1403" s="7" t="str">
        <f>IF(Notes!BZ1399="","",Notes!BZ1399)</f>
        <v>Citgo Petro Corp 19</v>
      </c>
      <c r="C1403" s="7" t="str">
        <f>IF(Notes!CA1399="","",Notes!CA1399)</f>
        <v>blendSAF</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processor</v>
      </c>
      <c r="B1404" s="7" t="str">
        <f>IF(Notes!BZ1400="","",Notes!BZ1400)</f>
        <v>Citgo Petro Corp 18</v>
      </c>
      <c r="C1404" s="7" t="str">
        <f>IF(Notes!CA1400="","",Notes!CA1400)</f>
        <v>blendSAF</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processor</v>
      </c>
      <c r="B1405" s="7" t="str">
        <f>IF(Notes!BZ1401="","",Notes!BZ1401)</f>
        <v>Ergon Asphalt &amp; Emulsions Inc 3</v>
      </c>
      <c r="C1405" s="7" t="str">
        <f>IF(Notes!CA1401="","",Notes!CA1401)</f>
        <v>blendSAF</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processor</v>
      </c>
      <c r="B1406" s="7" t="str">
        <f>IF(Notes!BZ1402="","",Notes!BZ1402)</f>
        <v>Equitable Oil Purchasing Co</v>
      </c>
      <c r="C1406" s="7" t="str">
        <f>IF(Notes!CA1402="","",Notes!CA1402)</f>
        <v>blendSAF</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processor</v>
      </c>
      <c r="B1407" s="7" t="str">
        <f>IF(Notes!BZ1403="","",Notes!BZ1403)</f>
        <v>Phillips 66 Company 20</v>
      </c>
      <c r="C1407" s="7" t="str">
        <f>IF(Notes!CA1403="","",Notes!CA1403)</f>
        <v>blendSAF</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processor</v>
      </c>
      <c r="B1408" s="7" t="str">
        <f>IF(Notes!BZ1404="","",Notes!BZ1404)</f>
        <v>Phillips 66 Company 22</v>
      </c>
      <c r="C1408" s="7" t="str">
        <f>IF(Notes!CA1404="","",Notes!CA1404)</f>
        <v>blendSAF</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processor</v>
      </c>
      <c r="B1409" s="7" t="str">
        <f>IF(Notes!BZ1405="","",Notes!BZ1405)</f>
        <v>Phillips 66 Pipeline Llc 5</v>
      </c>
      <c r="C1409" s="7" t="str">
        <f>IF(Notes!CA1405="","",Notes!CA1405)</f>
        <v>blendSAF</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processor</v>
      </c>
      <c r="B1410" s="7" t="str">
        <f>IF(Notes!BZ1406="","",Notes!BZ1406)</f>
        <v>Sinclair Oil Corp 5</v>
      </c>
      <c r="C1410" s="7" t="str">
        <f>IF(Notes!CA1406="","",Notes!CA1406)</f>
        <v>blendSAF</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processor</v>
      </c>
      <c r="B1411" s="7" t="str">
        <f>IF(Notes!BZ1407="","",Notes!BZ1407)</f>
        <v>Sinclair Oil Corp 9</v>
      </c>
      <c r="C1411" s="7" t="str">
        <f>IF(Notes!CA1407="","",Notes!CA1407)</f>
        <v>blendSAF</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processor</v>
      </c>
      <c r="B1412" s="7" t="str">
        <f>IF(Notes!BZ1408="","",Notes!BZ1408)</f>
        <v>Jebro Incorporated 1</v>
      </c>
      <c r="C1412" s="7" t="str">
        <f>IF(Notes!CA1408="","",Notes!CA1408)</f>
        <v>blendSAF</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processor</v>
      </c>
      <c r="B1413" s="7" t="str">
        <f>IF(Notes!BZ1409="","",Notes!BZ1409)</f>
        <v>Magellan Pipeline Co Lp 5</v>
      </c>
      <c r="C1413" s="7" t="str">
        <f>IF(Notes!CA1409="","",Notes!CA1409)</f>
        <v>blendSAF</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ultimate_destination</v>
      </c>
      <c r="B1414" s="7" t="str">
        <f>IF(Notes!BZ1410="","",Notes!BZ1410)</f>
        <v>BHM</v>
      </c>
      <c r="C1414" s="7" t="str">
        <f>IF(Notes!CA1410="","",Notes!CA1410)</f>
        <v>fuel_blend</v>
      </c>
      <c r="D1414" s="7">
        <f>IF(Notes!CB1410="","",Notes!CB1410)</f>
        <v>20000000</v>
      </c>
      <c r="E1414" s="7" t="str">
        <f>IF(Notes!CC1410="","",Notes!CC1410)</f>
        <v>gallons</v>
      </c>
      <c r="F1414" s="7" t="str">
        <f>IF(Notes!CD1410="","",Notes!CD1410)</f>
        <v/>
      </c>
      <c r="G1414" s="7" t="str">
        <f>IF(Notes!CE1410="","",Notes!CE1410)</f>
        <v/>
      </c>
      <c r="H1414" s="7" t="str">
        <f>IF(Notes!CF1410="","",Notes!CF1410)</f>
        <v/>
      </c>
      <c r="I1414" s="7"/>
      <c r="J1414" s="7"/>
      <c r="K1414" s="7"/>
    </row>
    <row r="1415" spans="1:11" x14ac:dyDescent="0.3">
      <c r="A1415" s="7" t="str">
        <f>IF(Notes!BY1411="","",Notes!BY1411)</f>
        <v>ultimate_destination</v>
      </c>
      <c r="B1415" s="7" t="str">
        <f>IF(Notes!BZ1411="","",Notes!BZ1411)</f>
        <v>HSV</v>
      </c>
      <c r="C1415" s="7" t="str">
        <f>IF(Notes!CA1411="","",Notes!CA1411)</f>
        <v>fuel_blend</v>
      </c>
      <c r="D1415" s="7">
        <f>IF(Notes!CB1411="","",Notes!CB1411)</f>
        <v>16000000</v>
      </c>
      <c r="E1415" s="7" t="str">
        <f>IF(Notes!CC1411="","",Notes!CC1411)</f>
        <v>gallons</v>
      </c>
      <c r="F1415" s="7" t="str">
        <f>IF(Notes!CD1411="","",Notes!CD1411)</f>
        <v/>
      </c>
      <c r="G1415" s="7" t="str">
        <f>IF(Notes!CE1411="","",Notes!CE1411)</f>
        <v/>
      </c>
      <c r="H1415" s="7" t="str">
        <f>IF(Notes!CF1411="","",Notes!CF1411)</f>
        <v/>
      </c>
      <c r="I1415" s="7"/>
      <c r="J1415" s="7"/>
      <c r="K1415" s="7"/>
    </row>
    <row r="1416" spans="1:11" x14ac:dyDescent="0.3">
      <c r="A1416" s="7" t="str">
        <f>IF(Notes!BY1412="","",Notes!BY1412)</f>
        <v>ultimate_destination</v>
      </c>
      <c r="B1416" s="7" t="str">
        <f>IF(Notes!BZ1412="","",Notes!BZ1412)</f>
        <v>ANC</v>
      </c>
      <c r="C1416" s="7" t="str">
        <f>IF(Notes!CA1412="","",Notes!CA1412)</f>
        <v>fuel_blend</v>
      </c>
      <c r="D1416" s="7">
        <f>IF(Notes!CB1412="","",Notes!CB1412)</f>
        <v>847000000</v>
      </c>
      <c r="E1416" s="7" t="str">
        <f>IF(Notes!CC1412="","",Notes!CC1412)</f>
        <v>gallons</v>
      </c>
      <c r="F1416" s="7" t="str">
        <f>IF(Notes!CD1412="","",Notes!CD1412)</f>
        <v/>
      </c>
      <c r="G1416" s="7" t="str">
        <f>IF(Notes!CE1412="","",Notes!CE1412)</f>
        <v/>
      </c>
      <c r="H1416" s="7" t="str">
        <f>IF(Notes!CF1412="","",Notes!CF1412)</f>
        <v/>
      </c>
      <c r="I1416" s="7"/>
      <c r="J1416" s="7"/>
      <c r="K1416" s="7"/>
    </row>
    <row r="1417" spans="1:11" x14ac:dyDescent="0.3">
      <c r="A1417" s="7" t="str">
        <f>IF(Notes!BY1413="","",Notes!BY1413)</f>
        <v>ultimate_destination</v>
      </c>
      <c r="B1417" s="7" t="str">
        <f>IF(Notes!BZ1413="","",Notes!BZ1413)</f>
        <v>JNU</v>
      </c>
      <c r="C1417" s="7" t="str">
        <f>IF(Notes!CA1413="","",Notes!CA1413)</f>
        <v>fuel_blend</v>
      </c>
      <c r="D1417" s="7">
        <f>IF(Notes!CB1413="","",Notes!CB1413)</f>
        <v>4000000</v>
      </c>
      <c r="E1417" s="7" t="str">
        <f>IF(Notes!CC1413="","",Notes!CC1413)</f>
        <v>gallons</v>
      </c>
      <c r="F1417" s="7" t="str">
        <f>IF(Notes!CD1413="","",Notes!CD1413)</f>
        <v/>
      </c>
      <c r="G1417" s="7" t="str">
        <f>IF(Notes!CE1413="","",Notes!CE1413)</f>
        <v/>
      </c>
      <c r="H1417" s="7" t="str">
        <f>IF(Notes!CF1413="","",Notes!CF1413)</f>
        <v/>
      </c>
      <c r="I1417" s="7"/>
      <c r="J1417" s="7"/>
      <c r="K1417" s="7"/>
    </row>
    <row r="1418" spans="1:11" x14ac:dyDescent="0.3">
      <c r="A1418" s="7" t="str">
        <f>IF(Notes!BY1414="","",Notes!BY1414)</f>
        <v>ultimate_destination</v>
      </c>
      <c r="B1418" s="7" t="str">
        <f>IF(Notes!BZ1414="","",Notes!BZ1414)</f>
        <v>PHX</v>
      </c>
      <c r="C1418" s="7" t="str">
        <f>IF(Notes!CA1414="","",Notes!CA1414)</f>
        <v>fuel_blend</v>
      </c>
      <c r="D1418" s="7">
        <f>IF(Notes!CB1414="","",Notes!CB1414)</f>
        <v>462000000</v>
      </c>
      <c r="E1418" s="7" t="str">
        <f>IF(Notes!CC1414="","",Notes!CC1414)</f>
        <v>gallons</v>
      </c>
      <c r="F1418" s="7" t="str">
        <f>IF(Notes!CD1414="","",Notes!CD1414)</f>
        <v/>
      </c>
      <c r="G1418" s="7" t="str">
        <f>IF(Notes!CE1414="","",Notes!CE1414)</f>
        <v/>
      </c>
      <c r="H1418" s="7" t="str">
        <f>IF(Notes!CF1414="","",Notes!CF1414)</f>
        <v/>
      </c>
      <c r="I1418" s="7"/>
      <c r="J1418" s="7"/>
      <c r="K1418" s="7"/>
    </row>
    <row r="1419" spans="1:11" x14ac:dyDescent="0.3">
      <c r="A1419" s="7" t="str">
        <f>IF(Notes!BY1415="","",Notes!BY1415)</f>
        <v>ultimate_destination</v>
      </c>
      <c r="B1419" s="7" t="str">
        <f>IF(Notes!BZ1415="","",Notes!BZ1415)</f>
        <v>TUS</v>
      </c>
      <c r="C1419" s="7" t="str">
        <f>IF(Notes!CA1415="","",Notes!CA1415)</f>
        <v>fuel_blend</v>
      </c>
      <c r="D1419" s="7">
        <f>IF(Notes!CB1415="","",Notes!CB1415)</f>
        <v>26000000</v>
      </c>
      <c r="E1419" s="7" t="str">
        <f>IF(Notes!CC1415="","",Notes!CC1415)</f>
        <v>gallons</v>
      </c>
      <c r="F1419" s="7" t="str">
        <f>IF(Notes!CD1415="","",Notes!CD1415)</f>
        <v/>
      </c>
      <c r="G1419" s="7" t="str">
        <f>IF(Notes!CE1415="","",Notes!CE1415)</f>
        <v/>
      </c>
      <c r="H1419" s="7" t="str">
        <f>IF(Notes!CF1415="","",Notes!CF1415)</f>
        <v/>
      </c>
      <c r="I1419" s="7"/>
      <c r="J1419" s="7"/>
      <c r="K1419" s="7"/>
    </row>
    <row r="1420" spans="1:11" x14ac:dyDescent="0.3">
      <c r="A1420" s="7" t="str">
        <f>IF(Notes!BY1416="","",Notes!BY1416)</f>
        <v>ultimate_destination</v>
      </c>
      <c r="B1420" s="7" t="str">
        <f>IF(Notes!BZ1416="","",Notes!BZ1416)</f>
        <v>XNA</v>
      </c>
      <c r="C1420" s="7" t="str">
        <f>IF(Notes!CA1416="","",Notes!CA1416)</f>
        <v>fuel_blend</v>
      </c>
      <c r="D1420" s="7">
        <f>IF(Notes!CB1416="","",Notes!CB1416)</f>
        <v>16000000</v>
      </c>
      <c r="E1420" s="7" t="str">
        <f>IF(Notes!CC1416="","",Notes!CC1416)</f>
        <v>gallons</v>
      </c>
      <c r="F1420" s="7" t="str">
        <f>IF(Notes!CD1416="","",Notes!CD1416)</f>
        <v/>
      </c>
      <c r="G1420" s="7" t="str">
        <f>IF(Notes!CE1416="","",Notes!CE1416)</f>
        <v/>
      </c>
      <c r="H1420" s="7" t="str">
        <f>IF(Notes!CF1416="","",Notes!CF1416)</f>
        <v/>
      </c>
      <c r="I1420" s="7"/>
      <c r="J1420" s="7"/>
      <c r="K1420" s="7"/>
    </row>
    <row r="1421" spans="1:11" x14ac:dyDescent="0.3">
      <c r="A1421" s="7" t="str">
        <f>IF(Notes!BY1417="","",Notes!BY1417)</f>
        <v>ultimate_destination</v>
      </c>
      <c r="B1421" s="7" t="str">
        <f>IF(Notes!BZ1417="","",Notes!BZ1417)</f>
        <v>BUR</v>
      </c>
      <c r="C1421" s="7" t="str">
        <f>IF(Notes!CA1417="","",Notes!CA1417)</f>
        <v>fuel_blend</v>
      </c>
      <c r="D1421" s="7">
        <f>IF(Notes!CB1417="","",Notes!CB1417)</f>
        <v>53000000</v>
      </c>
      <c r="E1421" s="7" t="str">
        <f>IF(Notes!CC1417="","",Notes!CC1417)</f>
        <v>gallons</v>
      </c>
      <c r="F1421" s="7" t="str">
        <f>IF(Notes!CD1417="","",Notes!CD1417)</f>
        <v/>
      </c>
      <c r="G1421" s="7" t="str">
        <f>IF(Notes!CE1417="","",Notes!CE1417)</f>
        <v/>
      </c>
      <c r="H1421" s="7" t="str">
        <f>IF(Notes!CF1417="","",Notes!CF1417)</f>
        <v/>
      </c>
      <c r="I1421" s="7"/>
      <c r="J1421" s="7"/>
      <c r="K1421" s="7"/>
    </row>
    <row r="1422" spans="1:11" x14ac:dyDescent="0.3">
      <c r="A1422" s="7" t="str">
        <f>IF(Notes!BY1418="","",Notes!BY1418)</f>
        <v>ultimate_destination</v>
      </c>
      <c r="B1422" s="7" t="str">
        <f>IF(Notes!BZ1418="","",Notes!BZ1418)</f>
        <v>LAX</v>
      </c>
      <c r="C1422" s="7" t="str">
        <f>IF(Notes!CA1418="","",Notes!CA1418)</f>
        <v>fuel_blend</v>
      </c>
      <c r="D1422" s="7">
        <f>IF(Notes!CB1418="","",Notes!CB1418)</f>
        <v>1739000000</v>
      </c>
      <c r="E1422" s="7" t="str">
        <f>IF(Notes!CC1418="","",Notes!CC1418)</f>
        <v>gallons</v>
      </c>
      <c r="F1422" s="7" t="str">
        <f>IF(Notes!CD1418="","",Notes!CD1418)</f>
        <v/>
      </c>
      <c r="G1422" s="7" t="str">
        <f>IF(Notes!CE1418="","",Notes!CE1418)</f>
        <v/>
      </c>
      <c r="H1422" s="7" t="str">
        <f>IF(Notes!CF1418="","",Notes!CF1418)</f>
        <v/>
      </c>
      <c r="I1422" s="7"/>
      <c r="J1422" s="7"/>
      <c r="K1422" s="7"/>
    </row>
    <row r="1423" spans="1:11" x14ac:dyDescent="0.3">
      <c r="A1423" s="7" t="str">
        <f>IF(Notes!BY1419="","",Notes!BY1419)</f>
        <v>ultimate_destination</v>
      </c>
      <c r="B1423" s="7" t="str">
        <f>IF(Notes!BZ1419="","",Notes!BZ1419)</f>
        <v>LGB</v>
      </c>
      <c r="C1423" s="7" t="str">
        <f>IF(Notes!CA1419="","",Notes!CA1419)</f>
        <v>fuel_blend</v>
      </c>
      <c r="D1423" s="7">
        <f>IF(Notes!CB1419="","",Notes!CB1419)</f>
        <v>27000000</v>
      </c>
      <c r="E1423" s="7" t="str">
        <f>IF(Notes!CC1419="","",Notes!CC1419)</f>
        <v>gallons</v>
      </c>
      <c r="F1423" s="7" t="str">
        <f>IF(Notes!CD1419="","",Notes!CD1419)</f>
        <v/>
      </c>
      <c r="G1423" s="7" t="str">
        <f>IF(Notes!CE1419="","",Notes!CE1419)</f>
        <v/>
      </c>
      <c r="H1423" s="7" t="str">
        <f>IF(Notes!CF1419="","",Notes!CF1419)</f>
        <v/>
      </c>
      <c r="I1423" s="7"/>
      <c r="J1423" s="7"/>
      <c r="K1423" s="7"/>
    </row>
    <row r="1424" spans="1:11" x14ac:dyDescent="0.3">
      <c r="A1424" s="7" t="str">
        <f>IF(Notes!BY1420="","",Notes!BY1420)</f>
        <v>ultimate_destination</v>
      </c>
      <c r="B1424" s="7" t="str">
        <f>IF(Notes!BZ1420="","",Notes!BZ1420)</f>
        <v>OAK</v>
      </c>
      <c r="C1424" s="7" t="str">
        <f>IF(Notes!CA1420="","",Notes!CA1420)</f>
        <v>fuel_blend</v>
      </c>
      <c r="D1424" s="7">
        <f>IF(Notes!CB1420="","",Notes!CB1420)</f>
        <v>97000000</v>
      </c>
      <c r="E1424" s="7" t="str">
        <f>IF(Notes!CC1420="","",Notes!CC1420)</f>
        <v>gallons</v>
      </c>
      <c r="F1424" s="7" t="str">
        <f>IF(Notes!CD1420="","",Notes!CD1420)</f>
        <v/>
      </c>
      <c r="G1424" s="7" t="str">
        <f>IF(Notes!CE1420="","",Notes!CE1420)</f>
        <v/>
      </c>
      <c r="H1424" s="7" t="str">
        <f>IF(Notes!CF1420="","",Notes!CF1420)</f>
        <v/>
      </c>
      <c r="I1424" s="7"/>
      <c r="J1424" s="7"/>
      <c r="K1424" s="7"/>
    </row>
    <row r="1425" spans="1:11" x14ac:dyDescent="0.3">
      <c r="A1425" s="7" t="str">
        <f>IF(Notes!BY1421="","",Notes!BY1421)</f>
        <v>ultimate_destination</v>
      </c>
      <c r="B1425" s="7" t="str">
        <f>IF(Notes!BZ1421="","",Notes!BZ1421)</f>
        <v>ONT</v>
      </c>
      <c r="C1425" s="7" t="str">
        <f>IF(Notes!CA1421="","",Notes!CA1421)</f>
        <v>fuel_blend</v>
      </c>
      <c r="D1425" s="7">
        <f>IF(Notes!CB1421="","",Notes!CB1421)</f>
        <v>132000000</v>
      </c>
      <c r="E1425" s="7" t="str">
        <f>IF(Notes!CC1421="","",Notes!CC1421)</f>
        <v>gallons</v>
      </c>
      <c r="F1425" s="7" t="str">
        <f>IF(Notes!CD1421="","",Notes!CD1421)</f>
        <v/>
      </c>
      <c r="G1425" s="7" t="str">
        <f>IF(Notes!CE1421="","",Notes!CE1421)</f>
        <v/>
      </c>
      <c r="H1425" s="7" t="str">
        <f>IF(Notes!CF1421="","",Notes!CF1421)</f>
        <v/>
      </c>
      <c r="I1425" s="7"/>
      <c r="J1425" s="7"/>
      <c r="K1425" s="7"/>
    </row>
    <row r="1426" spans="1:11" x14ac:dyDescent="0.3">
      <c r="A1426" s="7" t="str">
        <f>IF(Notes!BY1422="","",Notes!BY1422)</f>
        <v>ultimate_destination</v>
      </c>
      <c r="B1426" s="7" t="str">
        <f>IF(Notes!BZ1422="","",Notes!BZ1422)</f>
        <v>PSP</v>
      </c>
      <c r="C1426" s="7" t="str">
        <f>IF(Notes!CA1422="","",Notes!CA1422)</f>
        <v>fuel_blend</v>
      </c>
      <c r="D1426" s="7">
        <f>IF(Notes!CB1422="","",Notes!CB1422)</f>
        <v>26000000</v>
      </c>
      <c r="E1426" s="7" t="str">
        <f>IF(Notes!CC1422="","",Notes!CC1422)</f>
        <v>gallons</v>
      </c>
      <c r="F1426" s="7" t="str">
        <f>IF(Notes!CD1422="","",Notes!CD1422)</f>
        <v/>
      </c>
      <c r="G1426" s="7" t="str">
        <f>IF(Notes!CE1422="","",Notes!CE1422)</f>
        <v/>
      </c>
      <c r="H1426" s="7" t="str">
        <f>IF(Notes!CF1422="","",Notes!CF1422)</f>
        <v/>
      </c>
      <c r="I1426" s="7"/>
      <c r="J1426" s="7"/>
      <c r="K1426" s="7"/>
    </row>
    <row r="1427" spans="1:11" x14ac:dyDescent="0.3">
      <c r="A1427" s="7" t="str">
        <f>IF(Notes!BY1423="","",Notes!BY1423)</f>
        <v>ultimate_destination</v>
      </c>
      <c r="B1427" s="7" t="str">
        <f>IF(Notes!BZ1423="","",Notes!BZ1423)</f>
        <v>SAN</v>
      </c>
      <c r="C1427" s="7" t="str">
        <f>IF(Notes!CA1423="","",Notes!CA1423)</f>
        <v>fuel_blend</v>
      </c>
      <c r="D1427" s="7">
        <f>IF(Notes!CB1423="","",Notes!CB1423)</f>
        <v>216000000</v>
      </c>
      <c r="E1427" s="7" t="str">
        <f>IF(Notes!CC1423="","",Notes!CC1423)</f>
        <v>gallons</v>
      </c>
      <c r="F1427" s="7" t="str">
        <f>IF(Notes!CD1423="","",Notes!CD1423)</f>
        <v/>
      </c>
      <c r="G1427" s="7" t="str">
        <f>IF(Notes!CE1423="","",Notes!CE1423)</f>
        <v/>
      </c>
      <c r="H1427" s="7" t="str">
        <f>IF(Notes!CF1423="","",Notes!CF1423)</f>
        <v/>
      </c>
      <c r="I1427" s="7"/>
      <c r="J1427" s="7"/>
      <c r="K1427" s="7"/>
    </row>
    <row r="1428" spans="1:11" x14ac:dyDescent="0.3">
      <c r="A1428" s="7" t="str">
        <f>IF(Notes!BY1424="","",Notes!BY1424)</f>
        <v>ultimate_destination</v>
      </c>
      <c r="B1428" s="7" t="str">
        <f>IF(Notes!BZ1424="","",Notes!BZ1424)</f>
        <v>SBA</v>
      </c>
      <c r="C1428" s="7" t="str">
        <f>IF(Notes!CA1424="","",Notes!CA1424)</f>
        <v>fuel_blend</v>
      </c>
      <c r="D1428" s="7">
        <f>IF(Notes!CB1424="","",Notes!CB1424)</f>
        <v>11000000</v>
      </c>
      <c r="E1428" s="7" t="str">
        <f>IF(Notes!CC1424="","",Notes!CC1424)</f>
        <v>gallons</v>
      </c>
      <c r="F1428" s="7" t="str">
        <f>IF(Notes!CD1424="","",Notes!CD1424)</f>
        <v/>
      </c>
      <c r="G1428" s="7" t="str">
        <f>IF(Notes!CE1424="","",Notes!CE1424)</f>
        <v/>
      </c>
      <c r="H1428" s="7" t="str">
        <f>IF(Notes!CF1424="","",Notes!CF1424)</f>
        <v/>
      </c>
      <c r="I1428" s="7"/>
      <c r="J1428" s="7"/>
      <c r="K1428" s="7"/>
    </row>
    <row r="1429" spans="1:11" x14ac:dyDescent="0.3">
      <c r="A1429" s="7" t="str">
        <f>IF(Notes!BY1425="","",Notes!BY1425)</f>
        <v>ultimate_destination</v>
      </c>
      <c r="B1429" s="7" t="str">
        <f>IF(Notes!BZ1425="","",Notes!BZ1425)</f>
        <v>SFO</v>
      </c>
      <c r="C1429" s="7" t="str">
        <f>IF(Notes!CA1425="","",Notes!CA1425)</f>
        <v>fuel_blend</v>
      </c>
      <c r="D1429" s="7">
        <f>IF(Notes!CB1425="","",Notes!CB1425)</f>
        <v>1115000000</v>
      </c>
      <c r="E1429" s="7" t="str">
        <f>IF(Notes!CC1425="","",Notes!CC1425)</f>
        <v>gallons</v>
      </c>
      <c r="F1429" s="7" t="str">
        <f>IF(Notes!CD1425="","",Notes!CD1425)</f>
        <v/>
      </c>
      <c r="G1429" s="7" t="str">
        <f>IF(Notes!CE1425="","",Notes!CE1425)</f>
        <v/>
      </c>
      <c r="H1429" s="7" t="str">
        <f>IF(Notes!CF1425="","",Notes!CF1425)</f>
        <v/>
      </c>
      <c r="I1429" s="7"/>
      <c r="J1429" s="7"/>
      <c r="K1429" s="7"/>
    </row>
    <row r="1430" spans="1:11" x14ac:dyDescent="0.3">
      <c r="A1430" s="7" t="str">
        <f>IF(Notes!BY1426="","",Notes!BY1426)</f>
        <v>ultimate_destination</v>
      </c>
      <c r="B1430" s="7" t="str">
        <f>IF(Notes!BZ1426="","",Notes!BZ1426)</f>
        <v>SJC</v>
      </c>
      <c r="C1430" s="7" t="str">
        <f>IF(Notes!CA1426="","",Notes!CA1426)</f>
        <v>fuel_blend</v>
      </c>
      <c r="D1430" s="7">
        <f>IF(Notes!CB1426="","",Notes!CB1426)</f>
        <v>79000000</v>
      </c>
      <c r="E1430" s="7" t="str">
        <f>IF(Notes!CC1426="","",Notes!CC1426)</f>
        <v>gallons</v>
      </c>
      <c r="F1430" s="7" t="str">
        <f>IF(Notes!CD1426="","",Notes!CD1426)</f>
        <v/>
      </c>
      <c r="G1430" s="7" t="str">
        <f>IF(Notes!CE1426="","",Notes!CE1426)</f>
        <v/>
      </c>
      <c r="H1430" s="7" t="str">
        <f>IF(Notes!CF1426="","",Notes!CF1426)</f>
        <v/>
      </c>
      <c r="I1430" s="7"/>
      <c r="J1430" s="7"/>
      <c r="K1430" s="7"/>
    </row>
    <row r="1431" spans="1:11" x14ac:dyDescent="0.3">
      <c r="A1431" s="7" t="str">
        <f>IF(Notes!BY1427="","",Notes!BY1427)</f>
        <v>ultimate_destination</v>
      </c>
      <c r="B1431" s="7" t="str">
        <f>IF(Notes!BZ1427="","",Notes!BZ1427)</f>
        <v>SMF</v>
      </c>
      <c r="C1431" s="7" t="str">
        <f>IF(Notes!CA1427="","",Notes!CA1427)</f>
        <v>fuel_blend</v>
      </c>
      <c r="D1431" s="7">
        <f>IF(Notes!CB1427="","",Notes!CB1427)</f>
        <v>99000000</v>
      </c>
      <c r="E1431" s="7" t="str">
        <f>IF(Notes!CC1427="","",Notes!CC1427)</f>
        <v>gallons</v>
      </c>
      <c r="F1431" s="7" t="str">
        <f>IF(Notes!CD1427="","",Notes!CD1427)</f>
        <v/>
      </c>
      <c r="G1431" s="7" t="str">
        <f>IF(Notes!CE1427="","",Notes!CE1427)</f>
        <v/>
      </c>
      <c r="H1431" s="7" t="str">
        <f>IF(Notes!CF1427="","",Notes!CF1427)</f>
        <v/>
      </c>
      <c r="I1431" s="7"/>
      <c r="J1431" s="7"/>
      <c r="K1431" s="7"/>
    </row>
    <row r="1432" spans="1:11" x14ac:dyDescent="0.3">
      <c r="A1432" s="7" t="str">
        <f>IF(Notes!BY1428="","",Notes!BY1428)</f>
        <v>ultimate_destination</v>
      </c>
      <c r="B1432" s="7" t="str">
        <f>IF(Notes!BZ1428="","",Notes!BZ1428)</f>
        <v>SNA</v>
      </c>
      <c r="C1432" s="7" t="str">
        <f>IF(Notes!CA1428="","",Notes!CA1428)</f>
        <v>fuel_blend</v>
      </c>
      <c r="D1432" s="7">
        <f>IF(Notes!CB1428="","",Notes!CB1428)</f>
        <v>72000000</v>
      </c>
      <c r="E1432" s="7" t="str">
        <f>IF(Notes!CC1428="","",Notes!CC1428)</f>
        <v>gallons</v>
      </c>
      <c r="F1432" s="7" t="str">
        <f>IF(Notes!CD1428="","",Notes!CD1428)</f>
        <v/>
      </c>
      <c r="G1432" s="7" t="str">
        <f>IF(Notes!CE1428="","",Notes!CE1428)</f>
        <v/>
      </c>
      <c r="H1432" s="7" t="str">
        <f>IF(Notes!CF1428="","",Notes!CF1428)</f>
        <v/>
      </c>
      <c r="I1432" s="7"/>
      <c r="J1432" s="7"/>
      <c r="K1432" s="7"/>
    </row>
    <row r="1433" spans="1:11" x14ac:dyDescent="0.3">
      <c r="A1433" s="7" t="str">
        <f>IF(Notes!BY1429="","",Notes!BY1429)</f>
        <v>ultimate_destination</v>
      </c>
      <c r="B1433" s="7" t="str">
        <f>IF(Notes!BZ1429="","",Notes!BZ1429)</f>
        <v>COS</v>
      </c>
      <c r="C1433" s="7" t="str">
        <f>IF(Notes!CA1429="","",Notes!CA1429)</f>
        <v>fuel_blend</v>
      </c>
      <c r="D1433" s="7">
        <f>IF(Notes!CB1429="","",Notes!CB1429)</f>
        <v>14000000</v>
      </c>
      <c r="E1433" s="7" t="str">
        <f>IF(Notes!CC1429="","",Notes!CC1429)</f>
        <v>gallons</v>
      </c>
      <c r="F1433" s="7" t="str">
        <f>IF(Notes!CD1429="","",Notes!CD1429)</f>
        <v/>
      </c>
      <c r="G1433" s="7" t="str">
        <f>IF(Notes!CE1429="","",Notes!CE1429)</f>
        <v/>
      </c>
      <c r="H1433" s="7" t="str">
        <f>IF(Notes!CF1429="","",Notes!CF1429)</f>
        <v/>
      </c>
      <c r="I1433" s="7"/>
      <c r="J1433" s="7"/>
      <c r="K1433" s="7"/>
    </row>
    <row r="1434" spans="1:11" x14ac:dyDescent="0.3">
      <c r="A1434" s="7" t="str">
        <f>IF(Notes!BY1430="","",Notes!BY1430)</f>
        <v>ultimate_destination</v>
      </c>
      <c r="B1434" s="7" t="str">
        <f>IF(Notes!BZ1430="","",Notes!BZ1430)</f>
        <v>DEN</v>
      </c>
      <c r="C1434" s="7" t="str">
        <f>IF(Notes!CA1430="","",Notes!CA1430)</f>
        <v>fuel_blend</v>
      </c>
      <c r="D1434" s="7">
        <f>IF(Notes!CB1430="","",Notes!CB1430)</f>
        <v>556000000</v>
      </c>
      <c r="E1434" s="7" t="str">
        <f>IF(Notes!CC1430="","",Notes!CC1430)</f>
        <v>gallons</v>
      </c>
      <c r="F1434" s="7" t="str">
        <f>IF(Notes!CD1430="","",Notes!CD1430)</f>
        <v/>
      </c>
      <c r="G1434" s="7" t="str">
        <f>IF(Notes!CE1430="","",Notes!CE1430)</f>
        <v/>
      </c>
      <c r="H1434" s="7" t="str">
        <f>IF(Notes!CF1430="","",Notes!CF1430)</f>
        <v/>
      </c>
      <c r="I1434" s="7"/>
      <c r="J1434" s="7"/>
      <c r="K1434" s="7"/>
    </row>
    <row r="1435" spans="1:11" x14ac:dyDescent="0.3">
      <c r="A1435" s="7" t="str">
        <f>IF(Notes!BY1431="","",Notes!BY1431)</f>
        <v>ultimate_destination</v>
      </c>
      <c r="B1435" s="7" t="str">
        <f>IF(Notes!BZ1431="","",Notes!BZ1431)</f>
        <v>BDL</v>
      </c>
      <c r="C1435" s="7" t="str">
        <f>IF(Notes!CA1431="","",Notes!CA1431)</f>
        <v>fuel_blend</v>
      </c>
      <c r="D1435" s="7">
        <f>IF(Notes!CB1431="","",Notes!CB1431)</f>
        <v>56000000</v>
      </c>
      <c r="E1435" s="7" t="str">
        <f>IF(Notes!CC1431="","",Notes!CC1431)</f>
        <v>gallons</v>
      </c>
      <c r="F1435" s="7" t="str">
        <f>IF(Notes!CD1431="","",Notes!CD1431)</f>
        <v/>
      </c>
      <c r="G1435" s="7" t="str">
        <f>IF(Notes!CE1431="","",Notes!CE1431)</f>
        <v/>
      </c>
      <c r="H1435" s="7" t="str">
        <f>IF(Notes!CF1431="","",Notes!CF1431)</f>
        <v/>
      </c>
      <c r="I1435" s="7"/>
      <c r="J1435" s="7"/>
      <c r="K1435" s="7"/>
    </row>
    <row r="1436" spans="1:11" x14ac:dyDescent="0.3">
      <c r="A1436" s="7" t="str">
        <f>IF(Notes!BY1432="","",Notes!BY1432)</f>
        <v>ultimate_destination</v>
      </c>
      <c r="B1436" s="7" t="str">
        <f>IF(Notes!BZ1432="","",Notes!BZ1432)</f>
        <v>HVN</v>
      </c>
      <c r="C1436" s="7" t="str">
        <f>IF(Notes!CA1432="","",Notes!CA1432)</f>
        <v>fuel_blend</v>
      </c>
      <c r="D1436" s="7">
        <f>IF(Notes!CB1432="","",Notes!CB1432)</f>
        <v>9000000</v>
      </c>
      <c r="E1436" s="7" t="str">
        <f>IF(Notes!CC1432="","",Notes!CC1432)</f>
        <v>gallons</v>
      </c>
      <c r="F1436" s="7" t="str">
        <f>IF(Notes!CD1432="","",Notes!CD1432)</f>
        <v/>
      </c>
      <c r="G1436" s="7" t="str">
        <f>IF(Notes!CE1432="","",Notes!CE1432)</f>
        <v/>
      </c>
      <c r="H1436" s="7" t="str">
        <f>IF(Notes!CF1432="","",Notes!CF1432)</f>
        <v/>
      </c>
      <c r="I1436" s="7"/>
      <c r="J1436" s="7"/>
      <c r="K1436" s="7"/>
    </row>
    <row r="1437" spans="1:11" x14ac:dyDescent="0.3">
      <c r="A1437" s="7" t="str">
        <f>IF(Notes!BY1433="","",Notes!BY1433)</f>
        <v>ultimate_destination</v>
      </c>
      <c r="B1437" s="7" t="str">
        <f>IF(Notes!BZ1433="","",Notes!BZ1433)</f>
        <v>ECP</v>
      </c>
      <c r="C1437" s="7" t="str">
        <f>IF(Notes!CA1433="","",Notes!CA1433)</f>
        <v>fuel_blend</v>
      </c>
      <c r="D1437" s="7">
        <f>IF(Notes!CB1433="","",Notes!CB1433)</f>
        <v>11000000</v>
      </c>
      <c r="E1437" s="7" t="str">
        <f>IF(Notes!CC1433="","",Notes!CC1433)</f>
        <v>gallons</v>
      </c>
      <c r="F1437" s="7" t="str">
        <f>IF(Notes!CD1433="","",Notes!CD1433)</f>
        <v/>
      </c>
      <c r="G1437" s="7" t="str">
        <f>IF(Notes!CE1433="","",Notes!CE1433)</f>
        <v/>
      </c>
      <c r="H1437" s="7" t="str">
        <f>IF(Notes!CF1433="","",Notes!CF1433)</f>
        <v/>
      </c>
      <c r="I1437" s="7"/>
      <c r="J1437" s="7"/>
      <c r="K1437" s="7"/>
    </row>
    <row r="1438" spans="1:11" x14ac:dyDescent="0.3">
      <c r="A1438" s="7" t="str">
        <f>IF(Notes!BY1434="","",Notes!BY1434)</f>
        <v>ultimate_destination</v>
      </c>
      <c r="B1438" s="7" t="str">
        <f>IF(Notes!BZ1434="","",Notes!BZ1434)</f>
        <v>FLL</v>
      </c>
      <c r="C1438" s="7" t="str">
        <f>IF(Notes!CA1434="","",Notes!CA1434)</f>
        <v>fuel_blend</v>
      </c>
      <c r="D1438" s="7">
        <f>IF(Notes!CB1434="","",Notes!CB1434)</f>
        <v>291000000</v>
      </c>
      <c r="E1438" s="7" t="str">
        <f>IF(Notes!CC1434="","",Notes!CC1434)</f>
        <v>gallons</v>
      </c>
      <c r="F1438" s="7" t="str">
        <f>IF(Notes!CD1434="","",Notes!CD1434)</f>
        <v/>
      </c>
      <c r="G1438" s="7" t="str">
        <f>IF(Notes!CE1434="","",Notes!CE1434)</f>
        <v/>
      </c>
      <c r="H1438" s="7" t="str">
        <f>IF(Notes!CF1434="","",Notes!CF1434)</f>
        <v/>
      </c>
      <c r="I1438" s="7"/>
      <c r="J1438" s="7"/>
      <c r="K1438" s="7"/>
    </row>
    <row r="1439" spans="1:11" x14ac:dyDescent="0.3">
      <c r="A1439" s="7" t="str">
        <f>IF(Notes!BY1435="","",Notes!BY1435)</f>
        <v>ultimate_destination</v>
      </c>
      <c r="B1439" s="7" t="str">
        <f>IF(Notes!BZ1435="","",Notes!BZ1435)</f>
        <v>JAX</v>
      </c>
      <c r="C1439" s="7" t="str">
        <f>IF(Notes!CA1435="","",Notes!CA1435)</f>
        <v>fuel_blend</v>
      </c>
      <c r="D1439" s="7">
        <f>IF(Notes!CB1435="","",Notes!CB1435)</f>
        <v>44000000</v>
      </c>
      <c r="E1439" s="7" t="str">
        <f>IF(Notes!CC1435="","",Notes!CC1435)</f>
        <v>gallons</v>
      </c>
      <c r="F1439" s="7" t="str">
        <f>IF(Notes!CD1435="","",Notes!CD1435)</f>
        <v/>
      </c>
      <c r="G1439" s="7" t="str">
        <f>IF(Notes!CE1435="","",Notes!CE1435)</f>
        <v/>
      </c>
      <c r="H1439" s="7" t="str">
        <f>IF(Notes!CF1435="","",Notes!CF1435)</f>
        <v/>
      </c>
      <c r="I1439" s="7"/>
      <c r="J1439" s="7"/>
      <c r="K1439" s="7"/>
    </row>
    <row r="1440" spans="1:11" x14ac:dyDescent="0.3">
      <c r="A1440" s="7" t="str">
        <f>IF(Notes!BY1436="","",Notes!BY1436)</f>
        <v>ultimate_destination</v>
      </c>
      <c r="B1440" s="7" t="str">
        <f>IF(Notes!BZ1436="","",Notes!BZ1436)</f>
        <v>MCO</v>
      </c>
      <c r="C1440" s="7" t="str">
        <f>IF(Notes!CA1436="","",Notes!CA1436)</f>
        <v>fuel_blend</v>
      </c>
      <c r="D1440" s="7">
        <f>IF(Notes!CB1436="","",Notes!CB1436)</f>
        <v>462000000</v>
      </c>
      <c r="E1440" s="7" t="str">
        <f>IF(Notes!CC1436="","",Notes!CC1436)</f>
        <v>gallons</v>
      </c>
      <c r="F1440" s="7" t="str">
        <f>IF(Notes!CD1436="","",Notes!CD1436)</f>
        <v/>
      </c>
      <c r="G1440" s="7" t="str">
        <f>IF(Notes!CE1436="","",Notes!CE1436)</f>
        <v/>
      </c>
      <c r="H1440" s="7" t="str">
        <f>IF(Notes!CF1436="","",Notes!CF1436)</f>
        <v/>
      </c>
      <c r="I1440" s="7"/>
      <c r="J1440" s="7"/>
      <c r="K1440" s="7"/>
    </row>
    <row r="1441" spans="1:11" x14ac:dyDescent="0.3">
      <c r="A1441" s="7" t="str">
        <f>IF(Notes!BY1437="","",Notes!BY1437)</f>
        <v>ultimate_destination</v>
      </c>
      <c r="B1441" s="7" t="str">
        <f>IF(Notes!BZ1437="","",Notes!BZ1437)</f>
        <v>MIA</v>
      </c>
      <c r="C1441" s="7" t="str">
        <f>IF(Notes!CA1437="","",Notes!CA1437)</f>
        <v>fuel_blend</v>
      </c>
      <c r="D1441" s="7">
        <f>IF(Notes!CB1437="","",Notes!CB1437)</f>
        <v>1006000000</v>
      </c>
      <c r="E1441" s="7" t="str">
        <f>IF(Notes!CC1437="","",Notes!CC1437)</f>
        <v>gallons</v>
      </c>
      <c r="F1441" s="7" t="str">
        <f>IF(Notes!CD1437="","",Notes!CD1437)</f>
        <v/>
      </c>
      <c r="G1441" s="7" t="str">
        <f>IF(Notes!CE1437="","",Notes!CE1437)</f>
        <v/>
      </c>
      <c r="H1441" s="7" t="str">
        <f>IF(Notes!CF1437="","",Notes!CF1437)</f>
        <v/>
      </c>
      <c r="I1441" s="7"/>
      <c r="J1441" s="7"/>
      <c r="K1441" s="7"/>
    </row>
    <row r="1442" spans="1:11" x14ac:dyDescent="0.3">
      <c r="A1442" s="7" t="str">
        <f>IF(Notes!BY1438="","",Notes!BY1438)</f>
        <v>ultimate_destination</v>
      </c>
      <c r="B1442" s="7" t="str">
        <f>IF(Notes!BZ1438="","",Notes!BZ1438)</f>
        <v>MLB</v>
      </c>
      <c r="C1442" s="7" t="str">
        <f>IF(Notes!CA1438="","",Notes!CA1438)</f>
        <v>fuel_blend</v>
      </c>
      <c r="D1442" s="7">
        <f>IF(Notes!CB1438="","",Notes!CB1438)</f>
        <v>7000000</v>
      </c>
      <c r="E1442" s="7" t="str">
        <f>IF(Notes!CC1438="","",Notes!CC1438)</f>
        <v>gallons</v>
      </c>
      <c r="F1442" s="7" t="str">
        <f>IF(Notes!CD1438="","",Notes!CD1438)</f>
        <v/>
      </c>
      <c r="G1442" s="7" t="str">
        <f>IF(Notes!CE1438="","",Notes!CE1438)</f>
        <v/>
      </c>
      <c r="H1442" s="7" t="str">
        <f>IF(Notes!CF1438="","",Notes!CF1438)</f>
        <v/>
      </c>
      <c r="I1442" s="7"/>
      <c r="J1442" s="7"/>
      <c r="K1442" s="7"/>
    </row>
    <row r="1443" spans="1:11" x14ac:dyDescent="0.3">
      <c r="A1443" s="7" t="str">
        <f>IF(Notes!BY1439="","",Notes!BY1439)</f>
        <v>ultimate_destination</v>
      </c>
      <c r="B1443" s="7" t="str">
        <f>IF(Notes!BZ1439="","",Notes!BZ1439)</f>
        <v>PBI</v>
      </c>
      <c r="C1443" s="7" t="str">
        <f>IF(Notes!CA1439="","",Notes!CA1439)</f>
        <v>fuel_blend</v>
      </c>
      <c r="D1443" s="7">
        <f>IF(Notes!CB1439="","",Notes!CB1439)</f>
        <v>68000000</v>
      </c>
      <c r="E1443" s="7" t="str">
        <f>IF(Notes!CC1439="","",Notes!CC1439)</f>
        <v>gallons</v>
      </c>
      <c r="F1443" s="7" t="str">
        <f>IF(Notes!CD1439="","",Notes!CD1439)</f>
        <v/>
      </c>
      <c r="G1443" s="7" t="str">
        <f>IF(Notes!CE1439="","",Notes!CE1439)</f>
        <v/>
      </c>
      <c r="H1443" s="7" t="str">
        <f>IF(Notes!CF1439="","",Notes!CF1439)</f>
        <v/>
      </c>
      <c r="I1443" s="7"/>
      <c r="J1443" s="7"/>
      <c r="K1443" s="7"/>
    </row>
    <row r="1444" spans="1:11" x14ac:dyDescent="0.3">
      <c r="A1444" s="7" t="str">
        <f>IF(Notes!BY1440="","",Notes!BY1440)</f>
        <v>ultimate_destination</v>
      </c>
      <c r="B1444" s="7" t="str">
        <f>IF(Notes!BZ1440="","",Notes!BZ1440)</f>
        <v>PGD</v>
      </c>
      <c r="C1444" s="7" t="str">
        <f>IF(Notes!CA1440="","",Notes!CA1440)</f>
        <v>fuel_blend</v>
      </c>
      <c r="D1444" s="7">
        <f>IF(Notes!CB1440="","",Notes!CB1440)</f>
        <v>14000000</v>
      </c>
      <c r="E1444" s="7" t="str">
        <f>IF(Notes!CC1440="","",Notes!CC1440)</f>
        <v>gallons</v>
      </c>
      <c r="F1444" s="7" t="str">
        <f>IF(Notes!CD1440="","",Notes!CD1440)</f>
        <v/>
      </c>
      <c r="G1444" s="7" t="str">
        <f>IF(Notes!CE1440="","",Notes!CE1440)</f>
        <v/>
      </c>
      <c r="H1444" s="7" t="str">
        <f>IF(Notes!CF1440="","",Notes!CF1440)</f>
        <v/>
      </c>
      <c r="I1444" s="7"/>
      <c r="J1444" s="7"/>
      <c r="K1444" s="7"/>
    </row>
    <row r="1445" spans="1:11" x14ac:dyDescent="0.3">
      <c r="A1445" s="7" t="str">
        <f>IF(Notes!BY1441="","",Notes!BY1441)</f>
        <v>ultimate_destination</v>
      </c>
      <c r="B1445" s="7" t="str">
        <f>IF(Notes!BZ1441="","",Notes!BZ1441)</f>
        <v>PIE</v>
      </c>
      <c r="C1445" s="7" t="str">
        <f>IF(Notes!CA1441="","",Notes!CA1441)</f>
        <v>fuel_blend</v>
      </c>
      <c r="D1445" s="7">
        <f>IF(Notes!CB1441="","",Notes!CB1441)</f>
        <v>16000000</v>
      </c>
      <c r="E1445" s="7" t="str">
        <f>IF(Notes!CC1441="","",Notes!CC1441)</f>
        <v>gallons</v>
      </c>
      <c r="F1445" s="7" t="str">
        <f>IF(Notes!CD1441="","",Notes!CD1441)</f>
        <v/>
      </c>
      <c r="G1445" s="7" t="str">
        <f>IF(Notes!CE1441="","",Notes!CE1441)</f>
        <v/>
      </c>
      <c r="H1445" s="7" t="str">
        <f>IF(Notes!CF1441="","",Notes!CF1441)</f>
        <v/>
      </c>
      <c r="I1445" s="7"/>
      <c r="J1445" s="7"/>
      <c r="K1445" s="7"/>
    </row>
    <row r="1446" spans="1:11" x14ac:dyDescent="0.3">
      <c r="A1446" s="7" t="str">
        <f>IF(Notes!BY1442="","",Notes!BY1442)</f>
        <v>ultimate_destination</v>
      </c>
      <c r="B1446" s="7" t="str">
        <f>IF(Notes!BZ1442="","",Notes!BZ1442)</f>
        <v>PNS</v>
      </c>
      <c r="C1446" s="7" t="str">
        <f>IF(Notes!CA1442="","",Notes!CA1442)</f>
        <v>fuel_blend</v>
      </c>
      <c r="D1446" s="7">
        <f>IF(Notes!CB1442="","",Notes!CB1442)</f>
        <v>11000000</v>
      </c>
      <c r="E1446" s="7" t="str">
        <f>IF(Notes!CC1442="","",Notes!CC1442)</f>
        <v>gallons</v>
      </c>
      <c r="F1446" s="7" t="str">
        <f>IF(Notes!CD1442="","",Notes!CD1442)</f>
        <v/>
      </c>
      <c r="G1446" s="7" t="str">
        <f>IF(Notes!CE1442="","",Notes!CE1442)</f>
        <v/>
      </c>
      <c r="H1446" s="7" t="str">
        <f>IF(Notes!CF1442="","",Notes!CF1442)</f>
        <v/>
      </c>
      <c r="I1446" s="7"/>
      <c r="J1446" s="7"/>
      <c r="K1446" s="7"/>
    </row>
    <row r="1447" spans="1:11" x14ac:dyDescent="0.3">
      <c r="A1447" s="7" t="str">
        <f>IF(Notes!BY1443="","",Notes!BY1443)</f>
        <v>ultimate_destination</v>
      </c>
      <c r="B1447" s="7" t="str">
        <f>IF(Notes!BZ1443="","",Notes!BZ1443)</f>
        <v>RSW</v>
      </c>
      <c r="C1447" s="7" t="str">
        <f>IF(Notes!CA1443="","",Notes!CA1443)</f>
        <v>fuel_blend</v>
      </c>
      <c r="D1447" s="7">
        <f>IF(Notes!CB1443="","",Notes!CB1443)</f>
        <v>80000000</v>
      </c>
      <c r="E1447" s="7" t="str">
        <f>IF(Notes!CC1443="","",Notes!CC1443)</f>
        <v>gallons</v>
      </c>
      <c r="F1447" s="7" t="str">
        <f>IF(Notes!CD1443="","",Notes!CD1443)</f>
        <v/>
      </c>
      <c r="G1447" s="7" t="str">
        <f>IF(Notes!CE1443="","",Notes!CE1443)</f>
        <v/>
      </c>
      <c r="H1447" s="7" t="str">
        <f>IF(Notes!CF1443="","",Notes!CF1443)</f>
        <v/>
      </c>
      <c r="I1447" s="7"/>
      <c r="J1447" s="7"/>
      <c r="K1447" s="7"/>
    </row>
    <row r="1448" spans="1:11" x14ac:dyDescent="0.3">
      <c r="A1448" s="7" t="str">
        <f>IF(Notes!BY1444="","",Notes!BY1444)</f>
        <v>ultimate_destination</v>
      </c>
      <c r="B1448" s="7" t="str">
        <f>IF(Notes!BZ1444="","",Notes!BZ1444)</f>
        <v>SFB</v>
      </c>
      <c r="C1448" s="7" t="str">
        <f>IF(Notes!CA1444="","",Notes!CA1444)</f>
        <v>fuel_blend</v>
      </c>
      <c r="D1448" s="7">
        <f>IF(Notes!CB1444="","",Notes!CB1444)</f>
        <v>18000000</v>
      </c>
      <c r="E1448" s="7" t="str">
        <f>IF(Notes!CC1444="","",Notes!CC1444)</f>
        <v>gallons</v>
      </c>
      <c r="F1448" s="7" t="str">
        <f>IF(Notes!CD1444="","",Notes!CD1444)</f>
        <v/>
      </c>
      <c r="G1448" s="7" t="str">
        <f>IF(Notes!CE1444="","",Notes!CE1444)</f>
        <v/>
      </c>
      <c r="H1448" s="7" t="str">
        <f>IF(Notes!CF1444="","",Notes!CF1444)</f>
        <v/>
      </c>
      <c r="I1448" s="7"/>
      <c r="J1448" s="7"/>
      <c r="K1448" s="7"/>
    </row>
    <row r="1449" spans="1:11" x14ac:dyDescent="0.3">
      <c r="A1449" s="7" t="str">
        <f>IF(Notes!BY1445="","",Notes!BY1445)</f>
        <v>ultimate_destination</v>
      </c>
      <c r="B1449" s="7" t="str">
        <f>IF(Notes!BZ1445="","",Notes!BZ1445)</f>
        <v>SRQ</v>
      </c>
      <c r="C1449" s="7" t="str">
        <f>IF(Notes!CA1445="","",Notes!CA1445)</f>
        <v>fuel_blend</v>
      </c>
      <c r="D1449" s="7">
        <f>IF(Notes!CB1445="","",Notes!CB1445)</f>
        <v>25000000</v>
      </c>
      <c r="E1449" s="7" t="str">
        <f>IF(Notes!CC1445="","",Notes!CC1445)</f>
        <v>gallons</v>
      </c>
      <c r="F1449" s="7" t="str">
        <f>IF(Notes!CD1445="","",Notes!CD1445)</f>
        <v/>
      </c>
      <c r="G1449" s="7" t="str">
        <f>IF(Notes!CE1445="","",Notes!CE1445)</f>
        <v/>
      </c>
      <c r="H1449" s="7" t="str">
        <f>IF(Notes!CF1445="","",Notes!CF1445)</f>
        <v/>
      </c>
      <c r="I1449" s="7"/>
      <c r="J1449" s="7"/>
      <c r="K1449" s="7"/>
    </row>
    <row r="1450" spans="1:11" x14ac:dyDescent="0.3">
      <c r="A1450" s="7" t="str">
        <f>IF(Notes!BY1446="","",Notes!BY1446)</f>
        <v>ultimate_destination</v>
      </c>
      <c r="B1450" s="7" t="str">
        <f>IF(Notes!BZ1446="","",Notes!BZ1446)</f>
        <v>TLH</v>
      </c>
      <c r="C1450" s="7" t="str">
        <f>IF(Notes!CA1446="","",Notes!CA1446)</f>
        <v>fuel_blend</v>
      </c>
      <c r="D1450" s="7">
        <f>IF(Notes!CB1446="","",Notes!CB1446)</f>
        <v>1000000</v>
      </c>
      <c r="E1450" s="7" t="str">
        <f>IF(Notes!CC1446="","",Notes!CC1446)</f>
        <v>gallons</v>
      </c>
      <c r="F1450" s="7" t="str">
        <f>IF(Notes!CD1446="","",Notes!CD1446)</f>
        <v/>
      </c>
      <c r="G1450" s="7" t="str">
        <f>IF(Notes!CE1446="","",Notes!CE1446)</f>
        <v/>
      </c>
      <c r="H1450" s="7" t="str">
        <f>IF(Notes!CF1446="","",Notes!CF1446)</f>
        <v/>
      </c>
      <c r="I1450" s="7"/>
      <c r="J1450" s="7"/>
      <c r="K1450" s="7"/>
    </row>
    <row r="1451" spans="1:11" x14ac:dyDescent="0.3">
      <c r="A1451" s="7" t="str">
        <f>IF(Notes!BY1447="","",Notes!BY1447)</f>
        <v>ultimate_destination</v>
      </c>
      <c r="B1451" s="7" t="str">
        <f>IF(Notes!BZ1447="","",Notes!BZ1447)</f>
        <v>TPA</v>
      </c>
      <c r="C1451" s="7" t="str">
        <f>IF(Notes!CA1447="","",Notes!CA1447)</f>
        <v>fuel_blend</v>
      </c>
      <c r="D1451" s="7">
        <f>IF(Notes!CB1447="","",Notes!CB1447)</f>
        <v>180000000</v>
      </c>
      <c r="E1451" s="7" t="str">
        <f>IF(Notes!CC1447="","",Notes!CC1447)</f>
        <v>gallons</v>
      </c>
      <c r="F1451" s="7" t="str">
        <f>IF(Notes!CD1447="","",Notes!CD1447)</f>
        <v/>
      </c>
      <c r="G1451" s="7" t="str">
        <f>IF(Notes!CE1447="","",Notes!CE1447)</f>
        <v/>
      </c>
      <c r="H1451" s="7" t="str">
        <f>IF(Notes!CF1447="","",Notes!CF1447)</f>
        <v/>
      </c>
      <c r="I1451" s="7"/>
      <c r="J1451" s="7"/>
      <c r="K1451" s="7"/>
    </row>
    <row r="1452" spans="1:11" x14ac:dyDescent="0.3">
      <c r="A1452" s="7" t="str">
        <f>IF(Notes!BY1448="","",Notes!BY1448)</f>
        <v>ultimate_destination</v>
      </c>
      <c r="B1452" s="7" t="str">
        <f>IF(Notes!BZ1448="","",Notes!BZ1448)</f>
        <v>VPS</v>
      </c>
      <c r="C1452" s="7" t="str">
        <f>IF(Notes!CA1448="","",Notes!CA1448)</f>
        <v>fuel_blend</v>
      </c>
      <c r="D1452" s="7">
        <f>IF(Notes!CB1448="","",Notes!CB1448)</f>
        <v>10000000</v>
      </c>
      <c r="E1452" s="7" t="str">
        <f>IF(Notes!CC1448="","",Notes!CC1448)</f>
        <v>gallons</v>
      </c>
      <c r="F1452" s="7" t="str">
        <f>IF(Notes!CD1448="","",Notes!CD1448)</f>
        <v/>
      </c>
      <c r="G1452" s="7" t="str">
        <f>IF(Notes!CE1448="","",Notes!CE1448)</f>
        <v/>
      </c>
      <c r="H1452" s="7" t="str">
        <f>IF(Notes!CF1448="","",Notes!CF1448)</f>
        <v/>
      </c>
      <c r="I1452" s="7"/>
      <c r="J1452" s="7"/>
      <c r="K1452" s="7"/>
    </row>
    <row r="1453" spans="1:11" x14ac:dyDescent="0.3">
      <c r="A1453" s="7" t="str">
        <f>IF(Notes!BY1449="","",Notes!BY1449)</f>
        <v>ultimate_destination</v>
      </c>
      <c r="B1453" s="7" t="str">
        <f>IF(Notes!BZ1449="","",Notes!BZ1449)</f>
        <v>ATL</v>
      </c>
      <c r="C1453" s="7" t="str">
        <f>IF(Notes!CA1449="","",Notes!CA1449)</f>
        <v>fuel_blend</v>
      </c>
      <c r="D1453" s="7">
        <f>IF(Notes!CB1449="","",Notes!CB1449)</f>
        <v>1013000000</v>
      </c>
      <c r="E1453" s="7" t="str">
        <f>IF(Notes!CC1449="","",Notes!CC1449)</f>
        <v>gallons</v>
      </c>
      <c r="F1453" s="7" t="str">
        <f>IF(Notes!CD1449="","",Notes!CD1449)</f>
        <v/>
      </c>
      <c r="G1453" s="7" t="str">
        <f>IF(Notes!CE1449="","",Notes!CE1449)</f>
        <v/>
      </c>
      <c r="H1453" s="7" t="str">
        <f>IF(Notes!CF1449="","",Notes!CF1449)</f>
        <v/>
      </c>
      <c r="I1453" s="7"/>
      <c r="J1453" s="7"/>
      <c r="K1453" s="7"/>
    </row>
    <row r="1454" spans="1:11" x14ac:dyDescent="0.3">
      <c r="A1454" s="7" t="str">
        <f>IF(Notes!BY1450="","",Notes!BY1450)</f>
        <v>ultimate_destination</v>
      </c>
      <c r="B1454" s="7" t="str">
        <f>IF(Notes!BZ1450="","",Notes!BZ1450)</f>
        <v>SAV</v>
      </c>
      <c r="C1454" s="7" t="str">
        <f>IF(Notes!CA1450="","",Notes!CA1450)</f>
        <v>fuel_blend</v>
      </c>
      <c r="D1454" s="7">
        <f>IF(Notes!CB1450="","",Notes!CB1450)</f>
        <v>32000000</v>
      </c>
      <c r="E1454" s="7" t="str">
        <f>IF(Notes!CC1450="","",Notes!CC1450)</f>
        <v>gallons</v>
      </c>
      <c r="F1454" s="7" t="str">
        <f>IF(Notes!CD1450="","",Notes!CD1450)</f>
        <v/>
      </c>
      <c r="G1454" s="7" t="str">
        <f>IF(Notes!CE1450="","",Notes!CE1450)</f>
        <v/>
      </c>
      <c r="H1454" s="7" t="str">
        <f>IF(Notes!CF1450="","",Notes!CF1450)</f>
        <v/>
      </c>
      <c r="I1454" s="7"/>
      <c r="J1454" s="7"/>
      <c r="K1454" s="7"/>
    </row>
    <row r="1455" spans="1:11" x14ac:dyDescent="0.3">
      <c r="A1455" s="7" t="str">
        <f>IF(Notes!BY1451="","",Notes!BY1451)</f>
        <v>ultimate_destination</v>
      </c>
      <c r="B1455" s="7" t="str">
        <f>IF(Notes!BZ1451="","",Notes!BZ1451)</f>
        <v>HNL</v>
      </c>
      <c r="C1455" s="7" t="str">
        <f>IF(Notes!CA1451="","",Notes!CA1451)</f>
        <v>fuel_blend</v>
      </c>
      <c r="D1455" s="7">
        <f>IF(Notes!CB1451="","",Notes!CB1451)</f>
        <v>508000000</v>
      </c>
      <c r="E1455" s="7" t="str">
        <f>IF(Notes!CC1451="","",Notes!CC1451)</f>
        <v>gallons</v>
      </c>
      <c r="F1455" s="7" t="str">
        <f>IF(Notes!CD1451="","",Notes!CD1451)</f>
        <v/>
      </c>
      <c r="G1455" s="7" t="str">
        <f>IF(Notes!CE1451="","",Notes!CE1451)</f>
        <v/>
      </c>
      <c r="H1455" s="7" t="str">
        <f>IF(Notes!CF1451="","",Notes!CF1451)</f>
        <v/>
      </c>
      <c r="I1455" s="7"/>
      <c r="J1455" s="7"/>
      <c r="K1455" s="7"/>
    </row>
    <row r="1456" spans="1:11" x14ac:dyDescent="0.3">
      <c r="A1456" s="7" t="str">
        <f>IF(Notes!BY1452="","",Notes!BY1452)</f>
        <v>ultimate_destination</v>
      </c>
      <c r="B1456" s="7" t="str">
        <f>IF(Notes!BZ1452="","",Notes!BZ1452)</f>
        <v>ITO</v>
      </c>
      <c r="C1456" s="7" t="str">
        <f>IF(Notes!CA1452="","",Notes!CA1452)</f>
        <v>fuel_blend</v>
      </c>
      <c r="D1456" s="7">
        <f>IF(Notes!CB1452="","",Notes!CB1452)</f>
        <v>3000000</v>
      </c>
      <c r="E1456" s="7" t="str">
        <f>IF(Notes!CC1452="","",Notes!CC1452)</f>
        <v>gallons</v>
      </c>
      <c r="F1456" s="7" t="str">
        <f>IF(Notes!CD1452="","",Notes!CD1452)</f>
        <v/>
      </c>
      <c r="G1456" s="7" t="str">
        <f>IF(Notes!CE1452="","",Notes!CE1452)</f>
        <v/>
      </c>
      <c r="H1456" s="7" t="str">
        <f>IF(Notes!CF1452="","",Notes!CF1452)</f>
        <v/>
      </c>
      <c r="I1456" s="7"/>
      <c r="J1456" s="7"/>
      <c r="K1456" s="7"/>
    </row>
    <row r="1457" spans="1:11" x14ac:dyDescent="0.3">
      <c r="A1457" s="7" t="str">
        <f>IF(Notes!BY1453="","",Notes!BY1453)</f>
        <v>ultimate_destination</v>
      </c>
      <c r="B1457" s="7" t="str">
        <f>IF(Notes!BZ1453="","",Notes!BZ1453)</f>
        <v>KOA</v>
      </c>
      <c r="C1457" s="7" t="str">
        <f>IF(Notes!CA1453="","",Notes!CA1453)</f>
        <v>fuel_blend</v>
      </c>
      <c r="D1457" s="7">
        <f>IF(Notes!CB1453="","",Notes!CB1453)</f>
        <v>43000000</v>
      </c>
      <c r="E1457" s="7" t="str">
        <f>IF(Notes!CC1453="","",Notes!CC1453)</f>
        <v>gallons</v>
      </c>
      <c r="F1457" s="7" t="str">
        <f>IF(Notes!CD1453="","",Notes!CD1453)</f>
        <v/>
      </c>
      <c r="G1457" s="7" t="str">
        <f>IF(Notes!CE1453="","",Notes!CE1453)</f>
        <v/>
      </c>
      <c r="H1457" s="7" t="str">
        <f>IF(Notes!CF1453="","",Notes!CF1453)</f>
        <v/>
      </c>
      <c r="I1457" s="7"/>
      <c r="J1457" s="7"/>
      <c r="K1457" s="7"/>
    </row>
    <row r="1458" spans="1:11" x14ac:dyDescent="0.3">
      <c r="A1458" s="7" t="str">
        <f>IF(Notes!BY1454="","",Notes!BY1454)</f>
        <v>ultimate_destination</v>
      </c>
      <c r="B1458" s="7" t="str">
        <f>IF(Notes!BZ1454="","",Notes!BZ1454)</f>
        <v>LIH</v>
      </c>
      <c r="C1458" s="7" t="str">
        <f>IF(Notes!CA1454="","",Notes!CA1454)</f>
        <v>fuel_blend</v>
      </c>
      <c r="D1458" s="7">
        <f>IF(Notes!CB1454="","",Notes!CB1454)</f>
        <v>30000000</v>
      </c>
      <c r="E1458" s="7" t="str">
        <f>IF(Notes!CC1454="","",Notes!CC1454)</f>
        <v>gallons</v>
      </c>
      <c r="F1458" s="7" t="str">
        <f>IF(Notes!CD1454="","",Notes!CD1454)</f>
        <v/>
      </c>
      <c r="G1458" s="7" t="str">
        <f>IF(Notes!CE1454="","",Notes!CE1454)</f>
        <v/>
      </c>
      <c r="H1458" s="7" t="str">
        <f>IF(Notes!CF1454="","",Notes!CF1454)</f>
        <v/>
      </c>
      <c r="I1458" s="7"/>
      <c r="J1458" s="7"/>
      <c r="K1458" s="7"/>
    </row>
    <row r="1459" spans="1:11" x14ac:dyDescent="0.3">
      <c r="A1459" s="7" t="str">
        <f>IF(Notes!BY1455="","",Notes!BY1455)</f>
        <v>ultimate_destination</v>
      </c>
      <c r="B1459" s="7" t="str">
        <f>IF(Notes!BZ1455="","",Notes!BZ1455)</f>
        <v>OGG</v>
      </c>
      <c r="C1459" s="7" t="str">
        <f>IF(Notes!CA1455="","",Notes!CA1455)</f>
        <v>fuel_blend</v>
      </c>
      <c r="D1459" s="7">
        <f>IF(Notes!CB1455="","",Notes!CB1455)</f>
        <v>67000000</v>
      </c>
      <c r="E1459" s="7" t="str">
        <f>IF(Notes!CC1455="","",Notes!CC1455)</f>
        <v>gallons</v>
      </c>
      <c r="F1459" s="7" t="str">
        <f>IF(Notes!CD1455="","",Notes!CD1455)</f>
        <v/>
      </c>
      <c r="G1459" s="7" t="str">
        <f>IF(Notes!CE1455="","",Notes!CE1455)</f>
        <v/>
      </c>
      <c r="H1459" s="7" t="str">
        <f>IF(Notes!CF1455="","",Notes!CF1455)</f>
        <v/>
      </c>
      <c r="I1459" s="7"/>
      <c r="J1459" s="7"/>
      <c r="K1459" s="7"/>
    </row>
    <row r="1460" spans="1:11" x14ac:dyDescent="0.3">
      <c r="A1460" s="7" t="str">
        <f>IF(Notes!BY1456="","",Notes!BY1456)</f>
        <v>ultimate_destination</v>
      </c>
      <c r="B1460" s="7" t="str">
        <f>IF(Notes!BZ1456="","",Notes!BZ1456)</f>
        <v>MDW</v>
      </c>
      <c r="C1460" s="7" t="str">
        <f>IF(Notes!CA1456="","",Notes!CA1456)</f>
        <v>fuel_blend</v>
      </c>
      <c r="D1460" s="7">
        <f>IF(Notes!CB1456="","",Notes!CB1456)</f>
        <v>140000000</v>
      </c>
      <c r="E1460" s="7" t="str">
        <f>IF(Notes!CC1456="","",Notes!CC1456)</f>
        <v>gallons</v>
      </c>
      <c r="F1460" s="7" t="str">
        <f>IF(Notes!CD1456="","",Notes!CD1456)</f>
        <v/>
      </c>
      <c r="G1460" s="7" t="str">
        <f>IF(Notes!CE1456="","",Notes!CE1456)</f>
        <v/>
      </c>
      <c r="H1460" s="7" t="str">
        <f>IF(Notes!CF1456="","",Notes!CF1456)</f>
        <v/>
      </c>
      <c r="I1460" s="7"/>
      <c r="J1460" s="7"/>
      <c r="K1460" s="7"/>
    </row>
    <row r="1461" spans="1:11" x14ac:dyDescent="0.3">
      <c r="A1461" s="7" t="str">
        <f>IF(Notes!BY1457="","",Notes!BY1457)</f>
        <v>ultimate_destination</v>
      </c>
      <c r="B1461" s="7" t="str">
        <f>IF(Notes!BZ1457="","",Notes!BZ1457)</f>
        <v>ORD</v>
      </c>
      <c r="C1461" s="7" t="str">
        <f>IF(Notes!CA1457="","",Notes!CA1457)</f>
        <v>fuel_blend</v>
      </c>
      <c r="D1461" s="7">
        <f>IF(Notes!CB1457="","",Notes!CB1457)</f>
        <v>992000000</v>
      </c>
      <c r="E1461" s="7" t="str">
        <f>IF(Notes!CC1457="","",Notes!CC1457)</f>
        <v>gallons</v>
      </c>
      <c r="F1461" s="7" t="str">
        <f>IF(Notes!CD1457="","",Notes!CD1457)</f>
        <v/>
      </c>
      <c r="G1461" s="7" t="str">
        <f>IF(Notes!CE1457="","",Notes!CE1457)</f>
        <v/>
      </c>
      <c r="H1461" s="7" t="str">
        <f>IF(Notes!CF1457="","",Notes!CF1457)</f>
        <v/>
      </c>
      <c r="I1461" s="7"/>
      <c r="J1461" s="7"/>
      <c r="K1461" s="7"/>
    </row>
    <row r="1462" spans="1:11" x14ac:dyDescent="0.3">
      <c r="A1462" s="7" t="str">
        <f>IF(Notes!BY1458="","",Notes!BY1458)</f>
        <v>ultimate_destination</v>
      </c>
      <c r="B1462" s="7" t="str">
        <f>IF(Notes!BZ1458="","",Notes!BZ1458)</f>
        <v>IND</v>
      </c>
      <c r="C1462" s="7" t="str">
        <f>IF(Notes!CA1458="","",Notes!CA1458)</f>
        <v>fuel_blend</v>
      </c>
      <c r="D1462" s="7">
        <f>IF(Notes!CB1458="","",Notes!CB1458)</f>
        <v>134000000</v>
      </c>
      <c r="E1462" s="7" t="str">
        <f>IF(Notes!CC1458="","",Notes!CC1458)</f>
        <v>gallons</v>
      </c>
      <c r="F1462" s="7" t="str">
        <f>IF(Notes!CD1458="","",Notes!CD1458)</f>
        <v/>
      </c>
      <c r="G1462" s="7" t="str">
        <f>IF(Notes!CE1458="","",Notes!CE1458)</f>
        <v/>
      </c>
      <c r="H1462" s="7" t="str">
        <f>IF(Notes!CF1458="","",Notes!CF1458)</f>
        <v/>
      </c>
      <c r="I1462" s="7"/>
      <c r="J1462" s="7"/>
      <c r="K1462" s="7"/>
    </row>
    <row r="1463" spans="1:11" x14ac:dyDescent="0.3">
      <c r="A1463" s="7" t="str">
        <f>IF(Notes!BY1459="","",Notes!BY1459)</f>
        <v>ultimate_destination</v>
      </c>
      <c r="B1463" s="7" t="str">
        <f>IF(Notes!BZ1459="","",Notes!BZ1459)</f>
        <v>DSM</v>
      </c>
      <c r="C1463" s="7" t="str">
        <f>IF(Notes!CA1459="","",Notes!CA1459)</f>
        <v>fuel_blend</v>
      </c>
      <c r="D1463" s="7">
        <f>IF(Notes!CB1459="","",Notes!CB1459)</f>
        <v>25000000</v>
      </c>
      <c r="E1463" s="7" t="str">
        <f>IF(Notes!CC1459="","",Notes!CC1459)</f>
        <v>gallons</v>
      </c>
      <c r="F1463" s="7" t="str">
        <f>IF(Notes!CD1459="","",Notes!CD1459)</f>
        <v/>
      </c>
      <c r="G1463" s="7" t="str">
        <f>IF(Notes!CE1459="","",Notes!CE1459)</f>
        <v/>
      </c>
      <c r="H1463" s="7" t="str">
        <f>IF(Notes!CF1459="","",Notes!CF1459)</f>
        <v/>
      </c>
      <c r="I1463" s="7"/>
      <c r="J1463" s="7"/>
      <c r="K1463" s="7"/>
    </row>
    <row r="1464" spans="1:11" x14ac:dyDescent="0.3">
      <c r="A1464" s="7" t="str">
        <f>IF(Notes!BY1460="","",Notes!BY1460)</f>
        <v>ultimate_destination</v>
      </c>
      <c r="B1464" s="7" t="str">
        <f>IF(Notes!BZ1460="","",Notes!BZ1460)</f>
        <v>ICT</v>
      </c>
      <c r="C1464" s="7" t="str">
        <f>IF(Notes!CA1460="","",Notes!CA1460)</f>
        <v>fuel_blend</v>
      </c>
      <c r="D1464" s="7">
        <f>IF(Notes!CB1460="","",Notes!CB1460)</f>
        <v>16000000</v>
      </c>
      <c r="E1464" s="7" t="str">
        <f>IF(Notes!CC1460="","",Notes!CC1460)</f>
        <v>gallons</v>
      </c>
      <c r="F1464" s="7" t="str">
        <f>IF(Notes!CD1460="","",Notes!CD1460)</f>
        <v/>
      </c>
      <c r="G1464" s="7" t="str">
        <f>IF(Notes!CE1460="","",Notes!CE1460)</f>
        <v/>
      </c>
      <c r="H1464" s="7" t="str">
        <f>IF(Notes!CF1460="","",Notes!CF1460)</f>
        <v/>
      </c>
      <c r="I1464" s="7"/>
      <c r="J1464" s="7"/>
      <c r="K1464" s="7"/>
    </row>
    <row r="1465" spans="1:11" x14ac:dyDescent="0.3">
      <c r="A1465" s="7" t="str">
        <f>IF(Notes!BY1461="","",Notes!BY1461)</f>
        <v>ultimate_destination</v>
      </c>
      <c r="B1465" s="7" t="str">
        <f>IF(Notes!BZ1461="","",Notes!BZ1461)</f>
        <v>CVG</v>
      </c>
      <c r="C1465" s="7" t="str">
        <f>IF(Notes!CA1461="","",Notes!CA1461)</f>
        <v>fuel_blend</v>
      </c>
      <c r="D1465" s="7">
        <f>IF(Notes!CB1461="","",Notes!CB1461)</f>
        <v>281000000</v>
      </c>
      <c r="E1465" s="7" t="str">
        <f>IF(Notes!CC1461="","",Notes!CC1461)</f>
        <v>gallons</v>
      </c>
      <c r="F1465" s="7" t="str">
        <f>IF(Notes!CD1461="","",Notes!CD1461)</f>
        <v/>
      </c>
      <c r="G1465" s="7" t="str">
        <f>IF(Notes!CE1461="","",Notes!CE1461)</f>
        <v/>
      </c>
      <c r="H1465" s="7" t="str">
        <f>IF(Notes!CF1461="","",Notes!CF1461)</f>
        <v/>
      </c>
      <c r="I1465" s="7"/>
      <c r="J1465" s="7"/>
      <c r="K1465" s="7"/>
    </row>
    <row r="1466" spans="1:11" x14ac:dyDescent="0.3">
      <c r="A1466" s="7" t="str">
        <f>IF(Notes!BY1462="","",Notes!BY1462)</f>
        <v>ultimate_destination</v>
      </c>
      <c r="B1466" s="7" t="str">
        <f>IF(Notes!BZ1462="","",Notes!BZ1462)</f>
        <v>SDF</v>
      </c>
      <c r="C1466" s="7" t="str">
        <f>IF(Notes!CA1462="","",Notes!CA1462)</f>
        <v>fuel_blend</v>
      </c>
      <c r="D1466" s="7">
        <f>IF(Notes!CB1462="","",Notes!CB1462)</f>
        <v>342000000</v>
      </c>
      <c r="E1466" s="7" t="str">
        <f>IF(Notes!CC1462="","",Notes!CC1462)</f>
        <v>gallons</v>
      </c>
      <c r="F1466" s="7" t="str">
        <f>IF(Notes!CD1462="","",Notes!CD1462)</f>
        <v/>
      </c>
      <c r="G1466" s="7" t="str">
        <f>IF(Notes!CE1462="","",Notes!CE1462)</f>
        <v/>
      </c>
      <c r="H1466" s="7" t="str">
        <f>IF(Notes!CF1462="","",Notes!CF1462)</f>
        <v/>
      </c>
      <c r="I1466" s="7"/>
      <c r="J1466" s="7"/>
      <c r="K1466" s="7"/>
    </row>
    <row r="1467" spans="1:11" x14ac:dyDescent="0.3">
      <c r="A1467" s="7" t="str">
        <f>IF(Notes!BY1463="","",Notes!BY1463)</f>
        <v>ultimate_destination</v>
      </c>
      <c r="B1467" s="7" t="str">
        <f>IF(Notes!BZ1463="","",Notes!BZ1463)</f>
        <v>MSY</v>
      </c>
      <c r="C1467" s="7" t="str">
        <f>IF(Notes!CA1463="","",Notes!CA1463)</f>
        <v>fuel_blend</v>
      </c>
      <c r="D1467" s="7">
        <f>IF(Notes!CB1463="","",Notes!CB1463)</f>
        <v>83000000</v>
      </c>
      <c r="E1467" s="7" t="str">
        <f>IF(Notes!CC1463="","",Notes!CC1463)</f>
        <v>gallons</v>
      </c>
      <c r="F1467" s="7" t="str">
        <f>IF(Notes!CD1463="","",Notes!CD1463)</f>
        <v/>
      </c>
      <c r="G1467" s="7" t="str">
        <f>IF(Notes!CE1463="","",Notes!CE1463)</f>
        <v/>
      </c>
      <c r="H1467" s="7" t="str">
        <f>IF(Notes!CF1463="","",Notes!CF1463)</f>
        <v/>
      </c>
      <c r="I1467" s="7"/>
      <c r="J1467" s="7"/>
      <c r="K1467" s="7"/>
    </row>
    <row r="1468" spans="1:11" x14ac:dyDescent="0.3">
      <c r="A1468" s="7" t="str">
        <f>IF(Notes!BY1464="","",Notes!BY1464)</f>
        <v>ultimate_destination</v>
      </c>
      <c r="B1468" s="7" t="str">
        <f>IF(Notes!BZ1464="","",Notes!BZ1464)</f>
        <v>BWI</v>
      </c>
      <c r="C1468" s="7" t="str">
        <f>IF(Notes!CA1464="","",Notes!CA1464)</f>
        <v>fuel_blend</v>
      </c>
      <c r="D1468" s="7">
        <f>IF(Notes!CB1464="","",Notes!CB1464)</f>
        <v>233000000</v>
      </c>
      <c r="E1468" s="7" t="str">
        <f>IF(Notes!CC1464="","",Notes!CC1464)</f>
        <v>gallons</v>
      </c>
      <c r="F1468" s="7" t="str">
        <f>IF(Notes!CD1464="","",Notes!CD1464)</f>
        <v/>
      </c>
      <c r="G1468" s="7" t="str">
        <f>IF(Notes!CE1464="","",Notes!CE1464)</f>
        <v/>
      </c>
      <c r="H1468" s="7" t="str">
        <f>IF(Notes!CF1464="","",Notes!CF1464)</f>
        <v/>
      </c>
      <c r="I1468" s="7"/>
      <c r="J1468" s="7"/>
      <c r="K1468" s="7"/>
    </row>
    <row r="1469" spans="1:11" x14ac:dyDescent="0.3">
      <c r="A1469" s="7" t="str">
        <f>IF(Notes!BY1465="","",Notes!BY1465)</f>
        <v>ultimate_destination</v>
      </c>
      <c r="B1469" s="7" t="str">
        <f>IF(Notes!BZ1465="","",Notes!BZ1465)</f>
        <v>BOS</v>
      </c>
      <c r="C1469" s="7" t="str">
        <f>IF(Notes!CA1465="","",Notes!CA1465)</f>
        <v>fuel_blend</v>
      </c>
      <c r="D1469" s="7">
        <f>IF(Notes!CB1465="","",Notes!CB1465)</f>
        <v>545000000</v>
      </c>
      <c r="E1469" s="7" t="str">
        <f>IF(Notes!CC1465="","",Notes!CC1465)</f>
        <v>gallons</v>
      </c>
      <c r="F1469" s="7" t="str">
        <f>IF(Notes!CD1465="","",Notes!CD1465)</f>
        <v/>
      </c>
      <c r="G1469" s="7" t="str">
        <f>IF(Notes!CE1465="","",Notes!CE1465)</f>
        <v/>
      </c>
      <c r="H1469" s="7" t="str">
        <f>IF(Notes!CF1465="","",Notes!CF1465)</f>
        <v/>
      </c>
      <c r="I1469" s="7"/>
      <c r="J1469" s="7"/>
      <c r="K1469" s="7"/>
    </row>
    <row r="1470" spans="1:11" x14ac:dyDescent="0.3">
      <c r="A1470" s="7" t="str">
        <f>IF(Notes!BY1466="","",Notes!BY1466)</f>
        <v>ultimate_destination</v>
      </c>
      <c r="B1470" s="7" t="str">
        <f>IF(Notes!BZ1466="","",Notes!BZ1466)</f>
        <v>DTW</v>
      </c>
      <c r="C1470" s="7" t="str">
        <f>IF(Notes!CA1466="","",Notes!CA1466)</f>
        <v>fuel_blend</v>
      </c>
      <c r="D1470" s="7">
        <f>IF(Notes!CB1466="","",Notes!CB1466)</f>
        <v>315000000</v>
      </c>
      <c r="E1470" s="7" t="str">
        <f>IF(Notes!CC1466="","",Notes!CC1466)</f>
        <v>gallons</v>
      </c>
      <c r="F1470" s="7" t="str">
        <f>IF(Notes!CD1466="","",Notes!CD1466)</f>
        <v/>
      </c>
      <c r="G1470" s="7" t="str">
        <f>IF(Notes!CE1466="","",Notes!CE1466)</f>
        <v/>
      </c>
      <c r="H1470" s="7" t="str">
        <f>IF(Notes!CF1466="","",Notes!CF1466)</f>
        <v/>
      </c>
      <c r="I1470" s="7"/>
      <c r="J1470" s="7"/>
      <c r="K1470" s="7"/>
    </row>
    <row r="1471" spans="1:11" x14ac:dyDescent="0.3">
      <c r="A1471" s="7" t="str">
        <f>IF(Notes!BY1467="","",Notes!BY1467)</f>
        <v>ultimate_destination</v>
      </c>
      <c r="B1471" s="7" t="str">
        <f>IF(Notes!BZ1467="","",Notes!BZ1467)</f>
        <v>GRR</v>
      </c>
      <c r="C1471" s="7" t="str">
        <f>IF(Notes!CA1467="","",Notes!CA1467)</f>
        <v>fuel_blend</v>
      </c>
      <c r="D1471" s="7">
        <f>IF(Notes!CB1467="","",Notes!CB1467)</f>
        <v>27000000</v>
      </c>
      <c r="E1471" s="7" t="str">
        <f>IF(Notes!CC1467="","",Notes!CC1467)</f>
        <v>gallons</v>
      </c>
      <c r="F1471" s="7" t="str">
        <f>IF(Notes!CD1467="","",Notes!CD1467)</f>
        <v/>
      </c>
      <c r="G1471" s="7" t="str">
        <f>IF(Notes!CE1467="","",Notes!CE1467)</f>
        <v/>
      </c>
      <c r="H1471" s="7" t="str">
        <f>IF(Notes!CF1467="","",Notes!CF1467)</f>
        <v/>
      </c>
      <c r="I1471" s="7"/>
      <c r="J1471" s="7"/>
      <c r="K1471" s="7"/>
    </row>
    <row r="1472" spans="1:11" x14ac:dyDescent="0.3">
      <c r="A1472" s="7" t="str">
        <f>IF(Notes!BY1468="","",Notes!BY1468)</f>
        <v>ultimate_destination</v>
      </c>
      <c r="B1472" s="7" t="str">
        <f>IF(Notes!BZ1468="","",Notes!BZ1468)</f>
        <v>MSP</v>
      </c>
      <c r="C1472" s="7" t="str">
        <f>IF(Notes!CA1468="","",Notes!CA1468)</f>
        <v>fuel_blend</v>
      </c>
      <c r="D1472" s="7">
        <f>IF(Notes!CB1468="","",Notes!CB1468)</f>
        <v>341000000</v>
      </c>
      <c r="E1472" s="7" t="str">
        <f>IF(Notes!CC1468="","",Notes!CC1468)</f>
        <v>gallons</v>
      </c>
      <c r="F1472" s="7" t="str">
        <f>IF(Notes!CD1468="","",Notes!CD1468)</f>
        <v/>
      </c>
      <c r="G1472" s="7" t="str">
        <f>IF(Notes!CE1468="","",Notes!CE1468)</f>
        <v/>
      </c>
      <c r="H1472" s="7" t="str">
        <f>IF(Notes!CF1468="","",Notes!CF1468)</f>
        <v/>
      </c>
      <c r="I1472" s="7"/>
      <c r="J1472" s="7"/>
      <c r="K1472" s="7"/>
    </row>
    <row r="1473" spans="1:11" x14ac:dyDescent="0.3">
      <c r="A1473" s="7" t="str">
        <f>IF(Notes!BY1469="","",Notes!BY1469)</f>
        <v>ultimate_destination</v>
      </c>
      <c r="B1473" s="7" t="str">
        <f>IF(Notes!BZ1469="","",Notes!BZ1469)</f>
        <v>MCI</v>
      </c>
      <c r="C1473" s="7" t="str">
        <f>IF(Notes!CA1469="","",Notes!CA1469)</f>
        <v>fuel_blend</v>
      </c>
      <c r="D1473" s="7">
        <f>IF(Notes!CB1469="","",Notes!CB1469)</f>
        <v>89000000</v>
      </c>
      <c r="E1473" s="7" t="str">
        <f>IF(Notes!CC1469="","",Notes!CC1469)</f>
        <v>gallons</v>
      </c>
      <c r="F1473" s="7" t="str">
        <f>IF(Notes!CD1469="","",Notes!CD1469)</f>
        <v/>
      </c>
      <c r="G1473" s="7" t="str">
        <f>IF(Notes!CE1469="","",Notes!CE1469)</f>
        <v/>
      </c>
      <c r="H1473" s="7" t="str">
        <f>IF(Notes!CF1469="","",Notes!CF1469)</f>
        <v/>
      </c>
      <c r="I1473" s="7"/>
      <c r="J1473" s="7"/>
      <c r="K1473" s="7"/>
    </row>
    <row r="1474" spans="1:11" x14ac:dyDescent="0.3">
      <c r="A1474" s="7" t="str">
        <f>IF(Notes!BY1470="","",Notes!BY1470)</f>
        <v>ultimate_destination</v>
      </c>
      <c r="B1474" s="7" t="str">
        <f>IF(Notes!BZ1470="","",Notes!BZ1470)</f>
        <v>STL</v>
      </c>
      <c r="C1474" s="7" t="str">
        <f>IF(Notes!CA1470="","",Notes!CA1470)</f>
        <v>fuel_blend</v>
      </c>
      <c r="D1474" s="7">
        <f>IF(Notes!CB1470="","",Notes!CB1470)</f>
        <v>109000000</v>
      </c>
      <c r="E1474" s="7" t="str">
        <f>IF(Notes!CC1470="","",Notes!CC1470)</f>
        <v>gallons</v>
      </c>
      <c r="F1474" s="7" t="str">
        <f>IF(Notes!CD1470="","",Notes!CD1470)</f>
        <v/>
      </c>
      <c r="G1474" s="7" t="str">
        <f>IF(Notes!CE1470="","",Notes!CE1470)</f>
        <v/>
      </c>
      <c r="H1474" s="7" t="str">
        <f>IF(Notes!CF1470="","",Notes!CF1470)</f>
        <v/>
      </c>
      <c r="I1474" s="7"/>
      <c r="J1474" s="7"/>
      <c r="K1474" s="7"/>
    </row>
    <row r="1475" spans="1:11" x14ac:dyDescent="0.3">
      <c r="A1475" s="7" t="str">
        <f>IF(Notes!BY1471="","",Notes!BY1471)</f>
        <v>ultimate_destination</v>
      </c>
      <c r="B1475" s="7" t="str">
        <f>IF(Notes!BZ1471="","",Notes!BZ1471)</f>
        <v>BZN</v>
      </c>
      <c r="C1475" s="7" t="str">
        <f>IF(Notes!CA1471="","",Notes!CA1471)</f>
        <v>fuel_blend</v>
      </c>
      <c r="D1475" s="7">
        <f>IF(Notes!CB1471="","",Notes!CB1471)</f>
        <v>20000000</v>
      </c>
      <c r="E1475" s="7" t="str">
        <f>IF(Notes!CC1471="","",Notes!CC1471)</f>
        <v>gallons</v>
      </c>
      <c r="F1475" s="7" t="str">
        <f>IF(Notes!CD1471="","",Notes!CD1471)</f>
        <v/>
      </c>
      <c r="G1475" s="7" t="str">
        <f>IF(Notes!CE1471="","",Notes!CE1471)</f>
        <v/>
      </c>
      <c r="H1475" s="7" t="str">
        <f>IF(Notes!CF1471="","",Notes!CF1471)</f>
        <v/>
      </c>
      <c r="I1475" s="7"/>
      <c r="J1475" s="7"/>
      <c r="K1475" s="7"/>
    </row>
    <row r="1476" spans="1:11" x14ac:dyDescent="0.3">
      <c r="A1476" s="7" t="str">
        <f>IF(Notes!BY1472="","",Notes!BY1472)</f>
        <v>ultimate_destination</v>
      </c>
      <c r="B1476" s="7" t="str">
        <f>IF(Notes!BZ1472="","",Notes!BZ1472)</f>
        <v>OMA</v>
      </c>
      <c r="C1476" s="7" t="str">
        <f>IF(Notes!CA1472="","",Notes!CA1472)</f>
        <v>fuel_blend</v>
      </c>
      <c r="D1476" s="7">
        <f>IF(Notes!CB1472="","",Notes!CB1472)</f>
        <v>17000000</v>
      </c>
      <c r="E1476" s="7" t="str">
        <f>IF(Notes!CC1472="","",Notes!CC1472)</f>
        <v>gallons</v>
      </c>
      <c r="F1476" s="7" t="str">
        <f>IF(Notes!CD1472="","",Notes!CD1472)</f>
        <v/>
      </c>
      <c r="G1476" s="7" t="str">
        <f>IF(Notes!CE1472="","",Notes!CE1472)</f>
        <v/>
      </c>
      <c r="H1476" s="7" t="str">
        <f>IF(Notes!CF1472="","",Notes!CF1472)</f>
        <v/>
      </c>
      <c r="I1476" s="7"/>
      <c r="J1476" s="7"/>
      <c r="K1476" s="7"/>
    </row>
    <row r="1477" spans="1:11" x14ac:dyDescent="0.3">
      <c r="A1477" s="7" t="str">
        <f>IF(Notes!BY1473="","",Notes!BY1473)</f>
        <v>ultimate_destination</v>
      </c>
      <c r="B1477" s="7" t="str">
        <f>IF(Notes!BZ1473="","",Notes!BZ1473)</f>
        <v>LAS</v>
      </c>
      <c r="C1477" s="7" t="str">
        <f>IF(Notes!CA1473="","",Notes!CA1473)</f>
        <v>fuel_blend</v>
      </c>
      <c r="D1477" s="7">
        <f>IF(Notes!CB1473="","",Notes!CB1473)</f>
        <v>471000000</v>
      </c>
      <c r="E1477" s="7" t="str">
        <f>IF(Notes!CC1473="","",Notes!CC1473)</f>
        <v>gallons</v>
      </c>
      <c r="F1477" s="7" t="str">
        <f>IF(Notes!CD1473="","",Notes!CD1473)</f>
        <v/>
      </c>
      <c r="G1477" s="7" t="str">
        <f>IF(Notes!CE1473="","",Notes!CE1473)</f>
        <v/>
      </c>
      <c r="H1477" s="7" t="str">
        <f>IF(Notes!CF1473="","",Notes!CF1473)</f>
        <v/>
      </c>
      <c r="I1477" s="7"/>
      <c r="J1477" s="7"/>
      <c r="K1477" s="7"/>
    </row>
    <row r="1478" spans="1:11" x14ac:dyDescent="0.3">
      <c r="A1478" s="7" t="str">
        <f>IF(Notes!BY1474="","",Notes!BY1474)</f>
        <v>ultimate_destination</v>
      </c>
      <c r="B1478" s="7" t="str">
        <f>IF(Notes!BZ1474="","",Notes!BZ1474)</f>
        <v>RNO</v>
      </c>
      <c r="C1478" s="7" t="str">
        <f>IF(Notes!CA1474="","",Notes!CA1474)</f>
        <v>fuel_blend</v>
      </c>
      <c r="D1478" s="7">
        <f>IF(Notes!CB1474="","",Notes!CB1474)</f>
        <v>29000000</v>
      </c>
      <c r="E1478" s="7" t="str">
        <f>IF(Notes!CC1474="","",Notes!CC1474)</f>
        <v>gallons</v>
      </c>
      <c r="F1478" s="7" t="str">
        <f>IF(Notes!CD1474="","",Notes!CD1474)</f>
        <v/>
      </c>
      <c r="G1478" s="7" t="str">
        <f>IF(Notes!CE1474="","",Notes!CE1474)</f>
        <v/>
      </c>
      <c r="H1478" s="7" t="str">
        <f>IF(Notes!CF1474="","",Notes!CF1474)</f>
        <v/>
      </c>
      <c r="I1478" s="7"/>
      <c r="J1478" s="7"/>
      <c r="K1478" s="7"/>
    </row>
    <row r="1479" spans="1:11" x14ac:dyDescent="0.3">
      <c r="A1479" s="7" t="str">
        <f>IF(Notes!BY1475="","",Notes!BY1475)</f>
        <v>ultimate_destination</v>
      </c>
      <c r="B1479" s="7" t="str">
        <f>IF(Notes!BZ1475="","",Notes!BZ1475)</f>
        <v>EWR</v>
      </c>
      <c r="C1479" s="7" t="str">
        <f>IF(Notes!CA1475="","",Notes!CA1475)</f>
        <v>fuel_blend</v>
      </c>
      <c r="D1479" s="7">
        <f>IF(Notes!CB1475="","",Notes!CB1475)</f>
        <v>774000000</v>
      </c>
      <c r="E1479" s="7" t="str">
        <f>IF(Notes!CC1475="","",Notes!CC1475)</f>
        <v>gallons</v>
      </c>
      <c r="F1479" s="7" t="str">
        <f>IF(Notes!CD1475="","",Notes!CD1475)</f>
        <v/>
      </c>
      <c r="G1479" s="7" t="str">
        <f>IF(Notes!CE1475="","",Notes!CE1475)</f>
        <v/>
      </c>
      <c r="H1479" s="7" t="str">
        <f>IF(Notes!CF1475="","",Notes!CF1475)</f>
        <v/>
      </c>
      <c r="I1479" s="7"/>
      <c r="J1479" s="7"/>
      <c r="K1479" s="7"/>
    </row>
    <row r="1480" spans="1:11" x14ac:dyDescent="0.3">
      <c r="A1480" s="7" t="str">
        <f>IF(Notes!BY1476="","",Notes!BY1476)</f>
        <v>ultimate_destination</v>
      </c>
      <c r="B1480" s="7" t="str">
        <f>IF(Notes!BZ1476="","",Notes!BZ1476)</f>
        <v>ABQ</v>
      </c>
      <c r="C1480" s="7" t="str">
        <f>IF(Notes!CA1476="","",Notes!CA1476)</f>
        <v>fuel_blend</v>
      </c>
      <c r="D1480" s="7">
        <f>IF(Notes!CB1476="","",Notes!CB1476)</f>
        <v>29000000</v>
      </c>
      <c r="E1480" s="7" t="str">
        <f>IF(Notes!CC1476="","",Notes!CC1476)</f>
        <v>gallons</v>
      </c>
      <c r="F1480" s="7" t="str">
        <f>IF(Notes!CD1476="","",Notes!CD1476)</f>
        <v/>
      </c>
      <c r="G1480" s="7" t="str">
        <f>IF(Notes!CE1476="","",Notes!CE1476)</f>
        <v/>
      </c>
      <c r="H1480" s="7" t="str">
        <f>IF(Notes!CF1476="","",Notes!CF1476)</f>
        <v/>
      </c>
      <c r="I1480" s="7"/>
      <c r="J1480" s="7"/>
      <c r="K1480" s="7"/>
    </row>
    <row r="1481" spans="1:11" x14ac:dyDescent="0.3">
      <c r="A1481" s="7" t="str">
        <f>IF(Notes!BY1477="","",Notes!BY1477)</f>
        <v>ultimate_destination</v>
      </c>
      <c r="B1481" s="7" t="str">
        <f>IF(Notes!BZ1477="","",Notes!BZ1477)</f>
        <v>ALB</v>
      </c>
      <c r="C1481" s="7" t="str">
        <f>IF(Notes!CA1477="","",Notes!CA1477)</f>
        <v>fuel_blend</v>
      </c>
      <c r="D1481" s="7">
        <f>IF(Notes!CB1477="","",Notes!CB1477)</f>
        <v>21000000</v>
      </c>
      <c r="E1481" s="7" t="str">
        <f>IF(Notes!CC1477="","",Notes!CC1477)</f>
        <v>gallons</v>
      </c>
      <c r="F1481" s="7" t="str">
        <f>IF(Notes!CD1477="","",Notes!CD1477)</f>
        <v/>
      </c>
      <c r="G1481" s="7" t="str">
        <f>IF(Notes!CE1477="","",Notes!CE1477)</f>
        <v/>
      </c>
      <c r="H1481" s="7" t="str">
        <f>IF(Notes!CF1477="","",Notes!CF1477)</f>
        <v/>
      </c>
      <c r="I1481" s="7"/>
      <c r="J1481" s="7"/>
      <c r="K1481" s="7"/>
    </row>
    <row r="1482" spans="1:11" x14ac:dyDescent="0.3">
      <c r="A1482" s="7" t="str">
        <f>IF(Notes!BY1478="","",Notes!BY1478)</f>
        <v>ultimate_destination</v>
      </c>
      <c r="B1482" s="7" t="str">
        <f>IF(Notes!BZ1478="","",Notes!BZ1478)</f>
        <v>BUF</v>
      </c>
      <c r="C1482" s="7" t="str">
        <f>IF(Notes!CA1478="","",Notes!CA1478)</f>
        <v>fuel_blend</v>
      </c>
      <c r="D1482" s="7">
        <f>IF(Notes!CB1478="","",Notes!CB1478)</f>
        <v>32000000</v>
      </c>
      <c r="E1482" s="7" t="str">
        <f>IF(Notes!CC1478="","",Notes!CC1478)</f>
        <v>gallons</v>
      </c>
      <c r="F1482" s="7" t="str">
        <f>IF(Notes!CD1478="","",Notes!CD1478)</f>
        <v/>
      </c>
      <c r="G1482" s="7" t="str">
        <f>IF(Notes!CE1478="","",Notes!CE1478)</f>
        <v/>
      </c>
      <c r="H1482" s="7" t="str">
        <f>IF(Notes!CF1478="","",Notes!CF1478)</f>
        <v/>
      </c>
      <c r="I1482" s="7"/>
      <c r="J1482" s="7"/>
      <c r="K1482" s="7"/>
    </row>
    <row r="1483" spans="1:11" x14ac:dyDescent="0.3">
      <c r="A1483" s="7" t="str">
        <f>IF(Notes!BY1479="","",Notes!BY1479)</f>
        <v>ultimate_destination</v>
      </c>
      <c r="B1483" s="7" t="str">
        <f>IF(Notes!BZ1479="","",Notes!BZ1479)</f>
        <v>HPN</v>
      </c>
      <c r="C1483" s="7" t="str">
        <f>IF(Notes!CA1479="","",Notes!CA1479)</f>
        <v>fuel_blend</v>
      </c>
      <c r="D1483" s="7">
        <f>IF(Notes!CB1479="","",Notes!CB1479)</f>
        <v>45000000</v>
      </c>
      <c r="E1483" s="7" t="str">
        <f>IF(Notes!CC1479="","",Notes!CC1479)</f>
        <v>gallons</v>
      </c>
      <c r="F1483" s="7" t="str">
        <f>IF(Notes!CD1479="","",Notes!CD1479)</f>
        <v/>
      </c>
      <c r="G1483" s="7" t="str">
        <f>IF(Notes!CE1479="","",Notes!CE1479)</f>
        <v/>
      </c>
      <c r="H1483" s="7" t="str">
        <f>IF(Notes!CF1479="","",Notes!CF1479)</f>
        <v/>
      </c>
      <c r="I1483" s="7"/>
      <c r="J1483" s="7"/>
      <c r="K1483" s="7"/>
    </row>
    <row r="1484" spans="1:11" x14ac:dyDescent="0.3">
      <c r="A1484" s="7" t="str">
        <f>IF(Notes!BY1480="","",Notes!BY1480)</f>
        <v>ultimate_destination</v>
      </c>
      <c r="B1484" s="7" t="str">
        <f>IF(Notes!BZ1480="","",Notes!BZ1480)</f>
        <v>ISP</v>
      </c>
      <c r="C1484" s="7" t="str">
        <f>IF(Notes!CA1480="","",Notes!CA1480)</f>
        <v>fuel_blend</v>
      </c>
      <c r="D1484" s="7">
        <f>IF(Notes!CB1480="","",Notes!CB1480)</f>
        <v>8000000</v>
      </c>
      <c r="E1484" s="7" t="str">
        <f>IF(Notes!CC1480="","",Notes!CC1480)</f>
        <v>gallons</v>
      </c>
      <c r="F1484" s="7" t="str">
        <f>IF(Notes!CD1480="","",Notes!CD1480)</f>
        <v/>
      </c>
      <c r="G1484" s="7" t="str">
        <f>IF(Notes!CE1480="","",Notes!CE1480)</f>
        <v/>
      </c>
      <c r="H1484" s="7" t="str">
        <f>IF(Notes!CF1480="","",Notes!CF1480)</f>
        <v/>
      </c>
      <c r="I1484" s="7"/>
      <c r="J1484" s="7"/>
      <c r="K1484" s="7"/>
    </row>
    <row r="1485" spans="1:11" x14ac:dyDescent="0.3">
      <c r="A1485" s="7" t="str">
        <f>IF(Notes!BY1481="","",Notes!BY1481)</f>
        <v>ultimate_destination</v>
      </c>
      <c r="B1485" s="7" t="str">
        <f>IF(Notes!BZ1481="","",Notes!BZ1481)</f>
        <v>JFK</v>
      </c>
      <c r="C1485" s="7" t="str">
        <f>IF(Notes!CA1481="","",Notes!CA1481)</f>
        <v>fuel_blend</v>
      </c>
      <c r="D1485" s="7">
        <f>IF(Notes!CB1481="","",Notes!CB1481)</f>
        <v>1611000000</v>
      </c>
      <c r="E1485" s="7" t="str">
        <f>IF(Notes!CC1481="","",Notes!CC1481)</f>
        <v>gallons</v>
      </c>
      <c r="F1485" s="7" t="str">
        <f>IF(Notes!CD1481="","",Notes!CD1481)</f>
        <v/>
      </c>
      <c r="G1485" s="7" t="str">
        <f>IF(Notes!CE1481="","",Notes!CE1481)</f>
        <v/>
      </c>
      <c r="H1485" s="7" t="str">
        <f>IF(Notes!CF1481="","",Notes!CF1481)</f>
        <v/>
      </c>
      <c r="I1485" s="7"/>
      <c r="J1485" s="7"/>
      <c r="K1485" s="7"/>
    </row>
    <row r="1486" spans="1:11" x14ac:dyDescent="0.3">
      <c r="A1486" s="7" t="str">
        <f>IF(Notes!BY1482="","",Notes!BY1482)</f>
        <v>ultimate_destination</v>
      </c>
      <c r="B1486" s="7" t="str">
        <f>IF(Notes!BZ1482="","",Notes!BZ1482)</f>
        <v>LGA</v>
      </c>
      <c r="C1486" s="7" t="str">
        <f>IF(Notes!CA1482="","",Notes!CA1482)</f>
        <v>fuel_blend</v>
      </c>
      <c r="D1486" s="7">
        <f>IF(Notes!CB1482="","",Notes!CB1482)</f>
        <v>261000000</v>
      </c>
      <c r="E1486" s="7" t="str">
        <f>IF(Notes!CC1482="","",Notes!CC1482)</f>
        <v>gallons</v>
      </c>
      <c r="F1486" s="7" t="str">
        <f>IF(Notes!CD1482="","",Notes!CD1482)</f>
        <v/>
      </c>
      <c r="G1486" s="7" t="str">
        <f>IF(Notes!CE1482="","",Notes!CE1482)</f>
        <v/>
      </c>
      <c r="H1486" s="7" t="str">
        <f>IF(Notes!CF1482="","",Notes!CF1482)</f>
        <v/>
      </c>
      <c r="I1486" s="7"/>
      <c r="J1486" s="7"/>
      <c r="K1486" s="7"/>
    </row>
    <row r="1487" spans="1:11" x14ac:dyDescent="0.3">
      <c r="A1487" s="7" t="str">
        <f>IF(Notes!BY1483="","",Notes!BY1483)</f>
        <v>ultimate_destination</v>
      </c>
      <c r="B1487" s="7" t="str">
        <f>IF(Notes!BZ1483="","",Notes!BZ1483)</f>
        <v>ROC</v>
      </c>
      <c r="C1487" s="7" t="str">
        <f>IF(Notes!CA1483="","",Notes!CA1483)</f>
        <v>fuel_blend</v>
      </c>
      <c r="D1487" s="7">
        <f>IF(Notes!CB1483="","",Notes!CB1483)</f>
        <v>18000000</v>
      </c>
      <c r="E1487" s="7" t="str">
        <f>IF(Notes!CC1483="","",Notes!CC1483)</f>
        <v>gallons</v>
      </c>
      <c r="F1487" s="7" t="str">
        <f>IF(Notes!CD1483="","",Notes!CD1483)</f>
        <v/>
      </c>
      <c r="G1487" s="7" t="str">
        <f>IF(Notes!CE1483="","",Notes!CE1483)</f>
        <v/>
      </c>
      <c r="H1487" s="7" t="str">
        <f>IF(Notes!CF1483="","",Notes!CF1483)</f>
        <v/>
      </c>
      <c r="I1487" s="7"/>
      <c r="J1487" s="7"/>
      <c r="K1487" s="7"/>
    </row>
    <row r="1488" spans="1:11" x14ac:dyDescent="0.3">
      <c r="A1488" s="7" t="str">
        <f>IF(Notes!BY1484="","",Notes!BY1484)</f>
        <v>ultimate_destination</v>
      </c>
      <c r="B1488" s="7" t="str">
        <f>IF(Notes!BZ1484="","",Notes!BZ1484)</f>
        <v>SWF</v>
      </c>
      <c r="C1488" s="7" t="str">
        <f>IF(Notes!CA1484="","",Notes!CA1484)</f>
        <v>fuel_blend</v>
      </c>
      <c r="D1488" s="7">
        <f>IF(Notes!CB1484="","",Notes!CB1484)</f>
        <v>6000000</v>
      </c>
      <c r="E1488" s="7" t="str">
        <f>IF(Notes!CC1484="","",Notes!CC1484)</f>
        <v>gallons</v>
      </c>
      <c r="F1488" s="7" t="str">
        <f>IF(Notes!CD1484="","",Notes!CD1484)</f>
        <v/>
      </c>
      <c r="G1488" s="7" t="str">
        <f>IF(Notes!CE1484="","",Notes!CE1484)</f>
        <v/>
      </c>
      <c r="H1488" s="7" t="str">
        <f>IF(Notes!CF1484="","",Notes!CF1484)</f>
        <v/>
      </c>
      <c r="I1488" s="7"/>
      <c r="J1488" s="7"/>
      <c r="K1488" s="7"/>
    </row>
    <row r="1489" spans="1:11" x14ac:dyDescent="0.3">
      <c r="A1489" s="7" t="str">
        <f>IF(Notes!BY1485="","",Notes!BY1485)</f>
        <v>ultimate_destination</v>
      </c>
      <c r="B1489" s="7" t="str">
        <f>IF(Notes!BZ1485="","",Notes!BZ1485)</f>
        <v>SYR</v>
      </c>
      <c r="C1489" s="7" t="str">
        <f>IF(Notes!CA1485="","",Notes!CA1485)</f>
        <v>fuel_blend</v>
      </c>
      <c r="D1489" s="7">
        <f>IF(Notes!CB1485="","",Notes!CB1485)</f>
        <v>20000000</v>
      </c>
      <c r="E1489" s="7" t="str">
        <f>IF(Notes!CC1485="","",Notes!CC1485)</f>
        <v>gallons</v>
      </c>
      <c r="F1489" s="7" t="str">
        <f>IF(Notes!CD1485="","",Notes!CD1485)</f>
        <v/>
      </c>
      <c r="G1489" s="7" t="str">
        <f>IF(Notes!CE1485="","",Notes!CE1485)</f>
        <v/>
      </c>
      <c r="H1489" s="7" t="str">
        <f>IF(Notes!CF1485="","",Notes!CF1485)</f>
        <v/>
      </c>
      <c r="I1489" s="7"/>
      <c r="J1489" s="7"/>
      <c r="K1489" s="7"/>
    </row>
    <row r="1490" spans="1:11" x14ac:dyDescent="0.3">
      <c r="A1490" s="7" t="str">
        <f>IF(Notes!BY1486="","",Notes!BY1486)</f>
        <v>ultimate_destination</v>
      </c>
      <c r="B1490" s="7" t="str">
        <f>IF(Notes!BZ1486="","",Notes!BZ1486)</f>
        <v>AVL</v>
      </c>
      <c r="C1490" s="7" t="str">
        <f>IF(Notes!CA1486="","",Notes!CA1486)</f>
        <v>fuel_blend</v>
      </c>
      <c r="D1490" s="7">
        <f>IF(Notes!CB1486="","",Notes!CB1486)</f>
        <v>13000000</v>
      </c>
      <c r="E1490" s="7" t="str">
        <f>IF(Notes!CC1486="","",Notes!CC1486)</f>
        <v>gallons</v>
      </c>
      <c r="F1490" s="7" t="str">
        <f>IF(Notes!CD1486="","",Notes!CD1486)</f>
        <v/>
      </c>
      <c r="G1490" s="7" t="str">
        <f>IF(Notes!CE1486="","",Notes!CE1486)</f>
        <v/>
      </c>
      <c r="H1490" s="7" t="str">
        <f>IF(Notes!CF1486="","",Notes!CF1486)</f>
        <v/>
      </c>
      <c r="I1490" s="7"/>
      <c r="J1490" s="7"/>
      <c r="K1490" s="7"/>
    </row>
    <row r="1491" spans="1:11" x14ac:dyDescent="0.3">
      <c r="A1491" s="7" t="str">
        <f>IF(Notes!BY1487="","",Notes!BY1487)</f>
        <v>ultimate_destination</v>
      </c>
      <c r="B1491" s="7" t="str">
        <f>IF(Notes!BZ1487="","",Notes!BZ1487)</f>
        <v>CLT</v>
      </c>
      <c r="C1491" s="7" t="str">
        <f>IF(Notes!CA1487="","",Notes!CA1487)</f>
        <v>fuel_blend</v>
      </c>
      <c r="D1491" s="7">
        <f>IF(Notes!CB1487="","",Notes!CB1487)</f>
        <v>492000000</v>
      </c>
      <c r="E1491" s="7" t="str">
        <f>IF(Notes!CC1487="","",Notes!CC1487)</f>
        <v>gallons</v>
      </c>
      <c r="F1491" s="7" t="str">
        <f>IF(Notes!CD1487="","",Notes!CD1487)</f>
        <v/>
      </c>
      <c r="G1491" s="7" t="str">
        <f>IF(Notes!CE1487="","",Notes!CE1487)</f>
        <v/>
      </c>
      <c r="H1491" s="7" t="str">
        <f>IF(Notes!CF1487="","",Notes!CF1487)</f>
        <v/>
      </c>
      <c r="I1491" s="7"/>
      <c r="J1491" s="7"/>
      <c r="K1491" s="7"/>
    </row>
    <row r="1492" spans="1:11" x14ac:dyDescent="0.3">
      <c r="A1492" s="7" t="str">
        <f>IF(Notes!BY1488="","",Notes!BY1488)</f>
        <v>ultimate_destination</v>
      </c>
      <c r="B1492" s="7" t="str">
        <f>IF(Notes!BZ1488="","",Notes!BZ1488)</f>
        <v>GSO</v>
      </c>
      <c r="C1492" s="7" t="str">
        <f>IF(Notes!CA1488="","",Notes!CA1488)</f>
        <v>fuel_blend</v>
      </c>
      <c r="D1492" s="7">
        <f>IF(Notes!CB1488="","",Notes!CB1488)</f>
        <v>3000000</v>
      </c>
      <c r="E1492" s="7" t="str">
        <f>IF(Notes!CC1488="","",Notes!CC1488)</f>
        <v>gallons</v>
      </c>
      <c r="F1492" s="7" t="str">
        <f>IF(Notes!CD1488="","",Notes!CD1488)</f>
        <v/>
      </c>
      <c r="G1492" s="7" t="str">
        <f>IF(Notes!CE1488="","",Notes!CE1488)</f>
        <v/>
      </c>
      <c r="H1492" s="7" t="str">
        <f>IF(Notes!CF1488="","",Notes!CF1488)</f>
        <v/>
      </c>
      <c r="I1492" s="7"/>
      <c r="J1492" s="7"/>
      <c r="K1492" s="7"/>
    </row>
    <row r="1493" spans="1:11" x14ac:dyDescent="0.3">
      <c r="A1493" s="7" t="str">
        <f>IF(Notes!BY1489="","",Notes!BY1489)</f>
        <v>ultimate_destination</v>
      </c>
      <c r="B1493" s="7" t="str">
        <f>IF(Notes!BZ1489="","",Notes!BZ1489)</f>
        <v>RDU</v>
      </c>
      <c r="C1493" s="7" t="str">
        <f>IF(Notes!CA1489="","",Notes!CA1489)</f>
        <v>fuel_blend</v>
      </c>
      <c r="D1493" s="7">
        <f>IF(Notes!CB1489="","",Notes!CB1489)</f>
        <v>125000000</v>
      </c>
      <c r="E1493" s="7" t="str">
        <f>IF(Notes!CC1489="","",Notes!CC1489)</f>
        <v>gallons</v>
      </c>
      <c r="F1493" s="7" t="str">
        <f>IF(Notes!CD1489="","",Notes!CD1489)</f>
        <v/>
      </c>
      <c r="G1493" s="7" t="str">
        <f>IF(Notes!CE1489="","",Notes!CE1489)</f>
        <v/>
      </c>
      <c r="H1493" s="7" t="str">
        <f>IF(Notes!CF1489="","",Notes!CF1489)</f>
        <v/>
      </c>
      <c r="I1493" s="7"/>
      <c r="J1493" s="7"/>
      <c r="K1493" s="7"/>
    </row>
    <row r="1494" spans="1:11" x14ac:dyDescent="0.3">
      <c r="A1494" s="7" t="str">
        <f>IF(Notes!BY1490="","",Notes!BY1490)</f>
        <v>ultimate_destination</v>
      </c>
      <c r="B1494" s="7" t="str">
        <f>IF(Notes!BZ1490="","",Notes!BZ1490)</f>
        <v>GFK</v>
      </c>
      <c r="C1494" s="7" t="str">
        <f>IF(Notes!CA1490="","",Notes!CA1490)</f>
        <v>fuel_blend</v>
      </c>
      <c r="D1494" s="7">
        <f>IF(Notes!CB1490="","",Notes!CB1490)</f>
        <v>1000000</v>
      </c>
      <c r="E1494" s="7" t="str">
        <f>IF(Notes!CC1490="","",Notes!CC1490)</f>
        <v>gallons</v>
      </c>
      <c r="F1494" s="7" t="str">
        <f>IF(Notes!CD1490="","",Notes!CD1490)</f>
        <v/>
      </c>
      <c r="G1494" s="7" t="str">
        <f>IF(Notes!CE1490="","",Notes!CE1490)</f>
        <v/>
      </c>
      <c r="H1494" s="7" t="str">
        <f>IF(Notes!CF1490="","",Notes!CF1490)</f>
        <v/>
      </c>
      <c r="I1494" s="7"/>
      <c r="J1494" s="7"/>
      <c r="K1494" s="7"/>
    </row>
    <row r="1495" spans="1:11" x14ac:dyDescent="0.3">
      <c r="A1495" s="7" t="str">
        <f>IF(Notes!BY1491="","",Notes!BY1491)</f>
        <v>ultimate_destination</v>
      </c>
      <c r="B1495" s="7" t="str">
        <f>IF(Notes!BZ1491="","",Notes!BZ1491)</f>
        <v>CLE</v>
      </c>
      <c r="C1495" s="7" t="str">
        <f>IF(Notes!CA1491="","",Notes!CA1491)</f>
        <v>fuel_blend</v>
      </c>
      <c r="D1495" s="7">
        <f>IF(Notes!CB1491="","",Notes!CB1491)</f>
        <v>71000000</v>
      </c>
      <c r="E1495" s="7" t="str">
        <f>IF(Notes!CC1491="","",Notes!CC1491)</f>
        <v>gallons</v>
      </c>
      <c r="F1495" s="7" t="str">
        <f>IF(Notes!CD1491="","",Notes!CD1491)</f>
        <v/>
      </c>
      <c r="G1495" s="7" t="str">
        <f>IF(Notes!CE1491="","",Notes!CE1491)</f>
        <v/>
      </c>
      <c r="H1495" s="7" t="str">
        <f>IF(Notes!CF1491="","",Notes!CF1491)</f>
        <v/>
      </c>
      <c r="I1495" s="7"/>
      <c r="J1495" s="7"/>
      <c r="K1495" s="7"/>
    </row>
    <row r="1496" spans="1:11" x14ac:dyDescent="0.3">
      <c r="A1496" s="7" t="str">
        <f>IF(Notes!BY1492="","",Notes!BY1492)</f>
        <v>ultimate_destination</v>
      </c>
      <c r="B1496" s="7" t="str">
        <f>IF(Notes!BZ1492="","",Notes!BZ1492)</f>
        <v>CMH</v>
      </c>
      <c r="C1496" s="7" t="str">
        <f>IF(Notes!CA1492="","",Notes!CA1492)</f>
        <v>fuel_blend</v>
      </c>
      <c r="D1496" s="7">
        <f>IF(Notes!CB1492="","",Notes!CB1492)</f>
        <v>65000000</v>
      </c>
      <c r="E1496" s="7" t="str">
        <f>IF(Notes!CC1492="","",Notes!CC1492)</f>
        <v>gallons</v>
      </c>
      <c r="F1496" s="7" t="str">
        <f>IF(Notes!CD1492="","",Notes!CD1492)</f>
        <v/>
      </c>
      <c r="G1496" s="7" t="str">
        <f>IF(Notes!CE1492="","",Notes!CE1492)</f>
        <v/>
      </c>
      <c r="H1496" s="7" t="str">
        <f>IF(Notes!CF1492="","",Notes!CF1492)</f>
        <v/>
      </c>
      <c r="I1496" s="7"/>
      <c r="J1496" s="7"/>
      <c r="K1496" s="7"/>
    </row>
    <row r="1497" spans="1:11" x14ac:dyDescent="0.3">
      <c r="A1497" s="7" t="str">
        <f>IF(Notes!BY1493="","",Notes!BY1493)</f>
        <v>ultimate_destination</v>
      </c>
      <c r="B1497" s="7" t="str">
        <f>IF(Notes!BZ1493="","",Notes!BZ1493)</f>
        <v>LCK</v>
      </c>
      <c r="C1497" s="7" t="str">
        <f>IF(Notes!CA1493="","",Notes!CA1493)</f>
        <v>fuel_blend</v>
      </c>
      <c r="D1497" s="7">
        <f>IF(Notes!CB1493="","",Notes!CB1493)</f>
        <v>6000000</v>
      </c>
      <c r="E1497" s="7" t="str">
        <f>IF(Notes!CC1493="","",Notes!CC1493)</f>
        <v>gallons</v>
      </c>
      <c r="F1497" s="7" t="str">
        <f>IF(Notes!CD1493="","",Notes!CD1493)</f>
        <v/>
      </c>
      <c r="G1497" s="7" t="str">
        <f>IF(Notes!CE1493="","",Notes!CE1493)</f>
        <v/>
      </c>
      <c r="H1497" s="7" t="str">
        <f>IF(Notes!CF1493="","",Notes!CF1493)</f>
        <v/>
      </c>
      <c r="I1497" s="7"/>
      <c r="J1497" s="7"/>
      <c r="K1497" s="7"/>
    </row>
    <row r="1498" spans="1:11" x14ac:dyDescent="0.3">
      <c r="A1498" s="7" t="str">
        <f>IF(Notes!BY1494="","",Notes!BY1494)</f>
        <v>ultimate_destination</v>
      </c>
      <c r="B1498" s="7" t="str">
        <f>IF(Notes!BZ1494="","",Notes!BZ1494)</f>
        <v>OKC</v>
      </c>
      <c r="C1498" s="7" t="str">
        <f>IF(Notes!CA1494="","",Notes!CA1494)</f>
        <v>fuel_blend</v>
      </c>
      <c r="D1498" s="7">
        <f>IF(Notes!CB1494="","",Notes!CB1494)</f>
        <v>35000000</v>
      </c>
      <c r="E1498" s="7" t="str">
        <f>IF(Notes!CC1494="","",Notes!CC1494)</f>
        <v>gallons</v>
      </c>
      <c r="F1498" s="7" t="str">
        <f>IF(Notes!CD1494="","",Notes!CD1494)</f>
        <v/>
      </c>
      <c r="G1498" s="7" t="str">
        <f>IF(Notes!CE1494="","",Notes!CE1494)</f>
        <v/>
      </c>
      <c r="H1498" s="7" t="str">
        <f>IF(Notes!CF1494="","",Notes!CF1494)</f>
        <v/>
      </c>
      <c r="I1498" s="7"/>
      <c r="J1498" s="7"/>
      <c r="K1498" s="7"/>
    </row>
    <row r="1499" spans="1:11" x14ac:dyDescent="0.3">
      <c r="A1499" s="7" t="str">
        <f>IF(Notes!BY1495="","",Notes!BY1495)</f>
        <v>ultimate_destination</v>
      </c>
      <c r="B1499" s="7" t="str">
        <f>IF(Notes!BZ1495="","",Notes!BZ1495)</f>
        <v>TUL</v>
      </c>
      <c r="C1499" s="7" t="str">
        <f>IF(Notes!CA1495="","",Notes!CA1495)</f>
        <v>fuel_blend</v>
      </c>
      <c r="D1499" s="7">
        <f>IF(Notes!CB1495="","",Notes!CB1495)</f>
        <v>19000000</v>
      </c>
      <c r="E1499" s="7" t="str">
        <f>IF(Notes!CC1495="","",Notes!CC1495)</f>
        <v>gallons</v>
      </c>
      <c r="F1499" s="7" t="str">
        <f>IF(Notes!CD1495="","",Notes!CD1495)</f>
        <v/>
      </c>
      <c r="G1499" s="7" t="str">
        <f>IF(Notes!CE1495="","",Notes!CE1495)</f>
        <v/>
      </c>
      <c r="H1499" s="7" t="str">
        <f>IF(Notes!CF1495="","",Notes!CF1495)</f>
        <v/>
      </c>
      <c r="I1499" s="7"/>
      <c r="J1499" s="7"/>
      <c r="K1499" s="7"/>
    </row>
    <row r="1500" spans="1:11" x14ac:dyDescent="0.3">
      <c r="A1500" s="7" t="str">
        <f>IF(Notes!BY1496="","",Notes!BY1496)</f>
        <v>ultimate_destination</v>
      </c>
      <c r="B1500" s="7" t="str">
        <f>IF(Notes!BZ1496="","",Notes!BZ1496)</f>
        <v>EUG</v>
      </c>
      <c r="C1500" s="7" t="str">
        <f>IF(Notes!CA1496="","",Notes!CA1496)</f>
        <v>fuel_blend</v>
      </c>
      <c r="D1500" s="7">
        <f>IF(Notes!CB1496="","",Notes!CB1496)</f>
        <v>10000000</v>
      </c>
      <c r="E1500" s="7" t="str">
        <f>IF(Notes!CC1496="","",Notes!CC1496)</f>
        <v>gallons</v>
      </c>
      <c r="F1500" s="7" t="str">
        <f>IF(Notes!CD1496="","",Notes!CD1496)</f>
        <v/>
      </c>
      <c r="G1500" s="7" t="str">
        <f>IF(Notes!CE1496="","",Notes!CE1496)</f>
        <v/>
      </c>
      <c r="H1500" s="7" t="str">
        <f>IF(Notes!CF1496="","",Notes!CF1496)</f>
        <v/>
      </c>
      <c r="I1500" s="7"/>
      <c r="J1500" s="7"/>
      <c r="K1500" s="7"/>
    </row>
    <row r="1501" spans="1:11" x14ac:dyDescent="0.3">
      <c r="A1501" s="7" t="str">
        <f>IF(Notes!BY1497="","",Notes!BY1497)</f>
        <v>ultimate_destination</v>
      </c>
      <c r="B1501" s="7" t="str">
        <f>IF(Notes!BZ1497="","",Notes!BZ1497)</f>
        <v>PDX</v>
      </c>
      <c r="C1501" s="7" t="str">
        <f>IF(Notes!CA1497="","",Notes!CA1497)</f>
        <v>fuel_blend</v>
      </c>
      <c r="D1501" s="7">
        <f>IF(Notes!CB1497="","",Notes!CB1497)</f>
        <v>177000000</v>
      </c>
      <c r="E1501" s="7" t="str">
        <f>IF(Notes!CC1497="","",Notes!CC1497)</f>
        <v>gallons</v>
      </c>
      <c r="F1501" s="7" t="str">
        <f>IF(Notes!CD1497="","",Notes!CD1497)</f>
        <v/>
      </c>
      <c r="G1501" s="7" t="str">
        <f>IF(Notes!CE1497="","",Notes!CE1497)</f>
        <v/>
      </c>
      <c r="H1501" s="7" t="str">
        <f>IF(Notes!CF1497="","",Notes!CF1497)</f>
        <v/>
      </c>
      <c r="I1501" s="7"/>
      <c r="J1501" s="7"/>
      <c r="K1501" s="7"/>
    </row>
    <row r="1502" spans="1:11" x14ac:dyDescent="0.3">
      <c r="A1502" s="7" t="str">
        <f>IF(Notes!BY1498="","",Notes!BY1498)</f>
        <v>ultimate_destination</v>
      </c>
      <c r="B1502" s="7" t="str">
        <f>IF(Notes!BZ1498="","",Notes!BZ1498)</f>
        <v>ABE</v>
      </c>
      <c r="C1502" s="7" t="str">
        <f>IF(Notes!CA1498="","",Notes!CA1498)</f>
        <v>fuel_blend</v>
      </c>
      <c r="D1502" s="7">
        <f>IF(Notes!CB1498="","",Notes!CB1498)</f>
        <v>13000000</v>
      </c>
      <c r="E1502" s="7" t="str">
        <f>IF(Notes!CC1498="","",Notes!CC1498)</f>
        <v>gallons</v>
      </c>
      <c r="F1502" s="7" t="str">
        <f>IF(Notes!CD1498="","",Notes!CD1498)</f>
        <v/>
      </c>
      <c r="G1502" s="7" t="str">
        <f>IF(Notes!CE1498="","",Notes!CE1498)</f>
        <v/>
      </c>
      <c r="H1502" s="7" t="str">
        <f>IF(Notes!CF1498="","",Notes!CF1498)</f>
        <v/>
      </c>
      <c r="I1502" s="7"/>
      <c r="J1502" s="7"/>
      <c r="K1502" s="7"/>
    </row>
    <row r="1503" spans="1:11" x14ac:dyDescent="0.3">
      <c r="A1503" s="7" t="str">
        <f>IF(Notes!BY1499="","",Notes!BY1499)</f>
        <v>ultimate_destination</v>
      </c>
      <c r="B1503" s="7" t="str">
        <f>IF(Notes!BZ1499="","",Notes!BZ1499)</f>
        <v>MDT</v>
      </c>
      <c r="C1503" s="7" t="str">
        <f>IF(Notes!CA1499="","",Notes!CA1499)</f>
        <v>fuel_blend</v>
      </c>
      <c r="D1503" s="7">
        <f>IF(Notes!CB1499="","",Notes!CB1499)</f>
        <v>12000000</v>
      </c>
      <c r="E1503" s="7" t="str">
        <f>IF(Notes!CC1499="","",Notes!CC1499)</f>
        <v>gallons</v>
      </c>
      <c r="F1503" s="7" t="str">
        <f>IF(Notes!CD1499="","",Notes!CD1499)</f>
        <v/>
      </c>
      <c r="G1503" s="7" t="str">
        <f>IF(Notes!CE1499="","",Notes!CE1499)</f>
        <v/>
      </c>
      <c r="H1503" s="7" t="str">
        <f>IF(Notes!CF1499="","",Notes!CF1499)</f>
        <v/>
      </c>
      <c r="I1503" s="7"/>
      <c r="J1503" s="7"/>
      <c r="K1503" s="7"/>
    </row>
    <row r="1504" spans="1:11" x14ac:dyDescent="0.3">
      <c r="A1504" s="7" t="str">
        <f>IF(Notes!BY1500="","",Notes!BY1500)</f>
        <v>ultimate_destination</v>
      </c>
      <c r="B1504" s="7" t="str">
        <f>IF(Notes!BZ1500="","",Notes!BZ1500)</f>
        <v>PHL</v>
      </c>
      <c r="C1504" s="7" t="str">
        <f>IF(Notes!CA1500="","",Notes!CA1500)</f>
        <v>fuel_blend</v>
      </c>
      <c r="D1504" s="7">
        <f>IF(Notes!CB1500="","",Notes!CB1500)</f>
        <v>351000000</v>
      </c>
      <c r="E1504" s="7" t="str">
        <f>IF(Notes!CC1500="","",Notes!CC1500)</f>
        <v>gallons</v>
      </c>
      <c r="F1504" s="7" t="str">
        <f>IF(Notes!CD1500="","",Notes!CD1500)</f>
        <v/>
      </c>
      <c r="G1504" s="7" t="str">
        <f>IF(Notes!CE1500="","",Notes!CE1500)</f>
        <v/>
      </c>
      <c r="H1504" s="7" t="str">
        <f>IF(Notes!CF1500="","",Notes!CF1500)</f>
        <v/>
      </c>
      <c r="I1504" s="7"/>
      <c r="J1504" s="7"/>
      <c r="K1504" s="7"/>
    </row>
    <row r="1505" spans="1:11" x14ac:dyDescent="0.3">
      <c r="A1505" s="7" t="str">
        <f>IF(Notes!BY1501="","",Notes!BY1501)</f>
        <v>ultimate_destination</v>
      </c>
      <c r="B1505" s="7" t="str">
        <f>IF(Notes!BZ1501="","",Notes!BZ1501)</f>
        <v>PIT</v>
      </c>
      <c r="C1505" s="7" t="str">
        <f>IF(Notes!CA1501="","",Notes!CA1501)</f>
        <v>fuel_blend</v>
      </c>
      <c r="D1505" s="7">
        <f>IF(Notes!CB1501="","",Notes!CB1501)</f>
        <v>83000000</v>
      </c>
      <c r="E1505" s="7" t="str">
        <f>IF(Notes!CC1501="","",Notes!CC1501)</f>
        <v>gallons</v>
      </c>
      <c r="F1505" s="7" t="str">
        <f>IF(Notes!CD1501="","",Notes!CD1501)</f>
        <v/>
      </c>
      <c r="G1505" s="7" t="str">
        <f>IF(Notes!CE1501="","",Notes!CE1501)</f>
        <v/>
      </c>
      <c r="H1505" s="7" t="str">
        <f>IF(Notes!CF1501="","",Notes!CF1501)</f>
        <v/>
      </c>
      <c r="I1505" s="7"/>
      <c r="J1505" s="7"/>
      <c r="K1505" s="7"/>
    </row>
    <row r="1506" spans="1:11" x14ac:dyDescent="0.3">
      <c r="A1506" s="7" t="str">
        <f>IF(Notes!BY1502="","",Notes!BY1502)</f>
        <v>ultimate_destination</v>
      </c>
      <c r="B1506" s="7" t="str">
        <f>IF(Notes!BZ1502="","",Notes!BZ1502)</f>
        <v>SJU</v>
      </c>
      <c r="C1506" s="7" t="str">
        <f>IF(Notes!CA1502="","",Notes!CA1502)</f>
        <v>fuel_blend</v>
      </c>
      <c r="D1506" s="7">
        <f>IF(Notes!CB1502="","",Notes!CB1502)</f>
        <v>148000000</v>
      </c>
      <c r="E1506" s="7" t="str">
        <f>IF(Notes!CC1502="","",Notes!CC1502)</f>
        <v>gallons</v>
      </c>
      <c r="F1506" s="7" t="str">
        <f>IF(Notes!CD1502="","",Notes!CD1502)</f>
        <v/>
      </c>
      <c r="G1506" s="7" t="str">
        <f>IF(Notes!CE1502="","",Notes!CE1502)</f>
        <v/>
      </c>
      <c r="H1506" s="7" t="str">
        <f>IF(Notes!CF1502="","",Notes!CF1502)</f>
        <v/>
      </c>
      <c r="I1506" s="7"/>
      <c r="J1506" s="7"/>
      <c r="K1506" s="7"/>
    </row>
    <row r="1507" spans="1:11" x14ac:dyDescent="0.3">
      <c r="A1507" s="7" t="str">
        <f>IF(Notes!BY1503="","",Notes!BY1503)</f>
        <v>ultimate_destination</v>
      </c>
      <c r="B1507" s="7" t="str">
        <f>IF(Notes!BZ1503="","",Notes!BZ1503)</f>
        <v>PVD</v>
      </c>
      <c r="C1507" s="7" t="str">
        <f>IF(Notes!CA1503="","",Notes!CA1503)</f>
        <v>fuel_blend</v>
      </c>
      <c r="D1507" s="7">
        <f>IF(Notes!CB1503="","",Notes!CB1503)</f>
        <v>17000000</v>
      </c>
      <c r="E1507" s="7" t="str">
        <f>IF(Notes!CC1503="","",Notes!CC1503)</f>
        <v>gallons</v>
      </c>
      <c r="F1507" s="7" t="str">
        <f>IF(Notes!CD1503="","",Notes!CD1503)</f>
        <v/>
      </c>
      <c r="G1507" s="7" t="str">
        <f>IF(Notes!CE1503="","",Notes!CE1503)</f>
        <v/>
      </c>
      <c r="H1507" s="7" t="str">
        <f>IF(Notes!CF1503="","",Notes!CF1503)</f>
        <v/>
      </c>
      <c r="I1507" s="7"/>
      <c r="J1507" s="7"/>
      <c r="K1507" s="7"/>
    </row>
    <row r="1508" spans="1:11" x14ac:dyDescent="0.3">
      <c r="A1508" s="7" t="str">
        <f>IF(Notes!BY1504="","",Notes!BY1504)</f>
        <v>ultimate_destination</v>
      </c>
      <c r="B1508" s="7" t="str">
        <f>IF(Notes!BZ1504="","",Notes!BZ1504)</f>
        <v>CAE</v>
      </c>
      <c r="C1508" s="7" t="str">
        <f>IF(Notes!CA1504="","",Notes!CA1504)</f>
        <v>fuel_blend</v>
      </c>
      <c r="D1508" s="7">
        <f>IF(Notes!CB1504="","",Notes!CB1504)</f>
        <v>11000000</v>
      </c>
      <c r="E1508" s="7" t="str">
        <f>IF(Notes!CC1504="","",Notes!CC1504)</f>
        <v>gallons</v>
      </c>
      <c r="F1508" s="7" t="str">
        <f>IF(Notes!CD1504="","",Notes!CD1504)</f>
        <v/>
      </c>
      <c r="G1508" s="7" t="str">
        <f>IF(Notes!CE1504="","",Notes!CE1504)</f>
        <v/>
      </c>
      <c r="H1508" s="7" t="str">
        <f>IF(Notes!CF1504="","",Notes!CF1504)</f>
        <v/>
      </c>
      <c r="I1508" s="7"/>
      <c r="J1508" s="7"/>
      <c r="K1508" s="7"/>
    </row>
    <row r="1509" spans="1:11" x14ac:dyDescent="0.3">
      <c r="A1509" s="7" t="str">
        <f>IF(Notes!BY1505="","",Notes!BY1505)</f>
        <v>ultimate_destination</v>
      </c>
      <c r="B1509" s="7" t="str">
        <f>IF(Notes!BZ1505="","",Notes!BZ1505)</f>
        <v>CHS</v>
      </c>
      <c r="C1509" s="7" t="str">
        <f>IF(Notes!CA1505="","",Notes!CA1505)</f>
        <v>fuel_blend</v>
      </c>
      <c r="D1509" s="7">
        <f>IF(Notes!CB1505="","",Notes!CB1505)</f>
        <v>39000000</v>
      </c>
      <c r="E1509" s="7" t="str">
        <f>IF(Notes!CC1505="","",Notes!CC1505)</f>
        <v>gallons</v>
      </c>
      <c r="F1509" s="7" t="str">
        <f>IF(Notes!CD1505="","",Notes!CD1505)</f>
        <v/>
      </c>
      <c r="G1509" s="7" t="str">
        <f>IF(Notes!CE1505="","",Notes!CE1505)</f>
        <v/>
      </c>
      <c r="H1509" s="7" t="str">
        <f>IF(Notes!CF1505="","",Notes!CF1505)</f>
        <v/>
      </c>
      <c r="I1509" s="7"/>
      <c r="J1509" s="7"/>
      <c r="K1509" s="7"/>
    </row>
    <row r="1510" spans="1:11" x14ac:dyDescent="0.3">
      <c r="A1510" s="7" t="str">
        <f>IF(Notes!BY1506="","",Notes!BY1506)</f>
        <v>ultimate_destination</v>
      </c>
      <c r="B1510" s="7" t="str">
        <f>IF(Notes!BZ1506="","",Notes!BZ1506)</f>
        <v>GSP</v>
      </c>
      <c r="C1510" s="7" t="str">
        <f>IF(Notes!CA1506="","",Notes!CA1506)</f>
        <v>fuel_blend</v>
      </c>
      <c r="D1510" s="7">
        <f>IF(Notes!CB1506="","",Notes!CB1506)</f>
        <v>23000000</v>
      </c>
      <c r="E1510" s="7" t="str">
        <f>IF(Notes!CC1506="","",Notes!CC1506)</f>
        <v>gallons</v>
      </c>
      <c r="F1510" s="7" t="str">
        <f>IF(Notes!CD1506="","",Notes!CD1506)</f>
        <v/>
      </c>
      <c r="G1510" s="7" t="str">
        <f>IF(Notes!CE1506="","",Notes!CE1506)</f>
        <v/>
      </c>
      <c r="H1510" s="7" t="str">
        <f>IF(Notes!CF1506="","",Notes!CF1506)</f>
        <v/>
      </c>
      <c r="I1510" s="7"/>
      <c r="J1510" s="7"/>
      <c r="K1510" s="7"/>
    </row>
    <row r="1511" spans="1:11" x14ac:dyDescent="0.3">
      <c r="A1511" s="7" t="str">
        <f>IF(Notes!BY1507="","",Notes!BY1507)</f>
        <v>ultimate_destination</v>
      </c>
      <c r="B1511" s="7" t="str">
        <f>IF(Notes!BZ1507="","",Notes!BZ1507)</f>
        <v>MYR</v>
      </c>
      <c r="C1511" s="7" t="str">
        <f>IF(Notes!CA1507="","",Notes!CA1507)</f>
        <v>fuel_blend</v>
      </c>
      <c r="D1511" s="7">
        <f>IF(Notes!CB1507="","",Notes!CB1507)</f>
        <v>14000000</v>
      </c>
      <c r="E1511" s="7" t="str">
        <f>IF(Notes!CC1507="","",Notes!CC1507)</f>
        <v>gallons</v>
      </c>
      <c r="F1511" s="7" t="str">
        <f>IF(Notes!CD1507="","",Notes!CD1507)</f>
        <v/>
      </c>
      <c r="G1511" s="7" t="str">
        <f>IF(Notes!CE1507="","",Notes!CE1507)</f>
        <v/>
      </c>
      <c r="H1511" s="7" t="str">
        <f>IF(Notes!CF1507="","",Notes!CF1507)</f>
        <v/>
      </c>
      <c r="I1511" s="7"/>
      <c r="J1511" s="7"/>
      <c r="K1511" s="7"/>
    </row>
    <row r="1512" spans="1:11" x14ac:dyDescent="0.3">
      <c r="A1512" s="7" t="str">
        <f>IF(Notes!BY1508="","",Notes!BY1508)</f>
        <v>ultimate_destination</v>
      </c>
      <c r="B1512" s="7" t="str">
        <f>IF(Notes!BZ1508="","",Notes!BZ1508)</f>
        <v>BNA</v>
      </c>
      <c r="C1512" s="7" t="str">
        <f>IF(Notes!CA1508="","",Notes!CA1508)</f>
        <v>fuel_blend</v>
      </c>
      <c r="D1512" s="7">
        <f>IF(Notes!CB1508="","",Notes!CB1508)</f>
        <v>168000000</v>
      </c>
      <c r="E1512" s="7" t="str">
        <f>IF(Notes!CC1508="","",Notes!CC1508)</f>
        <v>gallons</v>
      </c>
      <c r="F1512" s="7" t="str">
        <f>IF(Notes!CD1508="","",Notes!CD1508)</f>
        <v/>
      </c>
      <c r="G1512" s="7" t="str">
        <f>IF(Notes!CE1508="","",Notes!CE1508)</f>
        <v/>
      </c>
      <c r="H1512" s="7" t="str">
        <f>IF(Notes!CF1508="","",Notes!CF1508)</f>
        <v/>
      </c>
      <c r="I1512" s="7"/>
      <c r="J1512" s="7"/>
      <c r="K1512" s="7"/>
    </row>
    <row r="1513" spans="1:11" x14ac:dyDescent="0.3">
      <c r="A1513" s="7" t="str">
        <f>IF(Notes!BY1509="","",Notes!BY1509)</f>
        <v>ultimate_destination</v>
      </c>
      <c r="B1513" s="7" t="str">
        <f>IF(Notes!BZ1509="","",Notes!BZ1509)</f>
        <v>MEM</v>
      </c>
      <c r="C1513" s="7" t="str">
        <f>IF(Notes!CA1509="","",Notes!CA1509)</f>
        <v>fuel_blend</v>
      </c>
      <c r="D1513" s="7">
        <f>IF(Notes!CB1509="","",Notes!CB1509)</f>
        <v>396000000</v>
      </c>
      <c r="E1513" s="7" t="str">
        <f>IF(Notes!CC1509="","",Notes!CC1509)</f>
        <v>gallons</v>
      </c>
      <c r="F1513" s="7" t="str">
        <f>IF(Notes!CD1509="","",Notes!CD1509)</f>
        <v/>
      </c>
      <c r="G1513" s="7" t="str">
        <f>IF(Notes!CE1509="","",Notes!CE1509)</f>
        <v/>
      </c>
      <c r="H1513" s="7" t="str">
        <f>IF(Notes!CF1509="","",Notes!CF1509)</f>
        <v/>
      </c>
      <c r="I1513" s="7"/>
      <c r="J1513" s="7"/>
      <c r="K1513" s="7"/>
    </row>
    <row r="1514" spans="1:11" x14ac:dyDescent="0.3">
      <c r="A1514" s="7" t="str">
        <f>IF(Notes!BY1510="","",Notes!BY1510)</f>
        <v>ultimate_destination</v>
      </c>
      <c r="B1514" s="7" t="str">
        <f>IF(Notes!BZ1510="","",Notes!BZ1510)</f>
        <v>TYS</v>
      </c>
      <c r="C1514" s="7" t="str">
        <f>IF(Notes!CA1510="","",Notes!CA1510)</f>
        <v>fuel_blend</v>
      </c>
      <c r="D1514" s="7">
        <f>IF(Notes!CB1510="","",Notes!CB1510)</f>
        <v>22000000</v>
      </c>
      <c r="E1514" s="7" t="str">
        <f>IF(Notes!CC1510="","",Notes!CC1510)</f>
        <v>gallons</v>
      </c>
      <c r="F1514" s="7" t="str">
        <f>IF(Notes!CD1510="","",Notes!CD1510)</f>
        <v/>
      </c>
      <c r="G1514" s="7" t="str">
        <f>IF(Notes!CE1510="","",Notes!CE1510)</f>
        <v/>
      </c>
      <c r="H1514" s="7" t="str">
        <f>IF(Notes!CF1510="","",Notes!CF1510)</f>
        <v/>
      </c>
      <c r="I1514" s="7"/>
      <c r="J1514" s="7"/>
      <c r="K1514" s="7"/>
    </row>
    <row r="1515" spans="1:11" x14ac:dyDescent="0.3">
      <c r="A1515" s="7" t="str">
        <f>IF(Notes!BY1511="","",Notes!BY1511)</f>
        <v>ultimate_destination</v>
      </c>
      <c r="B1515" s="7" t="str">
        <f>IF(Notes!BZ1511="","",Notes!BZ1511)</f>
        <v>AFW</v>
      </c>
      <c r="C1515" s="7" t="str">
        <f>IF(Notes!CA1511="","",Notes!CA1511)</f>
        <v>fuel_blend</v>
      </c>
      <c r="D1515" s="7">
        <f>IF(Notes!CB1511="","",Notes!CB1511)</f>
        <v>5000000</v>
      </c>
      <c r="E1515" s="7" t="str">
        <f>IF(Notes!CC1511="","",Notes!CC1511)</f>
        <v>gallons</v>
      </c>
      <c r="F1515" s="7" t="str">
        <f>IF(Notes!CD1511="","",Notes!CD1511)</f>
        <v/>
      </c>
      <c r="G1515" s="7" t="str">
        <f>IF(Notes!CE1511="","",Notes!CE1511)</f>
        <v/>
      </c>
      <c r="H1515" s="7" t="str">
        <f>IF(Notes!CF1511="","",Notes!CF1511)</f>
        <v/>
      </c>
      <c r="I1515" s="7"/>
      <c r="J1515" s="7"/>
      <c r="K1515" s="7"/>
    </row>
    <row r="1516" spans="1:11" x14ac:dyDescent="0.3">
      <c r="A1516" s="7" t="str">
        <f>IF(Notes!BY1512="","",Notes!BY1512)</f>
        <v>ultimate_destination</v>
      </c>
      <c r="B1516" s="7" t="str">
        <f>IF(Notes!BZ1512="","",Notes!BZ1512)</f>
        <v>AUS</v>
      </c>
      <c r="C1516" s="7" t="str">
        <f>IF(Notes!CA1512="","",Notes!CA1512)</f>
        <v>fuel_blend</v>
      </c>
      <c r="D1516" s="7">
        <f>IF(Notes!CB1512="","",Notes!CB1512)</f>
        <v>194000000</v>
      </c>
      <c r="E1516" s="7" t="str">
        <f>IF(Notes!CC1512="","",Notes!CC1512)</f>
        <v>gallons</v>
      </c>
      <c r="F1516" s="7" t="str">
        <f>IF(Notes!CD1512="","",Notes!CD1512)</f>
        <v/>
      </c>
      <c r="G1516" s="7" t="str">
        <f>IF(Notes!CE1512="","",Notes!CE1512)</f>
        <v/>
      </c>
      <c r="H1516" s="7" t="str">
        <f>IF(Notes!CF1512="","",Notes!CF1512)</f>
        <v/>
      </c>
      <c r="I1516" s="7"/>
      <c r="J1516" s="7"/>
      <c r="K1516" s="7"/>
    </row>
    <row r="1517" spans="1:11" x14ac:dyDescent="0.3">
      <c r="A1517" s="7" t="str">
        <f>IF(Notes!BY1513="","",Notes!BY1513)</f>
        <v>ultimate_destination</v>
      </c>
      <c r="B1517" s="7" t="str">
        <f>IF(Notes!BZ1513="","",Notes!BZ1513)</f>
        <v>DAL</v>
      </c>
      <c r="C1517" s="7" t="str">
        <f>IF(Notes!CA1513="","",Notes!CA1513)</f>
        <v>fuel_blend</v>
      </c>
      <c r="D1517" s="7">
        <f>IF(Notes!CB1513="","",Notes!CB1513)</f>
        <v>117000000</v>
      </c>
      <c r="E1517" s="7" t="str">
        <f>IF(Notes!CC1513="","",Notes!CC1513)</f>
        <v>gallons</v>
      </c>
      <c r="F1517" s="7" t="str">
        <f>IF(Notes!CD1513="","",Notes!CD1513)</f>
        <v/>
      </c>
      <c r="G1517" s="7" t="str">
        <f>IF(Notes!CE1513="","",Notes!CE1513)</f>
        <v/>
      </c>
      <c r="H1517" s="7" t="str">
        <f>IF(Notes!CF1513="","",Notes!CF1513)</f>
        <v/>
      </c>
      <c r="I1517" s="7"/>
      <c r="J1517" s="7"/>
      <c r="K1517" s="7"/>
    </row>
    <row r="1518" spans="1:11" x14ac:dyDescent="0.3">
      <c r="A1518" s="7" t="str">
        <f>IF(Notes!BY1514="","",Notes!BY1514)</f>
        <v>ultimate_destination</v>
      </c>
      <c r="B1518" s="7" t="str">
        <f>IF(Notes!BZ1514="","",Notes!BZ1514)</f>
        <v>DFW</v>
      </c>
      <c r="C1518" s="7" t="str">
        <f>IF(Notes!CA1514="","",Notes!CA1514)</f>
        <v>fuel_blend</v>
      </c>
      <c r="D1518" s="7">
        <f>IF(Notes!CB1514="","",Notes!CB1514)</f>
        <v>1012000000</v>
      </c>
      <c r="E1518" s="7" t="str">
        <f>IF(Notes!CC1514="","",Notes!CC1514)</f>
        <v>gallons</v>
      </c>
      <c r="F1518" s="7" t="str">
        <f>IF(Notes!CD1514="","",Notes!CD1514)</f>
        <v/>
      </c>
      <c r="G1518" s="7" t="str">
        <f>IF(Notes!CE1514="","",Notes!CE1514)</f>
        <v/>
      </c>
      <c r="H1518" s="7" t="str">
        <f>IF(Notes!CF1514="","",Notes!CF1514)</f>
        <v/>
      </c>
      <c r="I1518" s="7"/>
      <c r="J1518" s="7"/>
      <c r="K1518" s="7"/>
    </row>
    <row r="1519" spans="1:11" x14ac:dyDescent="0.3">
      <c r="A1519" s="7" t="str">
        <f>IF(Notes!BY1515="","",Notes!BY1515)</f>
        <v>ultimate_destination</v>
      </c>
      <c r="B1519" s="7" t="str">
        <f>IF(Notes!BZ1515="","",Notes!BZ1515)</f>
        <v>ELP</v>
      </c>
      <c r="C1519" s="7" t="str">
        <f>IF(Notes!CA1515="","",Notes!CA1515)</f>
        <v>fuel_blend</v>
      </c>
      <c r="D1519" s="7">
        <f>IF(Notes!CB1515="","",Notes!CB1515)</f>
        <v>23000000</v>
      </c>
      <c r="E1519" s="7" t="str">
        <f>IF(Notes!CC1515="","",Notes!CC1515)</f>
        <v>gallons</v>
      </c>
      <c r="F1519" s="7" t="str">
        <f>IF(Notes!CD1515="","",Notes!CD1515)</f>
        <v/>
      </c>
      <c r="G1519" s="7" t="str">
        <f>IF(Notes!CE1515="","",Notes!CE1515)</f>
        <v/>
      </c>
      <c r="H1519" s="7" t="str">
        <f>IF(Notes!CF1515="","",Notes!CF1515)</f>
        <v/>
      </c>
      <c r="I1519" s="7"/>
      <c r="J1519" s="7"/>
      <c r="K1519" s="7"/>
    </row>
    <row r="1520" spans="1:11" x14ac:dyDescent="0.3">
      <c r="A1520" s="7" t="str">
        <f>IF(Notes!BY1516="","",Notes!BY1516)</f>
        <v>ultimate_destination</v>
      </c>
      <c r="B1520" s="7" t="str">
        <f>IF(Notes!BZ1516="","",Notes!BZ1516)</f>
        <v>HOU</v>
      </c>
      <c r="C1520" s="7" t="str">
        <f>IF(Notes!CA1516="","",Notes!CA1516)</f>
        <v>fuel_blend</v>
      </c>
      <c r="D1520" s="7">
        <f>IF(Notes!CB1516="","",Notes!CB1516)</f>
        <v>106000000</v>
      </c>
      <c r="E1520" s="7" t="str">
        <f>IF(Notes!CC1516="","",Notes!CC1516)</f>
        <v>gallons</v>
      </c>
      <c r="F1520" s="7" t="str">
        <f>IF(Notes!CD1516="","",Notes!CD1516)</f>
        <v/>
      </c>
      <c r="G1520" s="7" t="str">
        <f>IF(Notes!CE1516="","",Notes!CE1516)</f>
        <v/>
      </c>
      <c r="H1520" s="7" t="str">
        <f>IF(Notes!CF1516="","",Notes!CF1516)</f>
        <v/>
      </c>
      <c r="I1520" s="7"/>
      <c r="J1520" s="7"/>
      <c r="K1520" s="7"/>
    </row>
    <row r="1521" spans="1:11" x14ac:dyDescent="0.3">
      <c r="A1521" s="7" t="str">
        <f>IF(Notes!BY1517="","",Notes!BY1517)</f>
        <v>ultimate_destination</v>
      </c>
      <c r="B1521" s="7" t="str">
        <f>IF(Notes!BZ1517="","",Notes!BZ1517)</f>
        <v>IAH</v>
      </c>
      <c r="C1521" s="7" t="str">
        <f>IF(Notes!CA1517="","",Notes!CA1517)</f>
        <v>fuel_blend</v>
      </c>
      <c r="D1521" s="7">
        <f>IF(Notes!CB1517="","",Notes!CB1517)</f>
        <v>629000000</v>
      </c>
      <c r="E1521" s="7" t="str">
        <f>IF(Notes!CC1517="","",Notes!CC1517)</f>
        <v>gallons</v>
      </c>
      <c r="F1521" s="7" t="str">
        <f>IF(Notes!CD1517="","",Notes!CD1517)</f>
        <v/>
      </c>
      <c r="G1521" s="7" t="str">
        <f>IF(Notes!CE1517="","",Notes!CE1517)</f>
        <v/>
      </c>
      <c r="H1521" s="7" t="str">
        <f>IF(Notes!CF1517="","",Notes!CF1517)</f>
        <v/>
      </c>
      <c r="I1521" s="7"/>
      <c r="J1521" s="7"/>
      <c r="K1521" s="7"/>
    </row>
    <row r="1522" spans="1:11" x14ac:dyDescent="0.3">
      <c r="A1522" s="7" t="str">
        <f>IF(Notes!BY1518="","",Notes!BY1518)</f>
        <v>ultimate_destination</v>
      </c>
      <c r="B1522" s="7" t="str">
        <f>IF(Notes!BZ1518="","",Notes!BZ1518)</f>
        <v>SAT</v>
      </c>
      <c r="C1522" s="7" t="str">
        <f>IF(Notes!CA1518="","",Notes!CA1518)</f>
        <v>fuel_blend</v>
      </c>
      <c r="D1522" s="7">
        <f>IF(Notes!CB1518="","",Notes!CB1518)</f>
        <v>89000000</v>
      </c>
      <c r="E1522" s="7" t="str">
        <f>IF(Notes!CC1518="","",Notes!CC1518)</f>
        <v>gallons</v>
      </c>
      <c r="F1522" s="7" t="str">
        <f>IF(Notes!CD1518="","",Notes!CD1518)</f>
        <v/>
      </c>
      <c r="G1522" s="7" t="str">
        <f>IF(Notes!CE1518="","",Notes!CE1518)</f>
        <v/>
      </c>
      <c r="H1522" s="7" t="str">
        <f>IF(Notes!CF1518="","",Notes!CF1518)</f>
        <v/>
      </c>
      <c r="I1522" s="7"/>
      <c r="J1522" s="7"/>
      <c r="K1522" s="7"/>
    </row>
    <row r="1523" spans="1:11" x14ac:dyDescent="0.3">
      <c r="A1523" s="7" t="str">
        <f>IF(Notes!BY1519="","",Notes!BY1519)</f>
        <v>ultimate_destination</v>
      </c>
      <c r="B1523" s="7" t="str">
        <f>IF(Notes!BZ1519="","",Notes!BZ1519)</f>
        <v>SLC</v>
      </c>
      <c r="C1523" s="7" t="str">
        <f>IF(Notes!CA1519="","",Notes!CA1519)</f>
        <v>fuel_blend</v>
      </c>
      <c r="D1523" s="7">
        <f>IF(Notes!CB1519="","",Notes!CB1519)</f>
        <v>206000000</v>
      </c>
      <c r="E1523" s="7" t="str">
        <f>IF(Notes!CC1519="","",Notes!CC1519)</f>
        <v>gallons</v>
      </c>
      <c r="F1523" s="7" t="str">
        <f>IF(Notes!CD1519="","",Notes!CD1519)</f>
        <v/>
      </c>
      <c r="G1523" s="7" t="str">
        <f>IF(Notes!CE1519="","",Notes!CE1519)</f>
        <v/>
      </c>
      <c r="H1523" s="7" t="str">
        <f>IF(Notes!CF1519="","",Notes!CF1519)</f>
        <v/>
      </c>
      <c r="I1523" s="7"/>
      <c r="J1523" s="7"/>
      <c r="K1523" s="7"/>
    </row>
    <row r="1524" spans="1:11" x14ac:dyDescent="0.3">
      <c r="A1524" s="7" t="str">
        <f>IF(Notes!BY1520="","",Notes!BY1520)</f>
        <v>ultimate_destination</v>
      </c>
      <c r="B1524" s="7" t="str">
        <f>IF(Notes!BZ1520="","",Notes!BZ1520)</f>
        <v>DCA</v>
      </c>
      <c r="C1524" s="7" t="str">
        <f>IF(Notes!CA1520="","",Notes!CA1520)</f>
        <v>fuel_blend</v>
      </c>
      <c r="D1524" s="7">
        <f>IF(Notes!CB1520="","",Notes!CB1520)</f>
        <v>209000000</v>
      </c>
      <c r="E1524" s="7" t="str">
        <f>IF(Notes!CC1520="","",Notes!CC1520)</f>
        <v>gallons</v>
      </c>
      <c r="F1524" s="7" t="str">
        <f>IF(Notes!CD1520="","",Notes!CD1520)</f>
        <v/>
      </c>
      <c r="G1524" s="7" t="str">
        <f>IF(Notes!CE1520="","",Notes!CE1520)</f>
        <v/>
      </c>
      <c r="H1524" s="7" t="str">
        <f>IF(Notes!CF1520="","",Notes!CF1520)</f>
        <v/>
      </c>
      <c r="I1524" s="7"/>
      <c r="J1524" s="7"/>
      <c r="K1524" s="7"/>
    </row>
    <row r="1525" spans="1:11" x14ac:dyDescent="0.3">
      <c r="A1525" s="7" t="str">
        <f>IF(Notes!BY1521="","",Notes!BY1521)</f>
        <v>ultimate_destination</v>
      </c>
      <c r="B1525" s="7" t="str">
        <f>IF(Notes!BZ1521="","",Notes!BZ1521)</f>
        <v>IAD</v>
      </c>
      <c r="C1525" s="7" t="str">
        <f>IF(Notes!CA1521="","",Notes!CA1521)</f>
        <v>fuel_blend</v>
      </c>
      <c r="D1525" s="7">
        <f>IF(Notes!CB1521="","",Notes!CB1521)</f>
        <v>514000000</v>
      </c>
      <c r="E1525" s="7" t="str">
        <f>IF(Notes!CC1521="","",Notes!CC1521)</f>
        <v>gallons</v>
      </c>
      <c r="F1525" s="7" t="str">
        <f>IF(Notes!CD1521="","",Notes!CD1521)</f>
        <v/>
      </c>
      <c r="G1525" s="7" t="str">
        <f>IF(Notes!CE1521="","",Notes!CE1521)</f>
        <v/>
      </c>
      <c r="H1525" s="7" t="str">
        <f>IF(Notes!CF1521="","",Notes!CF1521)</f>
        <v/>
      </c>
      <c r="I1525" s="7"/>
      <c r="J1525" s="7"/>
      <c r="K1525" s="7"/>
    </row>
    <row r="1526" spans="1:11" x14ac:dyDescent="0.3">
      <c r="A1526" s="7" t="str">
        <f>IF(Notes!BY1522="","",Notes!BY1522)</f>
        <v>ultimate_destination</v>
      </c>
      <c r="B1526" s="7" t="str">
        <f>IF(Notes!BZ1522="","",Notes!BZ1522)</f>
        <v>ORF</v>
      </c>
      <c r="C1526" s="7" t="str">
        <f>IF(Notes!CA1522="","",Notes!CA1522)</f>
        <v>fuel_blend</v>
      </c>
      <c r="D1526" s="7">
        <f>IF(Notes!CB1522="","",Notes!CB1522)</f>
        <v>34000000</v>
      </c>
      <c r="E1526" s="7" t="str">
        <f>IF(Notes!CC1522="","",Notes!CC1522)</f>
        <v>gallons</v>
      </c>
      <c r="F1526" s="7" t="str">
        <f>IF(Notes!CD1522="","",Notes!CD1522)</f>
        <v/>
      </c>
      <c r="G1526" s="7" t="str">
        <f>IF(Notes!CE1522="","",Notes!CE1522)</f>
        <v/>
      </c>
      <c r="H1526" s="7" t="str">
        <f>IF(Notes!CF1522="","",Notes!CF1522)</f>
        <v/>
      </c>
      <c r="I1526" s="7"/>
      <c r="J1526" s="7"/>
      <c r="K1526" s="7"/>
    </row>
    <row r="1527" spans="1:11" x14ac:dyDescent="0.3">
      <c r="A1527" s="7" t="str">
        <f>IF(Notes!BY1523="","",Notes!BY1523)</f>
        <v>ultimate_destination</v>
      </c>
      <c r="B1527" s="7" t="str">
        <f>IF(Notes!BZ1523="","",Notes!BZ1523)</f>
        <v>GEG</v>
      </c>
      <c r="C1527" s="7" t="str">
        <f>IF(Notes!CA1523="","",Notes!CA1523)</f>
        <v>fuel_blend</v>
      </c>
      <c r="D1527" s="7">
        <f>IF(Notes!CB1523="","",Notes!CB1523)</f>
        <v>27000000</v>
      </c>
      <c r="E1527" s="7" t="str">
        <f>IF(Notes!CC1523="","",Notes!CC1523)</f>
        <v>gallons</v>
      </c>
      <c r="F1527" s="7" t="str">
        <f>IF(Notes!CD1523="","",Notes!CD1523)</f>
        <v/>
      </c>
      <c r="G1527" s="7" t="str">
        <f>IF(Notes!CE1523="","",Notes!CE1523)</f>
        <v/>
      </c>
      <c r="H1527" s="7" t="str">
        <f>IF(Notes!CF1523="","",Notes!CF1523)</f>
        <v/>
      </c>
      <c r="I1527" s="7"/>
      <c r="J1527" s="7"/>
      <c r="K1527" s="7"/>
    </row>
    <row r="1528" spans="1:11" x14ac:dyDescent="0.3">
      <c r="A1528" s="7" t="str">
        <f>IF(Notes!BY1524="","",Notes!BY1524)</f>
        <v>ultimate_destination</v>
      </c>
      <c r="B1528" s="7" t="str">
        <f>IF(Notes!BZ1524="","",Notes!BZ1524)</f>
        <v>PAE</v>
      </c>
      <c r="C1528" s="7" t="str">
        <f>IF(Notes!CA1524="","",Notes!CA1524)</f>
        <v>fuel_blend</v>
      </c>
      <c r="D1528" s="7">
        <f>IF(Notes!CB1524="","",Notes!CB1524)</f>
        <v>6000000</v>
      </c>
      <c r="E1528" s="7" t="str">
        <f>IF(Notes!CC1524="","",Notes!CC1524)</f>
        <v>gallons</v>
      </c>
      <c r="F1528" s="7" t="str">
        <f>IF(Notes!CD1524="","",Notes!CD1524)</f>
        <v/>
      </c>
      <c r="G1528" s="7" t="str">
        <f>IF(Notes!CE1524="","",Notes!CE1524)</f>
        <v/>
      </c>
      <c r="H1528" s="7" t="str">
        <f>IF(Notes!CF1524="","",Notes!CF1524)</f>
        <v/>
      </c>
      <c r="I1528" s="7"/>
      <c r="J1528" s="7"/>
      <c r="K1528" s="7"/>
    </row>
    <row r="1529" spans="1:11" x14ac:dyDescent="0.3">
      <c r="A1529" s="7" t="str">
        <f>IF(Notes!BY1525="","",Notes!BY1525)</f>
        <v>ultimate_destination</v>
      </c>
      <c r="B1529" s="7" t="str">
        <f>IF(Notes!BZ1525="","",Notes!BZ1525)</f>
        <v>SEA</v>
      </c>
      <c r="C1529" s="7" t="str">
        <f>IF(Notes!CA1525="","",Notes!CA1525)</f>
        <v>fuel_blend</v>
      </c>
      <c r="D1529" s="7">
        <f>IF(Notes!CB1525="","",Notes!CB1525)</f>
        <v>692000000</v>
      </c>
      <c r="E1529" s="7" t="str">
        <f>IF(Notes!CC1525="","",Notes!CC1525)</f>
        <v>gallons</v>
      </c>
      <c r="F1529" s="7" t="str">
        <f>IF(Notes!CD1525="","",Notes!CD1525)</f>
        <v/>
      </c>
      <c r="G1529" s="7" t="str">
        <f>IF(Notes!CE1525="","",Notes!CE1525)</f>
        <v/>
      </c>
      <c r="H1529" s="7" t="str">
        <f>IF(Notes!CF1525="","",Notes!CF1525)</f>
        <v/>
      </c>
      <c r="I1529" s="7"/>
      <c r="J1529" s="7"/>
      <c r="K1529" s="7"/>
    </row>
    <row r="1530" spans="1:11" x14ac:dyDescent="0.3">
      <c r="A1530" s="7" t="str">
        <f>IF(Notes!BY1526="","",Notes!BY1526)</f>
        <v>ultimate_destination</v>
      </c>
      <c r="B1530" s="7" t="str">
        <f>IF(Notes!BZ1526="","",Notes!BZ1526)</f>
        <v>MKE</v>
      </c>
      <c r="C1530" s="7" t="str">
        <f>IF(Notes!CA1526="","",Notes!CA1526)</f>
        <v>fuel_blend</v>
      </c>
      <c r="D1530" s="7">
        <f>IF(Notes!CB1526="","",Notes!CB1526)</f>
        <v>49000000</v>
      </c>
      <c r="E1530" s="7" t="str">
        <f>IF(Notes!CC1526="","",Notes!CC1526)</f>
        <v>gallons</v>
      </c>
      <c r="F1530" s="7" t="str">
        <f>IF(Notes!CD1526="","",Notes!CD1526)</f>
        <v/>
      </c>
      <c r="G1530" s="7" t="str">
        <f>IF(Notes!CE1526="","",Notes!CE1526)</f>
        <v/>
      </c>
      <c r="H1530" s="7" t="str">
        <f>IF(Notes!CF1526="","",Notes!CF1526)</f>
        <v/>
      </c>
      <c r="I1530" s="7"/>
      <c r="J1530" s="7"/>
      <c r="K1530" s="7"/>
    </row>
    <row r="1531" spans="1:11" x14ac:dyDescent="0.3">
      <c r="A1531" s="7" t="str">
        <f>IF(Notes!BY1527="","",Notes!BY1527)</f>
        <v>ultimate_destination</v>
      </c>
      <c r="B1531" s="7" t="str">
        <f>IF(Notes!BZ1527="","",Notes!BZ1527)</f>
        <v>MSN</v>
      </c>
      <c r="C1531" s="7" t="str">
        <f>IF(Notes!CA1527="","",Notes!CA1527)</f>
        <v>fuel_blend</v>
      </c>
      <c r="D1531" s="7">
        <f>IF(Notes!CB1527="","",Notes!CB1527)</f>
        <v>14000000</v>
      </c>
      <c r="E1531" s="7" t="str">
        <f>IF(Notes!CC1527="","",Notes!CC1527)</f>
        <v>gallons</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306</v>
      </c>
      <c r="B1" s="128" t="s">
        <v>321</v>
      </c>
    </row>
    <row r="2" spans="1:77" x14ac:dyDescent="0.3">
      <c r="A2" t="s">
        <v>316</v>
      </c>
      <c r="B2">
        <f t="shared" ref="B2:B6" si="0">SIGN(SUBTOTAL(3,A2))</f>
        <v>1</v>
      </c>
      <c r="AD2" t="s">
        <v>1620</v>
      </c>
      <c r="AG2" t="s">
        <v>1619</v>
      </c>
      <c r="BY2" t="s">
        <v>1618</v>
      </c>
    </row>
    <row r="3" spans="1:77" x14ac:dyDescent="0.3">
      <c r="A3" t="s">
        <v>314</v>
      </c>
      <c r="B3">
        <f t="shared" si="0"/>
        <v>1</v>
      </c>
    </row>
    <row r="4" spans="1:77" x14ac:dyDescent="0.3">
      <c r="A4" t="s">
        <v>315</v>
      </c>
      <c r="B4">
        <f t="shared" si="0"/>
        <v>1</v>
      </c>
    </row>
    <row r="5" spans="1:77" x14ac:dyDescent="0.3">
      <c r="A5" t="s">
        <v>317</v>
      </c>
      <c r="B5">
        <f t="shared" si="0"/>
        <v>1</v>
      </c>
    </row>
    <row r="6" spans="1:77" x14ac:dyDescent="0.3">
      <c r="A6" t="s">
        <v>307</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145</v>
      </c>
      <c r="B1" s="128" t="s">
        <v>321</v>
      </c>
    </row>
    <row r="2" spans="1:75" ht="16.8" x14ac:dyDescent="0.4">
      <c r="A2" t="s">
        <v>146</v>
      </c>
      <c r="B2">
        <f t="shared" ref="B2:B31" si="0">SIGN(SUBTOTAL(3,A2))</f>
        <v>1</v>
      </c>
      <c r="D2" s="129"/>
      <c r="AB2" t="s">
        <v>1620</v>
      </c>
      <c r="AE2" t="s">
        <v>1619</v>
      </c>
      <c r="BW2" t="s">
        <v>1618</v>
      </c>
    </row>
    <row r="3" spans="1:75" ht="16.8" x14ac:dyDescent="0.4">
      <c r="A3" t="s">
        <v>147</v>
      </c>
      <c r="B3">
        <f t="shared" si="0"/>
        <v>1</v>
      </c>
      <c r="D3" s="129"/>
    </row>
    <row r="4" spans="1:75" ht="16.8" x14ac:dyDescent="0.4">
      <c r="A4" t="s">
        <v>148</v>
      </c>
      <c r="B4">
        <f t="shared" si="0"/>
        <v>1</v>
      </c>
      <c r="D4" s="129"/>
    </row>
    <row r="5" spans="1:75" ht="16.8" x14ac:dyDescent="0.4">
      <c r="A5" t="s">
        <v>149</v>
      </c>
      <c r="B5">
        <f t="shared" si="0"/>
        <v>1</v>
      </c>
      <c r="D5" s="129"/>
    </row>
    <row r="6" spans="1:75" ht="16.8" x14ac:dyDescent="0.4">
      <c r="A6" t="s">
        <v>150</v>
      </c>
      <c r="B6">
        <f t="shared" si="0"/>
        <v>1</v>
      </c>
      <c r="D6" s="129"/>
    </row>
    <row r="7" spans="1:75" ht="16.8" x14ac:dyDescent="0.4">
      <c r="A7" t="s">
        <v>151</v>
      </c>
      <c r="B7">
        <f t="shared" si="0"/>
        <v>1</v>
      </c>
      <c r="D7" s="129"/>
    </row>
    <row r="8" spans="1:75" ht="16.8" x14ac:dyDescent="0.4">
      <c r="A8" t="s">
        <v>152</v>
      </c>
      <c r="B8">
        <f t="shared" si="0"/>
        <v>1</v>
      </c>
      <c r="D8" s="129"/>
    </row>
    <row r="9" spans="1:75" ht="16.8" x14ac:dyDescent="0.4">
      <c r="A9" t="s">
        <v>144</v>
      </c>
      <c r="B9">
        <f t="shared" si="0"/>
        <v>1</v>
      </c>
      <c r="D9" s="129"/>
    </row>
    <row r="10" spans="1:75" ht="16.8" x14ac:dyDescent="0.4">
      <c r="A10" t="s">
        <v>153</v>
      </c>
      <c r="B10">
        <f t="shared" si="0"/>
        <v>1</v>
      </c>
      <c r="D10" s="129"/>
    </row>
    <row r="11" spans="1:75" ht="16.8" x14ac:dyDescent="0.4">
      <c r="A11" t="s">
        <v>154</v>
      </c>
      <c r="B11">
        <f t="shared" si="0"/>
        <v>1</v>
      </c>
      <c r="D11" s="129"/>
    </row>
    <row r="12" spans="1:75" ht="16.8" x14ac:dyDescent="0.4">
      <c r="A12" t="s">
        <v>155</v>
      </c>
      <c r="B12">
        <f t="shared" si="0"/>
        <v>1</v>
      </c>
      <c r="D12" s="129"/>
    </row>
    <row r="13" spans="1:75" ht="16.8" x14ac:dyDescent="0.4">
      <c r="A13" t="s">
        <v>156</v>
      </c>
      <c r="B13">
        <f t="shared" si="0"/>
        <v>1</v>
      </c>
      <c r="D13" s="129"/>
    </row>
    <row r="14" spans="1:75" ht="16.8" x14ac:dyDescent="0.4">
      <c r="A14" t="s">
        <v>157</v>
      </c>
      <c r="B14">
        <f t="shared" si="0"/>
        <v>1</v>
      </c>
      <c r="D14" s="129"/>
    </row>
    <row r="15" spans="1:75" ht="16.8" x14ac:dyDescent="0.4">
      <c r="A15" t="s">
        <v>158</v>
      </c>
      <c r="B15">
        <f t="shared" si="0"/>
        <v>1</v>
      </c>
      <c r="D15" s="129"/>
    </row>
    <row r="16" spans="1:75" ht="16.8" x14ac:dyDescent="0.4">
      <c r="A16" t="s">
        <v>159</v>
      </c>
      <c r="B16">
        <f t="shared" si="0"/>
        <v>1</v>
      </c>
      <c r="D16" s="129"/>
    </row>
    <row r="17" spans="1:4" ht="16.8" x14ac:dyDescent="0.4">
      <c r="A17" t="s">
        <v>160</v>
      </c>
      <c r="B17">
        <f t="shared" si="0"/>
        <v>1</v>
      </c>
      <c r="D17" s="129"/>
    </row>
    <row r="18" spans="1:4" ht="16.8" x14ac:dyDescent="0.4">
      <c r="A18" t="s">
        <v>161</v>
      </c>
      <c r="B18">
        <f t="shared" si="0"/>
        <v>1</v>
      </c>
      <c r="D18" s="129"/>
    </row>
    <row r="19" spans="1:4" ht="16.8" x14ac:dyDescent="0.4">
      <c r="A19" t="s">
        <v>162</v>
      </c>
      <c r="B19">
        <f t="shared" si="0"/>
        <v>1</v>
      </c>
      <c r="D19" s="129"/>
    </row>
    <row r="20" spans="1:4" ht="16.8" x14ac:dyDescent="0.4">
      <c r="A20" t="s">
        <v>163</v>
      </c>
      <c r="B20">
        <f t="shared" si="0"/>
        <v>1</v>
      </c>
      <c r="D20" s="129"/>
    </row>
    <row r="21" spans="1:4" ht="16.8" x14ac:dyDescent="0.4">
      <c r="A21" t="s">
        <v>164</v>
      </c>
      <c r="B21">
        <f t="shared" si="0"/>
        <v>1</v>
      </c>
      <c r="D21" s="129"/>
    </row>
    <row r="22" spans="1:4" ht="16.8" x14ac:dyDescent="0.4">
      <c r="A22" t="s">
        <v>165</v>
      </c>
      <c r="B22">
        <f t="shared" si="0"/>
        <v>1</v>
      </c>
      <c r="D22" s="129"/>
    </row>
    <row r="23" spans="1:4" ht="16.8" x14ac:dyDescent="0.4">
      <c r="A23" t="s">
        <v>166</v>
      </c>
      <c r="B23">
        <f t="shared" si="0"/>
        <v>1</v>
      </c>
      <c r="D23" s="129"/>
    </row>
    <row r="24" spans="1:4" ht="16.8" x14ac:dyDescent="0.4">
      <c r="A24" t="s">
        <v>167</v>
      </c>
      <c r="B24">
        <f t="shared" si="0"/>
        <v>1</v>
      </c>
      <c r="D24" s="129"/>
    </row>
    <row r="25" spans="1:4" ht="16.8" x14ac:dyDescent="0.4">
      <c r="A25" t="s">
        <v>168</v>
      </c>
      <c r="B25">
        <f t="shared" si="0"/>
        <v>1</v>
      </c>
      <c r="D25" s="129"/>
    </row>
    <row r="26" spans="1:4" ht="16.8" x14ac:dyDescent="0.4">
      <c r="A26" t="s">
        <v>169</v>
      </c>
      <c r="B26">
        <f t="shared" si="0"/>
        <v>1</v>
      </c>
      <c r="D26" s="129"/>
    </row>
    <row r="27" spans="1:4" ht="16.8" x14ac:dyDescent="0.4">
      <c r="A27" t="s">
        <v>170</v>
      </c>
      <c r="B27">
        <f t="shared" si="0"/>
        <v>1</v>
      </c>
      <c r="D27" s="129"/>
    </row>
    <row r="28" spans="1:4" ht="16.8" x14ac:dyDescent="0.4">
      <c r="A28" t="s">
        <v>171</v>
      </c>
      <c r="B28">
        <f t="shared" si="0"/>
        <v>1</v>
      </c>
      <c r="D28" s="129"/>
    </row>
    <row r="29" spans="1:4" ht="16.8" x14ac:dyDescent="0.4">
      <c r="A29" t="s">
        <v>172</v>
      </c>
      <c r="B29">
        <f t="shared" si="0"/>
        <v>1</v>
      </c>
      <c r="D29" s="129"/>
    </row>
    <row r="30" spans="1:4" ht="16.8" x14ac:dyDescent="0.4">
      <c r="A30" t="s">
        <v>173</v>
      </c>
      <c r="B30">
        <f t="shared" si="0"/>
        <v>1</v>
      </c>
      <c r="D30" s="129"/>
    </row>
    <row r="31" spans="1:4" ht="16.8" x14ac:dyDescent="0.4">
      <c r="A31" t="s">
        <v>174</v>
      </c>
      <c r="B31">
        <f t="shared" si="0"/>
        <v>1</v>
      </c>
      <c r="D31" s="129"/>
    </row>
    <row r="32" spans="1:4" ht="16.8" x14ac:dyDescent="0.4">
      <c r="A32" t="s">
        <v>175</v>
      </c>
      <c r="B32">
        <f t="shared" ref="B32:B50" si="1">SIGN(SUBTOTAL(3,A32))</f>
        <v>1</v>
      </c>
      <c r="D32" s="129"/>
    </row>
    <row r="33" spans="1:4" ht="16.8" x14ac:dyDescent="0.4">
      <c r="A33" t="s">
        <v>176</v>
      </c>
      <c r="B33">
        <f t="shared" si="1"/>
        <v>1</v>
      </c>
      <c r="D33" s="129"/>
    </row>
    <row r="34" spans="1:4" ht="16.8" x14ac:dyDescent="0.4">
      <c r="A34" t="s">
        <v>177</v>
      </c>
      <c r="B34">
        <f t="shared" si="1"/>
        <v>1</v>
      </c>
      <c r="D34" s="129"/>
    </row>
    <row r="35" spans="1:4" ht="16.8" x14ac:dyDescent="0.4">
      <c r="A35" t="s">
        <v>178</v>
      </c>
      <c r="B35">
        <f t="shared" si="1"/>
        <v>1</v>
      </c>
      <c r="D35" s="129"/>
    </row>
    <row r="36" spans="1:4" ht="16.8" x14ac:dyDescent="0.4">
      <c r="A36" t="s">
        <v>179</v>
      </c>
      <c r="B36">
        <f t="shared" si="1"/>
        <v>1</v>
      </c>
      <c r="D36" s="129"/>
    </row>
    <row r="37" spans="1:4" ht="16.8" x14ac:dyDescent="0.4">
      <c r="A37" t="s">
        <v>180</v>
      </c>
      <c r="B37">
        <f t="shared" si="1"/>
        <v>1</v>
      </c>
      <c r="D37" s="129"/>
    </row>
    <row r="38" spans="1:4" ht="16.8" x14ac:dyDescent="0.4">
      <c r="A38" t="s">
        <v>181</v>
      </c>
      <c r="B38">
        <f t="shared" si="1"/>
        <v>1</v>
      </c>
      <c r="D38" s="129"/>
    </row>
    <row r="39" spans="1:4" ht="16.8" x14ac:dyDescent="0.4">
      <c r="A39" t="s">
        <v>182</v>
      </c>
      <c r="B39">
        <f t="shared" si="1"/>
        <v>1</v>
      </c>
      <c r="D39" s="129"/>
    </row>
    <row r="40" spans="1:4" ht="16.8" x14ac:dyDescent="0.4">
      <c r="A40" t="s">
        <v>183</v>
      </c>
      <c r="B40">
        <f t="shared" si="1"/>
        <v>1</v>
      </c>
      <c r="D40" s="129"/>
    </row>
    <row r="41" spans="1:4" ht="16.8" x14ac:dyDescent="0.4">
      <c r="A41" t="s">
        <v>184</v>
      </c>
      <c r="B41">
        <f t="shared" si="1"/>
        <v>1</v>
      </c>
      <c r="D41" s="129"/>
    </row>
    <row r="42" spans="1:4" ht="16.8" x14ac:dyDescent="0.4">
      <c r="A42" t="s">
        <v>185</v>
      </c>
      <c r="B42">
        <f t="shared" si="1"/>
        <v>1</v>
      </c>
      <c r="D42" s="129"/>
    </row>
    <row r="43" spans="1:4" ht="16.8" x14ac:dyDescent="0.4">
      <c r="A43" t="s">
        <v>186</v>
      </c>
      <c r="B43">
        <f t="shared" si="1"/>
        <v>1</v>
      </c>
      <c r="D43" s="129"/>
    </row>
    <row r="44" spans="1:4" ht="16.8" x14ac:dyDescent="0.4">
      <c r="A44" t="s">
        <v>187</v>
      </c>
      <c r="B44">
        <f t="shared" si="1"/>
        <v>1</v>
      </c>
      <c r="D44" s="129"/>
    </row>
    <row r="45" spans="1:4" ht="16.8" x14ac:dyDescent="0.4">
      <c r="A45" t="s">
        <v>188</v>
      </c>
      <c r="B45">
        <f t="shared" si="1"/>
        <v>1</v>
      </c>
      <c r="D45" s="129"/>
    </row>
    <row r="46" spans="1:4" ht="16.8" x14ac:dyDescent="0.4">
      <c r="A46" t="s">
        <v>189</v>
      </c>
      <c r="B46">
        <f t="shared" si="1"/>
        <v>1</v>
      </c>
      <c r="D46" s="129"/>
    </row>
    <row r="47" spans="1:4" ht="16.8" x14ac:dyDescent="0.4">
      <c r="A47" t="s">
        <v>190</v>
      </c>
      <c r="B47">
        <f t="shared" si="1"/>
        <v>1</v>
      </c>
      <c r="D47" s="129"/>
    </row>
    <row r="48" spans="1:4" ht="16.8" x14ac:dyDescent="0.4">
      <c r="A48" t="s">
        <v>191</v>
      </c>
      <c r="B48">
        <f t="shared" si="1"/>
        <v>1</v>
      </c>
      <c r="D48" s="129"/>
    </row>
    <row r="49" spans="1:4" ht="16.8" x14ac:dyDescent="0.4">
      <c r="A49" t="s">
        <v>192</v>
      </c>
      <c r="B49">
        <f t="shared" si="1"/>
        <v>1</v>
      </c>
      <c r="D49" s="129"/>
    </row>
    <row r="50" spans="1:4" ht="16.8" x14ac:dyDescent="0.4">
      <c r="A50" t="s">
        <v>193</v>
      </c>
      <c r="B50">
        <f t="shared" si="1"/>
        <v>1</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49" zoomScale="85" zoomScaleNormal="85" workbookViewId="0">
      <selection activeCell="D167" sqref="D167"/>
    </sheetView>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313</v>
      </c>
      <c r="B1" s="97" t="s">
        <v>255</v>
      </c>
      <c r="C1" s="97" t="s">
        <v>28</v>
      </c>
      <c r="D1" s="97" t="s">
        <v>308</v>
      </c>
      <c r="E1" s="97" t="s">
        <v>312</v>
      </c>
      <c r="F1" s="98" t="s">
        <v>321</v>
      </c>
      <c r="G1" s="99" t="s">
        <v>241</v>
      </c>
      <c r="H1" s="99" t="s">
        <v>244</v>
      </c>
      <c r="I1" s="99" t="s">
        <v>1591</v>
      </c>
      <c r="J1" s="99" t="s">
        <v>243</v>
      </c>
      <c r="K1" s="99" t="s">
        <v>242</v>
      </c>
      <c r="L1" s="100" t="s">
        <v>25</v>
      </c>
      <c r="M1" s="100" t="s">
        <v>35</v>
      </c>
      <c r="N1" s="100" t="s">
        <v>31</v>
      </c>
      <c r="O1" s="101" t="s">
        <v>24</v>
      </c>
      <c r="P1" s="100" t="s">
        <v>36</v>
      </c>
      <c r="Q1" s="101" t="s">
        <v>44</v>
      </c>
      <c r="R1" s="101" t="s">
        <v>196</v>
      </c>
      <c r="S1" s="101" t="s">
        <v>45</v>
      </c>
    </row>
    <row r="2" spans="1:76" x14ac:dyDescent="0.3">
      <c r="A2" t="s">
        <v>288</v>
      </c>
      <c r="B2" t="s">
        <v>289</v>
      </c>
      <c r="C2" t="s">
        <v>5</v>
      </c>
      <c r="D2" s="80" t="s">
        <v>309</v>
      </c>
      <c r="E2" t="s">
        <v>1573</v>
      </c>
      <c r="F2" s="82">
        <f t="shared" ref="F2:F33" si="0">SIGN(SUBTOTAL(3,A2))</f>
        <v>1</v>
      </c>
      <c r="G2">
        <v>1</v>
      </c>
      <c r="H2" t="s">
        <v>14</v>
      </c>
      <c r="I2" t="s">
        <v>322</v>
      </c>
      <c r="J2">
        <v>15.60532807536244</v>
      </c>
      <c r="K2" t="s">
        <v>1574</v>
      </c>
      <c r="L2" t="s">
        <v>19</v>
      </c>
      <c r="M2" t="s">
        <v>1577</v>
      </c>
      <c r="N2" t="s">
        <v>323</v>
      </c>
      <c r="O2" s="81">
        <v>2031398.4971612808</v>
      </c>
      <c r="P2" t="s">
        <v>14</v>
      </c>
      <c r="Q2" s="81">
        <f>SAF_Cand_Refinery[[#This Row],[Max Amount]]*0.5</f>
        <v>1015699.2485806404</v>
      </c>
      <c r="R2" s="81">
        <f>SAF_Cand_Refinery[[#This Row],[Max Amount]]*0.1</f>
        <v>203139.84971612808</v>
      </c>
      <c r="S2" s="81">
        <v>108566609.03999999</v>
      </c>
      <c r="BX2" t="s">
        <v>1618</v>
      </c>
    </row>
    <row r="3" spans="1:76" x14ac:dyDescent="0.3">
      <c r="A3" t="s">
        <v>288</v>
      </c>
      <c r="B3" t="s">
        <v>289</v>
      </c>
      <c r="C3" t="s">
        <v>5</v>
      </c>
      <c r="D3" s="80" t="s">
        <v>309</v>
      </c>
      <c r="E3" t="s">
        <v>318</v>
      </c>
      <c r="F3" s="82">
        <f t="shared" si="0"/>
        <v>1</v>
      </c>
      <c r="G3">
        <v>1</v>
      </c>
      <c r="H3" t="s">
        <v>14</v>
      </c>
      <c r="I3" t="s">
        <v>322</v>
      </c>
      <c r="J3">
        <v>15.60532807536244</v>
      </c>
      <c r="K3" t="s">
        <v>1574</v>
      </c>
      <c r="L3" t="s">
        <v>19</v>
      </c>
      <c r="M3" t="s">
        <v>1577</v>
      </c>
      <c r="N3" t="s">
        <v>323</v>
      </c>
      <c r="O3" s="81">
        <v>677132.83238709357</v>
      </c>
      <c r="P3" t="s">
        <v>14</v>
      </c>
      <c r="Q3" s="81">
        <f>SAF_Cand_Refinery[[#This Row],[Max Amount]]*0.5</f>
        <v>338566.41619354679</v>
      </c>
      <c r="R3" s="81">
        <f>SAF_Cand_Refinery[[#This Row],[Max Amount]]*0.1</f>
        <v>67713.283238709366</v>
      </c>
      <c r="S3" s="81">
        <v>91155661.800000012</v>
      </c>
    </row>
    <row r="4" spans="1:76" x14ac:dyDescent="0.3">
      <c r="A4" t="s">
        <v>288</v>
      </c>
      <c r="B4" t="s">
        <v>289</v>
      </c>
      <c r="C4" t="s">
        <v>5</v>
      </c>
      <c r="D4" s="80" t="s">
        <v>311</v>
      </c>
      <c r="E4" t="s">
        <v>1573</v>
      </c>
      <c r="F4" s="82">
        <f t="shared" si="0"/>
        <v>1</v>
      </c>
      <c r="G4">
        <v>1</v>
      </c>
      <c r="H4" t="s">
        <v>14</v>
      </c>
      <c r="I4" t="s">
        <v>322</v>
      </c>
      <c r="J4">
        <v>26.333991127174112</v>
      </c>
      <c r="K4" t="s">
        <v>1574</v>
      </c>
      <c r="L4" t="s">
        <v>19</v>
      </c>
      <c r="M4" t="s">
        <v>1581</v>
      </c>
      <c r="N4" t="s">
        <v>323</v>
      </c>
      <c r="O4" s="81">
        <v>1805687.5530322497</v>
      </c>
      <c r="P4" t="s">
        <v>14</v>
      </c>
      <c r="Q4" s="81">
        <f>SAF_Cand_Refinery[[#This Row],[Max Amount]]*0.5</f>
        <v>902843.77651612484</v>
      </c>
      <c r="R4" s="81">
        <f>SAF_Cand_Refinery[[#This Row],[Max Amount]]*0.1</f>
        <v>180568.75530322499</v>
      </c>
      <c r="S4" s="81">
        <v>77989532.280000001</v>
      </c>
    </row>
    <row r="5" spans="1:76" x14ac:dyDescent="0.3">
      <c r="A5" t="s">
        <v>288</v>
      </c>
      <c r="B5" t="s">
        <v>289</v>
      </c>
      <c r="C5" t="s">
        <v>5</v>
      </c>
      <c r="D5" s="80" t="s">
        <v>311</v>
      </c>
      <c r="E5" t="s">
        <v>318</v>
      </c>
      <c r="F5" s="82">
        <f t="shared" si="0"/>
        <v>1</v>
      </c>
      <c r="G5">
        <v>1</v>
      </c>
      <c r="H5" t="s">
        <v>14</v>
      </c>
      <c r="I5" t="s">
        <v>322</v>
      </c>
      <c r="J5">
        <v>23.407992113043658</v>
      </c>
      <c r="K5" t="s">
        <v>1574</v>
      </c>
      <c r="L5" t="s">
        <v>19</v>
      </c>
      <c r="M5" t="s">
        <v>1581</v>
      </c>
      <c r="N5" t="s">
        <v>323</v>
      </c>
      <c r="O5" s="81">
        <v>451421.88825806242</v>
      </c>
      <c r="P5" t="s">
        <v>14</v>
      </c>
      <c r="Q5" s="81">
        <f>SAF_Cand_Refinery[[#This Row],[Max Amount]]*0.5</f>
        <v>225710.94412903121</v>
      </c>
      <c r="R5" s="81">
        <f>SAF_Cand_Refinery[[#This Row],[Max Amount]]*0.1</f>
        <v>45142.188825806246</v>
      </c>
      <c r="S5" s="81">
        <v>44534613</v>
      </c>
    </row>
    <row r="6" spans="1:76" x14ac:dyDescent="0.3">
      <c r="A6" t="s">
        <v>288</v>
      </c>
      <c r="B6" t="s">
        <v>292</v>
      </c>
      <c r="C6" t="s">
        <v>5</v>
      </c>
      <c r="D6" s="80" t="s">
        <v>309</v>
      </c>
      <c r="E6" t="s">
        <v>1573</v>
      </c>
      <c r="F6" s="82">
        <f t="shared" si="0"/>
        <v>1</v>
      </c>
      <c r="G6">
        <v>1</v>
      </c>
      <c r="H6" t="s">
        <v>14</v>
      </c>
      <c r="I6" t="s">
        <v>322</v>
      </c>
      <c r="J6">
        <v>15.60532807536244</v>
      </c>
      <c r="K6" t="s">
        <v>1574</v>
      </c>
      <c r="L6" t="s">
        <v>19</v>
      </c>
      <c r="M6" t="s">
        <v>1577</v>
      </c>
      <c r="N6" t="s">
        <v>323</v>
      </c>
      <c r="O6" s="81">
        <v>2031398.4971612808</v>
      </c>
      <c r="P6" t="s">
        <v>14</v>
      </c>
      <c r="Q6" s="81">
        <f>SAF_Cand_Refinery[[#This Row],[Max Amount]]*0.5</f>
        <v>1015699.2485806404</v>
      </c>
      <c r="R6" s="81">
        <f>SAF_Cand_Refinery[[#This Row],[Max Amount]]*0.1</f>
        <v>203139.84971612808</v>
      </c>
      <c r="S6" s="81">
        <v>108566609.03999999</v>
      </c>
    </row>
    <row r="7" spans="1:76" x14ac:dyDescent="0.3">
      <c r="A7" t="s">
        <v>288</v>
      </c>
      <c r="B7" t="s">
        <v>292</v>
      </c>
      <c r="C7" t="s">
        <v>5</v>
      </c>
      <c r="D7" s="80" t="s">
        <v>309</v>
      </c>
      <c r="E7" t="s">
        <v>318</v>
      </c>
      <c r="F7" s="82">
        <f t="shared" si="0"/>
        <v>1</v>
      </c>
      <c r="G7">
        <v>1</v>
      </c>
      <c r="H7" t="s">
        <v>14</v>
      </c>
      <c r="I7" t="s">
        <v>322</v>
      </c>
      <c r="J7">
        <v>15.60532807536244</v>
      </c>
      <c r="K7" t="s">
        <v>1574</v>
      </c>
      <c r="L7" t="s">
        <v>19</v>
      </c>
      <c r="M7" t="s">
        <v>1577</v>
      </c>
      <c r="N7" t="s">
        <v>323</v>
      </c>
      <c r="O7" s="81">
        <v>677132.83238709357</v>
      </c>
      <c r="P7" t="s">
        <v>14</v>
      </c>
      <c r="Q7" s="81">
        <f>SAF_Cand_Refinery[[#This Row],[Max Amount]]*0.5</f>
        <v>338566.41619354679</v>
      </c>
      <c r="R7" s="81">
        <f>SAF_Cand_Refinery[[#This Row],[Max Amount]]*0.1</f>
        <v>67713.283238709366</v>
      </c>
      <c r="S7" s="81">
        <v>91155661.800000012</v>
      </c>
    </row>
    <row r="8" spans="1:76" x14ac:dyDescent="0.3">
      <c r="A8" t="s">
        <v>288</v>
      </c>
      <c r="B8" t="s">
        <v>292</v>
      </c>
      <c r="C8" t="s">
        <v>5</v>
      </c>
      <c r="D8" s="80" t="s">
        <v>311</v>
      </c>
      <c r="E8" t="s">
        <v>1573</v>
      </c>
      <c r="F8" s="82">
        <f t="shared" si="0"/>
        <v>1</v>
      </c>
      <c r="G8">
        <v>1</v>
      </c>
      <c r="H8" t="s">
        <v>14</v>
      </c>
      <c r="I8" t="s">
        <v>322</v>
      </c>
      <c r="J8">
        <v>26.333991127174112</v>
      </c>
      <c r="K8" t="s">
        <v>1574</v>
      </c>
      <c r="L8" t="s">
        <v>19</v>
      </c>
      <c r="M8" t="s">
        <v>1581</v>
      </c>
      <c r="N8" t="s">
        <v>323</v>
      </c>
      <c r="O8" s="81">
        <v>1805687.5530322497</v>
      </c>
      <c r="P8" t="s">
        <v>14</v>
      </c>
      <c r="Q8" s="81">
        <f>SAF_Cand_Refinery[[#This Row],[Max Amount]]*0.5</f>
        <v>902843.77651612484</v>
      </c>
      <c r="R8" s="81">
        <f>SAF_Cand_Refinery[[#This Row],[Max Amount]]*0.1</f>
        <v>180568.75530322499</v>
      </c>
      <c r="S8" s="81">
        <v>77989532.280000001</v>
      </c>
    </row>
    <row r="9" spans="1:76" x14ac:dyDescent="0.3">
      <c r="A9" t="s">
        <v>288</v>
      </c>
      <c r="B9" t="s">
        <v>292</v>
      </c>
      <c r="C9" t="s">
        <v>5</v>
      </c>
      <c r="D9" s="80" t="s">
        <v>311</v>
      </c>
      <c r="E9" t="s">
        <v>318</v>
      </c>
      <c r="F9" s="82">
        <f t="shared" si="0"/>
        <v>1</v>
      </c>
      <c r="G9">
        <v>1</v>
      </c>
      <c r="H9" t="s">
        <v>14</v>
      </c>
      <c r="I9" t="s">
        <v>322</v>
      </c>
      <c r="J9">
        <v>23.407992113043658</v>
      </c>
      <c r="K9" t="s">
        <v>1574</v>
      </c>
      <c r="L9" t="s">
        <v>19</v>
      </c>
      <c r="M9" t="s">
        <v>1581</v>
      </c>
      <c r="N9" t="s">
        <v>323</v>
      </c>
      <c r="O9" s="81">
        <v>451421.88825806242</v>
      </c>
      <c r="P9" t="s">
        <v>14</v>
      </c>
      <c r="Q9" s="81">
        <f>SAF_Cand_Refinery[[#This Row],[Max Amount]]*0.5</f>
        <v>225710.94412903121</v>
      </c>
      <c r="R9" s="81">
        <f>SAF_Cand_Refinery[[#This Row],[Max Amount]]*0.1</f>
        <v>45142.188825806246</v>
      </c>
      <c r="S9" s="81">
        <v>44534613</v>
      </c>
    </row>
    <row r="10" spans="1:76" x14ac:dyDescent="0.3">
      <c r="A10" t="s">
        <v>275</v>
      </c>
      <c r="B10" t="s">
        <v>277</v>
      </c>
      <c r="C10" t="s">
        <v>5</v>
      </c>
      <c r="D10" s="80" t="s">
        <v>309</v>
      </c>
      <c r="E10" t="s">
        <v>1573</v>
      </c>
      <c r="F10" s="82">
        <f t="shared" si="0"/>
        <v>1</v>
      </c>
      <c r="G10">
        <v>1</v>
      </c>
      <c r="H10" t="s">
        <v>14</v>
      </c>
      <c r="I10" t="s">
        <v>322</v>
      </c>
      <c r="J10">
        <v>15.60532807536244</v>
      </c>
      <c r="K10" t="s">
        <v>1574</v>
      </c>
      <c r="L10" t="s">
        <v>19</v>
      </c>
      <c r="M10" t="s">
        <v>1577</v>
      </c>
      <c r="N10" t="s">
        <v>323</v>
      </c>
      <c r="O10" s="81">
        <v>2031398.4971612808</v>
      </c>
      <c r="P10" t="s">
        <v>14</v>
      </c>
      <c r="Q10" s="81">
        <f>SAF_Cand_Refinery[[#This Row],[Max Amount]]*0.5</f>
        <v>1015699.2485806404</v>
      </c>
      <c r="R10" s="81">
        <f>SAF_Cand_Refinery[[#This Row],[Max Amount]]*0.1</f>
        <v>203139.84971612808</v>
      </c>
      <c r="S10" s="81">
        <v>108566609.03999999</v>
      </c>
    </row>
    <row r="11" spans="1:76" x14ac:dyDescent="0.3">
      <c r="A11" t="s">
        <v>275</v>
      </c>
      <c r="B11" t="s">
        <v>277</v>
      </c>
      <c r="C11" t="s">
        <v>5</v>
      </c>
      <c r="D11" s="80" t="s">
        <v>309</v>
      </c>
      <c r="E11" t="s">
        <v>318</v>
      </c>
      <c r="F11" s="82">
        <f t="shared" si="0"/>
        <v>1</v>
      </c>
      <c r="G11">
        <v>1</v>
      </c>
      <c r="H11" t="s">
        <v>14</v>
      </c>
      <c r="I11" t="s">
        <v>322</v>
      </c>
      <c r="J11">
        <v>15.60532807536244</v>
      </c>
      <c r="K11" t="s">
        <v>1574</v>
      </c>
      <c r="L11" t="s">
        <v>19</v>
      </c>
      <c r="M11" t="s">
        <v>1577</v>
      </c>
      <c r="N11" t="s">
        <v>323</v>
      </c>
      <c r="O11" s="81">
        <v>677132.83238709357</v>
      </c>
      <c r="P11" t="s">
        <v>14</v>
      </c>
      <c r="Q11" s="81">
        <f>SAF_Cand_Refinery[[#This Row],[Max Amount]]*0.5</f>
        <v>338566.41619354679</v>
      </c>
      <c r="R11" s="81">
        <f>SAF_Cand_Refinery[[#This Row],[Max Amount]]*0.1</f>
        <v>67713.283238709366</v>
      </c>
      <c r="S11" s="81">
        <v>91155661.800000012</v>
      </c>
    </row>
    <row r="12" spans="1:76" x14ac:dyDescent="0.3">
      <c r="A12" t="s">
        <v>275</v>
      </c>
      <c r="B12" t="s">
        <v>277</v>
      </c>
      <c r="C12" t="s">
        <v>5</v>
      </c>
      <c r="D12" s="80" t="s">
        <v>311</v>
      </c>
      <c r="E12" t="s">
        <v>1573</v>
      </c>
      <c r="F12" s="82">
        <f t="shared" si="0"/>
        <v>1</v>
      </c>
      <c r="G12">
        <v>1</v>
      </c>
      <c r="H12" t="s">
        <v>14</v>
      </c>
      <c r="I12" t="s">
        <v>322</v>
      </c>
      <c r="J12">
        <v>26.333991127174112</v>
      </c>
      <c r="K12" t="s">
        <v>1574</v>
      </c>
      <c r="L12" t="s">
        <v>19</v>
      </c>
      <c r="M12" t="s">
        <v>1581</v>
      </c>
      <c r="N12" t="s">
        <v>323</v>
      </c>
      <c r="O12" s="81">
        <v>1805687.5530322497</v>
      </c>
      <c r="P12" t="s">
        <v>14</v>
      </c>
      <c r="Q12" s="81">
        <f>SAF_Cand_Refinery[[#This Row],[Max Amount]]*0.5</f>
        <v>902843.77651612484</v>
      </c>
      <c r="R12" s="81">
        <f>SAF_Cand_Refinery[[#This Row],[Max Amount]]*0.1</f>
        <v>180568.75530322499</v>
      </c>
      <c r="S12" s="81">
        <v>77989532.280000001</v>
      </c>
    </row>
    <row r="13" spans="1:76" x14ac:dyDescent="0.3">
      <c r="A13" t="s">
        <v>275</v>
      </c>
      <c r="B13" t="s">
        <v>277</v>
      </c>
      <c r="C13" t="s">
        <v>5</v>
      </c>
      <c r="D13" s="80" t="s">
        <v>311</v>
      </c>
      <c r="E13" t="s">
        <v>318</v>
      </c>
      <c r="F13" s="82">
        <f t="shared" si="0"/>
        <v>1</v>
      </c>
      <c r="G13">
        <v>1</v>
      </c>
      <c r="H13" t="s">
        <v>14</v>
      </c>
      <c r="I13" t="s">
        <v>322</v>
      </c>
      <c r="J13">
        <v>23.407992113043658</v>
      </c>
      <c r="K13" t="s">
        <v>1574</v>
      </c>
      <c r="L13" t="s">
        <v>19</v>
      </c>
      <c r="M13" t="s">
        <v>1581</v>
      </c>
      <c r="N13" t="s">
        <v>323</v>
      </c>
      <c r="O13" s="81">
        <v>451421.88825806242</v>
      </c>
      <c r="P13" t="s">
        <v>14</v>
      </c>
      <c r="Q13" s="81">
        <f>SAF_Cand_Refinery[[#This Row],[Max Amount]]*0.5</f>
        <v>225710.94412903121</v>
      </c>
      <c r="R13" s="81">
        <f>SAF_Cand_Refinery[[#This Row],[Max Amount]]*0.1</f>
        <v>45142.188825806246</v>
      </c>
      <c r="S13" s="81">
        <v>44534613</v>
      </c>
    </row>
    <row r="14" spans="1:76" x14ac:dyDescent="0.3">
      <c r="A14" t="s">
        <v>275</v>
      </c>
      <c r="B14" t="s">
        <v>276</v>
      </c>
      <c r="C14" t="s">
        <v>5</v>
      </c>
      <c r="D14" s="80" t="s">
        <v>309</v>
      </c>
      <c r="E14" t="s">
        <v>1573</v>
      </c>
      <c r="F14" s="82">
        <f t="shared" si="0"/>
        <v>1</v>
      </c>
      <c r="G14">
        <v>1</v>
      </c>
      <c r="H14" t="s">
        <v>14</v>
      </c>
      <c r="I14" t="s">
        <v>322</v>
      </c>
      <c r="J14">
        <v>15.60532807536244</v>
      </c>
      <c r="K14" t="s">
        <v>1574</v>
      </c>
      <c r="L14" t="s">
        <v>19</v>
      </c>
      <c r="M14" t="s">
        <v>1577</v>
      </c>
      <c r="N14" t="s">
        <v>323</v>
      </c>
      <c r="O14" s="81">
        <v>2031398.4971612808</v>
      </c>
      <c r="P14" t="s">
        <v>14</v>
      </c>
      <c r="Q14" s="81">
        <f>SAF_Cand_Refinery[[#This Row],[Max Amount]]*0.5</f>
        <v>1015699.2485806404</v>
      </c>
      <c r="R14" s="81">
        <f>SAF_Cand_Refinery[[#This Row],[Max Amount]]*0.1</f>
        <v>203139.84971612808</v>
      </c>
      <c r="S14" s="81">
        <v>108566609.03999999</v>
      </c>
    </row>
    <row r="15" spans="1:76" x14ac:dyDescent="0.3">
      <c r="A15" t="s">
        <v>275</v>
      </c>
      <c r="B15" t="s">
        <v>276</v>
      </c>
      <c r="C15" t="s">
        <v>5</v>
      </c>
      <c r="D15" s="80" t="s">
        <v>309</v>
      </c>
      <c r="E15" t="s">
        <v>318</v>
      </c>
      <c r="F15" s="82">
        <f t="shared" si="0"/>
        <v>1</v>
      </c>
      <c r="G15">
        <v>1</v>
      </c>
      <c r="H15" t="s">
        <v>14</v>
      </c>
      <c r="I15" t="s">
        <v>322</v>
      </c>
      <c r="J15">
        <v>15.60532807536244</v>
      </c>
      <c r="K15" t="s">
        <v>1574</v>
      </c>
      <c r="L15" t="s">
        <v>19</v>
      </c>
      <c r="M15" t="s">
        <v>1577</v>
      </c>
      <c r="N15" t="s">
        <v>323</v>
      </c>
      <c r="O15" s="81">
        <v>677132.83238709357</v>
      </c>
      <c r="P15" t="s">
        <v>14</v>
      </c>
      <c r="Q15" s="81">
        <f>SAF_Cand_Refinery[[#This Row],[Max Amount]]*0.5</f>
        <v>338566.41619354679</v>
      </c>
      <c r="R15" s="81">
        <f>SAF_Cand_Refinery[[#This Row],[Max Amount]]*0.1</f>
        <v>67713.283238709366</v>
      </c>
      <c r="S15" s="81">
        <v>91155661.800000012</v>
      </c>
    </row>
    <row r="16" spans="1:76" x14ac:dyDescent="0.3">
      <c r="A16" t="s">
        <v>275</v>
      </c>
      <c r="B16" t="s">
        <v>276</v>
      </c>
      <c r="C16" t="s">
        <v>5</v>
      </c>
      <c r="D16" s="80" t="s">
        <v>311</v>
      </c>
      <c r="E16" t="s">
        <v>1573</v>
      </c>
      <c r="F16" s="82">
        <f t="shared" si="0"/>
        <v>1</v>
      </c>
      <c r="G16">
        <v>1</v>
      </c>
      <c r="H16" t="s">
        <v>14</v>
      </c>
      <c r="I16" t="s">
        <v>322</v>
      </c>
      <c r="J16">
        <v>26.333991127174112</v>
      </c>
      <c r="K16" t="s">
        <v>1574</v>
      </c>
      <c r="L16" t="s">
        <v>19</v>
      </c>
      <c r="M16" t="s">
        <v>1581</v>
      </c>
      <c r="N16" t="s">
        <v>323</v>
      </c>
      <c r="O16" s="81">
        <v>1805687.5530322497</v>
      </c>
      <c r="P16" t="s">
        <v>14</v>
      </c>
      <c r="Q16" s="81">
        <f>SAF_Cand_Refinery[[#This Row],[Max Amount]]*0.5</f>
        <v>902843.77651612484</v>
      </c>
      <c r="R16" s="81">
        <f>SAF_Cand_Refinery[[#This Row],[Max Amount]]*0.1</f>
        <v>180568.75530322499</v>
      </c>
      <c r="S16" s="81">
        <v>77989532.280000001</v>
      </c>
    </row>
    <row r="17" spans="1:19" x14ac:dyDescent="0.3">
      <c r="A17" t="s">
        <v>275</v>
      </c>
      <c r="B17" t="s">
        <v>276</v>
      </c>
      <c r="C17" t="s">
        <v>5</v>
      </c>
      <c r="D17" s="80" t="s">
        <v>311</v>
      </c>
      <c r="E17" t="s">
        <v>318</v>
      </c>
      <c r="F17" s="82">
        <f t="shared" si="0"/>
        <v>1</v>
      </c>
      <c r="G17">
        <v>1</v>
      </c>
      <c r="H17" t="s">
        <v>14</v>
      </c>
      <c r="I17" t="s">
        <v>322</v>
      </c>
      <c r="J17">
        <v>23.407992113043658</v>
      </c>
      <c r="K17" t="s">
        <v>1574</v>
      </c>
      <c r="L17" t="s">
        <v>19</v>
      </c>
      <c r="M17" t="s">
        <v>1581</v>
      </c>
      <c r="N17" t="s">
        <v>323</v>
      </c>
      <c r="O17" s="81">
        <v>451421.88825806242</v>
      </c>
      <c r="P17" t="s">
        <v>14</v>
      </c>
      <c r="Q17" s="81">
        <f>SAF_Cand_Refinery[[#This Row],[Max Amount]]*0.5</f>
        <v>225710.94412903121</v>
      </c>
      <c r="R17" s="81">
        <f>SAF_Cand_Refinery[[#This Row],[Max Amount]]*0.1</f>
        <v>45142.188825806246</v>
      </c>
      <c r="S17" s="81">
        <v>44534613</v>
      </c>
    </row>
    <row r="18" spans="1:19" x14ac:dyDescent="0.3">
      <c r="A18" t="s">
        <v>275</v>
      </c>
      <c r="B18" t="s">
        <v>287</v>
      </c>
      <c r="C18" t="s">
        <v>5</v>
      </c>
      <c r="D18" s="80" t="s">
        <v>309</v>
      </c>
      <c r="E18" t="s">
        <v>1573</v>
      </c>
      <c r="F18" s="82">
        <f t="shared" si="0"/>
        <v>1</v>
      </c>
      <c r="G18">
        <v>1</v>
      </c>
      <c r="H18" t="s">
        <v>14</v>
      </c>
      <c r="I18" t="s">
        <v>322</v>
      </c>
      <c r="J18">
        <v>15.60532807536244</v>
      </c>
      <c r="K18" t="s">
        <v>1574</v>
      </c>
      <c r="L18" t="s">
        <v>19</v>
      </c>
      <c r="M18" t="s">
        <v>1577</v>
      </c>
      <c r="N18" t="s">
        <v>323</v>
      </c>
      <c r="O18" s="81">
        <v>2031398.4971612808</v>
      </c>
      <c r="P18" t="s">
        <v>14</v>
      </c>
      <c r="Q18" s="81">
        <f>SAF_Cand_Refinery[[#This Row],[Max Amount]]*0.5</f>
        <v>1015699.2485806404</v>
      </c>
      <c r="R18" s="81">
        <f>SAF_Cand_Refinery[[#This Row],[Max Amount]]*0.1</f>
        <v>203139.84971612808</v>
      </c>
      <c r="S18" s="81">
        <v>108566609.03999999</v>
      </c>
    </row>
    <row r="19" spans="1:19" x14ac:dyDescent="0.3">
      <c r="A19" t="s">
        <v>275</v>
      </c>
      <c r="B19" t="s">
        <v>287</v>
      </c>
      <c r="C19" t="s">
        <v>5</v>
      </c>
      <c r="D19" s="80" t="s">
        <v>309</v>
      </c>
      <c r="E19" t="s">
        <v>318</v>
      </c>
      <c r="F19" s="82">
        <f t="shared" si="0"/>
        <v>1</v>
      </c>
      <c r="G19">
        <v>1</v>
      </c>
      <c r="H19" t="s">
        <v>14</v>
      </c>
      <c r="I19" t="s">
        <v>322</v>
      </c>
      <c r="J19">
        <v>15.60532807536244</v>
      </c>
      <c r="K19" t="s">
        <v>1574</v>
      </c>
      <c r="L19" t="s">
        <v>19</v>
      </c>
      <c r="M19" t="s">
        <v>1577</v>
      </c>
      <c r="N19" t="s">
        <v>323</v>
      </c>
      <c r="O19" s="81">
        <v>677132.83238709357</v>
      </c>
      <c r="P19" t="s">
        <v>14</v>
      </c>
      <c r="Q19" s="81">
        <f>SAF_Cand_Refinery[[#This Row],[Max Amount]]*0.5</f>
        <v>338566.41619354679</v>
      </c>
      <c r="R19" s="81">
        <f>SAF_Cand_Refinery[[#This Row],[Max Amount]]*0.1</f>
        <v>67713.283238709366</v>
      </c>
      <c r="S19" s="81">
        <v>91155661.800000012</v>
      </c>
    </row>
    <row r="20" spans="1:19" x14ac:dyDescent="0.3">
      <c r="A20" t="s">
        <v>275</v>
      </c>
      <c r="B20" t="s">
        <v>287</v>
      </c>
      <c r="C20" t="s">
        <v>5</v>
      </c>
      <c r="D20" s="80" t="s">
        <v>311</v>
      </c>
      <c r="E20" t="s">
        <v>1573</v>
      </c>
      <c r="F20" s="82">
        <f t="shared" si="0"/>
        <v>1</v>
      </c>
      <c r="G20">
        <v>1</v>
      </c>
      <c r="H20" t="s">
        <v>14</v>
      </c>
      <c r="I20" t="s">
        <v>322</v>
      </c>
      <c r="J20">
        <v>26.333991127174112</v>
      </c>
      <c r="K20" t="s">
        <v>1574</v>
      </c>
      <c r="L20" t="s">
        <v>19</v>
      </c>
      <c r="M20" t="s">
        <v>1581</v>
      </c>
      <c r="N20" t="s">
        <v>323</v>
      </c>
      <c r="O20" s="81">
        <v>1805687.5530322497</v>
      </c>
      <c r="P20" t="s">
        <v>14</v>
      </c>
      <c r="Q20" s="81">
        <f>SAF_Cand_Refinery[[#This Row],[Max Amount]]*0.5</f>
        <v>902843.77651612484</v>
      </c>
      <c r="R20" s="81">
        <f>SAF_Cand_Refinery[[#This Row],[Max Amount]]*0.1</f>
        <v>180568.75530322499</v>
      </c>
      <c r="S20" s="81">
        <v>77989532.280000001</v>
      </c>
    </row>
    <row r="21" spans="1:19" x14ac:dyDescent="0.3">
      <c r="A21" t="s">
        <v>275</v>
      </c>
      <c r="B21" t="s">
        <v>287</v>
      </c>
      <c r="C21" t="s">
        <v>5</v>
      </c>
      <c r="D21" s="80" t="s">
        <v>311</v>
      </c>
      <c r="E21" t="s">
        <v>318</v>
      </c>
      <c r="F21" s="82">
        <f t="shared" si="0"/>
        <v>1</v>
      </c>
      <c r="G21">
        <v>1</v>
      </c>
      <c r="H21" t="s">
        <v>14</v>
      </c>
      <c r="I21" t="s">
        <v>322</v>
      </c>
      <c r="J21">
        <v>23.407992113043658</v>
      </c>
      <c r="K21" t="s">
        <v>1574</v>
      </c>
      <c r="L21" t="s">
        <v>19</v>
      </c>
      <c r="M21" t="s">
        <v>1581</v>
      </c>
      <c r="N21" t="s">
        <v>323</v>
      </c>
      <c r="O21" s="81">
        <v>451421.88825806242</v>
      </c>
      <c r="P21" t="s">
        <v>14</v>
      </c>
      <c r="Q21" s="81">
        <f>SAF_Cand_Refinery[[#This Row],[Max Amount]]*0.5</f>
        <v>225710.94412903121</v>
      </c>
      <c r="R21" s="81">
        <f>SAF_Cand_Refinery[[#This Row],[Max Amount]]*0.1</f>
        <v>45142.188825806246</v>
      </c>
      <c r="S21" s="81">
        <v>44534613</v>
      </c>
    </row>
    <row r="22" spans="1:19" x14ac:dyDescent="0.3">
      <c r="A22" t="s">
        <v>275</v>
      </c>
      <c r="B22" t="s">
        <v>278</v>
      </c>
      <c r="C22" t="s">
        <v>5</v>
      </c>
      <c r="D22" s="80" t="s">
        <v>309</v>
      </c>
      <c r="E22" t="s">
        <v>1573</v>
      </c>
      <c r="F22" s="82">
        <f t="shared" si="0"/>
        <v>1</v>
      </c>
      <c r="G22">
        <v>1</v>
      </c>
      <c r="H22" t="s">
        <v>14</v>
      </c>
      <c r="I22" t="s">
        <v>322</v>
      </c>
      <c r="J22">
        <v>15.60532807536244</v>
      </c>
      <c r="K22" t="s">
        <v>1574</v>
      </c>
      <c r="L22" t="s">
        <v>19</v>
      </c>
      <c r="M22" t="s">
        <v>1577</v>
      </c>
      <c r="N22" t="s">
        <v>323</v>
      </c>
      <c r="O22" s="81">
        <v>2031398.4971612808</v>
      </c>
      <c r="P22" t="s">
        <v>14</v>
      </c>
      <c r="Q22" s="81">
        <f>SAF_Cand_Refinery[[#This Row],[Max Amount]]*0.5</f>
        <v>1015699.2485806404</v>
      </c>
      <c r="R22" s="81">
        <f>SAF_Cand_Refinery[[#This Row],[Max Amount]]*0.1</f>
        <v>203139.84971612808</v>
      </c>
      <c r="S22" s="81">
        <v>108566609.03999999</v>
      </c>
    </row>
    <row r="23" spans="1:19" x14ac:dyDescent="0.3">
      <c r="A23" t="s">
        <v>275</v>
      </c>
      <c r="B23" t="s">
        <v>278</v>
      </c>
      <c r="C23" t="s">
        <v>5</v>
      </c>
      <c r="D23" s="80" t="s">
        <v>309</v>
      </c>
      <c r="E23" t="s">
        <v>318</v>
      </c>
      <c r="F23" s="82">
        <f t="shared" si="0"/>
        <v>1</v>
      </c>
      <c r="G23">
        <v>1</v>
      </c>
      <c r="H23" t="s">
        <v>14</v>
      </c>
      <c r="I23" t="s">
        <v>322</v>
      </c>
      <c r="J23">
        <v>15.60532807536244</v>
      </c>
      <c r="K23" t="s">
        <v>1574</v>
      </c>
      <c r="L23" t="s">
        <v>19</v>
      </c>
      <c r="M23" t="s">
        <v>1577</v>
      </c>
      <c r="N23" t="s">
        <v>323</v>
      </c>
      <c r="O23" s="81">
        <v>677132.83238709357</v>
      </c>
      <c r="P23" t="s">
        <v>14</v>
      </c>
      <c r="Q23" s="81">
        <f>SAF_Cand_Refinery[[#This Row],[Max Amount]]*0.5</f>
        <v>338566.41619354679</v>
      </c>
      <c r="R23" s="81">
        <f>SAF_Cand_Refinery[[#This Row],[Max Amount]]*0.1</f>
        <v>67713.283238709366</v>
      </c>
      <c r="S23" s="81">
        <v>91155661.800000012</v>
      </c>
    </row>
    <row r="24" spans="1:19" x14ac:dyDescent="0.3">
      <c r="A24" t="s">
        <v>275</v>
      </c>
      <c r="B24" t="s">
        <v>278</v>
      </c>
      <c r="C24" t="s">
        <v>5</v>
      </c>
      <c r="D24" s="80" t="s">
        <v>311</v>
      </c>
      <c r="E24" t="s">
        <v>1573</v>
      </c>
      <c r="F24" s="82">
        <f t="shared" si="0"/>
        <v>1</v>
      </c>
      <c r="G24">
        <v>1</v>
      </c>
      <c r="H24" t="s">
        <v>14</v>
      </c>
      <c r="I24" t="s">
        <v>322</v>
      </c>
      <c r="J24">
        <v>26.333991127174112</v>
      </c>
      <c r="K24" t="s">
        <v>1574</v>
      </c>
      <c r="L24" t="s">
        <v>19</v>
      </c>
      <c r="M24" t="s">
        <v>1581</v>
      </c>
      <c r="N24" t="s">
        <v>323</v>
      </c>
      <c r="O24" s="81">
        <v>1805687.5530322497</v>
      </c>
      <c r="P24" t="s">
        <v>14</v>
      </c>
      <c r="Q24" s="81">
        <f>SAF_Cand_Refinery[[#This Row],[Max Amount]]*0.5</f>
        <v>902843.77651612484</v>
      </c>
      <c r="R24" s="81">
        <f>SAF_Cand_Refinery[[#This Row],[Max Amount]]*0.1</f>
        <v>180568.75530322499</v>
      </c>
      <c r="S24" s="81">
        <v>77989532.280000001</v>
      </c>
    </row>
    <row r="25" spans="1:19" x14ac:dyDescent="0.3">
      <c r="A25" t="s">
        <v>275</v>
      </c>
      <c r="B25" t="s">
        <v>278</v>
      </c>
      <c r="C25" t="s">
        <v>5</v>
      </c>
      <c r="D25" s="80" t="s">
        <v>311</v>
      </c>
      <c r="E25" t="s">
        <v>318</v>
      </c>
      <c r="F25" s="82">
        <f t="shared" si="0"/>
        <v>1</v>
      </c>
      <c r="G25">
        <v>1</v>
      </c>
      <c r="H25" t="s">
        <v>14</v>
      </c>
      <c r="I25" t="s">
        <v>322</v>
      </c>
      <c r="J25">
        <v>23.407992113043658</v>
      </c>
      <c r="K25" t="s">
        <v>1574</v>
      </c>
      <c r="L25" t="s">
        <v>19</v>
      </c>
      <c r="M25" t="s">
        <v>1581</v>
      </c>
      <c r="N25" t="s">
        <v>323</v>
      </c>
      <c r="O25" s="81">
        <v>451421.88825806242</v>
      </c>
      <c r="P25" t="s">
        <v>14</v>
      </c>
      <c r="Q25" s="81">
        <f>SAF_Cand_Refinery[[#This Row],[Max Amount]]*0.5</f>
        <v>225710.94412903121</v>
      </c>
      <c r="R25" s="81">
        <f>SAF_Cand_Refinery[[#This Row],[Max Amount]]*0.1</f>
        <v>45142.188825806246</v>
      </c>
      <c r="S25" s="81">
        <v>44534613</v>
      </c>
    </row>
    <row r="26" spans="1:19" x14ac:dyDescent="0.3">
      <c r="A26" t="s">
        <v>275</v>
      </c>
      <c r="B26" t="s">
        <v>291</v>
      </c>
      <c r="C26" t="s">
        <v>5</v>
      </c>
      <c r="D26" s="80" t="s">
        <v>309</v>
      </c>
      <c r="E26" t="s">
        <v>1573</v>
      </c>
      <c r="F26" s="82">
        <f t="shared" si="0"/>
        <v>1</v>
      </c>
      <c r="G26">
        <v>1</v>
      </c>
      <c r="H26" t="s">
        <v>14</v>
      </c>
      <c r="I26" t="s">
        <v>322</v>
      </c>
      <c r="J26">
        <v>15.60532807536244</v>
      </c>
      <c r="K26" t="s">
        <v>1574</v>
      </c>
      <c r="L26" t="s">
        <v>19</v>
      </c>
      <c r="M26" t="s">
        <v>1577</v>
      </c>
      <c r="N26" t="s">
        <v>323</v>
      </c>
      <c r="O26" s="81">
        <v>2031398.4971612808</v>
      </c>
      <c r="P26" t="s">
        <v>14</v>
      </c>
      <c r="Q26" s="81">
        <f>SAF_Cand_Refinery[[#This Row],[Max Amount]]*0.5</f>
        <v>1015699.2485806404</v>
      </c>
      <c r="R26" s="81">
        <f>SAF_Cand_Refinery[[#This Row],[Max Amount]]*0.1</f>
        <v>203139.84971612808</v>
      </c>
      <c r="S26" s="81">
        <v>108566609.03999999</v>
      </c>
    </row>
    <row r="27" spans="1:19" x14ac:dyDescent="0.3">
      <c r="A27" t="s">
        <v>275</v>
      </c>
      <c r="B27" t="s">
        <v>291</v>
      </c>
      <c r="C27" t="s">
        <v>5</v>
      </c>
      <c r="D27" s="80" t="s">
        <v>309</v>
      </c>
      <c r="E27" t="s">
        <v>318</v>
      </c>
      <c r="F27" s="82">
        <f t="shared" si="0"/>
        <v>1</v>
      </c>
      <c r="G27">
        <v>1</v>
      </c>
      <c r="H27" t="s">
        <v>14</v>
      </c>
      <c r="I27" t="s">
        <v>322</v>
      </c>
      <c r="J27">
        <v>15.60532807536244</v>
      </c>
      <c r="K27" t="s">
        <v>1574</v>
      </c>
      <c r="L27" t="s">
        <v>19</v>
      </c>
      <c r="M27" t="s">
        <v>1577</v>
      </c>
      <c r="N27" t="s">
        <v>323</v>
      </c>
      <c r="O27" s="81">
        <v>677132.83238709357</v>
      </c>
      <c r="P27" t="s">
        <v>14</v>
      </c>
      <c r="Q27" s="81">
        <f>SAF_Cand_Refinery[[#This Row],[Max Amount]]*0.5</f>
        <v>338566.41619354679</v>
      </c>
      <c r="R27" s="81">
        <f>SAF_Cand_Refinery[[#This Row],[Max Amount]]*0.1</f>
        <v>67713.283238709366</v>
      </c>
      <c r="S27" s="81">
        <v>91155661.800000012</v>
      </c>
    </row>
    <row r="28" spans="1:19" x14ac:dyDescent="0.3">
      <c r="A28" t="s">
        <v>275</v>
      </c>
      <c r="B28" t="s">
        <v>291</v>
      </c>
      <c r="C28" t="s">
        <v>5</v>
      </c>
      <c r="D28" s="80" t="s">
        <v>311</v>
      </c>
      <c r="E28" t="s">
        <v>1573</v>
      </c>
      <c r="F28" s="82">
        <f t="shared" si="0"/>
        <v>1</v>
      </c>
      <c r="G28">
        <v>1</v>
      </c>
      <c r="H28" t="s">
        <v>14</v>
      </c>
      <c r="I28" t="s">
        <v>322</v>
      </c>
      <c r="J28">
        <v>26.333991127174112</v>
      </c>
      <c r="K28" t="s">
        <v>1574</v>
      </c>
      <c r="L28" t="s">
        <v>19</v>
      </c>
      <c r="M28" t="s">
        <v>1581</v>
      </c>
      <c r="N28" t="s">
        <v>323</v>
      </c>
      <c r="O28" s="81">
        <v>1805687.5530322497</v>
      </c>
      <c r="P28" t="s">
        <v>14</v>
      </c>
      <c r="Q28" s="81">
        <f>SAF_Cand_Refinery[[#This Row],[Max Amount]]*0.5</f>
        <v>902843.77651612484</v>
      </c>
      <c r="R28" s="81">
        <f>SAF_Cand_Refinery[[#This Row],[Max Amount]]*0.1</f>
        <v>180568.75530322499</v>
      </c>
      <c r="S28" s="81">
        <v>77989532.280000001</v>
      </c>
    </row>
    <row r="29" spans="1:19" x14ac:dyDescent="0.3">
      <c r="A29" t="s">
        <v>275</v>
      </c>
      <c r="B29" t="s">
        <v>291</v>
      </c>
      <c r="C29" t="s">
        <v>5</v>
      </c>
      <c r="D29" s="80" t="s">
        <v>311</v>
      </c>
      <c r="E29" t="s">
        <v>318</v>
      </c>
      <c r="F29" s="82">
        <f t="shared" si="0"/>
        <v>1</v>
      </c>
      <c r="G29">
        <v>1</v>
      </c>
      <c r="H29" t="s">
        <v>14</v>
      </c>
      <c r="I29" t="s">
        <v>322</v>
      </c>
      <c r="J29">
        <v>23.407992113043658</v>
      </c>
      <c r="K29" t="s">
        <v>1574</v>
      </c>
      <c r="L29" t="s">
        <v>19</v>
      </c>
      <c r="M29" t="s">
        <v>1581</v>
      </c>
      <c r="N29" t="s">
        <v>323</v>
      </c>
      <c r="O29" s="81">
        <v>451421.88825806242</v>
      </c>
      <c r="P29" t="s">
        <v>14</v>
      </c>
      <c r="Q29" s="81">
        <f>SAF_Cand_Refinery[[#This Row],[Max Amount]]*0.5</f>
        <v>225710.94412903121</v>
      </c>
      <c r="R29" s="81">
        <f>SAF_Cand_Refinery[[#This Row],[Max Amount]]*0.1</f>
        <v>45142.188825806246</v>
      </c>
      <c r="S29" s="81">
        <v>44534613</v>
      </c>
    </row>
    <row r="30" spans="1:19" x14ac:dyDescent="0.3">
      <c r="A30" t="s">
        <v>275</v>
      </c>
      <c r="B30" t="s">
        <v>286</v>
      </c>
      <c r="C30" t="s">
        <v>5</v>
      </c>
      <c r="D30" s="80" t="s">
        <v>309</v>
      </c>
      <c r="E30" t="s">
        <v>1573</v>
      </c>
      <c r="F30" s="82">
        <f t="shared" si="0"/>
        <v>1</v>
      </c>
      <c r="G30">
        <v>1</v>
      </c>
      <c r="H30" t="s">
        <v>14</v>
      </c>
      <c r="I30" t="s">
        <v>322</v>
      </c>
      <c r="J30">
        <v>15.60532807536244</v>
      </c>
      <c r="K30" t="s">
        <v>1574</v>
      </c>
      <c r="L30" t="s">
        <v>19</v>
      </c>
      <c r="M30" t="s">
        <v>1577</v>
      </c>
      <c r="N30" t="s">
        <v>323</v>
      </c>
      <c r="O30" s="81">
        <v>2031398.4971612808</v>
      </c>
      <c r="P30" t="s">
        <v>14</v>
      </c>
      <c r="Q30" s="81">
        <f>SAF_Cand_Refinery[[#This Row],[Max Amount]]*0.5</f>
        <v>1015699.2485806404</v>
      </c>
      <c r="R30" s="81">
        <f>SAF_Cand_Refinery[[#This Row],[Max Amount]]*0.1</f>
        <v>203139.84971612808</v>
      </c>
      <c r="S30" s="81">
        <v>108566609.03999999</v>
      </c>
    </row>
    <row r="31" spans="1:19" x14ac:dyDescent="0.3">
      <c r="A31" t="s">
        <v>275</v>
      </c>
      <c r="B31" t="s">
        <v>286</v>
      </c>
      <c r="C31" t="s">
        <v>5</v>
      </c>
      <c r="D31" s="80" t="s">
        <v>309</v>
      </c>
      <c r="E31" t="s">
        <v>318</v>
      </c>
      <c r="F31" s="82">
        <f t="shared" si="0"/>
        <v>1</v>
      </c>
      <c r="G31">
        <v>1</v>
      </c>
      <c r="H31" t="s">
        <v>14</v>
      </c>
      <c r="I31" t="s">
        <v>322</v>
      </c>
      <c r="J31">
        <v>15.60532807536244</v>
      </c>
      <c r="K31" t="s">
        <v>1574</v>
      </c>
      <c r="L31" t="s">
        <v>19</v>
      </c>
      <c r="M31" t="s">
        <v>1577</v>
      </c>
      <c r="N31" t="s">
        <v>323</v>
      </c>
      <c r="O31" s="81">
        <v>677132.83238709357</v>
      </c>
      <c r="P31" t="s">
        <v>14</v>
      </c>
      <c r="Q31" s="81">
        <f>SAF_Cand_Refinery[[#This Row],[Max Amount]]*0.5</f>
        <v>338566.41619354679</v>
      </c>
      <c r="R31" s="81">
        <f>SAF_Cand_Refinery[[#This Row],[Max Amount]]*0.1</f>
        <v>67713.283238709366</v>
      </c>
      <c r="S31" s="81">
        <v>91155661.800000012</v>
      </c>
    </row>
    <row r="32" spans="1:19" x14ac:dyDescent="0.3">
      <c r="A32" t="s">
        <v>275</v>
      </c>
      <c r="B32" t="s">
        <v>286</v>
      </c>
      <c r="C32" t="s">
        <v>5</v>
      </c>
      <c r="D32" s="80" t="s">
        <v>311</v>
      </c>
      <c r="E32" t="s">
        <v>1573</v>
      </c>
      <c r="F32" s="82">
        <f t="shared" si="0"/>
        <v>1</v>
      </c>
      <c r="G32">
        <v>1</v>
      </c>
      <c r="H32" t="s">
        <v>14</v>
      </c>
      <c r="I32" t="s">
        <v>322</v>
      </c>
      <c r="J32">
        <v>26.333991127174112</v>
      </c>
      <c r="K32" t="s">
        <v>1574</v>
      </c>
      <c r="L32" t="s">
        <v>19</v>
      </c>
      <c r="M32" t="s">
        <v>1581</v>
      </c>
      <c r="N32" t="s">
        <v>323</v>
      </c>
      <c r="O32" s="81">
        <v>1805687.5530322497</v>
      </c>
      <c r="P32" t="s">
        <v>14</v>
      </c>
      <c r="Q32" s="81">
        <f>SAF_Cand_Refinery[[#This Row],[Max Amount]]*0.5</f>
        <v>902843.77651612484</v>
      </c>
      <c r="R32" s="81">
        <f>SAF_Cand_Refinery[[#This Row],[Max Amount]]*0.1</f>
        <v>180568.75530322499</v>
      </c>
      <c r="S32" s="81">
        <v>77989532.280000001</v>
      </c>
    </row>
    <row r="33" spans="1:19" x14ac:dyDescent="0.3">
      <c r="A33" t="s">
        <v>275</v>
      </c>
      <c r="B33" t="s">
        <v>286</v>
      </c>
      <c r="C33" t="s">
        <v>5</v>
      </c>
      <c r="D33" s="80" t="s">
        <v>311</v>
      </c>
      <c r="E33" t="s">
        <v>318</v>
      </c>
      <c r="F33" s="82">
        <f t="shared" si="0"/>
        <v>1</v>
      </c>
      <c r="G33">
        <v>1</v>
      </c>
      <c r="H33" t="s">
        <v>14</v>
      </c>
      <c r="I33" t="s">
        <v>322</v>
      </c>
      <c r="J33">
        <v>23.407992113043658</v>
      </c>
      <c r="K33" t="s">
        <v>1574</v>
      </c>
      <c r="L33" t="s">
        <v>19</v>
      </c>
      <c r="M33" t="s">
        <v>1581</v>
      </c>
      <c r="N33" t="s">
        <v>323</v>
      </c>
      <c r="O33" s="81">
        <v>451421.88825806242</v>
      </c>
      <c r="P33" t="s">
        <v>14</v>
      </c>
      <c r="Q33" s="81">
        <f>SAF_Cand_Refinery[[#This Row],[Max Amount]]*0.5</f>
        <v>225710.94412903121</v>
      </c>
      <c r="R33" s="81">
        <f>SAF_Cand_Refinery[[#This Row],[Max Amount]]*0.1</f>
        <v>45142.188825806246</v>
      </c>
      <c r="S33" s="81">
        <v>44534613</v>
      </c>
    </row>
    <row r="34" spans="1:19" x14ac:dyDescent="0.3">
      <c r="A34" t="s">
        <v>275</v>
      </c>
      <c r="B34" t="s">
        <v>290</v>
      </c>
      <c r="C34" t="s">
        <v>5</v>
      </c>
      <c r="D34" s="80" t="s">
        <v>309</v>
      </c>
      <c r="E34" t="s">
        <v>1573</v>
      </c>
      <c r="F34" s="82">
        <f t="shared" ref="F34:F65" si="1">SIGN(SUBTOTAL(3,A34))</f>
        <v>1</v>
      </c>
      <c r="G34">
        <v>1</v>
      </c>
      <c r="H34" t="s">
        <v>14</v>
      </c>
      <c r="I34" t="s">
        <v>322</v>
      </c>
      <c r="J34">
        <v>15.60532807536244</v>
      </c>
      <c r="K34" t="s">
        <v>1574</v>
      </c>
      <c r="L34" t="s">
        <v>19</v>
      </c>
      <c r="M34" t="s">
        <v>1577</v>
      </c>
      <c r="N34" t="s">
        <v>323</v>
      </c>
      <c r="O34" s="81">
        <v>2031398.4971612808</v>
      </c>
      <c r="P34" t="s">
        <v>14</v>
      </c>
      <c r="Q34" s="81">
        <f>SAF_Cand_Refinery[[#This Row],[Max Amount]]*0.5</f>
        <v>1015699.2485806404</v>
      </c>
      <c r="R34" s="81">
        <f>SAF_Cand_Refinery[[#This Row],[Max Amount]]*0.1</f>
        <v>203139.84971612808</v>
      </c>
      <c r="S34" s="81">
        <v>108566609.03999999</v>
      </c>
    </row>
    <row r="35" spans="1:19" x14ac:dyDescent="0.3">
      <c r="A35" t="s">
        <v>275</v>
      </c>
      <c r="B35" t="s">
        <v>290</v>
      </c>
      <c r="C35" t="s">
        <v>5</v>
      </c>
      <c r="D35" s="80" t="s">
        <v>309</v>
      </c>
      <c r="E35" t="s">
        <v>318</v>
      </c>
      <c r="F35" s="82">
        <f t="shared" si="1"/>
        <v>1</v>
      </c>
      <c r="G35">
        <v>1</v>
      </c>
      <c r="H35" t="s">
        <v>14</v>
      </c>
      <c r="I35" t="s">
        <v>322</v>
      </c>
      <c r="J35">
        <v>15.60532807536244</v>
      </c>
      <c r="K35" t="s">
        <v>1574</v>
      </c>
      <c r="L35" t="s">
        <v>19</v>
      </c>
      <c r="M35" t="s">
        <v>1577</v>
      </c>
      <c r="N35" t="s">
        <v>323</v>
      </c>
      <c r="O35" s="81">
        <v>677132.83238709357</v>
      </c>
      <c r="P35" t="s">
        <v>14</v>
      </c>
      <c r="Q35" s="81">
        <f>SAF_Cand_Refinery[[#This Row],[Max Amount]]*0.5</f>
        <v>338566.41619354679</v>
      </c>
      <c r="R35" s="81">
        <f>SAF_Cand_Refinery[[#This Row],[Max Amount]]*0.1</f>
        <v>67713.283238709366</v>
      </c>
      <c r="S35" s="81">
        <v>91155661.800000012</v>
      </c>
    </row>
    <row r="36" spans="1:19" x14ac:dyDescent="0.3">
      <c r="A36" t="s">
        <v>275</v>
      </c>
      <c r="B36" t="s">
        <v>290</v>
      </c>
      <c r="C36" t="s">
        <v>5</v>
      </c>
      <c r="D36" s="80" t="s">
        <v>311</v>
      </c>
      <c r="E36" t="s">
        <v>1573</v>
      </c>
      <c r="F36" s="82">
        <f t="shared" si="1"/>
        <v>1</v>
      </c>
      <c r="G36">
        <v>1</v>
      </c>
      <c r="H36" t="s">
        <v>14</v>
      </c>
      <c r="I36" t="s">
        <v>322</v>
      </c>
      <c r="J36">
        <v>26.333991127174112</v>
      </c>
      <c r="K36" t="s">
        <v>1574</v>
      </c>
      <c r="L36" t="s">
        <v>19</v>
      </c>
      <c r="M36" t="s">
        <v>1581</v>
      </c>
      <c r="N36" t="s">
        <v>323</v>
      </c>
      <c r="O36" s="81">
        <v>1805687.5530322497</v>
      </c>
      <c r="P36" t="s">
        <v>14</v>
      </c>
      <c r="Q36" s="81">
        <f>SAF_Cand_Refinery[[#This Row],[Max Amount]]*0.5</f>
        <v>902843.77651612484</v>
      </c>
      <c r="R36" s="81">
        <f>SAF_Cand_Refinery[[#This Row],[Max Amount]]*0.1</f>
        <v>180568.75530322499</v>
      </c>
      <c r="S36" s="81">
        <v>77989532.280000001</v>
      </c>
    </row>
    <row r="37" spans="1:19" x14ac:dyDescent="0.3">
      <c r="A37" t="s">
        <v>275</v>
      </c>
      <c r="B37" t="s">
        <v>290</v>
      </c>
      <c r="C37" t="s">
        <v>5</v>
      </c>
      <c r="D37" s="80" t="s">
        <v>311</v>
      </c>
      <c r="E37" t="s">
        <v>318</v>
      </c>
      <c r="F37" s="82">
        <f t="shared" si="1"/>
        <v>1</v>
      </c>
      <c r="G37">
        <v>1</v>
      </c>
      <c r="H37" t="s">
        <v>14</v>
      </c>
      <c r="I37" t="s">
        <v>322</v>
      </c>
      <c r="J37">
        <v>23.407992113043658</v>
      </c>
      <c r="K37" t="s">
        <v>1574</v>
      </c>
      <c r="L37" t="s">
        <v>19</v>
      </c>
      <c r="M37" t="s">
        <v>1581</v>
      </c>
      <c r="N37" t="s">
        <v>323</v>
      </c>
      <c r="O37" s="81">
        <v>451421.88825806242</v>
      </c>
      <c r="P37" t="s">
        <v>14</v>
      </c>
      <c r="Q37" s="81">
        <f>SAF_Cand_Refinery[[#This Row],[Max Amount]]*0.5</f>
        <v>225710.94412903121</v>
      </c>
      <c r="R37" s="81">
        <f>SAF_Cand_Refinery[[#This Row],[Max Amount]]*0.1</f>
        <v>45142.188825806246</v>
      </c>
      <c r="S37" s="81">
        <v>44534613</v>
      </c>
    </row>
    <row r="38" spans="1:19" x14ac:dyDescent="0.3">
      <c r="A38" t="s">
        <v>275</v>
      </c>
      <c r="B38" t="s">
        <v>285</v>
      </c>
      <c r="C38" t="s">
        <v>5</v>
      </c>
      <c r="D38" s="80" t="s">
        <v>309</v>
      </c>
      <c r="E38" t="s">
        <v>1573</v>
      </c>
      <c r="F38" s="82">
        <f t="shared" si="1"/>
        <v>1</v>
      </c>
      <c r="G38">
        <v>1</v>
      </c>
      <c r="H38" t="s">
        <v>14</v>
      </c>
      <c r="I38" t="s">
        <v>322</v>
      </c>
      <c r="J38">
        <v>15.60532807536244</v>
      </c>
      <c r="K38" t="s">
        <v>1574</v>
      </c>
      <c r="L38" t="s">
        <v>19</v>
      </c>
      <c r="M38" t="s">
        <v>1577</v>
      </c>
      <c r="N38" t="s">
        <v>323</v>
      </c>
      <c r="O38" s="81">
        <v>2031398.4971612808</v>
      </c>
      <c r="P38" t="s">
        <v>14</v>
      </c>
      <c r="Q38" s="81">
        <f>SAF_Cand_Refinery[[#This Row],[Max Amount]]*0.5</f>
        <v>1015699.2485806404</v>
      </c>
      <c r="R38" s="81">
        <f>SAF_Cand_Refinery[[#This Row],[Max Amount]]*0.1</f>
        <v>203139.84971612808</v>
      </c>
      <c r="S38" s="81">
        <v>108566609.03999999</v>
      </c>
    </row>
    <row r="39" spans="1:19" x14ac:dyDescent="0.3">
      <c r="A39" t="s">
        <v>275</v>
      </c>
      <c r="B39" t="s">
        <v>285</v>
      </c>
      <c r="C39" t="s">
        <v>5</v>
      </c>
      <c r="D39" s="80" t="s">
        <v>309</v>
      </c>
      <c r="E39" t="s">
        <v>318</v>
      </c>
      <c r="F39" s="82">
        <f t="shared" si="1"/>
        <v>1</v>
      </c>
      <c r="G39">
        <v>1</v>
      </c>
      <c r="H39" t="s">
        <v>14</v>
      </c>
      <c r="I39" t="s">
        <v>322</v>
      </c>
      <c r="J39">
        <v>15.60532807536244</v>
      </c>
      <c r="K39" t="s">
        <v>1574</v>
      </c>
      <c r="L39" t="s">
        <v>19</v>
      </c>
      <c r="M39" t="s">
        <v>1577</v>
      </c>
      <c r="N39" t="s">
        <v>323</v>
      </c>
      <c r="O39" s="81">
        <v>677132.83238709357</v>
      </c>
      <c r="P39" t="s">
        <v>14</v>
      </c>
      <c r="Q39" s="81">
        <f>SAF_Cand_Refinery[[#This Row],[Max Amount]]*0.5</f>
        <v>338566.41619354679</v>
      </c>
      <c r="R39" s="81">
        <f>SAF_Cand_Refinery[[#This Row],[Max Amount]]*0.1</f>
        <v>67713.283238709366</v>
      </c>
      <c r="S39" s="81">
        <v>91155661.800000012</v>
      </c>
    </row>
    <row r="40" spans="1:19" x14ac:dyDescent="0.3">
      <c r="A40" t="s">
        <v>275</v>
      </c>
      <c r="B40" t="s">
        <v>285</v>
      </c>
      <c r="C40" t="s">
        <v>5</v>
      </c>
      <c r="D40" s="80" t="s">
        <v>311</v>
      </c>
      <c r="E40" t="s">
        <v>1573</v>
      </c>
      <c r="F40" s="82">
        <f t="shared" si="1"/>
        <v>1</v>
      </c>
      <c r="G40">
        <v>1</v>
      </c>
      <c r="H40" t="s">
        <v>14</v>
      </c>
      <c r="I40" t="s">
        <v>322</v>
      </c>
      <c r="J40">
        <v>26.333991127174112</v>
      </c>
      <c r="K40" t="s">
        <v>1574</v>
      </c>
      <c r="L40" t="s">
        <v>19</v>
      </c>
      <c r="M40" t="s">
        <v>1581</v>
      </c>
      <c r="N40" t="s">
        <v>323</v>
      </c>
      <c r="O40" s="81">
        <v>1805687.5530322497</v>
      </c>
      <c r="P40" t="s">
        <v>14</v>
      </c>
      <c r="Q40" s="81">
        <f>SAF_Cand_Refinery[[#This Row],[Max Amount]]*0.5</f>
        <v>902843.77651612484</v>
      </c>
      <c r="R40" s="81">
        <f>SAF_Cand_Refinery[[#This Row],[Max Amount]]*0.1</f>
        <v>180568.75530322499</v>
      </c>
      <c r="S40" s="81">
        <v>77989532.280000001</v>
      </c>
    </row>
    <row r="41" spans="1:19" x14ac:dyDescent="0.3">
      <c r="A41" t="s">
        <v>275</v>
      </c>
      <c r="B41" t="s">
        <v>285</v>
      </c>
      <c r="C41" t="s">
        <v>5</v>
      </c>
      <c r="D41" s="80" t="s">
        <v>311</v>
      </c>
      <c r="E41" t="s">
        <v>318</v>
      </c>
      <c r="F41" s="82">
        <f t="shared" si="1"/>
        <v>1</v>
      </c>
      <c r="G41">
        <v>1</v>
      </c>
      <c r="H41" t="s">
        <v>14</v>
      </c>
      <c r="I41" t="s">
        <v>322</v>
      </c>
      <c r="J41">
        <v>23.407992113043658</v>
      </c>
      <c r="K41" t="s">
        <v>1574</v>
      </c>
      <c r="L41" t="s">
        <v>19</v>
      </c>
      <c r="M41" t="s">
        <v>1581</v>
      </c>
      <c r="N41" t="s">
        <v>323</v>
      </c>
      <c r="O41" s="81">
        <v>451421.88825806242</v>
      </c>
      <c r="P41" t="s">
        <v>14</v>
      </c>
      <c r="Q41" s="81">
        <f>SAF_Cand_Refinery[[#This Row],[Max Amount]]*0.5</f>
        <v>225710.94412903121</v>
      </c>
      <c r="R41" s="81">
        <f>SAF_Cand_Refinery[[#This Row],[Max Amount]]*0.1</f>
        <v>45142.188825806246</v>
      </c>
      <c r="S41" s="81">
        <v>44534613</v>
      </c>
    </row>
    <row r="42" spans="1:19" x14ac:dyDescent="0.3">
      <c r="A42" t="s">
        <v>275</v>
      </c>
      <c r="B42" t="s">
        <v>280</v>
      </c>
      <c r="C42" t="s">
        <v>5</v>
      </c>
      <c r="D42" s="80" t="s">
        <v>309</v>
      </c>
      <c r="E42" t="s">
        <v>1573</v>
      </c>
      <c r="F42" s="82">
        <f t="shared" si="1"/>
        <v>1</v>
      </c>
      <c r="G42">
        <v>1</v>
      </c>
      <c r="H42" t="s">
        <v>14</v>
      </c>
      <c r="I42" t="s">
        <v>322</v>
      </c>
      <c r="J42">
        <v>15.60532807536244</v>
      </c>
      <c r="K42" t="s">
        <v>1574</v>
      </c>
      <c r="L42" t="s">
        <v>19</v>
      </c>
      <c r="M42" t="s">
        <v>1577</v>
      </c>
      <c r="N42" t="s">
        <v>323</v>
      </c>
      <c r="O42" s="81">
        <v>2031398.4971612808</v>
      </c>
      <c r="P42" t="s">
        <v>14</v>
      </c>
      <c r="Q42" s="81">
        <f>SAF_Cand_Refinery[[#This Row],[Max Amount]]*0.5</f>
        <v>1015699.2485806404</v>
      </c>
      <c r="R42" s="81">
        <f>SAF_Cand_Refinery[[#This Row],[Max Amount]]*0.1</f>
        <v>203139.84971612808</v>
      </c>
      <c r="S42" s="81">
        <v>108566609.03999999</v>
      </c>
    </row>
    <row r="43" spans="1:19" x14ac:dyDescent="0.3">
      <c r="A43" t="s">
        <v>275</v>
      </c>
      <c r="B43" t="s">
        <v>280</v>
      </c>
      <c r="C43" t="s">
        <v>5</v>
      </c>
      <c r="D43" s="80" t="s">
        <v>309</v>
      </c>
      <c r="E43" t="s">
        <v>318</v>
      </c>
      <c r="F43" s="82">
        <f t="shared" si="1"/>
        <v>1</v>
      </c>
      <c r="G43">
        <v>1</v>
      </c>
      <c r="H43" t="s">
        <v>14</v>
      </c>
      <c r="I43" t="s">
        <v>322</v>
      </c>
      <c r="J43">
        <v>15.60532807536244</v>
      </c>
      <c r="K43" t="s">
        <v>1574</v>
      </c>
      <c r="L43" t="s">
        <v>19</v>
      </c>
      <c r="M43" t="s">
        <v>1577</v>
      </c>
      <c r="N43" t="s">
        <v>323</v>
      </c>
      <c r="O43" s="81">
        <v>677132.83238709357</v>
      </c>
      <c r="P43" t="s">
        <v>14</v>
      </c>
      <c r="Q43" s="81">
        <f>SAF_Cand_Refinery[[#This Row],[Max Amount]]*0.5</f>
        <v>338566.41619354679</v>
      </c>
      <c r="R43" s="81">
        <f>SAF_Cand_Refinery[[#This Row],[Max Amount]]*0.1</f>
        <v>67713.283238709366</v>
      </c>
      <c r="S43" s="81">
        <v>91155661.800000012</v>
      </c>
    </row>
    <row r="44" spans="1:19" x14ac:dyDescent="0.3">
      <c r="A44" t="s">
        <v>275</v>
      </c>
      <c r="B44" t="s">
        <v>280</v>
      </c>
      <c r="C44" t="s">
        <v>5</v>
      </c>
      <c r="D44" s="80" t="s">
        <v>311</v>
      </c>
      <c r="E44" t="s">
        <v>1573</v>
      </c>
      <c r="F44" s="82">
        <f t="shared" si="1"/>
        <v>1</v>
      </c>
      <c r="G44">
        <v>1</v>
      </c>
      <c r="H44" t="s">
        <v>14</v>
      </c>
      <c r="I44" t="s">
        <v>322</v>
      </c>
      <c r="J44">
        <v>26.333991127174112</v>
      </c>
      <c r="K44" t="s">
        <v>1574</v>
      </c>
      <c r="L44" t="s">
        <v>19</v>
      </c>
      <c r="M44" t="s">
        <v>1581</v>
      </c>
      <c r="N44" t="s">
        <v>323</v>
      </c>
      <c r="O44" s="81">
        <v>1805687.5530322497</v>
      </c>
      <c r="P44" t="s">
        <v>14</v>
      </c>
      <c r="Q44" s="81">
        <f>SAF_Cand_Refinery[[#This Row],[Max Amount]]*0.5</f>
        <v>902843.77651612484</v>
      </c>
      <c r="R44" s="81">
        <f>SAF_Cand_Refinery[[#This Row],[Max Amount]]*0.1</f>
        <v>180568.75530322499</v>
      </c>
      <c r="S44" s="81">
        <v>77989532.280000001</v>
      </c>
    </row>
    <row r="45" spans="1:19" x14ac:dyDescent="0.3">
      <c r="A45" t="s">
        <v>275</v>
      </c>
      <c r="B45" t="s">
        <v>280</v>
      </c>
      <c r="C45" t="s">
        <v>5</v>
      </c>
      <c r="D45" s="80" t="s">
        <v>311</v>
      </c>
      <c r="E45" t="s">
        <v>318</v>
      </c>
      <c r="F45" s="82">
        <f t="shared" si="1"/>
        <v>1</v>
      </c>
      <c r="G45">
        <v>1</v>
      </c>
      <c r="H45" t="s">
        <v>14</v>
      </c>
      <c r="I45" t="s">
        <v>322</v>
      </c>
      <c r="J45">
        <v>23.407992113043658</v>
      </c>
      <c r="K45" t="s">
        <v>1574</v>
      </c>
      <c r="L45" t="s">
        <v>19</v>
      </c>
      <c r="M45" t="s">
        <v>1581</v>
      </c>
      <c r="N45" t="s">
        <v>323</v>
      </c>
      <c r="O45" s="81">
        <v>451421.88825806242</v>
      </c>
      <c r="P45" t="s">
        <v>14</v>
      </c>
      <c r="Q45" s="81">
        <f>SAF_Cand_Refinery[[#This Row],[Max Amount]]*0.5</f>
        <v>225710.94412903121</v>
      </c>
      <c r="R45" s="81">
        <f>SAF_Cand_Refinery[[#This Row],[Max Amount]]*0.1</f>
        <v>45142.188825806246</v>
      </c>
      <c r="S45" s="81">
        <v>44534613</v>
      </c>
    </row>
    <row r="46" spans="1:19" x14ac:dyDescent="0.3">
      <c r="A46" t="s">
        <v>275</v>
      </c>
      <c r="B46" t="s">
        <v>279</v>
      </c>
      <c r="C46" t="s">
        <v>5</v>
      </c>
      <c r="D46" s="80" t="s">
        <v>309</v>
      </c>
      <c r="E46" t="s">
        <v>1573</v>
      </c>
      <c r="F46" s="82">
        <f t="shared" si="1"/>
        <v>1</v>
      </c>
      <c r="G46">
        <v>1</v>
      </c>
      <c r="H46" t="s">
        <v>14</v>
      </c>
      <c r="I46" t="s">
        <v>322</v>
      </c>
      <c r="J46">
        <v>15.60532807536244</v>
      </c>
      <c r="K46" t="s">
        <v>1574</v>
      </c>
      <c r="L46" t="s">
        <v>19</v>
      </c>
      <c r="M46" t="s">
        <v>1577</v>
      </c>
      <c r="N46" t="s">
        <v>323</v>
      </c>
      <c r="O46" s="81">
        <v>2031398.4971612808</v>
      </c>
      <c r="P46" t="s">
        <v>14</v>
      </c>
      <c r="Q46" s="81">
        <f>SAF_Cand_Refinery[[#This Row],[Max Amount]]*0.5</f>
        <v>1015699.2485806404</v>
      </c>
      <c r="R46" s="81">
        <f>SAF_Cand_Refinery[[#This Row],[Max Amount]]*0.1</f>
        <v>203139.84971612808</v>
      </c>
      <c r="S46" s="81">
        <v>108566609.03999999</v>
      </c>
    </row>
    <row r="47" spans="1:19" x14ac:dyDescent="0.3">
      <c r="A47" t="s">
        <v>275</v>
      </c>
      <c r="B47" t="s">
        <v>279</v>
      </c>
      <c r="C47" t="s">
        <v>5</v>
      </c>
      <c r="D47" s="80" t="s">
        <v>309</v>
      </c>
      <c r="E47" t="s">
        <v>318</v>
      </c>
      <c r="F47" s="82">
        <f t="shared" si="1"/>
        <v>1</v>
      </c>
      <c r="G47">
        <v>1</v>
      </c>
      <c r="H47" t="s">
        <v>14</v>
      </c>
      <c r="I47" t="s">
        <v>322</v>
      </c>
      <c r="J47">
        <v>15.60532807536244</v>
      </c>
      <c r="K47" t="s">
        <v>1574</v>
      </c>
      <c r="L47" t="s">
        <v>19</v>
      </c>
      <c r="M47" t="s">
        <v>1577</v>
      </c>
      <c r="N47" t="s">
        <v>323</v>
      </c>
      <c r="O47" s="81">
        <v>677132.83238709357</v>
      </c>
      <c r="P47" t="s">
        <v>14</v>
      </c>
      <c r="Q47" s="81">
        <f>SAF_Cand_Refinery[[#This Row],[Max Amount]]*0.5</f>
        <v>338566.41619354679</v>
      </c>
      <c r="R47" s="81">
        <f>SAF_Cand_Refinery[[#This Row],[Max Amount]]*0.1</f>
        <v>67713.283238709366</v>
      </c>
      <c r="S47" s="81">
        <v>91155661.800000012</v>
      </c>
    </row>
    <row r="48" spans="1:19" x14ac:dyDescent="0.3">
      <c r="A48" t="s">
        <v>275</v>
      </c>
      <c r="B48" t="s">
        <v>279</v>
      </c>
      <c r="C48" t="s">
        <v>5</v>
      </c>
      <c r="D48" s="80" t="s">
        <v>311</v>
      </c>
      <c r="E48" t="s">
        <v>1573</v>
      </c>
      <c r="F48" s="82">
        <f t="shared" si="1"/>
        <v>1</v>
      </c>
      <c r="G48">
        <v>1</v>
      </c>
      <c r="H48" t="s">
        <v>14</v>
      </c>
      <c r="I48" t="s">
        <v>322</v>
      </c>
      <c r="J48">
        <v>26.333991127174112</v>
      </c>
      <c r="K48" t="s">
        <v>1574</v>
      </c>
      <c r="L48" t="s">
        <v>19</v>
      </c>
      <c r="M48" t="s">
        <v>1581</v>
      </c>
      <c r="N48" t="s">
        <v>323</v>
      </c>
      <c r="O48" s="81">
        <v>1805687.5530322497</v>
      </c>
      <c r="P48" t="s">
        <v>14</v>
      </c>
      <c r="Q48" s="81">
        <f>SAF_Cand_Refinery[[#This Row],[Max Amount]]*0.5</f>
        <v>902843.77651612484</v>
      </c>
      <c r="R48" s="81">
        <f>SAF_Cand_Refinery[[#This Row],[Max Amount]]*0.1</f>
        <v>180568.75530322499</v>
      </c>
      <c r="S48" s="81">
        <v>77989532.280000001</v>
      </c>
    </row>
    <row r="49" spans="1:19" x14ac:dyDescent="0.3">
      <c r="A49" t="s">
        <v>275</v>
      </c>
      <c r="B49" t="s">
        <v>279</v>
      </c>
      <c r="C49" t="s">
        <v>5</v>
      </c>
      <c r="D49" s="80" t="s">
        <v>311</v>
      </c>
      <c r="E49" t="s">
        <v>318</v>
      </c>
      <c r="F49" s="82">
        <f t="shared" si="1"/>
        <v>1</v>
      </c>
      <c r="G49">
        <v>1</v>
      </c>
      <c r="H49" t="s">
        <v>14</v>
      </c>
      <c r="I49" t="s">
        <v>322</v>
      </c>
      <c r="J49">
        <v>23.407992113043658</v>
      </c>
      <c r="K49" t="s">
        <v>1574</v>
      </c>
      <c r="L49" t="s">
        <v>19</v>
      </c>
      <c r="M49" t="s">
        <v>1581</v>
      </c>
      <c r="N49" t="s">
        <v>323</v>
      </c>
      <c r="O49" s="81">
        <v>451421.88825806242</v>
      </c>
      <c r="P49" t="s">
        <v>14</v>
      </c>
      <c r="Q49" s="81">
        <f>SAF_Cand_Refinery[[#This Row],[Max Amount]]*0.5</f>
        <v>225710.94412903121</v>
      </c>
      <c r="R49" s="81">
        <f>SAF_Cand_Refinery[[#This Row],[Max Amount]]*0.1</f>
        <v>45142.188825806246</v>
      </c>
      <c r="S49" s="81">
        <v>44534613</v>
      </c>
    </row>
    <row r="50" spans="1:19" x14ac:dyDescent="0.3">
      <c r="A50" t="s">
        <v>273</v>
      </c>
      <c r="B50" t="s">
        <v>274</v>
      </c>
      <c r="C50" t="s">
        <v>5</v>
      </c>
      <c r="D50" s="80" t="s">
        <v>309</v>
      </c>
      <c r="E50" t="s">
        <v>1573</v>
      </c>
      <c r="F50" s="82">
        <f t="shared" si="1"/>
        <v>1</v>
      </c>
      <c r="G50">
        <v>1</v>
      </c>
      <c r="H50" t="s">
        <v>14</v>
      </c>
      <c r="I50" t="s">
        <v>322</v>
      </c>
      <c r="J50">
        <v>20.063993239751706</v>
      </c>
      <c r="K50" t="s">
        <v>1574</v>
      </c>
      <c r="L50" t="s">
        <v>19</v>
      </c>
      <c r="M50" t="s">
        <v>1576</v>
      </c>
      <c r="N50" t="s">
        <v>323</v>
      </c>
      <c r="O50" s="81">
        <v>2106635.4785376247</v>
      </c>
      <c r="P50" t="s">
        <v>14</v>
      </c>
      <c r="Q50" s="81">
        <f>SAF_Cand_Refinery[[#This Row],[Max Amount]]*0.5</f>
        <v>1053317.7392688124</v>
      </c>
      <c r="R50" s="81">
        <f>SAF_Cand_Refinery[[#This Row],[Max Amount]]*0.1</f>
        <v>210663.54785376249</v>
      </c>
      <c r="S50" s="81">
        <v>116408730</v>
      </c>
    </row>
    <row r="51" spans="1:19" x14ac:dyDescent="0.3">
      <c r="A51" t="s">
        <v>273</v>
      </c>
      <c r="B51" t="s">
        <v>274</v>
      </c>
      <c r="C51" t="s">
        <v>5</v>
      </c>
      <c r="D51" s="80" t="s">
        <v>309</v>
      </c>
      <c r="E51" t="s">
        <v>318</v>
      </c>
      <c r="F51" s="82">
        <f t="shared" si="1"/>
        <v>1</v>
      </c>
      <c r="G51">
        <v>1</v>
      </c>
      <c r="H51" t="s">
        <v>14</v>
      </c>
      <c r="I51" t="s">
        <v>322</v>
      </c>
      <c r="J51">
        <v>20.063993239751706</v>
      </c>
      <c r="K51" t="s">
        <v>1574</v>
      </c>
      <c r="L51" t="s">
        <v>19</v>
      </c>
      <c r="M51" t="s">
        <v>1576</v>
      </c>
      <c r="N51" t="s">
        <v>323</v>
      </c>
      <c r="O51" s="81">
        <v>526658.86963440618</v>
      </c>
      <c r="P51" t="s">
        <v>14</v>
      </c>
      <c r="Q51" s="81">
        <f>SAF_Cand_Refinery[[#This Row],[Max Amount]]*0.5</f>
        <v>263329.43481720309</v>
      </c>
      <c r="R51" s="81">
        <f>SAF_Cand_Refinery[[#This Row],[Max Amount]]*0.1</f>
        <v>52665.886963440622</v>
      </c>
      <c r="S51" s="81">
        <v>78277316.519999996</v>
      </c>
    </row>
    <row r="52" spans="1:19" x14ac:dyDescent="0.3">
      <c r="A52" t="s">
        <v>273</v>
      </c>
      <c r="B52" t="s">
        <v>274</v>
      </c>
      <c r="C52" t="s">
        <v>5</v>
      </c>
      <c r="D52" s="80" t="s">
        <v>311</v>
      </c>
      <c r="E52" t="s">
        <v>1573</v>
      </c>
      <c r="F52" s="82">
        <f t="shared" si="1"/>
        <v>1</v>
      </c>
      <c r="G52">
        <v>1</v>
      </c>
      <c r="H52" t="s">
        <v>14</v>
      </c>
      <c r="I52" t="s">
        <v>322</v>
      </c>
      <c r="J52">
        <v>28.841990282143083</v>
      </c>
      <c r="K52" t="s">
        <v>1574</v>
      </c>
      <c r="L52" t="s">
        <v>19</v>
      </c>
      <c r="M52" t="s">
        <v>1580</v>
      </c>
      <c r="N52" t="s">
        <v>323</v>
      </c>
      <c r="O52" s="81">
        <v>1648671.2440729232</v>
      </c>
      <c r="P52" t="s">
        <v>14</v>
      </c>
      <c r="Q52" s="81">
        <f>SAF_Cand_Refinery[[#This Row],[Max Amount]]*0.5</f>
        <v>824335.6220364616</v>
      </c>
      <c r="R52" s="81">
        <f>SAF_Cand_Refinery[[#This Row],[Max Amount]]*0.1</f>
        <v>164867.12440729234</v>
      </c>
      <c r="S52" s="81">
        <v>74680013.400000006</v>
      </c>
    </row>
    <row r="53" spans="1:19" x14ac:dyDescent="0.3">
      <c r="A53" t="s">
        <v>273</v>
      </c>
      <c r="B53" t="s">
        <v>274</v>
      </c>
      <c r="C53" t="s">
        <v>5</v>
      </c>
      <c r="D53" s="80" t="s">
        <v>311</v>
      </c>
      <c r="E53" t="s">
        <v>318</v>
      </c>
      <c r="F53" s="82">
        <f t="shared" si="1"/>
        <v>1</v>
      </c>
      <c r="G53">
        <v>1</v>
      </c>
      <c r="H53" t="s">
        <v>14</v>
      </c>
      <c r="I53" t="s">
        <v>322</v>
      </c>
      <c r="J53">
        <v>25.637324695238295</v>
      </c>
      <c r="K53" t="s">
        <v>1574</v>
      </c>
      <c r="L53" t="s">
        <v>19</v>
      </c>
      <c r="M53" t="s">
        <v>1580</v>
      </c>
      <c r="N53" t="s">
        <v>323</v>
      </c>
      <c r="O53" s="81">
        <v>412167.81101823086</v>
      </c>
      <c r="P53" t="s">
        <v>14</v>
      </c>
      <c r="Q53" s="81">
        <f>SAF_Cand_Refinery[[#This Row],[Max Amount]]*0.5</f>
        <v>206083.90550911543</v>
      </c>
      <c r="R53" s="81">
        <f>SAF_Cand_Refinery[[#This Row],[Max Amount]]*0.1</f>
        <v>41216.781101823086</v>
      </c>
      <c r="S53" s="81">
        <v>42735961.439999998</v>
      </c>
    </row>
    <row r="54" spans="1:19" x14ac:dyDescent="0.3">
      <c r="A54" t="s">
        <v>293</v>
      </c>
      <c r="B54" t="s">
        <v>294</v>
      </c>
      <c r="C54" t="s">
        <v>5</v>
      </c>
      <c r="D54" s="80" t="s">
        <v>310</v>
      </c>
      <c r="E54" t="s">
        <v>1573</v>
      </c>
      <c r="F54" s="82">
        <f t="shared" si="1"/>
        <v>1</v>
      </c>
      <c r="G54">
        <v>1</v>
      </c>
      <c r="H54" t="s">
        <v>14</v>
      </c>
      <c r="I54" t="s">
        <v>322</v>
      </c>
      <c r="J54">
        <v>127.21129047148131</v>
      </c>
      <c r="K54" t="s">
        <v>1574</v>
      </c>
      <c r="L54" t="s">
        <v>19</v>
      </c>
      <c r="M54" t="s">
        <v>1578</v>
      </c>
      <c r="N54" t="s">
        <v>323</v>
      </c>
      <c r="O54" s="81">
        <v>1142151.7654722061</v>
      </c>
      <c r="P54" t="s">
        <v>14</v>
      </c>
      <c r="Q54" s="81">
        <f>SAF_Cand_Refinery[[#This Row],[Max Amount]]*0.5</f>
        <v>571075.88273610303</v>
      </c>
      <c r="R54" s="81">
        <f>SAF_Cand_Refinery[[#This Row],[Max Amount]]*0.1</f>
        <v>114215.17654722062</v>
      </c>
      <c r="S54" s="81">
        <v>32231836.200000003</v>
      </c>
    </row>
    <row r="55" spans="1:19" x14ac:dyDescent="0.3">
      <c r="A55" t="s">
        <v>293</v>
      </c>
      <c r="B55" t="s">
        <v>295</v>
      </c>
      <c r="C55" t="s">
        <v>5</v>
      </c>
      <c r="D55" s="80" t="s">
        <v>310</v>
      </c>
      <c r="E55" t="s">
        <v>1573</v>
      </c>
      <c r="F55" s="82">
        <f t="shared" si="1"/>
        <v>1</v>
      </c>
      <c r="G55">
        <v>1</v>
      </c>
      <c r="H55" t="s">
        <v>14</v>
      </c>
      <c r="I55" t="s">
        <v>322</v>
      </c>
      <c r="J55">
        <v>127.21129047148131</v>
      </c>
      <c r="K55" t="s">
        <v>1574</v>
      </c>
      <c r="L55" t="s">
        <v>19</v>
      </c>
      <c r="M55" t="s">
        <v>1578</v>
      </c>
      <c r="N55" t="s">
        <v>323</v>
      </c>
      <c r="O55" s="81">
        <v>1142151.7654722061</v>
      </c>
      <c r="P55" t="s">
        <v>14</v>
      </c>
      <c r="Q55" s="81">
        <f>SAF_Cand_Refinery[[#This Row],[Max Amount]]*0.5</f>
        <v>571075.88273610303</v>
      </c>
      <c r="R55" s="81">
        <f>SAF_Cand_Refinery[[#This Row],[Max Amount]]*0.1</f>
        <v>114215.17654722062</v>
      </c>
      <c r="S55" s="81">
        <v>32231836.200000003</v>
      </c>
    </row>
    <row r="56" spans="1:19" x14ac:dyDescent="0.3">
      <c r="A56" t="s">
        <v>293</v>
      </c>
      <c r="B56" t="s">
        <v>296</v>
      </c>
      <c r="C56" t="s">
        <v>5</v>
      </c>
      <c r="D56" s="80" t="s">
        <v>310</v>
      </c>
      <c r="E56" t="s">
        <v>1573</v>
      </c>
      <c r="F56" s="82">
        <f t="shared" si="1"/>
        <v>1</v>
      </c>
      <c r="G56">
        <v>1</v>
      </c>
      <c r="H56" t="s">
        <v>14</v>
      </c>
      <c r="I56" t="s">
        <v>322</v>
      </c>
      <c r="J56">
        <v>127.21129047148131</v>
      </c>
      <c r="K56" t="s">
        <v>1574</v>
      </c>
      <c r="L56" t="s">
        <v>19</v>
      </c>
      <c r="M56" t="s">
        <v>1578</v>
      </c>
      <c r="N56" t="s">
        <v>323</v>
      </c>
      <c r="O56" s="81">
        <v>1142151.7654722061</v>
      </c>
      <c r="P56" t="s">
        <v>14</v>
      </c>
      <c r="Q56" s="81">
        <f>SAF_Cand_Refinery[[#This Row],[Max Amount]]*0.5</f>
        <v>571075.88273610303</v>
      </c>
      <c r="R56" s="81">
        <f>SAF_Cand_Refinery[[#This Row],[Max Amount]]*0.1</f>
        <v>114215.17654722062</v>
      </c>
      <c r="S56" s="81">
        <v>32231836.200000003</v>
      </c>
    </row>
    <row r="57" spans="1:19" x14ac:dyDescent="0.3">
      <c r="A57" t="s">
        <v>269</v>
      </c>
      <c r="B57" t="s">
        <v>270</v>
      </c>
      <c r="C57" t="s">
        <v>5</v>
      </c>
      <c r="D57" s="80" t="s">
        <v>309</v>
      </c>
      <c r="E57" t="s">
        <v>1573</v>
      </c>
      <c r="F57" s="82">
        <f t="shared" si="1"/>
        <v>1</v>
      </c>
      <c r="G57">
        <v>1</v>
      </c>
      <c r="H57" t="s">
        <v>14</v>
      </c>
      <c r="I57" t="s">
        <v>322</v>
      </c>
      <c r="J57">
        <v>20.063993239751706</v>
      </c>
      <c r="K57" t="s">
        <v>1574</v>
      </c>
      <c r="L57" t="s">
        <v>19</v>
      </c>
      <c r="M57" t="s">
        <v>1576</v>
      </c>
      <c r="N57" t="s">
        <v>323</v>
      </c>
      <c r="O57" s="81">
        <v>2106635.4785376247</v>
      </c>
      <c r="P57" t="s">
        <v>14</v>
      </c>
      <c r="Q57" s="81">
        <f>SAF_Cand_Refinery[[#This Row],[Max Amount]]*0.5</f>
        <v>1053317.7392688124</v>
      </c>
      <c r="R57" s="81">
        <f>SAF_Cand_Refinery[[#This Row],[Max Amount]]*0.1</f>
        <v>210663.54785376249</v>
      </c>
      <c r="S57" s="81">
        <v>116408730</v>
      </c>
    </row>
    <row r="58" spans="1:19" x14ac:dyDescent="0.3">
      <c r="A58" t="s">
        <v>269</v>
      </c>
      <c r="B58" t="s">
        <v>270</v>
      </c>
      <c r="C58" t="s">
        <v>5</v>
      </c>
      <c r="D58" s="80" t="s">
        <v>309</v>
      </c>
      <c r="E58" t="s">
        <v>318</v>
      </c>
      <c r="F58" s="82">
        <f t="shared" si="1"/>
        <v>1</v>
      </c>
      <c r="G58">
        <v>1</v>
      </c>
      <c r="H58" t="s">
        <v>14</v>
      </c>
      <c r="I58" t="s">
        <v>322</v>
      </c>
      <c r="J58">
        <v>20.063993239751706</v>
      </c>
      <c r="K58" t="s">
        <v>1574</v>
      </c>
      <c r="L58" t="s">
        <v>19</v>
      </c>
      <c r="M58" t="s">
        <v>1576</v>
      </c>
      <c r="N58" t="s">
        <v>323</v>
      </c>
      <c r="O58" s="81">
        <v>526658.86963440618</v>
      </c>
      <c r="P58" t="s">
        <v>14</v>
      </c>
      <c r="Q58" s="81">
        <f>SAF_Cand_Refinery[[#This Row],[Max Amount]]*0.5</f>
        <v>263329.43481720309</v>
      </c>
      <c r="R58" s="81">
        <f>SAF_Cand_Refinery[[#This Row],[Max Amount]]*0.1</f>
        <v>52665.886963440622</v>
      </c>
      <c r="S58" s="81">
        <v>78277316.519999996</v>
      </c>
    </row>
    <row r="59" spans="1:19" x14ac:dyDescent="0.3">
      <c r="A59" t="s">
        <v>269</v>
      </c>
      <c r="B59" t="s">
        <v>270</v>
      </c>
      <c r="C59" t="s">
        <v>5</v>
      </c>
      <c r="D59" s="80" t="s">
        <v>311</v>
      </c>
      <c r="E59" t="s">
        <v>1573</v>
      </c>
      <c r="F59" s="82">
        <f t="shared" si="1"/>
        <v>1</v>
      </c>
      <c r="G59">
        <v>1</v>
      </c>
      <c r="H59" t="s">
        <v>14</v>
      </c>
      <c r="I59" t="s">
        <v>322</v>
      </c>
      <c r="J59">
        <v>28.841990282143083</v>
      </c>
      <c r="K59" t="s">
        <v>1574</v>
      </c>
      <c r="L59" t="s">
        <v>19</v>
      </c>
      <c r="M59" t="s">
        <v>1580</v>
      </c>
      <c r="N59" t="s">
        <v>323</v>
      </c>
      <c r="O59" s="81">
        <v>1648671.2440729232</v>
      </c>
      <c r="P59" t="s">
        <v>14</v>
      </c>
      <c r="Q59" s="81">
        <f>SAF_Cand_Refinery[[#This Row],[Max Amount]]*0.5</f>
        <v>824335.6220364616</v>
      </c>
      <c r="R59" s="81">
        <f>SAF_Cand_Refinery[[#This Row],[Max Amount]]*0.1</f>
        <v>164867.12440729234</v>
      </c>
      <c r="S59" s="81">
        <v>74680013.400000006</v>
      </c>
    </row>
    <row r="60" spans="1:19" x14ac:dyDescent="0.3">
      <c r="A60" t="s">
        <v>269</v>
      </c>
      <c r="B60" t="s">
        <v>270</v>
      </c>
      <c r="C60" t="s">
        <v>5</v>
      </c>
      <c r="D60" s="80" t="s">
        <v>311</v>
      </c>
      <c r="E60" t="s">
        <v>318</v>
      </c>
      <c r="F60" s="82">
        <f t="shared" si="1"/>
        <v>1</v>
      </c>
      <c r="G60">
        <v>1</v>
      </c>
      <c r="H60" t="s">
        <v>14</v>
      </c>
      <c r="I60" t="s">
        <v>322</v>
      </c>
      <c r="J60">
        <v>25.637324695238295</v>
      </c>
      <c r="K60" t="s">
        <v>1574</v>
      </c>
      <c r="L60" t="s">
        <v>19</v>
      </c>
      <c r="M60" t="s">
        <v>1580</v>
      </c>
      <c r="N60" t="s">
        <v>323</v>
      </c>
      <c r="O60" s="81">
        <v>412167.81101823086</v>
      </c>
      <c r="P60" t="s">
        <v>14</v>
      </c>
      <c r="Q60" s="81">
        <f>SAF_Cand_Refinery[[#This Row],[Max Amount]]*0.5</f>
        <v>206083.90550911543</v>
      </c>
      <c r="R60" s="81">
        <f>SAF_Cand_Refinery[[#This Row],[Max Amount]]*0.1</f>
        <v>41216.781101823086</v>
      </c>
      <c r="S60" s="81">
        <v>42735961.439999998</v>
      </c>
    </row>
    <row r="61" spans="1:19" x14ac:dyDescent="0.3">
      <c r="A61" t="s">
        <v>269</v>
      </c>
      <c r="B61" t="s">
        <v>271</v>
      </c>
      <c r="C61" t="s">
        <v>5</v>
      </c>
      <c r="D61" s="80" t="s">
        <v>309</v>
      </c>
      <c r="E61" t="s">
        <v>1573</v>
      </c>
      <c r="F61" s="82">
        <f t="shared" si="1"/>
        <v>1</v>
      </c>
      <c r="G61">
        <v>1</v>
      </c>
      <c r="H61" t="s">
        <v>14</v>
      </c>
      <c r="I61" t="s">
        <v>322</v>
      </c>
      <c r="J61">
        <v>20.063993239751706</v>
      </c>
      <c r="K61" t="s">
        <v>1574</v>
      </c>
      <c r="L61" t="s">
        <v>19</v>
      </c>
      <c r="M61" t="s">
        <v>1576</v>
      </c>
      <c r="N61" t="s">
        <v>323</v>
      </c>
      <c r="O61" s="81">
        <v>2106635.4785376247</v>
      </c>
      <c r="P61" t="s">
        <v>14</v>
      </c>
      <c r="Q61" s="81">
        <f>SAF_Cand_Refinery[[#This Row],[Max Amount]]*0.5</f>
        <v>1053317.7392688124</v>
      </c>
      <c r="R61" s="81">
        <f>SAF_Cand_Refinery[[#This Row],[Max Amount]]*0.1</f>
        <v>210663.54785376249</v>
      </c>
      <c r="S61" s="81">
        <v>116408730</v>
      </c>
    </row>
    <row r="62" spans="1:19" x14ac:dyDescent="0.3">
      <c r="A62" t="s">
        <v>269</v>
      </c>
      <c r="B62" t="s">
        <v>271</v>
      </c>
      <c r="C62" t="s">
        <v>5</v>
      </c>
      <c r="D62" s="80" t="s">
        <v>309</v>
      </c>
      <c r="E62" t="s">
        <v>318</v>
      </c>
      <c r="F62" s="82">
        <f t="shared" si="1"/>
        <v>1</v>
      </c>
      <c r="G62">
        <v>1</v>
      </c>
      <c r="H62" t="s">
        <v>14</v>
      </c>
      <c r="I62" t="s">
        <v>322</v>
      </c>
      <c r="J62">
        <v>20.063993239751706</v>
      </c>
      <c r="K62" t="s">
        <v>1574</v>
      </c>
      <c r="L62" t="s">
        <v>19</v>
      </c>
      <c r="M62" t="s">
        <v>1576</v>
      </c>
      <c r="N62" t="s">
        <v>323</v>
      </c>
      <c r="O62" s="81">
        <v>526658.86963440618</v>
      </c>
      <c r="P62" t="s">
        <v>14</v>
      </c>
      <c r="Q62" s="81">
        <f>SAF_Cand_Refinery[[#This Row],[Max Amount]]*0.5</f>
        <v>263329.43481720309</v>
      </c>
      <c r="R62" s="81">
        <f>SAF_Cand_Refinery[[#This Row],[Max Amount]]*0.1</f>
        <v>52665.886963440622</v>
      </c>
      <c r="S62" s="81">
        <v>78277316.519999996</v>
      </c>
    </row>
    <row r="63" spans="1:19" x14ac:dyDescent="0.3">
      <c r="A63" t="s">
        <v>269</v>
      </c>
      <c r="B63" t="s">
        <v>271</v>
      </c>
      <c r="C63" t="s">
        <v>5</v>
      </c>
      <c r="D63" s="80" t="s">
        <v>311</v>
      </c>
      <c r="E63" t="s">
        <v>1573</v>
      </c>
      <c r="F63" s="82">
        <f t="shared" si="1"/>
        <v>1</v>
      </c>
      <c r="G63">
        <v>1</v>
      </c>
      <c r="H63" t="s">
        <v>14</v>
      </c>
      <c r="I63" t="s">
        <v>322</v>
      </c>
      <c r="J63">
        <v>28.841990282143083</v>
      </c>
      <c r="K63" t="s">
        <v>1574</v>
      </c>
      <c r="L63" t="s">
        <v>19</v>
      </c>
      <c r="M63" t="s">
        <v>1580</v>
      </c>
      <c r="N63" t="s">
        <v>323</v>
      </c>
      <c r="O63" s="81">
        <v>1648671.2440729232</v>
      </c>
      <c r="P63" t="s">
        <v>14</v>
      </c>
      <c r="Q63" s="81">
        <f>SAF_Cand_Refinery[[#This Row],[Max Amount]]*0.5</f>
        <v>824335.6220364616</v>
      </c>
      <c r="R63" s="81">
        <f>SAF_Cand_Refinery[[#This Row],[Max Amount]]*0.1</f>
        <v>164867.12440729234</v>
      </c>
      <c r="S63" s="81">
        <v>74680013.400000006</v>
      </c>
    </row>
    <row r="64" spans="1:19" x14ac:dyDescent="0.3">
      <c r="A64" t="s">
        <v>269</v>
      </c>
      <c r="B64" t="s">
        <v>271</v>
      </c>
      <c r="C64" t="s">
        <v>5</v>
      </c>
      <c r="D64" s="80" t="s">
        <v>311</v>
      </c>
      <c r="E64" t="s">
        <v>318</v>
      </c>
      <c r="F64" s="82">
        <f t="shared" si="1"/>
        <v>1</v>
      </c>
      <c r="G64">
        <v>1</v>
      </c>
      <c r="H64" t="s">
        <v>14</v>
      </c>
      <c r="I64" t="s">
        <v>322</v>
      </c>
      <c r="J64">
        <v>25.637324695238295</v>
      </c>
      <c r="K64" t="s">
        <v>1574</v>
      </c>
      <c r="L64" t="s">
        <v>19</v>
      </c>
      <c r="M64" t="s">
        <v>1580</v>
      </c>
      <c r="N64" t="s">
        <v>323</v>
      </c>
      <c r="O64" s="81">
        <v>412167.81101823086</v>
      </c>
      <c r="P64" t="s">
        <v>14</v>
      </c>
      <c r="Q64" s="81">
        <f>SAF_Cand_Refinery[[#This Row],[Max Amount]]*0.5</f>
        <v>206083.90550911543</v>
      </c>
      <c r="R64" s="81">
        <f>SAF_Cand_Refinery[[#This Row],[Max Amount]]*0.1</f>
        <v>41216.781101823086</v>
      </c>
      <c r="S64" s="81">
        <v>42735961.439999998</v>
      </c>
    </row>
    <row r="65" spans="1:19" x14ac:dyDescent="0.3">
      <c r="A65" t="s">
        <v>281</v>
      </c>
      <c r="B65" t="s">
        <v>283</v>
      </c>
      <c r="C65" t="s">
        <v>5</v>
      </c>
      <c r="D65" s="80" t="s">
        <v>310</v>
      </c>
      <c r="E65" t="s">
        <v>1573</v>
      </c>
      <c r="F65" s="82">
        <f t="shared" si="1"/>
        <v>1</v>
      </c>
      <c r="G65">
        <v>1</v>
      </c>
      <c r="H65" t="s">
        <v>14</v>
      </c>
      <c r="I65" t="s">
        <v>322</v>
      </c>
      <c r="J65">
        <v>127.21129047148131</v>
      </c>
      <c r="K65" t="s">
        <v>1574</v>
      </c>
      <c r="L65" t="s">
        <v>19</v>
      </c>
      <c r="M65" t="s">
        <v>1579</v>
      </c>
      <c r="N65" t="s">
        <v>323</v>
      </c>
      <c r="O65" s="81">
        <v>1142151.7654722061</v>
      </c>
      <c r="P65" t="s">
        <v>14</v>
      </c>
      <c r="Q65" s="81">
        <f>SAF_Cand_Refinery[[#This Row],[Max Amount]]*0.5</f>
        <v>571075.88273610303</v>
      </c>
      <c r="R65" s="81">
        <f>SAF_Cand_Refinery[[#This Row],[Max Amount]]*0.1</f>
        <v>114215.17654722062</v>
      </c>
      <c r="S65" s="81">
        <v>32807404.68</v>
      </c>
    </row>
    <row r="66" spans="1:19" x14ac:dyDescent="0.3">
      <c r="A66" t="s">
        <v>281</v>
      </c>
      <c r="B66" t="s">
        <v>284</v>
      </c>
      <c r="C66" t="s">
        <v>5</v>
      </c>
      <c r="D66" s="80" t="s">
        <v>310</v>
      </c>
      <c r="E66" t="s">
        <v>1573</v>
      </c>
      <c r="F66" s="82">
        <f t="shared" ref="F66:F97" si="2">SIGN(SUBTOTAL(3,A66))</f>
        <v>1</v>
      </c>
      <c r="G66">
        <v>1</v>
      </c>
      <c r="H66" t="s">
        <v>14</v>
      </c>
      <c r="I66" t="s">
        <v>322</v>
      </c>
      <c r="J66">
        <v>127.21129047148131</v>
      </c>
      <c r="K66" t="s">
        <v>1574</v>
      </c>
      <c r="L66" t="s">
        <v>19</v>
      </c>
      <c r="M66" t="s">
        <v>1579</v>
      </c>
      <c r="N66" t="s">
        <v>323</v>
      </c>
      <c r="O66" s="81">
        <v>1142151.7654722061</v>
      </c>
      <c r="P66" t="s">
        <v>14</v>
      </c>
      <c r="Q66" s="81">
        <f>SAF_Cand_Refinery[[#This Row],[Max Amount]]*0.5</f>
        <v>571075.88273610303</v>
      </c>
      <c r="R66" s="81">
        <f>SAF_Cand_Refinery[[#This Row],[Max Amount]]*0.1</f>
        <v>114215.17654722062</v>
      </c>
      <c r="S66" s="81">
        <v>32807404.68</v>
      </c>
    </row>
    <row r="67" spans="1:19" x14ac:dyDescent="0.3">
      <c r="A67" t="s">
        <v>281</v>
      </c>
      <c r="B67" t="s">
        <v>282</v>
      </c>
      <c r="C67" t="s">
        <v>5</v>
      </c>
      <c r="D67" s="80" t="s">
        <v>310</v>
      </c>
      <c r="E67" t="s">
        <v>1573</v>
      </c>
      <c r="F67" s="82">
        <f t="shared" si="2"/>
        <v>1</v>
      </c>
      <c r="G67">
        <v>1</v>
      </c>
      <c r="H67" t="s">
        <v>14</v>
      </c>
      <c r="I67" t="s">
        <v>322</v>
      </c>
      <c r="J67">
        <v>127.21129047148131</v>
      </c>
      <c r="K67" t="s">
        <v>1574</v>
      </c>
      <c r="L67" t="s">
        <v>19</v>
      </c>
      <c r="M67" t="s">
        <v>1579</v>
      </c>
      <c r="N67" t="s">
        <v>323</v>
      </c>
      <c r="O67" s="81">
        <v>1142151.7654722061</v>
      </c>
      <c r="P67" t="s">
        <v>14</v>
      </c>
      <c r="Q67" s="81">
        <f>SAF_Cand_Refinery[[#This Row],[Max Amount]]*0.5</f>
        <v>571075.88273610303</v>
      </c>
      <c r="R67" s="81">
        <f>SAF_Cand_Refinery[[#This Row],[Max Amount]]*0.1</f>
        <v>114215.17654722062</v>
      </c>
      <c r="S67" s="81">
        <v>32807404.68</v>
      </c>
    </row>
    <row r="68" spans="1:19" x14ac:dyDescent="0.3">
      <c r="A68" t="s">
        <v>256</v>
      </c>
      <c r="B68" t="s">
        <v>257</v>
      </c>
      <c r="C68" t="s">
        <v>5</v>
      </c>
      <c r="D68" s="80" t="s">
        <v>309</v>
      </c>
      <c r="E68" t="s">
        <v>1573</v>
      </c>
      <c r="F68" s="82">
        <f t="shared" si="2"/>
        <v>1</v>
      </c>
      <c r="G68">
        <v>1</v>
      </c>
      <c r="H68" t="s">
        <v>14</v>
      </c>
      <c r="I68" t="s">
        <v>322</v>
      </c>
      <c r="J68">
        <v>20.063993239751706</v>
      </c>
      <c r="K68" t="s">
        <v>1574</v>
      </c>
      <c r="L68" t="s">
        <v>19</v>
      </c>
      <c r="M68" t="s">
        <v>1576</v>
      </c>
      <c r="N68" t="s">
        <v>323</v>
      </c>
      <c r="O68" s="81">
        <v>2106635.4785376247</v>
      </c>
      <c r="P68" t="s">
        <v>14</v>
      </c>
      <c r="Q68" s="81">
        <f>SAF_Cand_Refinery[[#This Row],[Max Amount]]*0.5</f>
        <v>1053317.7392688124</v>
      </c>
      <c r="R68" s="81">
        <f>SAF_Cand_Refinery[[#This Row],[Max Amount]]*0.1</f>
        <v>210663.54785376249</v>
      </c>
      <c r="S68" s="81">
        <v>116408730</v>
      </c>
    </row>
    <row r="69" spans="1:19" x14ac:dyDescent="0.3">
      <c r="A69" t="s">
        <v>256</v>
      </c>
      <c r="B69" t="s">
        <v>257</v>
      </c>
      <c r="C69" t="s">
        <v>5</v>
      </c>
      <c r="D69" s="80" t="s">
        <v>309</v>
      </c>
      <c r="E69" t="s">
        <v>318</v>
      </c>
      <c r="F69" s="82">
        <f t="shared" si="2"/>
        <v>1</v>
      </c>
      <c r="G69">
        <v>1</v>
      </c>
      <c r="H69" t="s">
        <v>14</v>
      </c>
      <c r="I69" t="s">
        <v>322</v>
      </c>
      <c r="J69">
        <v>20.063993239751706</v>
      </c>
      <c r="K69" t="s">
        <v>1574</v>
      </c>
      <c r="L69" t="s">
        <v>19</v>
      </c>
      <c r="M69" t="s">
        <v>1576</v>
      </c>
      <c r="N69" t="s">
        <v>323</v>
      </c>
      <c r="O69" s="81">
        <v>526658.86963440618</v>
      </c>
      <c r="P69" t="s">
        <v>14</v>
      </c>
      <c r="Q69" s="81">
        <f>SAF_Cand_Refinery[[#This Row],[Max Amount]]*0.5</f>
        <v>263329.43481720309</v>
      </c>
      <c r="R69" s="81">
        <f>SAF_Cand_Refinery[[#This Row],[Max Amount]]*0.1</f>
        <v>52665.886963440622</v>
      </c>
      <c r="S69" s="81">
        <v>78277316.519999996</v>
      </c>
    </row>
    <row r="70" spans="1:19" x14ac:dyDescent="0.3">
      <c r="A70" t="s">
        <v>256</v>
      </c>
      <c r="B70" t="s">
        <v>257</v>
      </c>
      <c r="C70" t="s">
        <v>5</v>
      </c>
      <c r="D70" s="80" t="s">
        <v>311</v>
      </c>
      <c r="E70" t="s">
        <v>1573</v>
      </c>
      <c r="F70" s="82">
        <f t="shared" si="2"/>
        <v>1</v>
      </c>
      <c r="G70">
        <v>1</v>
      </c>
      <c r="H70" t="s">
        <v>14</v>
      </c>
      <c r="I70" t="s">
        <v>322</v>
      </c>
      <c r="J70">
        <v>28.841990282143083</v>
      </c>
      <c r="K70" t="s">
        <v>1574</v>
      </c>
      <c r="L70" t="s">
        <v>19</v>
      </c>
      <c r="M70" t="s">
        <v>1580</v>
      </c>
      <c r="N70" t="s">
        <v>323</v>
      </c>
      <c r="O70" s="81">
        <v>1648671.2440729232</v>
      </c>
      <c r="P70" t="s">
        <v>14</v>
      </c>
      <c r="Q70" s="81">
        <f>SAF_Cand_Refinery[[#This Row],[Max Amount]]*0.5</f>
        <v>824335.6220364616</v>
      </c>
      <c r="R70" s="81">
        <f>SAF_Cand_Refinery[[#This Row],[Max Amount]]*0.1</f>
        <v>164867.12440729234</v>
      </c>
      <c r="S70" s="81">
        <v>74680013.400000006</v>
      </c>
    </row>
    <row r="71" spans="1:19" x14ac:dyDescent="0.3">
      <c r="A71" t="s">
        <v>256</v>
      </c>
      <c r="B71" t="s">
        <v>257</v>
      </c>
      <c r="C71" t="s">
        <v>5</v>
      </c>
      <c r="D71" s="80" t="s">
        <v>311</v>
      </c>
      <c r="E71" t="s">
        <v>318</v>
      </c>
      <c r="F71" s="82">
        <f t="shared" si="2"/>
        <v>1</v>
      </c>
      <c r="G71">
        <v>1</v>
      </c>
      <c r="H71" t="s">
        <v>14</v>
      </c>
      <c r="I71" t="s">
        <v>322</v>
      </c>
      <c r="J71">
        <v>25.637324695238295</v>
      </c>
      <c r="K71" t="s">
        <v>1574</v>
      </c>
      <c r="L71" t="s">
        <v>19</v>
      </c>
      <c r="M71" t="s">
        <v>1580</v>
      </c>
      <c r="N71" t="s">
        <v>323</v>
      </c>
      <c r="O71" s="81">
        <v>412167.81101823086</v>
      </c>
      <c r="P71" t="s">
        <v>14</v>
      </c>
      <c r="Q71" s="81">
        <f>SAF_Cand_Refinery[[#This Row],[Max Amount]]*0.5</f>
        <v>206083.90550911543</v>
      </c>
      <c r="R71" s="81">
        <f>SAF_Cand_Refinery[[#This Row],[Max Amount]]*0.1</f>
        <v>41216.781101823086</v>
      </c>
      <c r="S71" s="81">
        <v>42735961.439999998</v>
      </c>
    </row>
    <row r="72" spans="1:19" x14ac:dyDescent="0.3">
      <c r="A72" t="s">
        <v>256</v>
      </c>
      <c r="B72" t="s">
        <v>260</v>
      </c>
      <c r="C72" t="s">
        <v>5</v>
      </c>
      <c r="D72" s="80" t="s">
        <v>309</v>
      </c>
      <c r="E72" t="s">
        <v>1573</v>
      </c>
      <c r="F72" s="82">
        <f t="shared" si="2"/>
        <v>1</v>
      </c>
      <c r="G72">
        <v>1</v>
      </c>
      <c r="H72" t="s">
        <v>14</v>
      </c>
      <c r="I72" t="s">
        <v>322</v>
      </c>
      <c r="J72">
        <v>20.063993239751706</v>
      </c>
      <c r="K72" t="s">
        <v>1574</v>
      </c>
      <c r="L72" t="s">
        <v>19</v>
      </c>
      <c r="M72" t="s">
        <v>1576</v>
      </c>
      <c r="N72" t="s">
        <v>323</v>
      </c>
      <c r="O72" s="81">
        <v>2106635.4785376247</v>
      </c>
      <c r="P72" t="s">
        <v>14</v>
      </c>
      <c r="Q72" s="81">
        <f>SAF_Cand_Refinery[[#This Row],[Max Amount]]*0.5</f>
        <v>1053317.7392688124</v>
      </c>
      <c r="R72" s="81">
        <f>SAF_Cand_Refinery[[#This Row],[Max Amount]]*0.1</f>
        <v>210663.54785376249</v>
      </c>
      <c r="S72" s="81">
        <v>116408730</v>
      </c>
    </row>
    <row r="73" spans="1:19" x14ac:dyDescent="0.3">
      <c r="A73" t="s">
        <v>256</v>
      </c>
      <c r="B73" t="s">
        <v>260</v>
      </c>
      <c r="C73" t="s">
        <v>5</v>
      </c>
      <c r="D73" s="80" t="s">
        <v>309</v>
      </c>
      <c r="E73" t="s">
        <v>318</v>
      </c>
      <c r="F73" s="82">
        <f t="shared" si="2"/>
        <v>1</v>
      </c>
      <c r="G73">
        <v>1</v>
      </c>
      <c r="H73" t="s">
        <v>14</v>
      </c>
      <c r="I73" t="s">
        <v>322</v>
      </c>
      <c r="J73">
        <v>20.063993239751706</v>
      </c>
      <c r="K73" t="s">
        <v>1574</v>
      </c>
      <c r="L73" t="s">
        <v>19</v>
      </c>
      <c r="M73" t="s">
        <v>1576</v>
      </c>
      <c r="N73" t="s">
        <v>323</v>
      </c>
      <c r="O73" s="81">
        <v>526658.86963440618</v>
      </c>
      <c r="P73" t="s">
        <v>14</v>
      </c>
      <c r="Q73" s="81">
        <f>SAF_Cand_Refinery[[#This Row],[Max Amount]]*0.5</f>
        <v>263329.43481720309</v>
      </c>
      <c r="R73" s="81">
        <f>SAF_Cand_Refinery[[#This Row],[Max Amount]]*0.1</f>
        <v>52665.886963440622</v>
      </c>
      <c r="S73" s="81">
        <v>78277316.519999996</v>
      </c>
    </row>
    <row r="74" spans="1:19" x14ac:dyDescent="0.3">
      <c r="A74" t="s">
        <v>256</v>
      </c>
      <c r="B74" t="s">
        <v>260</v>
      </c>
      <c r="C74" t="s">
        <v>5</v>
      </c>
      <c r="D74" s="80" t="s">
        <v>311</v>
      </c>
      <c r="E74" t="s">
        <v>1573</v>
      </c>
      <c r="F74" s="82">
        <f t="shared" si="2"/>
        <v>1</v>
      </c>
      <c r="G74">
        <v>1</v>
      </c>
      <c r="H74" t="s">
        <v>14</v>
      </c>
      <c r="I74" t="s">
        <v>322</v>
      </c>
      <c r="J74">
        <v>28.841990282143083</v>
      </c>
      <c r="K74" t="s">
        <v>1574</v>
      </c>
      <c r="L74" t="s">
        <v>19</v>
      </c>
      <c r="M74" t="s">
        <v>1580</v>
      </c>
      <c r="N74" t="s">
        <v>323</v>
      </c>
      <c r="O74" s="81">
        <v>1648671.2440729232</v>
      </c>
      <c r="P74" t="s">
        <v>14</v>
      </c>
      <c r="Q74" s="81">
        <f>SAF_Cand_Refinery[[#This Row],[Max Amount]]*0.5</f>
        <v>824335.6220364616</v>
      </c>
      <c r="R74" s="81">
        <f>SAF_Cand_Refinery[[#This Row],[Max Amount]]*0.1</f>
        <v>164867.12440729234</v>
      </c>
      <c r="S74" s="81">
        <v>74680013.400000006</v>
      </c>
    </row>
    <row r="75" spans="1:19" x14ac:dyDescent="0.3">
      <c r="A75" t="s">
        <v>256</v>
      </c>
      <c r="B75" t="s">
        <v>260</v>
      </c>
      <c r="C75" t="s">
        <v>5</v>
      </c>
      <c r="D75" s="80" t="s">
        <v>311</v>
      </c>
      <c r="E75" t="s">
        <v>318</v>
      </c>
      <c r="F75" s="82">
        <f t="shared" si="2"/>
        <v>1</v>
      </c>
      <c r="G75">
        <v>1</v>
      </c>
      <c r="H75" t="s">
        <v>14</v>
      </c>
      <c r="I75" t="s">
        <v>322</v>
      </c>
      <c r="J75">
        <v>25.637324695238295</v>
      </c>
      <c r="K75" t="s">
        <v>1574</v>
      </c>
      <c r="L75" t="s">
        <v>19</v>
      </c>
      <c r="M75" t="s">
        <v>1580</v>
      </c>
      <c r="N75" t="s">
        <v>323</v>
      </c>
      <c r="O75" s="81">
        <v>412167.81101823086</v>
      </c>
      <c r="P75" t="s">
        <v>14</v>
      </c>
      <c r="Q75" s="81">
        <f>SAF_Cand_Refinery[[#This Row],[Max Amount]]*0.5</f>
        <v>206083.90550911543</v>
      </c>
      <c r="R75" s="81">
        <f>SAF_Cand_Refinery[[#This Row],[Max Amount]]*0.1</f>
        <v>41216.781101823086</v>
      </c>
      <c r="S75" s="81">
        <v>42735961.439999998</v>
      </c>
    </row>
    <row r="76" spans="1:19" x14ac:dyDescent="0.3">
      <c r="A76" t="s">
        <v>256</v>
      </c>
      <c r="B76" t="s">
        <v>259</v>
      </c>
      <c r="C76" t="s">
        <v>5</v>
      </c>
      <c r="D76" s="80" t="s">
        <v>309</v>
      </c>
      <c r="E76" t="s">
        <v>1573</v>
      </c>
      <c r="F76" s="82">
        <f t="shared" si="2"/>
        <v>1</v>
      </c>
      <c r="G76">
        <v>1</v>
      </c>
      <c r="H76" t="s">
        <v>14</v>
      </c>
      <c r="I76" t="s">
        <v>322</v>
      </c>
      <c r="J76">
        <v>20.063993239751706</v>
      </c>
      <c r="K76" t="s">
        <v>1574</v>
      </c>
      <c r="L76" t="s">
        <v>19</v>
      </c>
      <c r="M76" t="s">
        <v>1576</v>
      </c>
      <c r="N76" t="s">
        <v>323</v>
      </c>
      <c r="O76" s="81">
        <v>2106635.4785376247</v>
      </c>
      <c r="P76" t="s">
        <v>14</v>
      </c>
      <c r="Q76" s="81">
        <f>SAF_Cand_Refinery[[#This Row],[Max Amount]]*0.5</f>
        <v>1053317.7392688124</v>
      </c>
      <c r="R76" s="81">
        <f>SAF_Cand_Refinery[[#This Row],[Max Amount]]*0.1</f>
        <v>210663.54785376249</v>
      </c>
      <c r="S76" s="81">
        <v>116408730</v>
      </c>
    </row>
    <row r="77" spans="1:19" x14ac:dyDescent="0.3">
      <c r="A77" t="s">
        <v>256</v>
      </c>
      <c r="B77" t="s">
        <v>259</v>
      </c>
      <c r="C77" t="s">
        <v>5</v>
      </c>
      <c r="D77" s="80" t="s">
        <v>309</v>
      </c>
      <c r="E77" t="s">
        <v>318</v>
      </c>
      <c r="F77" s="82">
        <f t="shared" si="2"/>
        <v>1</v>
      </c>
      <c r="G77">
        <v>1</v>
      </c>
      <c r="H77" t="s">
        <v>14</v>
      </c>
      <c r="I77" t="s">
        <v>322</v>
      </c>
      <c r="J77">
        <v>20.063993239751706</v>
      </c>
      <c r="K77" t="s">
        <v>1574</v>
      </c>
      <c r="L77" t="s">
        <v>19</v>
      </c>
      <c r="M77" t="s">
        <v>1576</v>
      </c>
      <c r="N77" t="s">
        <v>323</v>
      </c>
      <c r="O77" s="81">
        <v>526658.86963440618</v>
      </c>
      <c r="P77" t="s">
        <v>14</v>
      </c>
      <c r="Q77" s="81">
        <f>SAF_Cand_Refinery[[#This Row],[Max Amount]]*0.5</f>
        <v>263329.43481720309</v>
      </c>
      <c r="R77" s="81">
        <f>SAF_Cand_Refinery[[#This Row],[Max Amount]]*0.1</f>
        <v>52665.886963440622</v>
      </c>
      <c r="S77" s="81">
        <v>78277316.519999996</v>
      </c>
    </row>
    <row r="78" spans="1:19" x14ac:dyDescent="0.3">
      <c r="A78" t="s">
        <v>256</v>
      </c>
      <c r="B78" t="s">
        <v>259</v>
      </c>
      <c r="C78" t="s">
        <v>5</v>
      </c>
      <c r="D78" s="80" t="s">
        <v>311</v>
      </c>
      <c r="E78" t="s">
        <v>1573</v>
      </c>
      <c r="F78" s="82">
        <f t="shared" si="2"/>
        <v>1</v>
      </c>
      <c r="G78">
        <v>1</v>
      </c>
      <c r="H78" t="s">
        <v>14</v>
      </c>
      <c r="I78" t="s">
        <v>322</v>
      </c>
      <c r="J78">
        <v>28.841990282143083</v>
      </c>
      <c r="K78" t="s">
        <v>1574</v>
      </c>
      <c r="L78" t="s">
        <v>19</v>
      </c>
      <c r="M78" t="s">
        <v>1580</v>
      </c>
      <c r="N78" t="s">
        <v>323</v>
      </c>
      <c r="O78" s="81">
        <v>1648671.2440729232</v>
      </c>
      <c r="P78" t="s">
        <v>14</v>
      </c>
      <c r="Q78" s="81">
        <f>SAF_Cand_Refinery[[#This Row],[Max Amount]]*0.5</f>
        <v>824335.6220364616</v>
      </c>
      <c r="R78" s="81">
        <f>SAF_Cand_Refinery[[#This Row],[Max Amount]]*0.1</f>
        <v>164867.12440729234</v>
      </c>
      <c r="S78" s="81">
        <v>74680013.400000006</v>
      </c>
    </row>
    <row r="79" spans="1:19" x14ac:dyDescent="0.3">
      <c r="A79" t="s">
        <v>256</v>
      </c>
      <c r="B79" t="s">
        <v>259</v>
      </c>
      <c r="C79" t="s">
        <v>5</v>
      </c>
      <c r="D79" s="80" t="s">
        <v>311</v>
      </c>
      <c r="E79" t="s">
        <v>318</v>
      </c>
      <c r="F79" s="82">
        <f t="shared" si="2"/>
        <v>1</v>
      </c>
      <c r="G79">
        <v>1</v>
      </c>
      <c r="H79" t="s">
        <v>14</v>
      </c>
      <c r="I79" t="s">
        <v>322</v>
      </c>
      <c r="J79">
        <v>25.637324695238295</v>
      </c>
      <c r="K79" t="s">
        <v>1574</v>
      </c>
      <c r="L79" t="s">
        <v>19</v>
      </c>
      <c r="M79" t="s">
        <v>1580</v>
      </c>
      <c r="N79" t="s">
        <v>323</v>
      </c>
      <c r="O79" s="81">
        <v>412167.81101823086</v>
      </c>
      <c r="P79" t="s">
        <v>14</v>
      </c>
      <c r="Q79" s="81">
        <f>SAF_Cand_Refinery[[#This Row],[Max Amount]]*0.5</f>
        <v>206083.90550911543</v>
      </c>
      <c r="R79" s="81">
        <f>SAF_Cand_Refinery[[#This Row],[Max Amount]]*0.1</f>
        <v>41216.781101823086</v>
      </c>
      <c r="S79" s="81">
        <v>42735961.439999998</v>
      </c>
    </row>
    <row r="80" spans="1:19" x14ac:dyDescent="0.3">
      <c r="A80" t="s">
        <v>256</v>
      </c>
      <c r="B80" t="s">
        <v>261</v>
      </c>
      <c r="C80" t="s">
        <v>5</v>
      </c>
      <c r="D80" s="80" t="s">
        <v>309</v>
      </c>
      <c r="E80" t="s">
        <v>1573</v>
      </c>
      <c r="F80" s="82">
        <f t="shared" si="2"/>
        <v>1</v>
      </c>
      <c r="G80">
        <v>1</v>
      </c>
      <c r="H80" t="s">
        <v>14</v>
      </c>
      <c r="I80" t="s">
        <v>322</v>
      </c>
      <c r="J80">
        <v>20.063993239751706</v>
      </c>
      <c r="K80" t="s">
        <v>1574</v>
      </c>
      <c r="L80" t="s">
        <v>19</v>
      </c>
      <c r="M80" t="s">
        <v>1576</v>
      </c>
      <c r="N80" t="s">
        <v>323</v>
      </c>
      <c r="O80" s="81">
        <v>2106635.4785376247</v>
      </c>
      <c r="P80" t="s">
        <v>14</v>
      </c>
      <c r="Q80" s="81">
        <f>SAF_Cand_Refinery[[#This Row],[Max Amount]]*0.5</f>
        <v>1053317.7392688124</v>
      </c>
      <c r="R80" s="81">
        <f>SAF_Cand_Refinery[[#This Row],[Max Amount]]*0.1</f>
        <v>210663.54785376249</v>
      </c>
      <c r="S80" s="81">
        <v>116408730</v>
      </c>
    </row>
    <row r="81" spans="1:19" x14ac:dyDescent="0.3">
      <c r="A81" t="s">
        <v>256</v>
      </c>
      <c r="B81" t="s">
        <v>261</v>
      </c>
      <c r="C81" t="s">
        <v>5</v>
      </c>
      <c r="D81" s="80" t="s">
        <v>309</v>
      </c>
      <c r="E81" t="s">
        <v>318</v>
      </c>
      <c r="F81" s="82">
        <f t="shared" si="2"/>
        <v>1</v>
      </c>
      <c r="G81">
        <v>1</v>
      </c>
      <c r="H81" t="s">
        <v>14</v>
      </c>
      <c r="I81" t="s">
        <v>322</v>
      </c>
      <c r="J81">
        <v>20.063993239751706</v>
      </c>
      <c r="K81" t="s">
        <v>1574</v>
      </c>
      <c r="L81" t="s">
        <v>19</v>
      </c>
      <c r="M81" t="s">
        <v>1576</v>
      </c>
      <c r="N81" t="s">
        <v>323</v>
      </c>
      <c r="O81" s="81">
        <v>526658.86963440618</v>
      </c>
      <c r="P81" t="s">
        <v>14</v>
      </c>
      <c r="Q81" s="81">
        <f>SAF_Cand_Refinery[[#This Row],[Max Amount]]*0.5</f>
        <v>263329.43481720309</v>
      </c>
      <c r="R81" s="81">
        <f>SAF_Cand_Refinery[[#This Row],[Max Amount]]*0.1</f>
        <v>52665.886963440622</v>
      </c>
      <c r="S81" s="81">
        <v>78277316.519999996</v>
      </c>
    </row>
    <row r="82" spans="1:19" x14ac:dyDescent="0.3">
      <c r="A82" t="s">
        <v>256</v>
      </c>
      <c r="B82" t="s">
        <v>261</v>
      </c>
      <c r="C82" t="s">
        <v>5</v>
      </c>
      <c r="D82" s="80" t="s">
        <v>311</v>
      </c>
      <c r="E82" t="s">
        <v>1573</v>
      </c>
      <c r="F82" s="82">
        <f t="shared" si="2"/>
        <v>1</v>
      </c>
      <c r="G82">
        <v>1</v>
      </c>
      <c r="H82" t="s">
        <v>14</v>
      </c>
      <c r="I82" t="s">
        <v>322</v>
      </c>
      <c r="J82">
        <v>28.841990282143083</v>
      </c>
      <c r="K82" t="s">
        <v>1574</v>
      </c>
      <c r="L82" t="s">
        <v>19</v>
      </c>
      <c r="M82" t="s">
        <v>1580</v>
      </c>
      <c r="N82" t="s">
        <v>323</v>
      </c>
      <c r="O82" s="81">
        <v>1648671.2440729232</v>
      </c>
      <c r="P82" t="s">
        <v>14</v>
      </c>
      <c r="Q82" s="81">
        <f>SAF_Cand_Refinery[[#This Row],[Max Amount]]*0.5</f>
        <v>824335.6220364616</v>
      </c>
      <c r="R82" s="81">
        <f>SAF_Cand_Refinery[[#This Row],[Max Amount]]*0.1</f>
        <v>164867.12440729234</v>
      </c>
      <c r="S82" s="81">
        <v>74680013.400000006</v>
      </c>
    </row>
    <row r="83" spans="1:19" x14ac:dyDescent="0.3">
      <c r="A83" t="s">
        <v>256</v>
      </c>
      <c r="B83" t="s">
        <v>261</v>
      </c>
      <c r="C83" t="s">
        <v>5</v>
      </c>
      <c r="D83" s="80" t="s">
        <v>311</v>
      </c>
      <c r="E83" t="s">
        <v>318</v>
      </c>
      <c r="F83" s="82">
        <f t="shared" si="2"/>
        <v>1</v>
      </c>
      <c r="G83">
        <v>1</v>
      </c>
      <c r="H83" t="s">
        <v>14</v>
      </c>
      <c r="I83" t="s">
        <v>322</v>
      </c>
      <c r="J83">
        <v>25.637324695238295</v>
      </c>
      <c r="K83" t="s">
        <v>1574</v>
      </c>
      <c r="L83" t="s">
        <v>19</v>
      </c>
      <c r="M83" t="s">
        <v>1580</v>
      </c>
      <c r="N83" t="s">
        <v>323</v>
      </c>
      <c r="O83" s="81">
        <v>412167.81101823086</v>
      </c>
      <c r="P83" t="s">
        <v>14</v>
      </c>
      <c r="Q83" s="81">
        <f>SAF_Cand_Refinery[[#This Row],[Max Amount]]*0.5</f>
        <v>206083.90550911543</v>
      </c>
      <c r="R83" s="81">
        <f>SAF_Cand_Refinery[[#This Row],[Max Amount]]*0.1</f>
        <v>41216.781101823086</v>
      </c>
      <c r="S83" s="81">
        <v>42735961.439999998</v>
      </c>
    </row>
    <row r="84" spans="1:19" x14ac:dyDescent="0.3">
      <c r="A84" t="s">
        <v>256</v>
      </c>
      <c r="B84" t="s">
        <v>258</v>
      </c>
      <c r="C84" t="s">
        <v>5</v>
      </c>
      <c r="D84" s="80" t="s">
        <v>309</v>
      </c>
      <c r="E84" t="s">
        <v>1573</v>
      </c>
      <c r="F84" s="82">
        <f t="shared" si="2"/>
        <v>1</v>
      </c>
      <c r="G84">
        <v>1</v>
      </c>
      <c r="H84" t="s">
        <v>14</v>
      </c>
      <c r="I84" t="s">
        <v>322</v>
      </c>
      <c r="J84">
        <v>20.063993239751706</v>
      </c>
      <c r="K84" t="s">
        <v>1574</v>
      </c>
      <c r="L84" t="s">
        <v>19</v>
      </c>
      <c r="M84" t="s">
        <v>1576</v>
      </c>
      <c r="N84" t="s">
        <v>323</v>
      </c>
      <c r="O84" s="81">
        <v>2106635.4785376247</v>
      </c>
      <c r="P84" t="s">
        <v>14</v>
      </c>
      <c r="Q84" s="81">
        <f>SAF_Cand_Refinery[[#This Row],[Max Amount]]*0.5</f>
        <v>1053317.7392688124</v>
      </c>
      <c r="R84" s="81">
        <f>SAF_Cand_Refinery[[#This Row],[Max Amount]]*0.1</f>
        <v>210663.54785376249</v>
      </c>
      <c r="S84" s="81">
        <v>116408730</v>
      </c>
    </row>
    <row r="85" spans="1:19" x14ac:dyDescent="0.3">
      <c r="A85" t="s">
        <v>256</v>
      </c>
      <c r="B85" t="s">
        <v>258</v>
      </c>
      <c r="C85" t="s">
        <v>5</v>
      </c>
      <c r="D85" s="80" t="s">
        <v>309</v>
      </c>
      <c r="E85" t="s">
        <v>318</v>
      </c>
      <c r="F85" s="82">
        <f t="shared" si="2"/>
        <v>1</v>
      </c>
      <c r="G85">
        <v>1</v>
      </c>
      <c r="H85" t="s">
        <v>14</v>
      </c>
      <c r="I85" t="s">
        <v>322</v>
      </c>
      <c r="J85">
        <v>20.063993239751706</v>
      </c>
      <c r="K85" t="s">
        <v>1574</v>
      </c>
      <c r="L85" t="s">
        <v>19</v>
      </c>
      <c r="M85" t="s">
        <v>1576</v>
      </c>
      <c r="N85" t="s">
        <v>323</v>
      </c>
      <c r="O85" s="81">
        <v>526658.86963440618</v>
      </c>
      <c r="P85" t="s">
        <v>14</v>
      </c>
      <c r="Q85" s="81">
        <f>SAF_Cand_Refinery[[#This Row],[Max Amount]]*0.5</f>
        <v>263329.43481720309</v>
      </c>
      <c r="R85" s="81">
        <f>SAF_Cand_Refinery[[#This Row],[Max Amount]]*0.1</f>
        <v>52665.886963440622</v>
      </c>
      <c r="S85" s="81">
        <v>78277316.519999996</v>
      </c>
    </row>
    <row r="86" spans="1:19" x14ac:dyDescent="0.3">
      <c r="A86" t="s">
        <v>256</v>
      </c>
      <c r="B86" t="s">
        <v>258</v>
      </c>
      <c r="C86" t="s">
        <v>5</v>
      </c>
      <c r="D86" s="80" t="s">
        <v>311</v>
      </c>
      <c r="E86" t="s">
        <v>1573</v>
      </c>
      <c r="F86" s="82">
        <f t="shared" si="2"/>
        <v>1</v>
      </c>
      <c r="G86">
        <v>1</v>
      </c>
      <c r="H86" t="s">
        <v>14</v>
      </c>
      <c r="I86" t="s">
        <v>322</v>
      </c>
      <c r="J86">
        <v>28.841990282143083</v>
      </c>
      <c r="K86" t="s">
        <v>1574</v>
      </c>
      <c r="L86" t="s">
        <v>19</v>
      </c>
      <c r="M86" t="s">
        <v>1580</v>
      </c>
      <c r="N86" t="s">
        <v>323</v>
      </c>
      <c r="O86" s="81">
        <v>1648671.2440729232</v>
      </c>
      <c r="P86" t="s">
        <v>14</v>
      </c>
      <c r="Q86" s="81">
        <f>SAF_Cand_Refinery[[#This Row],[Max Amount]]*0.5</f>
        <v>824335.6220364616</v>
      </c>
      <c r="R86" s="81">
        <f>SAF_Cand_Refinery[[#This Row],[Max Amount]]*0.1</f>
        <v>164867.12440729234</v>
      </c>
      <c r="S86" s="81">
        <v>74680013.400000006</v>
      </c>
    </row>
    <row r="87" spans="1:19" x14ac:dyDescent="0.3">
      <c r="A87" t="s">
        <v>256</v>
      </c>
      <c r="B87" t="s">
        <v>258</v>
      </c>
      <c r="C87" t="s">
        <v>5</v>
      </c>
      <c r="D87" s="80" t="s">
        <v>311</v>
      </c>
      <c r="E87" t="s">
        <v>318</v>
      </c>
      <c r="F87" s="82">
        <f t="shared" si="2"/>
        <v>1</v>
      </c>
      <c r="G87">
        <v>1</v>
      </c>
      <c r="H87" t="s">
        <v>14</v>
      </c>
      <c r="I87" t="s">
        <v>322</v>
      </c>
      <c r="J87">
        <v>25.637324695238295</v>
      </c>
      <c r="K87" t="s">
        <v>1574</v>
      </c>
      <c r="L87" t="s">
        <v>19</v>
      </c>
      <c r="M87" t="s">
        <v>1580</v>
      </c>
      <c r="N87" t="s">
        <v>323</v>
      </c>
      <c r="O87" s="81">
        <v>412167.81101823086</v>
      </c>
      <c r="P87" t="s">
        <v>14</v>
      </c>
      <c r="Q87" s="81">
        <f>SAF_Cand_Refinery[[#This Row],[Max Amount]]*0.5</f>
        <v>206083.90550911543</v>
      </c>
      <c r="R87" s="81">
        <f>SAF_Cand_Refinery[[#This Row],[Max Amount]]*0.1</f>
        <v>41216.781101823086</v>
      </c>
      <c r="S87" s="81">
        <v>42735961.439999998</v>
      </c>
    </row>
    <row r="88" spans="1:19" x14ac:dyDescent="0.3">
      <c r="A88" t="s">
        <v>264</v>
      </c>
      <c r="B88" t="s">
        <v>265</v>
      </c>
      <c r="C88" t="s">
        <v>5</v>
      </c>
      <c r="D88" s="80" t="s">
        <v>309</v>
      </c>
      <c r="E88" t="s">
        <v>1573</v>
      </c>
      <c r="F88" s="82">
        <f t="shared" si="2"/>
        <v>1</v>
      </c>
      <c r="G88">
        <v>1</v>
      </c>
      <c r="H88" t="s">
        <v>14</v>
      </c>
      <c r="I88" t="s">
        <v>322</v>
      </c>
      <c r="J88">
        <v>20.063993239751706</v>
      </c>
      <c r="K88" t="s">
        <v>1574</v>
      </c>
      <c r="L88" t="s">
        <v>19</v>
      </c>
      <c r="M88" t="s">
        <v>1576</v>
      </c>
      <c r="N88" t="s">
        <v>323</v>
      </c>
      <c r="O88" s="81">
        <v>2106635.4785376247</v>
      </c>
      <c r="P88" t="s">
        <v>14</v>
      </c>
      <c r="Q88" s="81">
        <f>SAF_Cand_Refinery[[#This Row],[Max Amount]]*0.5</f>
        <v>1053317.7392688124</v>
      </c>
      <c r="R88" s="81">
        <f>SAF_Cand_Refinery[[#This Row],[Max Amount]]*0.1</f>
        <v>210663.54785376249</v>
      </c>
      <c r="S88" s="81">
        <v>116408730</v>
      </c>
    </row>
    <row r="89" spans="1:19" x14ac:dyDescent="0.3">
      <c r="A89" t="s">
        <v>264</v>
      </c>
      <c r="B89" t="s">
        <v>265</v>
      </c>
      <c r="C89" t="s">
        <v>5</v>
      </c>
      <c r="D89" s="80" t="s">
        <v>309</v>
      </c>
      <c r="E89" t="s">
        <v>318</v>
      </c>
      <c r="F89" s="82">
        <f t="shared" si="2"/>
        <v>1</v>
      </c>
      <c r="G89">
        <v>1</v>
      </c>
      <c r="H89" t="s">
        <v>14</v>
      </c>
      <c r="I89" t="s">
        <v>322</v>
      </c>
      <c r="J89">
        <v>20.063993239751706</v>
      </c>
      <c r="K89" t="s">
        <v>1574</v>
      </c>
      <c r="L89" t="s">
        <v>19</v>
      </c>
      <c r="M89" t="s">
        <v>1576</v>
      </c>
      <c r="N89" t="s">
        <v>323</v>
      </c>
      <c r="O89" s="81">
        <v>526658.86963440618</v>
      </c>
      <c r="P89" t="s">
        <v>14</v>
      </c>
      <c r="Q89" s="81">
        <f>SAF_Cand_Refinery[[#This Row],[Max Amount]]*0.5</f>
        <v>263329.43481720309</v>
      </c>
      <c r="R89" s="81">
        <f>SAF_Cand_Refinery[[#This Row],[Max Amount]]*0.1</f>
        <v>52665.886963440622</v>
      </c>
      <c r="S89" s="81">
        <v>78277316.519999996</v>
      </c>
    </row>
    <row r="90" spans="1:19" x14ac:dyDescent="0.3">
      <c r="A90" t="s">
        <v>264</v>
      </c>
      <c r="B90" t="s">
        <v>265</v>
      </c>
      <c r="C90" t="s">
        <v>5</v>
      </c>
      <c r="D90" s="80" t="s">
        <v>311</v>
      </c>
      <c r="E90" t="s">
        <v>1573</v>
      </c>
      <c r="F90" s="82">
        <f t="shared" si="2"/>
        <v>1</v>
      </c>
      <c r="G90">
        <v>1</v>
      </c>
      <c r="H90" t="s">
        <v>14</v>
      </c>
      <c r="I90" t="s">
        <v>322</v>
      </c>
      <c r="J90">
        <v>28.841990282143083</v>
      </c>
      <c r="K90" t="s">
        <v>1574</v>
      </c>
      <c r="L90" t="s">
        <v>19</v>
      </c>
      <c r="M90" t="s">
        <v>1580</v>
      </c>
      <c r="N90" t="s">
        <v>323</v>
      </c>
      <c r="O90" s="81">
        <v>1648671.2440729232</v>
      </c>
      <c r="P90" t="s">
        <v>14</v>
      </c>
      <c r="Q90" s="81">
        <f>SAF_Cand_Refinery[[#This Row],[Max Amount]]*0.5</f>
        <v>824335.6220364616</v>
      </c>
      <c r="R90" s="81">
        <f>SAF_Cand_Refinery[[#This Row],[Max Amount]]*0.1</f>
        <v>164867.12440729234</v>
      </c>
      <c r="S90" s="81">
        <v>74680013.400000006</v>
      </c>
    </row>
    <row r="91" spans="1:19" x14ac:dyDescent="0.3">
      <c r="A91" t="s">
        <v>264</v>
      </c>
      <c r="B91" t="s">
        <v>265</v>
      </c>
      <c r="C91" t="s">
        <v>5</v>
      </c>
      <c r="D91" s="80" t="s">
        <v>311</v>
      </c>
      <c r="E91" t="s">
        <v>318</v>
      </c>
      <c r="F91" s="82">
        <f t="shared" si="2"/>
        <v>1</v>
      </c>
      <c r="G91">
        <v>1</v>
      </c>
      <c r="H91" t="s">
        <v>14</v>
      </c>
      <c r="I91" t="s">
        <v>322</v>
      </c>
      <c r="J91">
        <v>25.637324695238295</v>
      </c>
      <c r="K91" t="s">
        <v>1574</v>
      </c>
      <c r="L91" t="s">
        <v>19</v>
      </c>
      <c r="M91" t="s">
        <v>1580</v>
      </c>
      <c r="N91" t="s">
        <v>323</v>
      </c>
      <c r="O91" s="81">
        <v>412167.81101823086</v>
      </c>
      <c r="P91" t="s">
        <v>14</v>
      </c>
      <c r="Q91" s="81">
        <f>SAF_Cand_Refinery[[#This Row],[Max Amount]]*0.5</f>
        <v>206083.90550911543</v>
      </c>
      <c r="R91" s="81">
        <f>SAF_Cand_Refinery[[#This Row],[Max Amount]]*0.1</f>
        <v>41216.781101823086</v>
      </c>
      <c r="S91" s="81">
        <v>42735961.439999998</v>
      </c>
    </row>
    <row r="92" spans="1:19" x14ac:dyDescent="0.3">
      <c r="A92" t="s">
        <v>297</v>
      </c>
      <c r="B92" t="s">
        <v>298</v>
      </c>
      <c r="C92" t="s">
        <v>5</v>
      </c>
      <c r="D92" s="80" t="s">
        <v>309</v>
      </c>
      <c r="E92" t="s">
        <v>1573</v>
      </c>
      <c r="F92" s="82">
        <f t="shared" si="2"/>
        <v>1</v>
      </c>
      <c r="G92">
        <v>1</v>
      </c>
      <c r="H92" t="s">
        <v>14</v>
      </c>
      <c r="I92" t="s">
        <v>322</v>
      </c>
      <c r="J92">
        <v>34.554655024016824</v>
      </c>
      <c r="K92" t="s">
        <v>1574</v>
      </c>
      <c r="L92" t="s">
        <v>19</v>
      </c>
      <c r="M92" t="s">
        <v>1575</v>
      </c>
      <c r="N92" t="s">
        <v>323</v>
      </c>
      <c r="O92" s="81">
        <v>1529009.6215192438</v>
      </c>
      <c r="P92" t="s">
        <v>14</v>
      </c>
      <c r="Q92" s="81">
        <f>SAF_Cand_Refinery[[#This Row],[Max Amount]]*0.5</f>
        <v>764504.81075962191</v>
      </c>
      <c r="R92" s="81">
        <f>SAF_Cand_Refinery[[#This Row],[Max Amount]]*0.1</f>
        <v>152900.96215192438</v>
      </c>
      <c r="S92" s="81">
        <v>102738978</v>
      </c>
    </row>
    <row r="93" spans="1:19" x14ac:dyDescent="0.3">
      <c r="A93" t="s">
        <v>297</v>
      </c>
      <c r="B93" t="s">
        <v>298</v>
      </c>
      <c r="C93" t="s">
        <v>5</v>
      </c>
      <c r="D93" s="80" t="s">
        <v>309</v>
      </c>
      <c r="E93" t="s">
        <v>318</v>
      </c>
      <c r="F93" s="82">
        <f t="shared" si="2"/>
        <v>1</v>
      </c>
      <c r="G93">
        <v>1</v>
      </c>
      <c r="H93" t="s">
        <v>14</v>
      </c>
      <c r="I93" t="s">
        <v>322</v>
      </c>
      <c r="J93">
        <v>34.554655024016824</v>
      </c>
      <c r="K93" t="s">
        <v>1574</v>
      </c>
      <c r="L93" t="s">
        <v>19</v>
      </c>
      <c r="M93" t="s">
        <v>1575</v>
      </c>
      <c r="N93" t="s">
        <v>323</v>
      </c>
      <c r="O93" s="81">
        <v>305801.92430384876</v>
      </c>
      <c r="P93" t="s">
        <v>14</v>
      </c>
      <c r="Q93" s="81">
        <f>SAF_Cand_Refinery[[#This Row],[Max Amount]]*0.5</f>
        <v>152900.96215192438</v>
      </c>
      <c r="R93" s="81">
        <f>SAF_Cand_Refinery[[#This Row],[Max Amount]]*0.1</f>
        <v>30580.192430384879</v>
      </c>
      <c r="S93" s="81">
        <v>58492149.239999995</v>
      </c>
    </row>
    <row r="94" spans="1:19" x14ac:dyDescent="0.3">
      <c r="A94" t="s">
        <v>297</v>
      </c>
      <c r="B94" t="s">
        <v>299</v>
      </c>
      <c r="C94" t="s">
        <v>5</v>
      </c>
      <c r="D94" s="80" t="s">
        <v>309</v>
      </c>
      <c r="E94" t="s">
        <v>1573</v>
      </c>
      <c r="F94" s="82">
        <f t="shared" si="2"/>
        <v>1</v>
      </c>
      <c r="G94">
        <v>1</v>
      </c>
      <c r="H94" t="s">
        <v>14</v>
      </c>
      <c r="I94" t="s">
        <v>322</v>
      </c>
      <c r="J94">
        <v>34.554655024016824</v>
      </c>
      <c r="K94" t="s">
        <v>1574</v>
      </c>
      <c r="L94" t="s">
        <v>19</v>
      </c>
      <c r="M94" t="s">
        <v>1575</v>
      </c>
      <c r="N94" t="s">
        <v>323</v>
      </c>
      <c r="O94" s="81">
        <v>1529009.6215192438</v>
      </c>
      <c r="P94" t="s">
        <v>14</v>
      </c>
      <c r="Q94" s="81">
        <f>SAF_Cand_Refinery[[#This Row],[Max Amount]]*0.5</f>
        <v>764504.81075962191</v>
      </c>
      <c r="R94" s="81">
        <f>SAF_Cand_Refinery[[#This Row],[Max Amount]]*0.1</f>
        <v>152900.96215192438</v>
      </c>
      <c r="S94" s="81">
        <v>102738978</v>
      </c>
    </row>
    <row r="95" spans="1:19" x14ac:dyDescent="0.3">
      <c r="A95" t="s">
        <v>297</v>
      </c>
      <c r="B95" t="s">
        <v>299</v>
      </c>
      <c r="C95" t="s">
        <v>5</v>
      </c>
      <c r="D95" s="80" t="s">
        <v>309</v>
      </c>
      <c r="E95" t="s">
        <v>318</v>
      </c>
      <c r="F95" s="82">
        <f t="shared" si="2"/>
        <v>1</v>
      </c>
      <c r="G95">
        <v>1</v>
      </c>
      <c r="H95" t="s">
        <v>14</v>
      </c>
      <c r="I95" t="s">
        <v>322</v>
      </c>
      <c r="J95">
        <v>34.554655024016824</v>
      </c>
      <c r="K95" t="s">
        <v>1574</v>
      </c>
      <c r="L95" t="s">
        <v>19</v>
      </c>
      <c r="M95" t="s">
        <v>1575</v>
      </c>
      <c r="N95" t="s">
        <v>323</v>
      </c>
      <c r="O95" s="81">
        <v>305801.92430384876</v>
      </c>
      <c r="P95" t="s">
        <v>14</v>
      </c>
      <c r="Q95" s="81">
        <f>SAF_Cand_Refinery[[#This Row],[Max Amount]]*0.5</f>
        <v>152900.96215192438</v>
      </c>
      <c r="R95" s="81">
        <f>SAF_Cand_Refinery[[#This Row],[Max Amount]]*0.1</f>
        <v>30580.192430384879</v>
      </c>
      <c r="S95" s="81">
        <v>58492149.239999995</v>
      </c>
    </row>
    <row r="96" spans="1:19" x14ac:dyDescent="0.3">
      <c r="A96" t="s">
        <v>297</v>
      </c>
      <c r="B96" t="s">
        <v>300</v>
      </c>
      <c r="C96" t="s">
        <v>5</v>
      </c>
      <c r="D96" s="80" t="s">
        <v>309</v>
      </c>
      <c r="E96" t="s">
        <v>1573</v>
      </c>
      <c r="F96" s="82">
        <f t="shared" si="2"/>
        <v>1</v>
      </c>
      <c r="G96">
        <v>1</v>
      </c>
      <c r="H96" t="s">
        <v>14</v>
      </c>
      <c r="I96" t="s">
        <v>322</v>
      </c>
      <c r="J96">
        <v>34.554655024016824</v>
      </c>
      <c r="K96" t="s">
        <v>1574</v>
      </c>
      <c r="L96" t="s">
        <v>19</v>
      </c>
      <c r="M96" t="s">
        <v>1575</v>
      </c>
      <c r="N96" t="s">
        <v>323</v>
      </c>
      <c r="O96" s="81">
        <v>1529009.6215192438</v>
      </c>
      <c r="P96" t="s">
        <v>14</v>
      </c>
      <c r="Q96" s="81">
        <f>SAF_Cand_Refinery[[#This Row],[Max Amount]]*0.5</f>
        <v>764504.81075962191</v>
      </c>
      <c r="R96" s="81">
        <f>SAF_Cand_Refinery[[#This Row],[Max Amount]]*0.1</f>
        <v>152900.96215192438</v>
      </c>
      <c r="S96" s="81">
        <v>102738978</v>
      </c>
    </row>
    <row r="97" spans="1:19" x14ac:dyDescent="0.3">
      <c r="A97" t="s">
        <v>297</v>
      </c>
      <c r="B97" t="s">
        <v>300</v>
      </c>
      <c r="C97" t="s">
        <v>5</v>
      </c>
      <c r="D97" s="80" t="s">
        <v>309</v>
      </c>
      <c r="E97" t="s">
        <v>318</v>
      </c>
      <c r="F97" s="82">
        <f t="shared" si="2"/>
        <v>1</v>
      </c>
      <c r="G97">
        <v>1</v>
      </c>
      <c r="H97" t="s">
        <v>14</v>
      </c>
      <c r="I97" t="s">
        <v>322</v>
      </c>
      <c r="J97">
        <v>34.554655024016824</v>
      </c>
      <c r="K97" t="s">
        <v>1574</v>
      </c>
      <c r="L97" t="s">
        <v>19</v>
      </c>
      <c r="M97" t="s">
        <v>1575</v>
      </c>
      <c r="N97" t="s">
        <v>323</v>
      </c>
      <c r="O97" s="81">
        <v>305801.92430384876</v>
      </c>
      <c r="P97" t="s">
        <v>14</v>
      </c>
      <c r="Q97" s="81">
        <f>SAF_Cand_Refinery[[#This Row],[Max Amount]]*0.5</f>
        <v>152900.96215192438</v>
      </c>
      <c r="R97" s="81">
        <f>SAF_Cand_Refinery[[#This Row],[Max Amount]]*0.1</f>
        <v>30580.192430384879</v>
      </c>
      <c r="S97" s="81">
        <v>58492149.239999995</v>
      </c>
    </row>
    <row r="98" spans="1:19" x14ac:dyDescent="0.3">
      <c r="A98" t="s">
        <v>297</v>
      </c>
      <c r="B98" t="s">
        <v>301</v>
      </c>
      <c r="C98" t="s">
        <v>5</v>
      </c>
      <c r="D98" s="80" t="s">
        <v>309</v>
      </c>
      <c r="E98" t="s">
        <v>1573</v>
      </c>
      <c r="F98" s="82">
        <f t="shared" ref="F98:F123" si="3">SIGN(SUBTOTAL(3,A98))</f>
        <v>1</v>
      </c>
      <c r="G98">
        <v>1</v>
      </c>
      <c r="H98" t="s">
        <v>14</v>
      </c>
      <c r="I98" t="s">
        <v>322</v>
      </c>
      <c r="J98">
        <v>34.554655024016824</v>
      </c>
      <c r="K98" t="s">
        <v>1574</v>
      </c>
      <c r="L98" t="s">
        <v>19</v>
      </c>
      <c r="M98" t="s">
        <v>1575</v>
      </c>
      <c r="N98" t="s">
        <v>323</v>
      </c>
      <c r="O98" s="81">
        <v>1529009.6215192438</v>
      </c>
      <c r="P98" t="s">
        <v>14</v>
      </c>
      <c r="Q98" s="81">
        <f>SAF_Cand_Refinery[[#This Row],[Max Amount]]*0.5</f>
        <v>764504.81075962191</v>
      </c>
      <c r="R98" s="81">
        <f>SAF_Cand_Refinery[[#This Row],[Max Amount]]*0.1</f>
        <v>152900.96215192438</v>
      </c>
      <c r="S98" s="81">
        <v>102738978</v>
      </c>
    </row>
    <row r="99" spans="1:19" x14ac:dyDescent="0.3">
      <c r="A99" t="s">
        <v>297</v>
      </c>
      <c r="B99" t="s">
        <v>301</v>
      </c>
      <c r="C99" t="s">
        <v>5</v>
      </c>
      <c r="D99" s="80" t="s">
        <v>309</v>
      </c>
      <c r="E99" t="s">
        <v>318</v>
      </c>
      <c r="F99" s="82">
        <f t="shared" si="3"/>
        <v>1</v>
      </c>
      <c r="G99">
        <v>1</v>
      </c>
      <c r="H99" t="s">
        <v>14</v>
      </c>
      <c r="I99" t="s">
        <v>322</v>
      </c>
      <c r="J99">
        <v>34.554655024016824</v>
      </c>
      <c r="K99" t="s">
        <v>1574</v>
      </c>
      <c r="L99" t="s">
        <v>19</v>
      </c>
      <c r="M99" t="s">
        <v>1575</v>
      </c>
      <c r="N99" t="s">
        <v>323</v>
      </c>
      <c r="O99" s="81">
        <v>305801.92430384876</v>
      </c>
      <c r="P99" t="s">
        <v>14</v>
      </c>
      <c r="Q99" s="81">
        <f>SAF_Cand_Refinery[[#This Row],[Max Amount]]*0.5</f>
        <v>152900.96215192438</v>
      </c>
      <c r="R99" s="81">
        <f>SAF_Cand_Refinery[[#This Row],[Max Amount]]*0.1</f>
        <v>30580.192430384879</v>
      </c>
      <c r="S99" s="81">
        <v>58492149.239999995</v>
      </c>
    </row>
    <row r="100" spans="1:19" x14ac:dyDescent="0.3">
      <c r="A100" t="s">
        <v>302</v>
      </c>
      <c r="B100" t="s">
        <v>303</v>
      </c>
      <c r="C100" t="s">
        <v>5</v>
      </c>
      <c r="D100" s="80" t="s">
        <v>309</v>
      </c>
      <c r="E100" t="s">
        <v>1573</v>
      </c>
      <c r="F100" s="82">
        <f t="shared" si="3"/>
        <v>1</v>
      </c>
      <c r="G100">
        <v>1</v>
      </c>
      <c r="H100" t="s">
        <v>14</v>
      </c>
      <c r="I100" t="s">
        <v>322</v>
      </c>
      <c r="J100">
        <v>34.554655024016824</v>
      </c>
      <c r="K100" t="s">
        <v>1574</v>
      </c>
      <c r="L100" t="s">
        <v>19</v>
      </c>
      <c r="M100" t="s">
        <v>1575</v>
      </c>
      <c r="N100" t="s">
        <v>323</v>
      </c>
      <c r="O100" s="81">
        <v>1529009.6215192438</v>
      </c>
      <c r="P100" t="s">
        <v>14</v>
      </c>
      <c r="Q100" s="81">
        <f>SAF_Cand_Refinery[[#This Row],[Max Amount]]*0.5</f>
        <v>764504.81075962191</v>
      </c>
      <c r="R100" s="81">
        <f>SAF_Cand_Refinery[[#This Row],[Max Amount]]*0.1</f>
        <v>152900.96215192438</v>
      </c>
      <c r="S100" s="81">
        <v>102738978</v>
      </c>
    </row>
    <row r="101" spans="1:19" x14ac:dyDescent="0.3">
      <c r="A101" t="s">
        <v>302</v>
      </c>
      <c r="B101" t="s">
        <v>303</v>
      </c>
      <c r="C101" t="s">
        <v>5</v>
      </c>
      <c r="D101" s="80" t="s">
        <v>309</v>
      </c>
      <c r="E101" t="s">
        <v>318</v>
      </c>
      <c r="F101" s="82">
        <f t="shared" si="3"/>
        <v>1</v>
      </c>
      <c r="G101">
        <v>1</v>
      </c>
      <c r="H101" t="s">
        <v>14</v>
      </c>
      <c r="I101" t="s">
        <v>322</v>
      </c>
      <c r="J101">
        <v>34.554655024016824</v>
      </c>
      <c r="K101" t="s">
        <v>1574</v>
      </c>
      <c r="L101" t="s">
        <v>19</v>
      </c>
      <c r="M101" t="s">
        <v>1575</v>
      </c>
      <c r="N101" t="s">
        <v>323</v>
      </c>
      <c r="O101" s="81">
        <v>305801.92430384876</v>
      </c>
      <c r="P101" t="s">
        <v>14</v>
      </c>
      <c r="Q101" s="81">
        <f>SAF_Cand_Refinery[[#This Row],[Max Amount]]*0.5</f>
        <v>152900.96215192438</v>
      </c>
      <c r="R101" s="81">
        <f>SAF_Cand_Refinery[[#This Row],[Max Amount]]*0.1</f>
        <v>30580.192430384879</v>
      </c>
      <c r="S101" s="81">
        <v>58492149.239999995</v>
      </c>
    </row>
    <row r="102" spans="1:19" x14ac:dyDescent="0.3">
      <c r="A102" t="s">
        <v>304</v>
      </c>
      <c r="B102" t="s">
        <v>305</v>
      </c>
      <c r="C102" t="s">
        <v>5</v>
      </c>
      <c r="D102" s="80" t="s">
        <v>309</v>
      </c>
      <c r="E102" t="s">
        <v>1573</v>
      </c>
      <c r="F102" s="82">
        <f t="shared" si="3"/>
        <v>1</v>
      </c>
      <c r="G102">
        <v>1</v>
      </c>
      <c r="H102" t="s">
        <v>14</v>
      </c>
      <c r="I102" t="s">
        <v>322</v>
      </c>
      <c r="J102">
        <v>34.554655024016824</v>
      </c>
      <c r="K102" t="s">
        <v>1574</v>
      </c>
      <c r="L102" t="s">
        <v>19</v>
      </c>
      <c r="M102" t="s">
        <v>1575</v>
      </c>
      <c r="N102" t="s">
        <v>323</v>
      </c>
      <c r="O102" s="81">
        <v>1529009.6215192438</v>
      </c>
      <c r="P102" t="s">
        <v>14</v>
      </c>
      <c r="Q102" s="81">
        <f>SAF_Cand_Refinery[[#This Row],[Max Amount]]*0.5</f>
        <v>764504.81075962191</v>
      </c>
      <c r="R102" s="81">
        <f>SAF_Cand_Refinery[[#This Row],[Max Amount]]*0.1</f>
        <v>152900.96215192438</v>
      </c>
      <c r="S102" s="81">
        <v>102738978</v>
      </c>
    </row>
    <row r="103" spans="1:19" x14ac:dyDescent="0.3">
      <c r="A103" t="s">
        <v>304</v>
      </c>
      <c r="B103" t="s">
        <v>305</v>
      </c>
      <c r="C103" t="s">
        <v>5</v>
      </c>
      <c r="D103" s="80" t="s">
        <v>309</v>
      </c>
      <c r="E103" t="s">
        <v>318</v>
      </c>
      <c r="F103" s="82">
        <f t="shared" si="3"/>
        <v>1</v>
      </c>
      <c r="G103">
        <v>1</v>
      </c>
      <c r="H103" t="s">
        <v>14</v>
      </c>
      <c r="I103" t="s">
        <v>322</v>
      </c>
      <c r="J103">
        <v>34.554655024016824</v>
      </c>
      <c r="K103" t="s">
        <v>1574</v>
      </c>
      <c r="L103" t="s">
        <v>19</v>
      </c>
      <c r="M103" t="s">
        <v>1575</v>
      </c>
      <c r="N103" t="s">
        <v>323</v>
      </c>
      <c r="O103" s="81">
        <v>305801.92430384876</v>
      </c>
      <c r="P103" t="s">
        <v>14</v>
      </c>
      <c r="Q103" s="81">
        <f>SAF_Cand_Refinery[[#This Row],[Max Amount]]*0.5</f>
        <v>152900.96215192438</v>
      </c>
      <c r="R103" s="81">
        <f>SAF_Cand_Refinery[[#This Row],[Max Amount]]*0.1</f>
        <v>30580.192430384879</v>
      </c>
      <c r="S103" s="81">
        <v>58492149.239999995</v>
      </c>
    </row>
    <row r="104" spans="1:19" x14ac:dyDescent="0.3">
      <c r="A104" t="s">
        <v>262</v>
      </c>
      <c r="B104" t="s">
        <v>263</v>
      </c>
      <c r="C104" t="s">
        <v>5</v>
      </c>
      <c r="D104" s="80" t="s">
        <v>309</v>
      </c>
      <c r="E104" t="s">
        <v>1573</v>
      </c>
      <c r="F104" s="82">
        <f t="shared" si="3"/>
        <v>1</v>
      </c>
      <c r="G104">
        <v>1</v>
      </c>
      <c r="H104" t="s">
        <v>14</v>
      </c>
      <c r="I104" t="s">
        <v>322</v>
      </c>
      <c r="J104">
        <v>20.063993239751706</v>
      </c>
      <c r="K104" t="s">
        <v>1574</v>
      </c>
      <c r="L104" t="s">
        <v>19</v>
      </c>
      <c r="M104" t="s">
        <v>1576</v>
      </c>
      <c r="N104" t="s">
        <v>323</v>
      </c>
      <c r="O104" s="81">
        <v>2106635.4785376247</v>
      </c>
      <c r="P104" t="s">
        <v>14</v>
      </c>
      <c r="Q104" s="81">
        <f>SAF_Cand_Refinery[[#This Row],[Max Amount]]*0.5</f>
        <v>1053317.7392688124</v>
      </c>
      <c r="R104" s="81">
        <f>SAF_Cand_Refinery[[#This Row],[Max Amount]]*0.1</f>
        <v>210663.54785376249</v>
      </c>
      <c r="S104" s="81">
        <v>116408730</v>
      </c>
    </row>
    <row r="105" spans="1:19" x14ac:dyDescent="0.3">
      <c r="A105" t="s">
        <v>262</v>
      </c>
      <c r="B105" t="s">
        <v>263</v>
      </c>
      <c r="C105" t="s">
        <v>5</v>
      </c>
      <c r="D105" s="80" t="s">
        <v>309</v>
      </c>
      <c r="E105" t="s">
        <v>318</v>
      </c>
      <c r="F105" s="82">
        <f t="shared" si="3"/>
        <v>1</v>
      </c>
      <c r="G105">
        <v>1</v>
      </c>
      <c r="H105" t="s">
        <v>14</v>
      </c>
      <c r="I105" t="s">
        <v>322</v>
      </c>
      <c r="J105">
        <v>20.063993239751706</v>
      </c>
      <c r="K105" t="s">
        <v>1574</v>
      </c>
      <c r="L105" t="s">
        <v>19</v>
      </c>
      <c r="M105" t="s">
        <v>1576</v>
      </c>
      <c r="N105" t="s">
        <v>323</v>
      </c>
      <c r="O105" s="81">
        <v>526658.86963440618</v>
      </c>
      <c r="P105" t="s">
        <v>14</v>
      </c>
      <c r="Q105" s="81">
        <f>SAF_Cand_Refinery[[#This Row],[Max Amount]]*0.5</f>
        <v>263329.43481720309</v>
      </c>
      <c r="R105" s="81">
        <f>SAF_Cand_Refinery[[#This Row],[Max Amount]]*0.1</f>
        <v>52665.886963440622</v>
      </c>
      <c r="S105" s="81">
        <v>78277316.519999996</v>
      </c>
    </row>
    <row r="106" spans="1:19" x14ac:dyDescent="0.3">
      <c r="A106" t="s">
        <v>262</v>
      </c>
      <c r="B106" t="s">
        <v>263</v>
      </c>
      <c r="C106" t="s">
        <v>5</v>
      </c>
      <c r="D106" s="80" t="s">
        <v>311</v>
      </c>
      <c r="E106" t="s">
        <v>1573</v>
      </c>
      <c r="F106" s="82">
        <f t="shared" si="3"/>
        <v>1</v>
      </c>
      <c r="G106">
        <v>1</v>
      </c>
      <c r="H106" t="s">
        <v>14</v>
      </c>
      <c r="I106" t="s">
        <v>322</v>
      </c>
      <c r="J106">
        <v>28.841990282143083</v>
      </c>
      <c r="K106" t="s">
        <v>1574</v>
      </c>
      <c r="L106" t="s">
        <v>19</v>
      </c>
      <c r="M106" t="s">
        <v>1580</v>
      </c>
      <c r="N106" t="s">
        <v>323</v>
      </c>
      <c r="O106" s="81">
        <v>1648671.2440729232</v>
      </c>
      <c r="P106" t="s">
        <v>14</v>
      </c>
      <c r="Q106" s="81">
        <f>SAF_Cand_Refinery[[#This Row],[Max Amount]]*0.5</f>
        <v>824335.6220364616</v>
      </c>
      <c r="R106" s="81">
        <f>SAF_Cand_Refinery[[#This Row],[Max Amount]]*0.1</f>
        <v>164867.12440729234</v>
      </c>
      <c r="S106" s="81">
        <v>74680013.400000006</v>
      </c>
    </row>
    <row r="107" spans="1:19" x14ac:dyDescent="0.3">
      <c r="A107" t="s">
        <v>262</v>
      </c>
      <c r="B107" t="s">
        <v>263</v>
      </c>
      <c r="C107" t="s">
        <v>5</v>
      </c>
      <c r="D107" s="80" t="s">
        <v>311</v>
      </c>
      <c r="E107" t="s">
        <v>318</v>
      </c>
      <c r="F107" s="82">
        <f t="shared" si="3"/>
        <v>1</v>
      </c>
      <c r="G107">
        <v>1</v>
      </c>
      <c r="H107" t="s">
        <v>14</v>
      </c>
      <c r="I107" t="s">
        <v>322</v>
      </c>
      <c r="J107">
        <v>25.637324695238295</v>
      </c>
      <c r="K107" t="s">
        <v>1574</v>
      </c>
      <c r="L107" t="s">
        <v>19</v>
      </c>
      <c r="M107" t="s">
        <v>1580</v>
      </c>
      <c r="N107" t="s">
        <v>323</v>
      </c>
      <c r="O107" s="81">
        <v>412167.81101823086</v>
      </c>
      <c r="P107" t="s">
        <v>14</v>
      </c>
      <c r="Q107" s="81">
        <f>SAF_Cand_Refinery[[#This Row],[Max Amount]]*0.5</f>
        <v>206083.90550911543</v>
      </c>
      <c r="R107" s="81">
        <f>SAF_Cand_Refinery[[#This Row],[Max Amount]]*0.1</f>
        <v>41216.781101823086</v>
      </c>
      <c r="S107" s="81">
        <v>42735961.439999998</v>
      </c>
    </row>
    <row r="108" spans="1:19" x14ac:dyDescent="0.3">
      <c r="A108" t="s">
        <v>262</v>
      </c>
      <c r="B108" t="s">
        <v>268</v>
      </c>
      <c r="C108" t="s">
        <v>5</v>
      </c>
      <c r="D108" s="80" t="s">
        <v>309</v>
      </c>
      <c r="E108" t="s">
        <v>1573</v>
      </c>
      <c r="F108" s="82">
        <f t="shared" si="3"/>
        <v>1</v>
      </c>
      <c r="G108">
        <v>1</v>
      </c>
      <c r="H108" t="s">
        <v>14</v>
      </c>
      <c r="I108" t="s">
        <v>322</v>
      </c>
      <c r="J108">
        <v>20.063993239751706</v>
      </c>
      <c r="K108" t="s">
        <v>1574</v>
      </c>
      <c r="L108" t="s">
        <v>19</v>
      </c>
      <c r="M108" t="s">
        <v>1576</v>
      </c>
      <c r="N108" t="s">
        <v>323</v>
      </c>
      <c r="O108" s="81">
        <v>2106635.4785376247</v>
      </c>
      <c r="P108" t="s">
        <v>14</v>
      </c>
      <c r="Q108" s="81">
        <f>SAF_Cand_Refinery[[#This Row],[Max Amount]]*0.5</f>
        <v>1053317.7392688124</v>
      </c>
      <c r="R108" s="81">
        <f>SAF_Cand_Refinery[[#This Row],[Max Amount]]*0.1</f>
        <v>210663.54785376249</v>
      </c>
      <c r="S108" s="81">
        <v>116408730</v>
      </c>
    </row>
    <row r="109" spans="1:19" x14ac:dyDescent="0.3">
      <c r="A109" t="s">
        <v>262</v>
      </c>
      <c r="B109" t="s">
        <v>268</v>
      </c>
      <c r="C109" t="s">
        <v>5</v>
      </c>
      <c r="D109" s="80" t="s">
        <v>309</v>
      </c>
      <c r="E109" t="s">
        <v>318</v>
      </c>
      <c r="F109" s="82">
        <f t="shared" si="3"/>
        <v>1</v>
      </c>
      <c r="G109">
        <v>1</v>
      </c>
      <c r="H109" t="s">
        <v>14</v>
      </c>
      <c r="I109" t="s">
        <v>322</v>
      </c>
      <c r="J109">
        <v>20.063993239751706</v>
      </c>
      <c r="K109" t="s">
        <v>1574</v>
      </c>
      <c r="L109" t="s">
        <v>19</v>
      </c>
      <c r="M109" t="s">
        <v>1576</v>
      </c>
      <c r="N109" t="s">
        <v>323</v>
      </c>
      <c r="O109" s="81">
        <v>526658.86963440618</v>
      </c>
      <c r="P109" t="s">
        <v>14</v>
      </c>
      <c r="Q109" s="81">
        <f>SAF_Cand_Refinery[[#This Row],[Max Amount]]*0.5</f>
        <v>263329.43481720309</v>
      </c>
      <c r="R109" s="81">
        <f>SAF_Cand_Refinery[[#This Row],[Max Amount]]*0.1</f>
        <v>52665.886963440622</v>
      </c>
      <c r="S109" s="81">
        <v>78277316.519999996</v>
      </c>
    </row>
    <row r="110" spans="1:19" x14ac:dyDescent="0.3">
      <c r="A110" t="s">
        <v>262</v>
      </c>
      <c r="B110" t="s">
        <v>268</v>
      </c>
      <c r="C110" t="s">
        <v>5</v>
      </c>
      <c r="D110" s="80" t="s">
        <v>311</v>
      </c>
      <c r="E110" t="s">
        <v>1573</v>
      </c>
      <c r="F110" s="82">
        <f t="shared" si="3"/>
        <v>1</v>
      </c>
      <c r="G110">
        <v>1</v>
      </c>
      <c r="H110" t="s">
        <v>14</v>
      </c>
      <c r="I110" t="s">
        <v>322</v>
      </c>
      <c r="J110">
        <v>28.841990282143083</v>
      </c>
      <c r="K110" t="s">
        <v>1574</v>
      </c>
      <c r="L110" t="s">
        <v>19</v>
      </c>
      <c r="M110" t="s">
        <v>1580</v>
      </c>
      <c r="N110" t="s">
        <v>323</v>
      </c>
      <c r="O110" s="81">
        <v>1648671.2440729232</v>
      </c>
      <c r="P110" t="s">
        <v>14</v>
      </c>
      <c r="Q110" s="81">
        <f>SAF_Cand_Refinery[[#This Row],[Max Amount]]*0.5</f>
        <v>824335.6220364616</v>
      </c>
      <c r="R110" s="81">
        <f>SAF_Cand_Refinery[[#This Row],[Max Amount]]*0.1</f>
        <v>164867.12440729234</v>
      </c>
      <c r="S110" s="81">
        <v>74680013.400000006</v>
      </c>
    </row>
    <row r="111" spans="1:19" x14ac:dyDescent="0.3">
      <c r="A111" t="s">
        <v>262</v>
      </c>
      <c r="B111" t="s">
        <v>268</v>
      </c>
      <c r="C111" t="s">
        <v>5</v>
      </c>
      <c r="D111" s="80" t="s">
        <v>311</v>
      </c>
      <c r="E111" t="s">
        <v>318</v>
      </c>
      <c r="F111" s="82">
        <f t="shared" si="3"/>
        <v>1</v>
      </c>
      <c r="G111">
        <v>1</v>
      </c>
      <c r="H111" t="s">
        <v>14</v>
      </c>
      <c r="I111" t="s">
        <v>322</v>
      </c>
      <c r="J111">
        <v>25.637324695238295</v>
      </c>
      <c r="K111" t="s">
        <v>1574</v>
      </c>
      <c r="L111" t="s">
        <v>19</v>
      </c>
      <c r="M111" t="s">
        <v>1580</v>
      </c>
      <c r="N111" t="s">
        <v>323</v>
      </c>
      <c r="O111" s="81">
        <v>412167.81101823086</v>
      </c>
      <c r="P111" t="s">
        <v>14</v>
      </c>
      <c r="Q111" s="81">
        <f>SAF_Cand_Refinery[[#This Row],[Max Amount]]*0.5</f>
        <v>206083.90550911543</v>
      </c>
      <c r="R111" s="81">
        <f>SAF_Cand_Refinery[[#This Row],[Max Amount]]*0.1</f>
        <v>41216.781101823086</v>
      </c>
      <c r="S111" s="81">
        <v>42735961.439999998</v>
      </c>
    </row>
    <row r="112" spans="1:19" x14ac:dyDescent="0.3">
      <c r="A112" t="s">
        <v>262</v>
      </c>
      <c r="B112" t="s">
        <v>272</v>
      </c>
      <c r="C112" t="s">
        <v>5</v>
      </c>
      <c r="D112" s="80" t="s">
        <v>309</v>
      </c>
      <c r="E112" t="s">
        <v>1573</v>
      </c>
      <c r="F112" s="82">
        <f t="shared" si="3"/>
        <v>1</v>
      </c>
      <c r="G112">
        <v>1</v>
      </c>
      <c r="H112" t="s">
        <v>14</v>
      </c>
      <c r="I112" t="s">
        <v>322</v>
      </c>
      <c r="J112">
        <v>20.063993239751706</v>
      </c>
      <c r="K112" t="s">
        <v>1574</v>
      </c>
      <c r="L112" t="s">
        <v>19</v>
      </c>
      <c r="M112" t="s">
        <v>1576</v>
      </c>
      <c r="N112" t="s">
        <v>323</v>
      </c>
      <c r="O112" s="81">
        <v>2106635.4785376247</v>
      </c>
      <c r="P112" t="s">
        <v>14</v>
      </c>
      <c r="Q112" s="81">
        <f>SAF_Cand_Refinery[[#This Row],[Max Amount]]*0.5</f>
        <v>1053317.7392688124</v>
      </c>
      <c r="R112" s="81">
        <f>SAF_Cand_Refinery[[#This Row],[Max Amount]]*0.1</f>
        <v>210663.54785376249</v>
      </c>
      <c r="S112" s="81">
        <v>116408730</v>
      </c>
    </row>
    <row r="113" spans="1:19" x14ac:dyDescent="0.3">
      <c r="A113" t="s">
        <v>262</v>
      </c>
      <c r="B113" t="s">
        <v>272</v>
      </c>
      <c r="C113" t="s">
        <v>5</v>
      </c>
      <c r="D113" s="80" t="s">
        <v>309</v>
      </c>
      <c r="E113" t="s">
        <v>318</v>
      </c>
      <c r="F113" s="82">
        <f t="shared" si="3"/>
        <v>1</v>
      </c>
      <c r="G113">
        <v>1</v>
      </c>
      <c r="H113" t="s">
        <v>14</v>
      </c>
      <c r="I113" t="s">
        <v>322</v>
      </c>
      <c r="J113">
        <v>20.063993239751706</v>
      </c>
      <c r="K113" t="s">
        <v>1574</v>
      </c>
      <c r="L113" t="s">
        <v>19</v>
      </c>
      <c r="M113" t="s">
        <v>1576</v>
      </c>
      <c r="N113" t="s">
        <v>323</v>
      </c>
      <c r="O113" s="81">
        <v>526658.86963440618</v>
      </c>
      <c r="P113" t="s">
        <v>14</v>
      </c>
      <c r="Q113" s="81">
        <f>SAF_Cand_Refinery[[#This Row],[Max Amount]]*0.5</f>
        <v>263329.43481720309</v>
      </c>
      <c r="R113" s="81">
        <f>SAF_Cand_Refinery[[#This Row],[Max Amount]]*0.1</f>
        <v>52665.886963440622</v>
      </c>
      <c r="S113" s="81">
        <v>78277316.519999996</v>
      </c>
    </row>
    <row r="114" spans="1:19" x14ac:dyDescent="0.3">
      <c r="A114" t="s">
        <v>262</v>
      </c>
      <c r="B114" t="s">
        <v>272</v>
      </c>
      <c r="C114" t="s">
        <v>5</v>
      </c>
      <c r="D114" s="80" t="s">
        <v>311</v>
      </c>
      <c r="E114" t="s">
        <v>1573</v>
      </c>
      <c r="F114" s="82">
        <f t="shared" si="3"/>
        <v>1</v>
      </c>
      <c r="G114">
        <v>1</v>
      </c>
      <c r="H114" t="s">
        <v>14</v>
      </c>
      <c r="I114" t="s">
        <v>322</v>
      </c>
      <c r="J114">
        <v>28.841990282143083</v>
      </c>
      <c r="K114" t="s">
        <v>1574</v>
      </c>
      <c r="L114" t="s">
        <v>19</v>
      </c>
      <c r="M114" t="s">
        <v>1580</v>
      </c>
      <c r="N114" t="s">
        <v>323</v>
      </c>
      <c r="O114" s="81">
        <v>1648671.2440729232</v>
      </c>
      <c r="P114" t="s">
        <v>14</v>
      </c>
      <c r="Q114" s="81">
        <f>SAF_Cand_Refinery[[#This Row],[Max Amount]]*0.5</f>
        <v>824335.6220364616</v>
      </c>
      <c r="R114" s="81">
        <f>SAF_Cand_Refinery[[#This Row],[Max Amount]]*0.1</f>
        <v>164867.12440729234</v>
      </c>
      <c r="S114" s="81">
        <v>74680013.400000006</v>
      </c>
    </row>
    <row r="115" spans="1:19" x14ac:dyDescent="0.3">
      <c r="A115" t="s">
        <v>262</v>
      </c>
      <c r="B115" t="s">
        <v>272</v>
      </c>
      <c r="C115" t="s">
        <v>5</v>
      </c>
      <c r="D115" s="80" t="s">
        <v>311</v>
      </c>
      <c r="E115" t="s">
        <v>318</v>
      </c>
      <c r="F115" s="82">
        <f t="shared" si="3"/>
        <v>1</v>
      </c>
      <c r="G115">
        <v>1</v>
      </c>
      <c r="H115" t="s">
        <v>14</v>
      </c>
      <c r="I115" t="s">
        <v>322</v>
      </c>
      <c r="J115">
        <v>25.637324695238295</v>
      </c>
      <c r="K115" t="s">
        <v>1574</v>
      </c>
      <c r="L115" t="s">
        <v>19</v>
      </c>
      <c r="M115" t="s">
        <v>1580</v>
      </c>
      <c r="N115" t="s">
        <v>323</v>
      </c>
      <c r="O115" s="81">
        <v>412167.81101823086</v>
      </c>
      <c r="P115" t="s">
        <v>14</v>
      </c>
      <c r="Q115" s="81">
        <f>SAF_Cand_Refinery[[#This Row],[Max Amount]]*0.5</f>
        <v>206083.90550911543</v>
      </c>
      <c r="R115" s="81">
        <f>SAF_Cand_Refinery[[#This Row],[Max Amount]]*0.1</f>
        <v>41216.781101823086</v>
      </c>
      <c r="S115" s="81">
        <v>42735961.439999998</v>
      </c>
    </row>
    <row r="116" spans="1:19" x14ac:dyDescent="0.3">
      <c r="A116" t="s">
        <v>262</v>
      </c>
      <c r="B116" t="s">
        <v>267</v>
      </c>
      <c r="C116" t="s">
        <v>5</v>
      </c>
      <c r="D116" s="80" t="s">
        <v>309</v>
      </c>
      <c r="E116" t="s">
        <v>1573</v>
      </c>
      <c r="F116" s="82">
        <f t="shared" si="3"/>
        <v>1</v>
      </c>
      <c r="G116">
        <v>1</v>
      </c>
      <c r="H116" t="s">
        <v>14</v>
      </c>
      <c r="I116" t="s">
        <v>322</v>
      </c>
      <c r="J116">
        <v>20.063993239751706</v>
      </c>
      <c r="K116" t="s">
        <v>1574</v>
      </c>
      <c r="L116" t="s">
        <v>19</v>
      </c>
      <c r="M116" t="s">
        <v>1576</v>
      </c>
      <c r="N116" t="s">
        <v>323</v>
      </c>
      <c r="O116" s="81">
        <v>2106635.4785376247</v>
      </c>
      <c r="P116" t="s">
        <v>14</v>
      </c>
      <c r="Q116" s="81">
        <f>SAF_Cand_Refinery[[#This Row],[Max Amount]]*0.5</f>
        <v>1053317.7392688124</v>
      </c>
      <c r="R116" s="81">
        <f>SAF_Cand_Refinery[[#This Row],[Max Amount]]*0.1</f>
        <v>210663.54785376249</v>
      </c>
      <c r="S116" s="81">
        <v>116408730</v>
      </c>
    </row>
    <row r="117" spans="1:19" x14ac:dyDescent="0.3">
      <c r="A117" t="s">
        <v>262</v>
      </c>
      <c r="B117" t="s">
        <v>267</v>
      </c>
      <c r="C117" t="s">
        <v>5</v>
      </c>
      <c r="D117" s="80" t="s">
        <v>309</v>
      </c>
      <c r="E117" t="s">
        <v>318</v>
      </c>
      <c r="F117" s="82">
        <f t="shared" si="3"/>
        <v>1</v>
      </c>
      <c r="G117">
        <v>1</v>
      </c>
      <c r="H117" t="s">
        <v>14</v>
      </c>
      <c r="I117" t="s">
        <v>322</v>
      </c>
      <c r="J117">
        <v>20.063993239751706</v>
      </c>
      <c r="K117" t="s">
        <v>1574</v>
      </c>
      <c r="L117" t="s">
        <v>19</v>
      </c>
      <c r="M117" t="s">
        <v>1576</v>
      </c>
      <c r="N117" t="s">
        <v>323</v>
      </c>
      <c r="O117" s="81">
        <v>526658.86963440618</v>
      </c>
      <c r="P117" t="s">
        <v>14</v>
      </c>
      <c r="Q117" s="81">
        <f>SAF_Cand_Refinery[[#This Row],[Max Amount]]*0.5</f>
        <v>263329.43481720309</v>
      </c>
      <c r="R117" s="81">
        <f>SAF_Cand_Refinery[[#This Row],[Max Amount]]*0.1</f>
        <v>52665.886963440622</v>
      </c>
      <c r="S117" s="81">
        <v>78277316.519999996</v>
      </c>
    </row>
    <row r="118" spans="1:19" x14ac:dyDescent="0.3">
      <c r="A118" t="s">
        <v>262</v>
      </c>
      <c r="B118" t="s">
        <v>267</v>
      </c>
      <c r="C118" t="s">
        <v>5</v>
      </c>
      <c r="D118" s="80" t="s">
        <v>311</v>
      </c>
      <c r="E118" t="s">
        <v>1573</v>
      </c>
      <c r="F118" s="82">
        <f t="shared" si="3"/>
        <v>1</v>
      </c>
      <c r="G118">
        <v>1</v>
      </c>
      <c r="H118" t="s">
        <v>14</v>
      </c>
      <c r="I118" t="s">
        <v>322</v>
      </c>
      <c r="J118">
        <v>28.841990282143083</v>
      </c>
      <c r="K118" t="s">
        <v>1574</v>
      </c>
      <c r="L118" t="s">
        <v>19</v>
      </c>
      <c r="M118" t="s">
        <v>1580</v>
      </c>
      <c r="N118" t="s">
        <v>323</v>
      </c>
      <c r="O118" s="81">
        <v>1648671.2440729232</v>
      </c>
      <c r="P118" t="s">
        <v>14</v>
      </c>
      <c r="Q118" s="81">
        <f>SAF_Cand_Refinery[[#This Row],[Max Amount]]*0.5</f>
        <v>824335.6220364616</v>
      </c>
      <c r="R118" s="81">
        <f>SAF_Cand_Refinery[[#This Row],[Max Amount]]*0.1</f>
        <v>164867.12440729234</v>
      </c>
      <c r="S118" s="81">
        <v>74680013.400000006</v>
      </c>
    </row>
    <row r="119" spans="1:19" x14ac:dyDescent="0.3">
      <c r="A119" t="s">
        <v>262</v>
      </c>
      <c r="B119" t="s">
        <v>267</v>
      </c>
      <c r="C119" t="s">
        <v>5</v>
      </c>
      <c r="D119" s="80" t="s">
        <v>311</v>
      </c>
      <c r="E119" t="s">
        <v>318</v>
      </c>
      <c r="F119" s="82">
        <f t="shared" si="3"/>
        <v>1</v>
      </c>
      <c r="G119">
        <v>1</v>
      </c>
      <c r="H119" t="s">
        <v>14</v>
      </c>
      <c r="I119" t="s">
        <v>322</v>
      </c>
      <c r="J119">
        <v>25.637324695238295</v>
      </c>
      <c r="K119" t="s">
        <v>1574</v>
      </c>
      <c r="L119" t="s">
        <v>19</v>
      </c>
      <c r="M119" t="s">
        <v>1580</v>
      </c>
      <c r="N119" t="s">
        <v>323</v>
      </c>
      <c r="O119" s="81">
        <v>412167.81101823086</v>
      </c>
      <c r="P119" t="s">
        <v>14</v>
      </c>
      <c r="Q119" s="81">
        <f>SAF_Cand_Refinery[[#This Row],[Max Amount]]*0.5</f>
        <v>206083.90550911543</v>
      </c>
      <c r="R119" s="81">
        <f>SAF_Cand_Refinery[[#This Row],[Max Amount]]*0.1</f>
        <v>41216.781101823086</v>
      </c>
      <c r="S119" s="81">
        <v>42735961.439999998</v>
      </c>
    </row>
    <row r="120" spans="1:19" x14ac:dyDescent="0.3">
      <c r="A120" t="s">
        <v>262</v>
      </c>
      <c r="B120" t="s">
        <v>266</v>
      </c>
      <c r="C120" t="s">
        <v>5</v>
      </c>
      <c r="D120" s="80" t="s">
        <v>309</v>
      </c>
      <c r="E120" t="s">
        <v>1573</v>
      </c>
      <c r="F120" s="82">
        <f t="shared" si="3"/>
        <v>1</v>
      </c>
      <c r="G120">
        <v>1</v>
      </c>
      <c r="H120" t="s">
        <v>14</v>
      </c>
      <c r="I120" t="s">
        <v>322</v>
      </c>
      <c r="J120">
        <v>20.063993239751706</v>
      </c>
      <c r="K120" t="s">
        <v>1574</v>
      </c>
      <c r="L120" t="s">
        <v>19</v>
      </c>
      <c r="M120" t="s">
        <v>1576</v>
      </c>
      <c r="N120" t="s">
        <v>323</v>
      </c>
      <c r="O120" s="81">
        <v>2106635.4785376247</v>
      </c>
      <c r="P120" t="s">
        <v>14</v>
      </c>
      <c r="Q120" s="81">
        <f>SAF_Cand_Refinery[[#This Row],[Max Amount]]*0.5</f>
        <v>1053317.7392688124</v>
      </c>
      <c r="R120" s="81">
        <f>SAF_Cand_Refinery[[#This Row],[Max Amount]]*0.1</f>
        <v>210663.54785376249</v>
      </c>
      <c r="S120" s="81">
        <v>116408730</v>
      </c>
    </row>
    <row r="121" spans="1:19" x14ac:dyDescent="0.3">
      <c r="A121" t="s">
        <v>262</v>
      </c>
      <c r="B121" t="s">
        <v>266</v>
      </c>
      <c r="C121" t="s">
        <v>5</v>
      </c>
      <c r="D121" s="80" t="s">
        <v>309</v>
      </c>
      <c r="E121" t="s">
        <v>318</v>
      </c>
      <c r="F121" s="82">
        <f t="shared" si="3"/>
        <v>1</v>
      </c>
      <c r="G121">
        <v>1</v>
      </c>
      <c r="H121" t="s">
        <v>14</v>
      </c>
      <c r="I121" t="s">
        <v>322</v>
      </c>
      <c r="J121">
        <v>20.063993239751706</v>
      </c>
      <c r="K121" t="s">
        <v>1574</v>
      </c>
      <c r="L121" t="s">
        <v>19</v>
      </c>
      <c r="M121" t="s">
        <v>1576</v>
      </c>
      <c r="N121" t="s">
        <v>323</v>
      </c>
      <c r="O121" s="81">
        <v>526658.86963440618</v>
      </c>
      <c r="P121" t="s">
        <v>14</v>
      </c>
      <c r="Q121" s="81">
        <f>SAF_Cand_Refinery[[#This Row],[Max Amount]]*0.5</f>
        <v>263329.43481720309</v>
      </c>
      <c r="R121" s="81">
        <f>SAF_Cand_Refinery[[#This Row],[Max Amount]]*0.1</f>
        <v>52665.886963440622</v>
      </c>
      <c r="S121" s="81">
        <v>78277316.519999996</v>
      </c>
    </row>
    <row r="122" spans="1:19" x14ac:dyDescent="0.3">
      <c r="A122" t="s">
        <v>262</v>
      </c>
      <c r="B122" t="s">
        <v>266</v>
      </c>
      <c r="C122" t="s">
        <v>5</v>
      </c>
      <c r="D122" s="80" t="s">
        <v>311</v>
      </c>
      <c r="E122" t="s">
        <v>1573</v>
      </c>
      <c r="F122" s="82">
        <f t="shared" si="3"/>
        <v>1</v>
      </c>
      <c r="G122">
        <v>1</v>
      </c>
      <c r="H122" t="s">
        <v>14</v>
      </c>
      <c r="I122" t="s">
        <v>322</v>
      </c>
      <c r="J122">
        <v>28.841990282143083</v>
      </c>
      <c r="K122" t="s">
        <v>1574</v>
      </c>
      <c r="L122" t="s">
        <v>19</v>
      </c>
      <c r="M122" t="s">
        <v>1580</v>
      </c>
      <c r="N122" t="s">
        <v>323</v>
      </c>
      <c r="O122" s="81">
        <v>1648671.2440729232</v>
      </c>
      <c r="P122" t="s">
        <v>14</v>
      </c>
      <c r="Q122" s="81">
        <f>SAF_Cand_Refinery[[#This Row],[Max Amount]]*0.5</f>
        <v>824335.6220364616</v>
      </c>
      <c r="R122" s="81">
        <f>SAF_Cand_Refinery[[#This Row],[Max Amount]]*0.1</f>
        <v>164867.12440729234</v>
      </c>
      <c r="S122" s="81">
        <v>74680013.400000006</v>
      </c>
    </row>
    <row r="123" spans="1:19" x14ac:dyDescent="0.3">
      <c r="A123" t="s">
        <v>262</v>
      </c>
      <c r="B123" t="s">
        <v>266</v>
      </c>
      <c r="C123" t="s">
        <v>5</v>
      </c>
      <c r="D123" s="80" t="s">
        <v>311</v>
      </c>
      <c r="E123" t="s">
        <v>318</v>
      </c>
      <c r="F123" s="82">
        <f t="shared" si="3"/>
        <v>1</v>
      </c>
      <c r="G123">
        <v>1</v>
      </c>
      <c r="H123" t="s">
        <v>14</v>
      </c>
      <c r="I123" t="s">
        <v>322</v>
      </c>
      <c r="J123">
        <v>25.637324695238295</v>
      </c>
      <c r="K123" t="s">
        <v>1574</v>
      </c>
      <c r="L123" t="s">
        <v>19</v>
      </c>
      <c r="M123" t="s">
        <v>1580</v>
      </c>
      <c r="N123" t="s">
        <v>323</v>
      </c>
      <c r="O123" s="81">
        <v>412167.81101823086</v>
      </c>
      <c r="P123" t="s">
        <v>14</v>
      </c>
      <c r="Q123" s="81">
        <f>SAF_Cand_Refinery[[#This Row],[Max Amount]]*0.5</f>
        <v>206083.90550911543</v>
      </c>
      <c r="R123" s="81">
        <f>SAF_Cand_Refinery[[#This Row],[Max Amount]]*0.1</f>
        <v>41216.781101823086</v>
      </c>
      <c r="S123" s="81">
        <v>42735961.439999998</v>
      </c>
    </row>
    <row r="124" spans="1:19" x14ac:dyDescent="0.3">
      <c r="A124" t="s">
        <v>1678</v>
      </c>
      <c r="B124" t="s">
        <v>1678</v>
      </c>
      <c r="C124" t="s">
        <v>22</v>
      </c>
      <c r="D124" t="s">
        <v>1679</v>
      </c>
      <c r="E124" t="s">
        <v>1573</v>
      </c>
      <c r="F124" s="82">
        <f>SIGN(SUBTOTAL(3,A124))</f>
        <v>1</v>
      </c>
      <c r="G124" s="107">
        <v>1</v>
      </c>
      <c r="H124" s="107" t="s">
        <v>1574</v>
      </c>
      <c r="I124" t="s">
        <v>322</v>
      </c>
      <c r="J124">
        <v>0.38581421178327058</v>
      </c>
      <c r="K124" t="s">
        <v>1574</v>
      </c>
      <c r="L124" t="s">
        <v>19</v>
      </c>
      <c r="M124" t="s">
        <v>1677</v>
      </c>
      <c r="N124" t="s">
        <v>323</v>
      </c>
      <c r="O124">
        <v>479299088.4013319</v>
      </c>
      <c r="P124" t="s">
        <v>42</v>
      </c>
      <c r="Q124" s="149">
        <f>SAF_Cand_Refinery[[#This Row],[Max Amount]]*0.5</f>
        <v>239649544.20066595</v>
      </c>
      <c r="R124" s="149">
        <f>SAF_Cand_Refinery[[#This Row],[Max Amount]]*0.1</f>
        <v>47929908.84013319</v>
      </c>
      <c r="S124">
        <v>23598308.640000001</v>
      </c>
    </row>
    <row r="125" spans="1:19" x14ac:dyDescent="0.3">
      <c r="A125" t="s">
        <v>1678</v>
      </c>
      <c r="B125" t="s">
        <v>1678</v>
      </c>
      <c r="C125" t="s">
        <v>22</v>
      </c>
      <c r="D125" t="s">
        <v>1679</v>
      </c>
      <c r="E125" t="s">
        <v>318</v>
      </c>
      <c r="F125" s="82">
        <f>SIGN(SUBTOTAL(3,A125))</f>
        <v>1</v>
      </c>
      <c r="G125" s="107">
        <v>1</v>
      </c>
      <c r="H125" s="107" t="s">
        <v>1574</v>
      </c>
      <c r="I125" t="s">
        <v>322</v>
      </c>
      <c r="J125">
        <v>0.38581421178327058</v>
      </c>
      <c r="K125" t="s">
        <v>1574</v>
      </c>
      <c r="L125" t="s">
        <v>19</v>
      </c>
      <c r="M125" t="s">
        <v>1677</v>
      </c>
      <c r="N125" t="s">
        <v>323</v>
      </c>
      <c r="O125">
        <v>47929908.84013319</v>
      </c>
      <c r="P125" t="s">
        <v>42</v>
      </c>
      <c r="Q125" s="149">
        <f>SAF_Cand_Refinery[[#This Row],[Max Amount]]*0.5</f>
        <v>23964954.420066595</v>
      </c>
      <c r="R125" s="149">
        <f>SAF_Cand_Refinery[[#This Row],[Max Amount]]*0.1</f>
        <v>4792990.8840133194</v>
      </c>
      <c r="S125">
        <v>8417689.3200000003</v>
      </c>
    </row>
    <row r="126" spans="1:19" x14ac:dyDescent="0.3">
      <c r="A126" t="s">
        <v>2849</v>
      </c>
      <c r="B126" t="s">
        <v>2840</v>
      </c>
      <c r="C126" t="s">
        <v>5</v>
      </c>
      <c r="D126" t="s">
        <v>309</v>
      </c>
      <c r="E126" t="s">
        <v>1573</v>
      </c>
      <c r="F126" s="82">
        <f t="shared" ref="F126:F157" si="4">SIGN(SUBTOTAL(3,A126))</f>
        <v>1</v>
      </c>
      <c r="G126">
        <v>1</v>
      </c>
      <c r="H126" t="s">
        <v>14</v>
      </c>
      <c r="I126" t="s">
        <v>322</v>
      </c>
      <c r="J126">
        <v>15.60532807536244</v>
      </c>
      <c r="K126" t="s">
        <v>1574</v>
      </c>
      <c r="L126" t="s">
        <v>19</v>
      </c>
      <c r="M126" t="s">
        <v>2836</v>
      </c>
      <c r="N126" t="s">
        <v>323</v>
      </c>
      <c r="O126">
        <v>2031398.4971612808</v>
      </c>
      <c r="P126" t="s">
        <v>14</v>
      </c>
      <c r="Q126" s="149">
        <f>SAF_Cand_Refinery[[#This Row],[Max Amount]]*0.5</f>
        <v>1015699.2485806404</v>
      </c>
      <c r="R126" s="149">
        <f>SAF_Cand_Refinery[[#This Row],[Max Amount]]*0.1</f>
        <v>203139.84971612808</v>
      </c>
      <c r="S126">
        <v>108566609.03999999</v>
      </c>
    </row>
    <row r="127" spans="1:19" x14ac:dyDescent="0.3">
      <c r="A127" t="s">
        <v>2849</v>
      </c>
      <c r="B127" t="s">
        <v>2840</v>
      </c>
      <c r="C127" t="s">
        <v>5</v>
      </c>
      <c r="D127" t="s">
        <v>309</v>
      </c>
      <c r="E127" t="s">
        <v>318</v>
      </c>
      <c r="F127" s="82">
        <f t="shared" si="4"/>
        <v>1</v>
      </c>
      <c r="G127">
        <v>1</v>
      </c>
      <c r="H127" t="s">
        <v>14</v>
      </c>
      <c r="I127" t="s">
        <v>322</v>
      </c>
      <c r="J127">
        <v>15.60532807536244</v>
      </c>
      <c r="K127" t="s">
        <v>1574</v>
      </c>
      <c r="L127" t="s">
        <v>19</v>
      </c>
      <c r="M127" t="s">
        <v>2836</v>
      </c>
      <c r="N127" t="s">
        <v>323</v>
      </c>
      <c r="O127">
        <v>677132.83238709357</v>
      </c>
      <c r="P127" t="s">
        <v>14</v>
      </c>
      <c r="Q127" s="149">
        <f>SAF_Cand_Refinery[[#This Row],[Max Amount]]*0.5</f>
        <v>338566.41619354679</v>
      </c>
      <c r="R127" s="149">
        <f>SAF_Cand_Refinery[[#This Row],[Max Amount]]*0.1</f>
        <v>67713.283238709366</v>
      </c>
      <c r="S127">
        <v>91155661.800000012</v>
      </c>
    </row>
    <row r="128" spans="1:19" x14ac:dyDescent="0.3">
      <c r="A128" t="s">
        <v>2849</v>
      </c>
      <c r="B128" t="s">
        <v>2841</v>
      </c>
      <c r="C128" t="s">
        <v>5</v>
      </c>
      <c r="D128" t="s">
        <v>309</v>
      </c>
      <c r="E128" t="s">
        <v>1573</v>
      </c>
      <c r="F128" s="82">
        <f t="shared" ref="F128:F133" si="5">SIGN(SUBTOTAL(3,A128))</f>
        <v>1</v>
      </c>
      <c r="G128">
        <v>1</v>
      </c>
      <c r="H128" t="s">
        <v>14</v>
      </c>
      <c r="I128" t="s">
        <v>322</v>
      </c>
      <c r="J128">
        <v>15.60532807536244</v>
      </c>
      <c r="K128" t="s">
        <v>1574</v>
      </c>
      <c r="L128" t="s">
        <v>19</v>
      </c>
      <c r="M128" t="s">
        <v>2836</v>
      </c>
      <c r="N128" t="s">
        <v>323</v>
      </c>
      <c r="O128">
        <v>2031398.4971612808</v>
      </c>
      <c r="P128" t="s">
        <v>14</v>
      </c>
      <c r="Q128" s="149">
        <f>SAF_Cand_Refinery[[#This Row],[Max Amount]]*0.5</f>
        <v>1015699.2485806404</v>
      </c>
      <c r="R128" s="149">
        <f>SAF_Cand_Refinery[[#This Row],[Max Amount]]*0.1</f>
        <v>203139.84971612808</v>
      </c>
      <c r="S128">
        <v>108566609.03999999</v>
      </c>
    </row>
    <row r="129" spans="1:19" x14ac:dyDescent="0.3">
      <c r="A129" t="s">
        <v>2849</v>
      </c>
      <c r="B129" t="s">
        <v>2841</v>
      </c>
      <c r="C129" t="s">
        <v>5</v>
      </c>
      <c r="D129" t="s">
        <v>309</v>
      </c>
      <c r="E129" t="s">
        <v>318</v>
      </c>
      <c r="F129" s="82">
        <f t="shared" si="5"/>
        <v>1</v>
      </c>
      <c r="G129">
        <v>1</v>
      </c>
      <c r="H129" t="s">
        <v>14</v>
      </c>
      <c r="I129" t="s">
        <v>322</v>
      </c>
      <c r="J129">
        <v>15.60532807536244</v>
      </c>
      <c r="K129" t="s">
        <v>1574</v>
      </c>
      <c r="L129" t="s">
        <v>19</v>
      </c>
      <c r="M129" t="s">
        <v>2836</v>
      </c>
      <c r="N129" t="s">
        <v>323</v>
      </c>
      <c r="O129">
        <v>677132.83238709357</v>
      </c>
      <c r="P129" t="s">
        <v>14</v>
      </c>
      <c r="Q129" s="149">
        <f>SAF_Cand_Refinery[[#This Row],[Max Amount]]*0.5</f>
        <v>338566.41619354679</v>
      </c>
      <c r="R129" s="149">
        <f>SAF_Cand_Refinery[[#This Row],[Max Amount]]*0.1</f>
        <v>67713.283238709366</v>
      </c>
      <c r="S129">
        <v>91155661.800000012</v>
      </c>
    </row>
    <row r="130" spans="1:19" x14ac:dyDescent="0.3">
      <c r="A130" t="s">
        <v>2849</v>
      </c>
      <c r="B130" t="s">
        <v>2842</v>
      </c>
      <c r="C130" t="s">
        <v>5</v>
      </c>
      <c r="D130" t="s">
        <v>309</v>
      </c>
      <c r="E130" t="s">
        <v>1573</v>
      </c>
      <c r="F130" s="82">
        <f t="shared" si="5"/>
        <v>1</v>
      </c>
      <c r="G130">
        <v>1</v>
      </c>
      <c r="H130" t="s">
        <v>14</v>
      </c>
      <c r="I130" t="s">
        <v>322</v>
      </c>
      <c r="J130">
        <v>15.60532807536244</v>
      </c>
      <c r="K130" t="s">
        <v>1574</v>
      </c>
      <c r="L130" t="s">
        <v>19</v>
      </c>
      <c r="M130" t="s">
        <v>2836</v>
      </c>
      <c r="N130" t="s">
        <v>323</v>
      </c>
      <c r="O130">
        <v>2031398.4971612808</v>
      </c>
      <c r="P130" t="s">
        <v>14</v>
      </c>
      <c r="Q130" s="149">
        <f>SAF_Cand_Refinery[[#This Row],[Max Amount]]*0.5</f>
        <v>1015699.2485806404</v>
      </c>
      <c r="R130" s="149">
        <f>SAF_Cand_Refinery[[#This Row],[Max Amount]]*0.1</f>
        <v>203139.84971612808</v>
      </c>
      <c r="S130">
        <v>108566609.03999999</v>
      </c>
    </row>
    <row r="131" spans="1:19" x14ac:dyDescent="0.3">
      <c r="A131" t="s">
        <v>2849</v>
      </c>
      <c r="B131" t="s">
        <v>2842</v>
      </c>
      <c r="C131" t="s">
        <v>5</v>
      </c>
      <c r="D131" t="s">
        <v>309</v>
      </c>
      <c r="E131" t="s">
        <v>318</v>
      </c>
      <c r="F131" s="82">
        <f t="shared" si="5"/>
        <v>1</v>
      </c>
      <c r="G131">
        <v>1</v>
      </c>
      <c r="H131" t="s">
        <v>14</v>
      </c>
      <c r="I131" t="s">
        <v>322</v>
      </c>
      <c r="J131">
        <v>15.60532807536244</v>
      </c>
      <c r="K131" t="s">
        <v>1574</v>
      </c>
      <c r="L131" t="s">
        <v>19</v>
      </c>
      <c r="M131" t="s">
        <v>2836</v>
      </c>
      <c r="N131" t="s">
        <v>323</v>
      </c>
      <c r="O131">
        <v>677132.83238709357</v>
      </c>
      <c r="P131" t="s">
        <v>14</v>
      </c>
      <c r="Q131" s="149">
        <f>SAF_Cand_Refinery[[#This Row],[Max Amount]]*0.5</f>
        <v>338566.41619354679</v>
      </c>
      <c r="R131" s="149">
        <f>SAF_Cand_Refinery[[#This Row],[Max Amount]]*0.1</f>
        <v>67713.283238709366</v>
      </c>
      <c r="S131">
        <v>91155661.800000012</v>
      </c>
    </row>
    <row r="132" spans="1:19" x14ac:dyDescent="0.3">
      <c r="A132" t="s">
        <v>2849</v>
      </c>
      <c r="B132" t="s">
        <v>2843</v>
      </c>
      <c r="C132" t="s">
        <v>5</v>
      </c>
      <c r="D132" t="s">
        <v>309</v>
      </c>
      <c r="E132" t="s">
        <v>1573</v>
      </c>
      <c r="F132" s="82">
        <f t="shared" si="5"/>
        <v>1</v>
      </c>
      <c r="G132">
        <v>1</v>
      </c>
      <c r="H132" t="s">
        <v>14</v>
      </c>
      <c r="I132" t="s">
        <v>322</v>
      </c>
      <c r="J132">
        <v>15.60532807536244</v>
      </c>
      <c r="K132" t="s">
        <v>1574</v>
      </c>
      <c r="L132" t="s">
        <v>19</v>
      </c>
      <c r="M132" t="s">
        <v>2836</v>
      </c>
      <c r="N132" t="s">
        <v>323</v>
      </c>
      <c r="O132">
        <v>2031398.4971612808</v>
      </c>
      <c r="P132" t="s">
        <v>14</v>
      </c>
      <c r="Q132" s="149">
        <f>SAF_Cand_Refinery[[#This Row],[Max Amount]]*0.5</f>
        <v>1015699.2485806404</v>
      </c>
      <c r="R132" s="149">
        <f>SAF_Cand_Refinery[[#This Row],[Max Amount]]*0.1</f>
        <v>203139.84971612808</v>
      </c>
      <c r="S132">
        <v>108566609.03999999</v>
      </c>
    </row>
    <row r="133" spans="1:19" x14ac:dyDescent="0.3">
      <c r="A133" t="s">
        <v>2849</v>
      </c>
      <c r="B133" t="s">
        <v>2843</v>
      </c>
      <c r="C133" t="s">
        <v>5</v>
      </c>
      <c r="D133" t="s">
        <v>309</v>
      </c>
      <c r="E133" t="s">
        <v>318</v>
      </c>
      <c r="F133" s="82">
        <f t="shared" si="5"/>
        <v>1</v>
      </c>
      <c r="G133">
        <v>1</v>
      </c>
      <c r="H133" t="s">
        <v>14</v>
      </c>
      <c r="I133" t="s">
        <v>322</v>
      </c>
      <c r="J133">
        <v>15.60532807536244</v>
      </c>
      <c r="K133" t="s">
        <v>1574</v>
      </c>
      <c r="L133" t="s">
        <v>19</v>
      </c>
      <c r="M133" t="s">
        <v>2836</v>
      </c>
      <c r="N133" t="s">
        <v>323</v>
      </c>
      <c r="O133">
        <v>677132.83238709357</v>
      </c>
      <c r="P133" t="s">
        <v>14</v>
      </c>
      <c r="Q133" s="149">
        <f>SAF_Cand_Refinery[[#This Row],[Max Amount]]*0.5</f>
        <v>338566.41619354679</v>
      </c>
      <c r="R133" s="149">
        <f>SAF_Cand_Refinery[[#This Row],[Max Amount]]*0.1</f>
        <v>67713.283238709366</v>
      </c>
      <c r="S133">
        <v>91155661.800000012</v>
      </c>
    </row>
    <row r="134" spans="1:19" x14ac:dyDescent="0.3">
      <c r="A134" t="s">
        <v>2848</v>
      </c>
      <c r="B134" t="s">
        <v>2844</v>
      </c>
      <c r="C134" t="s">
        <v>5</v>
      </c>
      <c r="D134" t="s">
        <v>309</v>
      </c>
      <c r="E134" t="s">
        <v>1573</v>
      </c>
      <c r="F134" s="82">
        <f t="shared" si="4"/>
        <v>1</v>
      </c>
      <c r="G134">
        <v>1</v>
      </c>
      <c r="H134" t="s">
        <v>14</v>
      </c>
      <c r="I134" t="s">
        <v>322</v>
      </c>
      <c r="J134">
        <v>20.063993239751706</v>
      </c>
      <c r="K134" t="s">
        <v>1574</v>
      </c>
      <c r="L134" t="s">
        <v>19</v>
      </c>
      <c r="M134" t="s">
        <v>2837</v>
      </c>
      <c r="N134" t="s">
        <v>323</v>
      </c>
      <c r="O134">
        <v>2106635.4785376247</v>
      </c>
      <c r="P134" t="s">
        <v>14</v>
      </c>
      <c r="Q134" s="149">
        <f>SAF_Cand_Refinery[[#This Row],[Max Amount]]*0.5</f>
        <v>1053317.7392688124</v>
      </c>
      <c r="R134" s="149">
        <f>SAF_Cand_Refinery[[#This Row],[Max Amount]]*0.1</f>
        <v>210663.54785376249</v>
      </c>
      <c r="S134">
        <v>116408730</v>
      </c>
    </row>
    <row r="135" spans="1:19" x14ac:dyDescent="0.3">
      <c r="A135" t="s">
        <v>2848</v>
      </c>
      <c r="B135" t="s">
        <v>2844</v>
      </c>
      <c r="C135" t="s">
        <v>5</v>
      </c>
      <c r="D135" t="s">
        <v>309</v>
      </c>
      <c r="E135" t="s">
        <v>318</v>
      </c>
      <c r="F135" s="82">
        <f t="shared" si="4"/>
        <v>1</v>
      </c>
      <c r="G135">
        <v>1</v>
      </c>
      <c r="H135" t="s">
        <v>14</v>
      </c>
      <c r="I135" t="s">
        <v>322</v>
      </c>
      <c r="J135">
        <v>20.063993239751706</v>
      </c>
      <c r="K135" t="s">
        <v>1574</v>
      </c>
      <c r="L135" t="s">
        <v>19</v>
      </c>
      <c r="M135" t="s">
        <v>2837</v>
      </c>
      <c r="N135" t="s">
        <v>323</v>
      </c>
      <c r="O135">
        <v>526658.86963440618</v>
      </c>
      <c r="P135" t="s">
        <v>14</v>
      </c>
      <c r="Q135" s="149">
        <f>SAF_Cand_Refinery[[#This Row],[Max Amount]]*0.5</f>
        <v>263329.43481720309</v>
      </c>
      <c r="R135" s="149">
        <f>SAF_Cand_Refinery[[#This Row],[Max Amount]]*0.1</f>
        <v>52665.886963440622</v>
      </c>
      <c r="S135">
        <v>78277316.519999996</v>
      </c>
    </row>
    <row r="136" spans="1:19" x14ac:dyDescent="0.3">
      <c r="A136" t="s">
        <v>2848</v>
      </c>
      <c r="B136" t="s">
        <v>2845</v>
      </c>
      <c r="C136" t="s">
        <v>5</v>
      </c>
      <c r="D136" t="s">
        <v>309</v>
      </c>
      <c r="E136" t="s">
        <v>1573</v>
      </c>
      <c r="F136" s="82">
        <f t="shared" ref="F136:F141" si="6">SIGN(SUBTOTAL(3,A136))</f>
        <v>1</v>
      </c>
      <c r="G136">
        <v>1</v>
      </c>
      <c r="H136" t="s">
        <v>14</v>
      </c>
      <c r="I136" t="s">
        <v>322</v>
      </c>
      <c r="J136">
        <v>20.063993239751706</v>
      </c>
      <c r="K136" t="s">
        <v>1574</v>
      </c>
      <c r="L136" t="s">
        <v>19</v>
      </c>
      <c r="M136" t="s">
        <v>2837</v>
      </c>
      <c r="N136" t="s">
        <v>323</v>
      </c>
      <c r="O136">
        <v>2106635.4785376247</v>
      </c>
      <c r="P136" t="s">
        <v>14</v>
      </c>
      <c r="Q136" s="149">
        <f>SAF_Cand_Refinery[[#This Row],[Max Amount]]*0.5</f>
        <v>1053317.7392688124</v>
      </c>
      <c r="R136" s="149">
        <f>SAF_Cand_Refinery[[#This Row],[Max Amount]]*0.1</f>
        <v>210663.54785376249</v>
      </c>
      <c r="S136">
        <v>116408730</v>
      </c>
    </row>
    <row r="137" spans="1:19" x14ac:dyDescent="0.3">
      <c r="A137" t="s">
        <v>2848</v>
      </c>
      <c r="B137" t="s">
        <v>2845</v>
      </c>
      <c r="C137" t="s">
        <v>5</v>
      </c>
      <c r="D137" t="s">
        <v>309</v>
      </c>
      <c r="E137" t="s">
        <v>318</v>
      </c>
      <c r="F137" s="82">
        <f t="shared" si="6"/>
        <v>1</v>
      </c>
      <c r="G137">
        <v>1</v>
      </c>
      <c r="H137" t="s">
        <v>14</v>
      </c>
      <c r="I137" t="s">
        <v>322</v>
      </c>
      <c r="J137">
        <v>20.063993239751706</v>
      </c>
      <c r="K137" t="s">
        <v>1574</v>
      </c>
      <c r="L137" t="s">
        <v>19</v>
      </c>
      <c r="M137" t="s">
        <v>2837</v>
      </c>
      <c r="N137" t="s">
        <v>323</v>
      </c>
      <c r="O137">
        <v>526658.86963440618</v>
      </c>
      <c r="P137" t="s">
        <v>14</v>
      </c>
      <c r="Q137" s="149">
        <f>SAF_Cand_Refinery[[#This Row],[Max Amount]]*0.5</f>
        <v>263329.43481720309</v>
      </c>
      <c r="R137" s="149">
        <f>SAF_Cand_Refinery[[#This Row],[Max Amount]]*0.1</f>
        <v>52665.886963440622</v>
      </c>
      <c r="S137">
        <v>78277316.519999996</v>
      </c>
    </row>
    <row r="138" spans="1:19" x14ac:dyDescent="0.3">
      <c r="A138" t="s">
        <v>2848</v>
      </c>
      <c r="B138" t="s">
        <v>2846</v>
      </c>
      <c r="C138" t="s">
        <v>5</v>
      </c>
      <c r="D138" t="s">
        <v>309</v>
      </c>
      <c r="E138" t="s">
        <v>1573</v>
      </c>
      <c r="F138" s="82">
        <f t="shared" si="6"/>
        <v>1</v>
      </c>
      <c r="G138">
        <v>1</v>
      </c>
      <c r="H138" t="s">
        <v>14</v>
      </c>
      <c r="I138" t="s">
        <v>322</v>
      </c>
      <c r="J138">
        <v>20.063993239751706</v>
      </c>
      <c r="K138" t="s">
        <v>1574</v>
      </c>
      <c r="L138" t="s">
        <v>19</v>
      </c>
      <c r="M138" t="s">
        <v>2837</v>
      </c>
      <c r="N138" t="s">
        <v>323</v>
      </c>
      <c r="O138">
        <v>2106635.4785376247</v>
      </c>
      <c r="P138" t="s">
        <v>14</v>
      </c>
      <c r="Q138" s="149">
        <f>SAF_Cand_Refinery[[#This Row],[Max Amount]]*0.5</f>
        <v>1053317.7392688124</v>
      </c>
      <c r="R138" s="149">
        <f>SAF_Cand_Refinery[[#This Row],[Max Amount]]*0.1</f>
        <v>210663.54785376249</v>
      </c>
      <c r="S138">
        <v>116408730</v>
      </c>
    </row>
    <row r="139" spans="1:19" x14ac:dyDescent="0.3">
      <c r="A139" t="s">
        <v>2848</v>
      </c>
      <c r="B139" t="s">
        <v>2846</v>
      </c>
      <c r="C139" t="s">
        <v>5</v>
      </c>
      <c r="D139" t="s">
        <v>309</v>
      </c>
      <c r="E139" t="s">
        <v>318</v>
      </c>
      <c r="F139" s="82">
        <f t="shared" si="6"/>
        <v>1</v>
      </c>
      <c r="G139">
        <v>1</v>
      </c>
      <c r="H139" t="s">
        <v>14</v>
      </c>
      <c r="I139" t="s">
        <v>322</v>
      </c>
      <c r="J139">
        <v>20.063993239751706</v>
      </c>
      <c r="K139" t="s">
        <v>1574</v>
      </c>
      <c r="L139" t="s">
        <v>19</v>
      </c>
      <c r="M139" t="s">
        <v>2837</v>
      </c>
      <c r="N139" t="s">
        <v>323</v>
      </c>
      <c r="O139">
        <v>526658.86963440618</v>
      </c>
      <c r="P139" t="s">
        <v>14</v>
      </c>
      <c r="Q139" s="149">
        <f>SAF_Cand_Refinery[[#This Row],[Max Amount]]*0.5</f>
        <v>263329.43481720309</v>
      </c>
      <c r="R139" s="149">
        <f>SAF_Cand_Refinery[[#This Row],[Max Amount]]*0.1</f>
        <v>52665.886963440622</v>
      </c>
      <c r="S139">
        <v>78277316.519999996</v>
      </c>
    </row>
    <row r="140" spans="1:19" x14ac:dyDescent="0.3">
      <c r="A140" t="s">
        <v>2848</v>
      </c>
      <c r="B140" t="s">
        <v>2847</v>
      </c>
      <c r="C140" t="s">
        <v>5</v>
      </c>
      <c r="D140" t="s">
        <v>309</v>
      </c>
      <c r="E140" t="s">
        <v>1573</v>
      </c>
      <c r="F140" s="82">
        <f t="shared" si="6"/>
        <v>1</v>
      </c>
      <c r="G140">
        <v>1</v>
      </c>
      <c r="H140" t="s">
        <v>14</v>
      </c>
      <c r="I140" t="s">
        <v>322</v>
      </c>
      <c r="J140">
        <v>20.063993239751706</v>
      </c>
      <c r="K140" t="s">
        <v>1574</v>
      </c>
      <c r="L140" t="s">
        <v>19</v>
      </c>
      <c r="M140" t="s">
        <v>2837</v>
      </c>
      <c r="N140" t="s">
        <v>323</v>
      </c>
      <c r="O140">
        <v>2106635.4785376247</v>
      </c>
      <c r="P140" t="s">
        <v>14</v>
      </c>
      <c r="Q140" s="149">
        <f>SAF_Cand_Refinery[[#This Row],[Max Amount]]*0.5</f>
        <v>1053317.7392688124</v>
      </c>
      <c r="R140" s="149">
        <f>SAF_Cand_Refinery[[#This Row],[Max Amount]]*0.1</f>
        <v>210663.54785376249</v>
      </c>
      <c r="S140">
        <v>116408730</v>
      </c>
    </row>
    <row r="141" spans="1:19" x14ac:dyDescent="0.3">
      <c r="A141" t="s">
        <v>2848</v>
      </c>
      <c r="B141" t="s">
        <v>2847</v>
      </c>
      <c r="C141" t="s">
        <v>5</v>
      </c>
      <c r="D141" t="s">
        <v>309</v>
      </c>
      <c r="E141" t="s">
        <v>318</v>
      </c>
      <c r="F141" s="82">
        <f t="shared" si="6"/>
        <v>1</v>
      </c>
      <c r="G141">
        <v>1</v>
      </c>
      <c r="H141" t="s">
        <v>14</v>
      </c>
      <c r="I141" t="s">
        <v>322</v>
      </c>
      <c r="J141">
        <v>20.063993239751706</v>
      </c>
      <c r="K141" t="s">
        <v>1574</v>
      </c>
      <c r="L141" t="s">
        <v>19</v>
      </c>
      <c r="M141" t="s">
        <v>2837</v>
      </c>
      <c r="N141" t="s">
        <v>323</v>
      </c>
      <c r="O141">
        <v>526658.86963440618</v>
      </c>
      <c r="P141" t="s">
        <v>14</v>
      </c>
      <c r="Q141" s="149">
        <f>SAF_Cand_Refinery[[#This Row],[Max Amount]]*0.5</f>
        <v>263329.43481720309</v>
      </c>
      <c r="R141" s="149">
        <f>SAF_Cand_Refinery[[#This Row],[Max Amount]]*0.1</f>
        <v>52665.886963440622</v>
      </c>
      <c r="S141">
        <v>78277316.519999996</v>
      </c>
    </row>
    <row r="142" spans="1:19" x14ac:dyDescent="0.3">
      <c r="A142" t="s">
        <v>2849</v>
      </c>
      <c r="B142" t="s">
        <v>2840</v>
      </c>
      <c r="C142" t="s">
        <v>5</v>
      </c>
      <c r="D142" t="s">
        <v>311</v>
      </c>
      <c r="E142" t="s">
        <v>1573</v>
      </c>
      <c r="F142" s="82">
        <f t="shared" si="4"/>
        <v>1</v>
      </c>
      <c r="G142">
        <v>1</v>
      </c>
      <c r="H142" t="s">
        <v>14</v>
      </c>
      <c r="I142" t="s">
        <v>322</v>
      </c>
      <c r="J142">
        <v>26.333991127174112</v>
      </c>
      <c r="K142" t="s">
        <v>1574</v>
      </c>
      <c r="L142" t="s">
        <v>19</v>
      </c>
      <c r="M142" t="s">
        <v>2838</v>
      </c>
      <c r="N142" t="s">
        <v>323</v>
      </c>
      <c r="O142">
        <v>1805687.5530322497</v>
      </c>
      <c r="P142" t="s">
        <v>14</v>
      </c>
      <c r="Q142" s="149">
        <f>SAF_Cand_Refinery[[#This Row],[Max Amount]]*0.5</f>
        <v>902843.77651612484</v>
      </c>
      <c r="R142" s="149">
        <f>SAF_Cand_Refinery[[#This Row],[Max Amount]]*0.1</f>
        <v>180568.75530322499</v>
      </c>
      <c r="S142">
        <v>77989532.280000001</v>
      </c>
    </row>
    <row r="143" spans="1:19" x14ac:dyDescent="0.3">
      <c r="A143" t="s">
        <v>2849</v>
      </c>
      <c r="B143" t="s">
        <v>2840</v>
      </c>
      <c r="C143" t="s">
        <v>5</v>
      </c>
      <c r="D143" t="s">
        <v>311</v>
      </c>
      <c r="E143" t="s">
        <v>318</v>
      </c>
      <c r="F143" s="82">
        <f t="shared" si="4"/>
        <v>1</v>
      </c>
      <c r="G143">
        <v>1</v>
      </c>
      <c r="H143" t="s">
        <v>14</v>
      </c>
      <c r="I143" t="s">
        <v>322</v>
      </c>
      <c r="J143">
        <v>23.407992113043658</v>
      </c>
      <c r="K143" t="s">
        <v>1574</v>
      </c>
      <c r="L143" t="s">
        <v>19</v>
      </c>
      <c r="M143" t="s">
        <v>2838</v>
      </c>
      <c r="N143" t="s">
        <v>323</v>
      </c>
      <c r="O143">
        <v>451421.88825806242</v>
      </c>
      <c r="P143" t="s">
        <v>14</v>
      </c>
      <c r="Q143" s="149">
        <f>SAF_Cand_Refinery[[#This Row],[Max Amount]]*0.5</f>
        <v>225710.94412903121</v>
      </c>
      <c r="R143" s="149">
        <f>SAF_Cand_Refinery[[#This Row],[Max Amount]]*0.1</f>
        <v>45142.188825806246</v>
      </c>
      <c r="S143">
        <v>44534613</v>
      </c>
    </row>
    <row r="144" spans="1:19" x14ac:dyDescent="0.3">
      <c r="A144" t="s">
        <v>2849</v>
      </c>
      <c r="B144" t="s">
        <v>2841</v>
      </c>
      <c r="C144" t="s">
        <v>5</v>
      </c>
      <c r="D144" t="s">
        <v>311</v>
      </c>
      <c r="E144" t="s">
        <v>1573</v>
      </c>
      <c r="F144" s="82">
        <f t="shared" ref="F144:F155" si="7">SIGN(SUBTOTAL(3,A144))</f>
        <v>1</v>
      </c>
      <c r="G144">
        <v>1</v>
      </c>
      <c r="H144" t="s">
        <v>14</v>
      </c>
      <c r="I144" t="s">
        <v>322</v>
      </c>
      <c r="J144">
        <v>26.333991127174112</v>
      </c>
      <c r="K144" t="s">
        <v>1574</v>
      </c>
      <c r="L144" t="s">
        <v>19</v>
      </c>
      <c r="M144" t="s">
        <v>2838</v>
      </c>
      <c r="N144" t="s">
        <v>323</v>
      </c>
      <c r="O144">
        <v>1805687.5530322497</v>
      </c>
      <c r="P144" t="s">
        <v>14</v>
      </c>
      <c r="Q144" s="149">
        <f>SAF_Cand_Refinery[[#This Row],[Max Amount]]*0.5</f>
        <v>902843.77651612484</v>
      </c>
      <c r="R144" s="149">
        <f>SAF_Cand_Refinery[[#This Row],[Max Amount]]*0.1</f>
        <v>180568.75530322499</v>
      </c>
      <c r="S144">
        <v>77989532.280000001</v>
      </c>
    </row>
    <row r="145" spans="1:19" x14ac:dyDescent="0.3">
      <c r="A145" t="s">
        <v>2849</v>
      </c>
      <c r="B145" t="s">
        <v>2841</v>
      </c>
      <c r="C145" t="s">
        <v>5</v>
      </c>
      <c r="D145" t="s">
        <v>311</v>
      </c>
      <c r="E145" t="s">
        <v>318</v>
      </c>
      <c r="F145" s="82">
        <f t="shared" si="7"/>
        <v>1</v>
      </c>
      <c r="G145">
        <v>1</v>
      </c>
      <c r="H145" t="s">
        <v>14</v>
      </c>
      <c r="I145" t="s">
        <v>322</v>
      </c>
      <c r="J145">
        <v>23.407992113043658</v>
      </c>
      <c r="K145" t="s">
        <v>1574</v>
      </c>
      <c r="L145" t="s">
        <v>19</v>
      </c>
      <c r="M145" t="s">
        <v>2838</v>
      </c>
      <c r="N145" t="s">
        <v>323</v>
      </c>
      <c r="O145">
        <v>451421.88825806242</v>
      </c>
      <c r="P145" t="s">
        <v>14</v>
      </c>
      <c r="Q145" s="149">
        <f>SAF_Cand_Refinery[[#This Row],[Max Amount]]*0.5</f>
        <v>225710.94412903121</v>
      </c>
      <c r="R145" s="149">
        <f>SAF_Cand_Refinery[[#This Row],[Max Amount]]*0.1</f>
        <v>45142.188825806246</v>
      </c>
      <c r="S145">
        <v>44534613</v>
      </c>
    </row>
    <row r="146" spans="1:19" x14ac:dyDescent="0.3">
      <c r="A146" t="s">
        <v>2849</v>
      </c>
      <c r="B146" t="s">
        <v>2842</v>
      </c>
      <c r="C146" t="s">
        <v>5</v>
      </c>
      <c r="D146" t="s">
        <v>311</v>
      </c>
      <c r="E146" t="s">
        <v>1573</v>
      </c>
      <c r="F146" s="82">
        <f t="shared" si="7"/>
        <v>1</v>
      </c>
      <c r="G146">
        <v>1</v>
      </c>
      <c r="H146" t="s">
        <v>14</v>
      </c>
      <c r="I146" t="s">
        <v>322</v>
      </c>
      <c r="J146">
        <v>26.333991127174112</v>
      </c>
      <c r="K146" t="s">
        <v>1574</v>
      </c>
      <c r="L146" t="s">
        <v>19</v>
      </c>
      <c r="M146" t="s">
        <v>2838</v>
      </c>
      <c r="N146" t="s">
        <v>323</v>
      </c>
      <c r="O146">
        <v>1805687.5530322497</v>
      </c>
      <c r="P146" t="s">
        <v>14</v>
      </c>
      <c r="Q146" s="149">
        <f>SAF_Cand_Refinery[[#This Row],[Max Amount]]*0.5</f>
        <v>902843.77651612484</v>
      </c>
      <c r="R146" s="149">
        <f>SAF_Cand_Refinery[[#This Row],[Max Amount]]*0.1</f>
        <v>180568.75530322499</v>
      </c>
      <c r="S146">
        <v>77989532.280000001</v>
      </c>
    </row>
    <row r="147" spans="1:19" x14ac:dyDescent="0.3">
      <c r="A147" t="s">
        <v>2849</v>
      </c>
      <c r="B147" t="s">
        <v>2842</v>
      </c>
      <c r="C147" t="s">
        <v>5</v>
      </c>
      <c r="D147" t="s">
        <v>311</v>
      </c>
      <c r="E147" t="s">
        <v>318</v>
      </c>
      <c r="F147" s="82">
        <f t="shared" si="7"/>
        <v>1</v>
      </c>
      <c r="G147">
        <v>1</v>
      </c>
      <c r="H147" t="s">
        <v>14</v>
      </c>
      <c r="I147" t="s">
        <v>322</v>
      </c>
      <c r="J147">
        <v>23.407992113043658</v>
      </c>
      <c r="K147" t="s">
        <v>1574</v>
      </c>
      <c r="L147" t="s">
        <v>19</v>
      </c>
      <c r="M147" t="s">
        <v>2838</v>
      </c>
      <c r="N147" t="s">
        <v>323</v>
      </c>
      <c r="O147">
        <v>451421.88825806242</v>
      </c>
      <c r="P147" t="s">
        <v>14</v>
      </c>
      <c r="Q147" s="149">
        <f>SAF_Cand_Refinery[[#This Row],[Max Amount]]*0.5</f>
        <v>225710.94412903121</v>
      </c>
      <c r="R147" s="149">
        <f>SAF_Cand_Refinery[[#This Row],[Max Amount]]*0.1</f>
        <v>45142.188825806246</v>
      </c>
      <c r="S147">
        <v>44534613</v>
      </c>
    </row>
    <row r="148" spans="1:19" x14ac:dyDescent="0.3">
      <c r="A148" t="s">
        <v>2849</v>
      </c>
      <c r="B148" t="s">
        <v>2843</v>
      </c>
      <c r="C148" t="s">
        <v>5</v>
      </c>
      <c r="D148" t="s">
        <v>311</v>
      </c>
      <c r="E148" t="s">
        <v>1573</v>
      </c>
      <c r="F148" s="82">
        <f t="shared" si="7"/>
        <v>1</v>
      </c>
      <c r="G148">
        <v>1</v>
      </c>
      <c r="H148" t="s">
        <v>14</v>
      </c>
      <c r="I148" t="s">
        <v>322</v>
      </c>
      <c r="J148">
        <v>26.333991127174112</v>
      </c>
      <c r="K148" t="s">
        <v>1574</v>
      </c>
      <c r="L148" t="s">
        <v>19</v>
      </c>
      <c r="M148" t="s">
        <v>2838</v>
      </c>
      <c r="N148" t="s">
        <v>323</v>
      </c>
      <c r="O148">
        <v>1805687.5530322497</v>
      </c>
      <c r="P148" t="s">
        <v>14</v>
      </c>
      <c r="Q148" s="149">
        <f>SAF_Cand_Refinery[[#This Row],[Max Amount]]*0.5</f>
        <v>902843.77651612484</v>
      </c>
      <c r="R148" s="149">
        <f>SAF_Cand_Refinery[[#This Row],[Max Amount]]*0.1</f>
        <v>180568.75530322499</v>
      </c>
      <c r="S148">
        <v>77989532.280000001</v>
      </c>
    </row>
    <row r="149" spans="1:19" x14ac:dyDescent="0.3">
      <c r="A149" t="s">
        <v>2849</v>
      </c>
      <c r="B149" t="s">
        <v>2843</v>
      </c>
      <c r="C149" t="s">
        <v>5</v>
      </c>
      <c r="D149" t="s">
        <v>311</v>
      </c>
      <c r="E149" t="s">
        <v>318</v>
      </c>
      <c r="F149" s="82">
        <f t="shared" si="7"/>
        <v>1</v>
      </c>
      <c r="G149">
        <v>1</v>
      </c>
      <c r="H149" t="s">
        <v>14</v>
      </c>
      <c r="I149" t="s">
        <v>322</v>
      </c>
      <c r="J149">
        <v>23.407992113043658</v>
      </c>
      <c r="K149" t="s">
        <v>1574</v>
      </c>
      <c r="L149" t="s">
        <v>19</v>
      </c>
      <c r="M149" t="s">
        <v>2838</v>
      </c>
      <c r="N149" t="s">
        <v>323</v>
      </c>
      <c r="O149">
        <v>451421.88825806242</v>
      </c>
      <c r="P149" t="s">
        <v>14</v>
      </c>
      <c r="Q149" s="149">
        <f>SAF_Cand_Refinery[[#This Row],[Max Amount]]*0.5</f>
        <v>225710.94412903121</v>
      </c>
      <c r="R149" s="149">
        <f>SAF_Cand_Refinery[[#This Row],[Max Amount]]*0.1</f>
        <v>45142.188825806246</v>
      </c>
      <c r="S149">
        <v>44534613</v>
      </c>
    </row>
    <row r="150" spans="1:19" x14ac:dyDescent="0.3">
      <c r="A150" t="s">
        <v>2848</v>
      </c>
      <c r="B150" t="s">
        <v>2844</v>
      </c>
      <c r="C150" t="s">
        <v>5</v>
      </c>
      <c r="D150" t="s">
        <v>311</v>
      </c>
      <c r="E150" t="s">
        <v>1573</v>
      </c>
      <c r="F150" s="82">
        <f t="shared" si="7"/>
        <v>1</v>
      </c>
      <c r="G150">
        <v>1</v>
      </c>
      <c r="H150" t="s">
        <v>14</v>
      </c>
      <c r="I150" t="s">
        <v>322</v>
      </c>
      <c r="J150">
        <v>28.841990282143083</v>
      </c>
      <c r="K150" t="s">
        <v>1574</v>
      </c>
      <c r="L150" t="s">
        <v>19</v>
      </c>
      <c r="M150" t="s">
        <v>2839</v>
      </c>
      <c r="N150" t="s">
        <v>323</v>
      </c>
      <c r="O150">
        <v>1648671.2440729232</v>
      </c>
      <c r="P150" t="s">
        <v>14</v>
      </c>
      <c r="Q150" s="149">
        <f>SAF_Cand_Refinery[[#This Row],[Max Amount]]*0.5</f>
        <v>824335.6220364616</v>
      </c>
      <c r="R150" s="149">
        <f>SAF_Cand_Refinery[[#This Row],[Max Amount]]*0.1</f>
        <v>164867.12440729234</v>
      </c>
      <c r="S150">
        <v>74680013.400000006</v>
      </c>
    </row>
    <row r="151" spans="1:19" x14ac:dyDescent="0.3">
      <c r="A151" t="s">
        <v>2848</v>
      </c>
      <c r="B151" t="s">
        <v>2844</v>
      </c>
      <c r="C151" t="s">
        <v>5</v>
      </c>
      <c r="D151" t="s">
        <v>311</v>
      </c>
      <c r="E151" t="s">
        <v>318</v>
      </c>
      <c r="F151" s="82">
        <f t="shared" si="7"/>
        <v>1</v>
      </c>
      <c r="G151">
        <v>1</v>
      </c>
      <c r="H151" t="s">
        <v>14</v>
      </c>
      <c r="I151" t="s">
        <v>322</v>
      </c>
      <c r="J151">
        <v>25.637324695238295</v>
      </c>
      <c r="K151" t="s">
        <v>1574</v>
      </c>
      <c r="L151" t="s">
        <v>19</v>
      </c>
      <c r="M151" t="s">
        <v>2839</v>
      </c>
      <c r="N151" t="s">
        <v>323</v>
      </c>
      <c r="O151">
        <v>412167.81101823086</v>
      </c>
      <c r="P151" t="s">
        <v>14</v>
      </c>
      <c r="Q151" s="149">
        <f>SAF_Cand_Refinery[[#This Row],[Max Amount]]*0.5</f>
        <v>206083.90550911543</v>
      </c>
      <c r="R151" s="149">
        <f>SAF_Cand_Refinery[[#This Row],[Max Amount]]*0.1</f>
        <v>41216.781101823086</v>
      </c>
      <c r="S151">
        <v>42735961.439999998</v>
      </c>
    </row>
    <row r="152" spans="1:19" x14ac:dyDescent="0.3">
      <c r="A152" t="s">
        <v>2848</v>
      </c>
      <c r="B152" t="s">
        <v>2845</v>
      </c>
      <c r="C152" t="s">
        <v>5</v>
      </c>
      <c r="D152" t="s">
        <v>311</v>
      </c>
      <c r="E152" t="s">
        <v>1573</v>
      </c>
      <c r="F152" s="82">
        <f t="shared" si="7"/>
        <v>1</v>
      </c>
      <c r="G152">
        <v>1</v>
      </c>
      <c r="H152" t="s">
        <v>14</v>
      </c>
      <c r="I152" t="s">
        <v>322</v>
      </c>
      <c r="J152">
        <v>28.841990282143083</v>
      </c>
      <c r="K152" t="s">
        <v>1574</v>
      </c>
      <c r="L152" t="s">
        <v>19</v>
      </c>
      <c r="M152" t="s">
        <v>2839</v>
      </c>
      <c r="N152" t="s">
        <v>323</v>
      </c>
      <c r="O152">
        <v>1648671.2440729232</v>
      </c>
      <c r="P152" t="s">
        <v>14</v>
      </c>
      <c r="Q152" s="149">
        <f>SAF_Cand_Refinery[[#This Row],[Max Amount]]*0.5</f>
        <v>824335.6220364616</v>
      </c>
      <c r="R152" s="149">
        <f>SAF_Cand_Refinery[[#This Row],[Max Amount]]*0.1</f>
        <v>164867.12440729234</v>
      </c>
      <c r="S152">
        <v>74680013.400000006</v>
      </c>
    </row>
    <row r="153" spans="1:19" x14ac:dyDescent="0.3">
      <c r="A153" t="s">
        <v>2848</v>
      </c>
      <c r="B153" t="s">
        <v>2845</v>
      </c>
      <c r="C153" t="s">
        <v>5</v>
      </c>
      <c r="D153" t="s">
        <v>311</v>
      </c>
      <c r="E153" t="s">
        <v>318</v>
      </c>
      <c r="F153" s="82">
        <f t="shared" si="7"/>
        <v>1</v>
      </c>
      <c r="G153">
        <v>1</v>
      </c>
      <c r="H153" t="s">
        <v>14</v>
      </c>
      <c r="I153" t="s">
        <v>322</v>
      </c>
      <c r="J153">
        <v>25.637324695238295</v>
      </c>
      <c r="K153" t="s">
        <v>1574</v>
      </c>
      <c r="L153" t="s">
        <v>19</v>
      </c>
      <c r="M153" t="s">
        <v>2839</v>
      </c>
      <c r="N153" t="s">
        <v>323</v>
      </c>
      <c r="O153">
        <v>412167.81101823086</v>
      </c>
      <c r="P153" t="s">
        <v>14</v>
      </c>
      <c r="Q153" s="149">
        <f>SAF_Cand_Refinery[[#This Row],[Max Amount]]*0.5</f>
        <v>206083.90550911543</v>
      </c>
      <c r="R153" s="149">
        <f>SAF_Cand_Refinery[[#This Row],[Max Amount]]*0.1</f>
        <v>41216.781101823086</v>
      </c>
      <c r="S153">
        <v>42735961.439999998</v>
      </c>
    </row>
    <row r="154" spans="1:19" x14ac:dyDescent="0.3">
      <c r="A154" t="s">
        <v>2848</v>
      </c>
      <c r="B154" t="s">
        <v>2846</v>
      </c>
      <c r="C154" t="s">
        <v>5</v>
      </c>
      <c r="D154" t="s">
        <v>311</v>
      </c>
      <c r="E154" t="s">
        <v>1573</v>
      </c>
      <c r="F154" s="82">
        <f t="shared" si="7"/>
        <v>1</v>
      </c>
      <c r="G154">
        <v>1</v>
      </c>
      <c r="H154" t="s">
        <v>14</v>
      </c>
      <c r="I154" t="s">
        <v>322</v>
      </c>
      <c r="J154">
        <v>28.841990282143083</v>
      </c>
      <c r="K154" t="s">
        <v>1574</v>
      </c>
      <c r="L154" t="s">
        <v>19</v>
      </c>
      <c r="M154" t="s">
        <v>2839</v>
      </c>
      <c r="N154" t="s">
        <v>323</v>
      </c>
      <c r="O154">
        <v>1648671.2440729232</v>
      </c>
      <c r="P154" t="s">
        <v>14</v>
      </c>
      <c r="Q154" s="149">
        <f>SAF_Cand_Refinery[[#This Row],[Max Amount]]*0.5</f>
        <v>824335.6220364616</v>
      </c>
      <c r="R154" s="149">
        <f>SAF_Cand_Refinery[[#This Row],[Max Amount]]*0.1</f>
        <v>164867.12440729234</v>
      </c>
      <c r="S154">
        <v>74680013.400000006</v>
      </c>
    </row>
    <row r="155" spans="1:19" x14ac:dyDescent="0.3">
      <c r="A155" t="s">
        <v>2848</v>
      </c>
      <c r="B155" t="s">
        <v>2846</v>
      </c>
      <c r="C155" t="s">
        <v>5</v>
      </c>
      <c r="D155" t="s">
        <v>311</v>
      </c>
      <c r="E155" t="s">
        <v>318</v>
      </c>
      <c r="F155" s="82">
        <f t="shared" si="7"/>
        <v>1</v>
      </c>
      <c r="G155">
        <v>1</v>
      </c>
      <c r="H155" t="s">
        <v>14</v>
      </c>
      <c r="I155" t="s">
        <v>322</v>
      </c>
      <c r="J155">
        <v>25.637324695238295</v>
      </c>
      <c r="K155" t="s">
        <v>1574</v>
      </c>
      <c r="L155" t="s">
        <v>19</v>
      </c>
      <c r="M155" t="s">
        <v>2839</v>
      </c>
      <c r="N155" t="s">
        <v>323</v>
      </c>
      <c r="O155">
        <v>412167.81101823086</v>
      </c>
      <c r="P155" t="s">
        <v>14</v>
      </c>
      <c r="Q155" s="149">
        <f>SAF_Cand_Refinery[[#This Row],[Max Amount]]*0.5</f>
        <v>206083.90550911543</v>
      </c>
      <c r="R155" s="149">
        <f>SAF_Cand_Refinery[[#This Row],[Max Amount]]*0.1</f>
        <v>41216.781101823086</v>
      </c>
      <c r="S155">
        <v>42735961.439999998</v>
      </c>
    </row>
    <row r="156" spans="1:19" x14ac:dyDescent="0.3">
      <c r="A156" t="s">
        <v>2848</v>
      </c>
      <c r="B156" t="s">
        <v>2847</v>
      </c>
      <c r="C156" t="s">
        <v>5</v>
      </c>
      <c r="D156" t="s">
        <v>311</v>
      </c>
      <c r="E156" t="s">
        <v>1573</v>
      </c>
      <c r="F156" s="82">
        <f t="shared" si="4"/>
        <v>1</v>
      </c>
      <c r="G156">
        <v>1</v>
      </c>
      <c r="H156" t="s">
        <v>14</v>
      </c>
      <c r="I156" t="s">
        <v>322</v>
      </c>
      <c r="J156">
        <v>28.841990282143083</v>
      </c>
      <c r="K156" t="s">
        <v>1574</v>
      </c>
      <c r="L156" t="s">
        <v>19</v>
      </c>
      <c r="M156" t="s">
        <v>2839</v>
      </c>
      <c r="N156" t="s">
        <v>323</v>
      </c>
      <c r="O156">
        <v>1648671.2440729232</v>
      </c>
      <c r="P156" t="s">
        <v>14</v>
      </c>
      <c r="Q156" s="149">
        <f>SAF_Cand_Refinery[[#This Row],[Max Amount]]*0.5</f>
        <v>824335.6220364616</v>
      </c>
      <c r="R156" s="149">
        <f>SAF_Cand_Refinery[[#This Row],[Max Amount]]*0.1</f>
        <v>164867.12440729234</v>
      </c>
      <c r="S156">
        <v>74680013.400000006</v>
      </c>
    </row>
    <row r="157" spans="1:19" x14ac:dyDescent="0.3">
      <c r="A157" t="s">
        <v>2848</v>
      </c>
      <c r="B157" t="s">
        <v>2847</v>
      </c>
      <c r="C157" t="s">
        <v>5</v>
      </c>
      <c r="D157" t="s">
        <v>311</v>
      </c>
      <c r="E157" t="s">
        <v>318</v>
      </c>
      <c r="F157" s="82">
        <f t="shared" si="4"/>
        <v>1</v>
      </c>
      <c r="G157">
        <v>1</v>
      </c>
      <c r="H157" t="s">
        <v>14</v>
      </c>
      <c r="I157" t="s">
        <v>322</v>
      </c>
      <c r="J157">
        <v>25.637324695238295</v>
      </c>
      <c r="K157" t="s">
        <v>1574</v>
      </c>
      <c r="L157" t="s">
        <v>19</v>
      </c>
      <c r="M157" t="s">
        <v>2839</v>
      </c>
      <c r="N157" t="s">
        <v>323</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8" width="36" customWidth="1"/>
    <col min="9" max="9" width="14.21875" customWidth="1"/>
    <col min="10" max="10" width="38.44140625" bestFit="1" customWidth="1"/>
    <col min="11" max="11" width="22.77734375" customWidth="1"/>
    <col min="12" max="12" width="14.5546875" customWidth="1"/>
    <col min="13" max="13" width="7.77734375" customWidth="1"/>
    <col min="14" max="14" width="14.44140625" customWidth="1"/>
    <col min="15" max="15" width="18.21875" customWidth="1"/>
    <col min="16" max="16" width="12.21875" customWidth="1"/>
  </cols>
  <sheetData>
    <row r="1" spans="1:77" x14ac:dyDescent="0.3">
      <c r="A1" s="77" t="s">
        <v>1547</v>
      </c>
      <c r="B1" s="77" t="s">
        <v>440</v>
      </c>
      <c r="C1" s="77" t="s">
        <v>145</v>
      </c>
      <c r="D1" s="77" t="s">
        <v>1548</v>
      </c>
      <c r="E1" s="77" t="s">
        <v>249</v>
      </c>
      <c r="F1" s="77" t="s">
        <v>1571</v>
      </c>
      <c r="G1" s="77" t="s">
        <v>1549</v>
      </c>
      <c r="H1" s="98" t="s">
        <v>321</v>
      </c>
      <c r="I1" s="96" t="s">
        <v>25</v>
      </c>
      <c r="J1" s="96" t="s">
        <v>35</v>
      </c>
      <c r="K1" s="96" t="s">
        <v>31</v>
      </c>
      <c r="L1" s="96" t="s">
        <v>24</v>
      </c>
      <c r="M1" s="96" t="s">
        <v>36</v>
      </c>
      <c r="N1" s="96" t="s">
        <v>44</v>
      </c>
      <c r="O1" s="96" t="s">
        <v>196</v>
      </c>
      <c r="P1" s="96" t="s">
        <v>45</v>
      </c>
    </row>
    <row r="2" spans="1:77" x14ac:dyDescent="0.3">
      <c r="A2" s="107" t="s">
        <v>1550</v>
      </c>
      <c r="B2" s="107" t="s">
        <v>1551</v>
      </c>
      <c r="C2" t="s">
        <v>149</v>
      </c>
      <c r="D2" s="107" t="s">
        <v>293</v>
      </c>
      <c r="E2" s="107" t="s">
        <v>310</v>
      </c>
      <c r="F2" s="107" t="s">
        <v>293</v>
      </c>
      <c r="G2" s="107" t="s">
        <v>1552</v>
      </c>
      <c r="H2" s="107">
        <f t="shared" ref="H2:H21" si="0">SIGN(SUBTOTAL(3,A2))</f>
        <v>1</v>
      </c>
      <c r="I2" s="107" t="s">
        <v>19</v>
      </c>
      <c r="J2" t="s">
        <v>1550</v>
      </c>
      <c r="K2" s="107" t="s">
        <v>327</v>
      </c>
      <c r="L2" s="107">
        <v>707484.37238891562</v>
      </c>
      <c r="M2" s="107" t="s">
        <v>14</v>
      </c>
      <c r="N2" s="107"/>
      <c r="O2" s="107"/>
      <c r="P2" s="107"/>
      <c r="BY2" t="s">
        <v>1618</v>
      </c>
    </row>
    <row r="3" spans="1:77" x14ac:dyDescent="0.3">
      <c r="A3" s="107" t="s">
        <v>1550</v>
      </c>
      <c r="B3" s="107" t="s">
        <v>1551</v>
      </c>
      <c r="C3" t="s">
        <v>149</v>
      </c>
      <c r="D3" s="107" t="s">
        <v>281</v>
      </c>
      <c r="E3" s="107" t="s">
        <v>310</v>
      </c>
      <c r="F3" s="107" t="s">
        <v>293</v>
      </c>
      <c r="G3" s="107" t="s">
        <v>1552</v>
      </c>
      <c r="H3" s="107">
        <f t="shared" si="0"/>
        <v>1</v>
      </c>
      <c r="I3" s="107" t="s">
        <v>19</v>
      </c>
      <c r="J3" t="s">
        <v>1550</v>
      </c>
      <c r="K3" s="107" t="s">
        <v>327</v>
      </c>
      <c r="L3" s="107">
        <v>707484.37238891562</v>
      </c>
      <c r="M3" s="107" t="s">
        <v>14</v>
      </c>
      <c r="N3" s="107"/>
      <c r="O3" s="107"/>
      <c r="P3" s="107"/>
    </row>
    <row r="4" spans="1:77" x14ac:dyDescent="0.3">
      <c r="A4" s="107" t="s">
        <v>1553</v>
      </c>
      <c r="B4" s="107" t="s">
        <v>548</v>
      </c>
      <c r="C4" s="107" t="s">
        <v>149</v>
      </c>
      <c r="D4" s="107" t="s">
        <v>281</v>
      </c>
      <c r="E4" s="107" t="s">
        <v>310</v>
      </c>
      <c r="F4" s="107" t="s">
        <v>1572</v>
      </c>
      <c r="G4" s="107" t="s">
        <v>1554</v>
      </c>
      <c r="H4" s="107">
        <f t="shared" si="0"/>
        <v>1</v>
      </c>
      <c r="I4" s="107" t="s">
        <v>19</v>
      </c>
      <c r="J4" t="s">
        <v>1728</v>
      </c>
      <c r="K4" s="107" t="s">
        <v>327</v>
      </c>
      <c r="L4" s="107">
        <v>243689.0616006265</v>
      </c>
      <c r="M4" s="107" t="s">
        <v>14</v>
      </c>
      <c r="N4" s="107"/>
      <c r="O4" s="107"/>
      <c r="P4" s="107"/>
    </row>
    <row r="5" spans="1:77" x14ac:dyDescent="0.3">
      <c r="A5" s="107" t="s">
        <v>1555</v>
      </c>
      <c r="B5" s="107" t="s">
        <v>1556</v>
      </c>
      <c r="C5" s="107" t="s">
        <v>159</v>
      </c>
      <c r="D5" s="107" t="s">
        <v>281</v>
      </c>
      <c r="E5" s="107" t="s">
        <v>310</v>
      </c>
      <c r="F5" s="107" t="s">
        <v>1572</v>
      </c>
      <c r="G5" s="107" t="s">
        <v>1552</v>
      </c>
      <c r="H5" s="107">
        <f t="shared" si="0"/>
        <v>1</v>
      </c>
      <c r="I5" s="107" t="s">
        <v>19</v>
      </c>
      <c r="J5" t="s">
        <v>1555</v>
      </c>
      <c r="K5" s="107" t="s">
        <v>327</v>
      </c>
      <c r="L5" s="107">
        <v>3930468.7354939762</v>
      </c>
      <c r="M5" s="107" t="s">
        <v>14</v>
      </c>
      <c r="N5" s="107"/>
      <c r="O5" s="107"/>
      <c r="P5" s="107"/>
    </row>
    <row r="6" spans="1:77" x14ac:dyDescent="0.3">
      <c r="A6" s="107" t="s">
        <v>1557</v>
      </c>
      <c r="B6" s="107" t="s">
        <v>569</v>
      </c>
      <c r="C6" s="107" t="s">
        <v>161</v>
      </c>
      <c r="D6" s="107" t="s">
        <v>293</v>
      </c>
      <c r="E6" s="107" t="s">
        <v>310</v>
      </c>
      <c r="F6" s="107" t="s">
        <v>293</v>
      </c>
      <c r="G6" s="107" t="s">
        <v>1552</v>
      </c>
      <c r="H6" s="107">
        <f t="shared" si="0"/>
        <v>1</v>
      </c>
      <c r="I6" s="107" t="s">
        <v>19</v>
      </c>
      <c r="J6" t="s">
        <v>1729</v>
      </c>
      <c r="K6" s="107" t="s">
        <v>327</v>
      </c>
      <c r="L6" s="107">
        <v>7074843.7238891572</v>
      </c>
      <c r="M6" s="107" t="s">
        <v>14</v>
      </c>
      <c r="N6" s="107"/>
      <c r="O6" s="107"/>
      <c r="P6" s="107"/>
    </row>
    <row r="7" spans="1:77" x14ac:dyDescent="0.3">
      <c r="A7" s="107" t="s">
        <v>1557</v>
      </c>
      <c r="B7" s="107" t="s">
        <v>569</v>
      </c>
      <c r="C7" s="107" t="s">
        <v>161</v>
      </c>
      <c r="D7" s="107" t="s">
        <v>281</v>
      </c>
      <c r="E7" s="107" t="s">
        <v>310</v>
      </c>
      <c r="F7" s="107" t="s">
        <v>293</v>
      </c>
      <c r="G7" s="107" t="s">
        <v>1552</v>
      </c>
      <c r="H7" s="107">
        <f t="shared" si="0"/>
        <v>1</v>
      </c>
      <c r="I7" s="107" t="s">
        <v>19</v>
      </c>
      <c r="J7" t="s">
        <v>1729</v>
      </c>
      <c r="K7" s="107" t="s">
        <v>327</v>
      </c>
      <c r="L7" s="107">
        <v>7074843.7238891572</v>
      </c>
      <c r="M7" s="107" t="s">
        <v>14</v>
      </c>
      <c r="N7" s="107"/>
      <c r="O7" s="107"/>
      <c r="P7" s="107"/>
    </row>
    <row r="8" spans="1:77" x14ac:dyDescent="0.3">
      <c r="A8" s="107" t="s">
        <v>1558</v>
      </c>
      <c r="B8" s="107" t="s">
        <v>760</v>
      </c>
      <c r="C8" s="107" t="s">
        <v>169</v>
      </c>
      <c r="D8" s="107" t="s">
        <v>293</v>
      </c>
      <c r="E8" s="107" t="s">
        <v>310</v>
      </c>
      <c r="F8" s="107" t="s">
        <v>1572</v>
      </c>
      <c r="G8" s="107" t="s">
        <v>1559</v>
      </c>
      <c r="H8" s="107">
        <f t="shared" si="0"/>
        <v>1</v>
      </c>
      <c r="I8" s="107" t="s">
        <v>19</v>
      </c>
      <c r="J8" t="s">
        <v>1558</v>
      </c>
      <c r="K8" s="107" t="s">
        <v>327</v>
      </c>
      <c r="L8" s="107">
        <v>1808015.6183272291</v>
      </c>
      <c r="M8" s="107" t="s">
        <v>14</v>
      </c>
      <c r="N8" s="107"/>
      <c r="O8" s="107"/>
      <c r="P8" s="107"/>
    </row>
    <row r="9" spans="1:77" x14ac:dyDescent="0.3">
      <c r="A9" s="107" t="s">
        <v>1558</v>
      </c>
      <c r="B9" s="107" t="s">
        <v>760</v>
      </c>
      <c r="C9" s="107" t="s">
        <v>169</v>
      </c>
      <c r="D9" s="107" t="s">
        <v>281</v>
      </c>
      <c r="E9" s="107" t="s">
        <v>310</v>
      </c>
      <c r="F9" s="107" t="s">
        <v>1572</v>
      </c>
      <c r="G9" s="107" t="s">
        <v>1559</v>
      </c>
      <c r="H9" s="107">
        <f t="shared" si="0"/>
        <v>1</v>
      </c>
      <c r="I9" s="107" t="s">
        <v>19</v>
      </c>
      <c r="J9" t="s">
        <v>1558</v>
      </c>
      <c r="K9" s="107" t="s">
        <v>327</v>
      </c>
      <c r="L9" s="107">
        <v>1808015.6183272291</v>
      </c>
      <c r="M9" s="107" t="s">
        <v>14</v>
      </c>
      <c r="N9" s="107"/>
      <c r="O9" s="107"/>
      <c r="P9" s="107"/>
    </row>
    <row r="10" spans="1:77" x14ac:dyDescent="0.3">
      <c r="A10" s="107" t="s">
        <v>1560</v>
      </c>
      <c r="B10" s="107" t="s">
        <v>897</v>
      </c>
      <c r="C10" s="107" t="s">
        <v>180</v>
      </c>
      <c r="D10" s="107" t="s">
        <v>293</v>
      </c>
      <c r="E10" s="107" t="s">
        <v>310</v>
      </c>
      <c r="F10" s="107" t="s">
        <v>293</v>
      </c>
      <c r="G10" s="107" t="s">
        <v>1552</v>
      </c>
      <c r="H10" s="107">
        <f t="shared" si="0"/>
        <v>1</v>
      </c>
      <c r="I10" s="107" t="s">
        <v>19</v>
      </c>
      <c r="J10" t="s">
        <v>1560</v>
      </c>
      <c r="K10" s="107" t="s">
        <v>327</v>
      </c>
      <c r="L10" s="107">
        <v>4700840.607650795</v>
      </c>
      <c r="M10" s="107" t="s">
        <v>14</v>
      </c>
      <c r="N10" s="107"/>
      <c r="O10" s="107"/>
      <c r="P10" s="107"/>
    </row>
    <row r="11" spans="1:77" x14ac:dyDescent="0.3">
      <c r="A11" s="107" t="s">
        <v>1560</v>
      </c>
      <c r="B11" s="107" t="s">
        <v>897</v>
      </c>
      <c r="C11" s="107" t="s">
        <v>180</v>
      </c>
      <c r="D11" s="107" t="s">
        <v>281</v>
      </c>
      <c r="E11" s="107" t="s">
        <v>310</v>
      </c>
      <c r="F11" s="107" t="s">
        <v>293</v>
      </c>
      <c r="G11" s="107" t="s">
        <v>1552</v>
      </c>
      <c r="H11" s="107">
        <f t="shared" si="0"/>
        <v>1</v>
      </c>
      <c r="I11" s="107" t="s">
        <v>19</v>
      </c>
      <c r="J11" t="s">
        <v>1560</v>
      </c>
      <c r="K11" s="107" t="s">
        <v>327</v>
      </c>
      <c r="L11" s="107">
        <v>4700840.607650795</v>
      </c>
      <c r="M11" s="107" t="s">
        <v>14</v>
      </c>
      <c r="N11" s="107"/>
      <c r="O11" s="107"/>
      <c r="P11" s="107"/>
    </row>
    <row r="12" spans="1:77" x14ac:dyDescent="0.3">
      <c r="A12" s="107" t="s">
        <v>1561</v>
      </c>
      <c r="B12" s="107" t="s">
        <v>1562</v>
      </c>
      <c r="C12" s="107" t="s">
        <v>149</v>
      </c>
      <c r="D12" s="107" t="s">
        <v>293</v>
      </c>
      <c r="E12" s="107" t="s">
        <v>310</v>
      </c>
      <c r="F12" s="107" t="s">
        <v>293</v>
      </c>
      <c r="G12" s="107" t="s">
        <v>1563</v>
      </c>
      <c r="H12" s="107">
        <f t="shared" si="0"/>
        <v>1</v>
      </c>
      <c r="I12" s="107" t="s">
        <v>19</v>
      </c>
      <c r="J12" t="s">
        <v>1561</v>
      </c>
      <c r="K12" s="107" t="s">
        <v>327</v>
      </c>
      <c r="L12" s="107">
        <v>5345437.4802718069</v>
      </c>
      <c r="M12" s="107" t="s">
        <v>14</v>
      </c>
      <c r="N12" s="107"/>
      <c r="O12" s="107"/>
      <c r="P12" s="107"/>
    </row>
    <row r="13" spans="1:77" x14ac:dyDescent="0.3">
      <c r="A13" s="107" t="s">
        <v>1561</v>
      </c>
      <c r="B13" s="107" t="s">
        <v>1562</v>
      </c>
      <c r="C13" s="107" t="s">
        <v>149</v>
      </c>
      <c r="D13" s="107" t="s">
        <v>281</v>
      </c>
      <c r="E13" s="107" t="s">
        <v>310</v>
      </c>
      <c r="F13" s="107" t="s">
        <v>293</v>
      </c>
      <c r="G13" s="107" t="s">
        <v>1563</v>
      </c>
      <c r="H13" s="107">
        <f t="shared" si="0"/>
        <v>1</v>
      </c>
      <c r="I13" s="107" t="s">
        <v>19</v>
      </c>
      <c r="J13" t="s">
        <v>1561</v>
      </c>
      <c r="K13" s="107" t="s">
        <v>327</v>
      </c>
      <c r="L13" s="107">
        <v>5345437.4802718069</v>
      </c>
      <c r="M13" s="107" t="s">
        <v>14</v>
      </c>
      <c r="N13" s="107"/>
      <c r="O13" s="107"/>
      <c r="P13" s="107"/>
    </row>
    <row r="14" spans="1:77" x14ac:dyDescent="0.3">
      <c r="A14" s="107" t="s">
        <v>1564</v>
      </c>
      <c r="B14" s="107" t="s">
        <v>1565</v>
      </c>
      <c r="C14" s="107" t="s">
        <v>158</v>
      </c>
      <c r="D14" s="107" t="s">
        <v>293</v>
      </c>
      <c r="E14" s="107" t="s">
        <v>310</v>
      </c>
      <c r="F14" s="107" t="s">
        <v>293</v>
      </c>
      <c r="G14" s="107" t="s">
        <v>1552</v>
      </c>
      <c r="H14" s="107">
        <f t="shared" si="0"/>
        <v>1</v>
      </c>
      <c r="I14" s="107" t="s">
        <v>19</v>
      </c>
      <c r="J14" t="s">
        <v>1730</v>
      </c>
      <c r="K14" s="107" t="s">
        <v>327</v>
      </c>
      <c r="L14" s="107">
        <v>282993.74895556626</v>
      </c>
      <c r="M14" s="107" t="s">
        <v>14</v>
      </c>
      <c r="N14" s="107"/>
      <c r="O14" s="107"/>
      <c r="P14" s="107"/>
    </row>
    <row r="15" spans="1:77" x14ac:dyDescent="0.3">
      <c r="A15" s="107" t="s">
        <v>1564</v>
      </c>
      <c r="B15" s="107" t="s">
        <v>1565</v>
      </c>
      <c r="C15" s="107" t="s">
        <v>158</v>
      </c>
      <c r="D15" s="107" t="s">
        <v>281</v>
      </c>
      <c r="E15" s="107" t="s">
        <v>310</v>
      </c>
      <c r="F15" s="107" t="s">
        <v>293</v>
      </c>
      <c r="G15" s="107" t="s">
        <v>1552</v>
      </c>
      <c r="H15" s="107">
        <f t="shared" si="0"/>
        <v>1</v>
      </c>
      <c r="I15" s="107" t="s">
        <v>19</v>
      </c>
      <c r="J15" t="s">
        <v>1730</v>
      </c>
      <c r="K15" s="107" t="s">
        <v>327</v>
      </c>
      <c r="L15" s="107">
        <v>282993.74895556626</v>
      </c>
      <c r="M15" s="107" t="s">
        <v>14</v>
      </c>
      <c r="N15" s="107"/>
      <c r="O15" s="107"/>
      <c r="P15" s="107"/>
    </row>
    <row r="16" spans="1:77" x14ac:dyDescent="0.3">
      <c r="A16" s="107" t="s">
        <v>1566</v>
      </c>
      <c r="B16" s="107" t="s">
        <v>889</v>
      </c>
      <c r="C16" s="107" t="s">
        <v>161</v>
      </c>
      <c r="D16" s="107" t="s">
        <v>293</v>
      </c>
      <c r="E16" s="107" t="s">
        <v>310</v>
      </c>
      <c r="F16" s="107" t="s">
        <v>293</v>
      </c>
      <c r="G16" s="107" t="s">
        <v>1567</v>
      </c>
      <c r="H16" s="107">
        <f t="shared" si="0"/>
        <v>1</v>
      </c>
      <c r="I16" s="107" t="s">
        <v>19</v>
      </c>
      <c r="J16" t="s">
        <v>1731</v>
      </c>
      <c r="K16" s="107" t="s">
        <v>327</v>
      </c>
      <c r="L16" s="107">
        <v>707484.37238891562</v>
      </c>
      <c r="M16" s="107" t="s">
        <v>14</v>
      </c>
      <c r="N16" s="107"/>
      <c r="O16" s="107"/>
      <c r="P16" s="107"/>
    </row>
    <row r="17" spans="1:16" x14ac:dyDescent="0.3">
      <c r="A17" s="107" t="s">
        <v>1566</v>
      </c>
      <c r="B17" s="107" t="s">
        <v>889</v>
      </c>
      <c r="C17" s="107" t="s">
        <v>161</v>
      </c>
      <c r="D17" s="107" t="s">
        <v>281</v>
      </c>
      <c r="E17" s="107" t="s">
        <v>310</v>
      </c>
      <c r="F17" s="107" t="s">
        <v>293</v>
      </c>
      <c r="G17" s="107" t="s">
        <v>1567</v>
      </c>
      <c r="H17" s="107">
        <f t="shared" si="0"/>
        <v>1</v>
      </c>
      <c r="I17" s="107" t="s">
        <v>19</v>
      </c>
      <c r="J17" t="s">
        <v>1731</v>
      </c>
      <c r="K17" s="107" t="s">
        <v>327</v>
      </c>
      <c r="L17" s="107">
        <v>707484.37238891562</v>
      </c>
      <c r="M17" s="107" t="s">
        <v>14</v>
      </c>
      <c r="N17" s="107"/>
      <c r="O17" s="107"/>
      <c r="P17" s="107"/>
    </row>
    <row r="18" spans="1:16" x14ac:dyDescent="0.3">
      <c r="A18" s="107" t="s">
        <v>1568</v>
      </c>
      <c r="B18" s="107" t="s">
        <v>547</v>
      </c>
      <c r="C18" s="107" t="s">
        <v>186</v>
      </c>
      <c r="D18" s="107" t="s">
        <v>293</v>
      </c>
      <c r="E18" s="107" t="s">
        <v>310</v>
      </c>
      <c r="F18" s="107" t="s">
        <v>293</v>
      </c>
      <c r="G18" s="107" t="s">
        <v>1554</v>
      </c>
      <c r="H18" s="107">
        <f t="shared" si="0"/>
        <v>1</v>
      </c>
      <c r="I18" s="107" t="s">
        <v>19</v>
      </c>
      <c r="J18" t="s">
        <v>1568</v>
      </c>
      <c r="K18" s="107" t="s">
        <v>327</v>
      </c>
      <c r="L18" s="107">
        <v>1965234.3677469881</v>
      </c>
      <c r="M18" s="107" t="s">
        <v>14</v>
      </c>
      <c r="N18" s="107"/>
      <c r="O18" s="107"/>
      <c r="P18" s="107"/>
    </row>
    <row r="19" spans="1:16" x14ac:dyDescent="0.3">
      <c r="A19" s="107" t="s">
        <v>1568</v>
      </c>
      <c r="B19" s="107" t="s">
        <v>547</v>
      </c>
      <c r="C19" s="107" t="s">
        <v>186</v>
      </c>
      <c r="D19" s="107" t="s">
        <v>281</v>
      </c>
      <c r="E19" s="107" t="s">
        <v>310</v>
      </c>
      <c r="F19" s="107" t="s">
        <v>293</v>
      </c>
      <c r="G19" s="107" t="s">
        <v>1554</v>
      </c>
      <c r="H19" s="107">
        <f t="shared" si="0"/>
        <v>1</v>
      </c>
      <c r="I19" s="107" t="s">
        <v>19</v>
      </c>
      <c r="J19" t="s">
        <v>1568</v>
      </c>
      <c r="K19" s="107" t="s">
        <v>327</v>
      </c>
      <c r="L19" s="107">
        <v>1965234.3677469881</v>
      </c>
      <c r="M19" s="107" t="s">
        <v>14</v>
      </c>
      <c r="N19" s="107"/>
      <c r="O19" s="107"/>
      <c r="P19" s="107"/>
    </row>
    <row r="20" spans="1:16" x14ac:dyDescent="0.3">
      <c r="A20" s="107" t="s">
        <v>1569</v>
      </c>
      <c r="B20" s="107" t="s">
        <v>1570</v>
      </c>
      <c r="C20" s="107" t="s">
        <v>149</v>
      </c>
      <c r="D20" s="107" t="s">
        <v>293</v>
      </c>
      <c r="E20" s="107" t="s">
        <v>310</v>
      </c>
      <c r="F20" s="107" t="s">
        <v>293</v>
      </c>
      <c r="G20" s="107" t="s">
        <v>1567</v>
      </c>
      <c r="H20" s="107">
        <f t="shared" si="0"/>
        <v>1</v>
      </c>
      <c r="I20" s="107" t="s">
        <v>19</v>
      </c>
      <c r="J20" t="s">
        <v>1569</v>
      </c>
      <c r="K20" s="107" t="s">
        <v>327</v>
      </c>
      <c r="L20" s="107">
        <v>2672718.7401359035</v>
      </c>
      <c r="M20" s="107" t="s">
        <v>14</v>
      </c>
      <c r="N20" s="107"/>
      <c r="O20" s="107"/>
      <c r="P20" s="107"/>
    </row>
    <row r="21" spans="1:16" x14ac:dyDescent="0.3">
      <c r="A21" s="107" t="s">
        <v>1569</v>
      </c>
      <c r="B21" s="107" t="s">
        <v>1570</v>
      </c>
      <c r="C21" s="107" t="s">
        <v>149</v>
      </c>
      <c r="D21" s="107" t="s">
        <v>281</v>
      </c>
      <c r="E21" s="107" t="s">
        <v>310</v>
      </c>
      <c r="F21" s="107" t="s">
        <v>293</v>
      </c>
      <c r="G21" s="107" t="s">
        <v>1567</v>
      </c>
      <c r="H21" s="107">
        <f t="shared" si="0"/>
        <v>1</v>
      </c>
      <c r="I21" s="107" t="s">
        <v>19</v>
      </c>
      <c r="J21" t="s">
        <v>1569</v>
      </c>
      <c r="K21" s="107" t="s">
        <v>327</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4"/>
  <sheetViews>
    <sheetView workbookViewId="0">
      <selection activeCell="F17" sqref="F17"/>
    </sheetView>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48.33203125" bestFit="1" customWidth="1"/>
    <col min="7" max="7" width="22.77734375" customWidth="1"/>
    <col min="8" max="8" width="16" customWidth="1"/>
    <col min="9" max="10" width="8.77734375" customWidth="1"/>
    <col min="11" max="11" width="14.5546875" customWidth="1"/>
    <col min="12" max="12" width="14.21875" customWidth="1"/>
    <col min="16" max="17" width="10.5546875" bestFit="1" customWidth="1"/>
  </cols>
  <sheetData>
    <row r="1" spans="1:79" s="102" customFormat="1" ht="28.8" x14ac:dyDescent="0.3">
      <c r="A1" s="109" t="s">
        <v>145</v>
      </c>
      <c r="B1" s="109" t="s">
        <v>440</v>
      </c>
      <c r="C1" s="109" t="s">
        <v>1138</v>
      </c>
      <c r="D1" s="122" t="s">
        <v>321</v>
      </c>
      <c r="E1" s="110" t="s">
        <v>25</v>
      </c>
      <c r="F1" s="110" t="s">
        <v>35</v>
      </c>
      <c r="G1" s="110" t="s">
        <v>31</v>
      </c>
      <c r="H1" s="100" t="s">
        <v>24</v>
      </c>
      <c r="I1" s="100" t="s">
        <v>36</v>
      </c>
      <c r="J1" s="100" t="s">
        <v>44</v>
      </c>
      <c r="K1" s="100" t="s">
        <v>196</v>
      </c>
      <c r="L1" s="100" t="s">
        <v>45</v>
      </c>
    </row>
    <row r="2" spans="1:79" x14ac:dyDescent="0.3">
      <c r="A2" t="s">
        <v>146</v>
      </c>
      <c r="B2" t="s">
        <v>441</v>
      </c>
      <c r="C2" t="s">
        <v>1162</v>
      </c>
      <c r="D2">
        <f t="shared" ref="D2:D65" si="0">SIGN(SUBTOTAL(3,E2))</f>
        <v>1</v>
      </c>
      <c r="E2" t="s">
        <v>19</v>
      </c>
      <c r="F2" t="s">
        <v>1162</v>
      </c>
      <c r="G2" t="s">
        <v>326</v>
      </c>
      <c r="N2" s="107"/>
      <c r="CA2" t="s">
        <v>1618</v>
      </c>
    </row>
    <row r="3" spans="1:79" x14ac:dyDescent="0.3">
      <c r="A3" t="s">
        <v>146</v>
      </c>
      <c r="B3" t="s">
        <v>572</v>
      </c>
      <c r="C3" t="s">
        <v>1168</v>
      </c>
      <c r="D3">
        <f t="shared" si="0"/>
        <v>1</v>
      </c>
      <c r="E3" t="s">
        <v>19</v>
      </c>
      <c r="F3" t="s">
        <v>1753</v>
      </c>
      <c r="G3" t="s">
        <v>326</v>
      </c>
      <c r="N3" s="107"/>
    </row>
    <row r="4" spans="1:79" x14ac:dyDescent="0.3">
      <c r="A4" t="s">
        <v>146</v>
      </c>
      <c r="B4" t="s">
        <v>573</v>
      </c>
      <c r="C4" t="s">
        <v>1168</v>
      </c>
      <c r="D4">
        <f t="shared" si="0"/>
        <v>1</v>
      </c>
      <c r="E4" t="s">
        <v>19</v>
      </c>
      <c r="F4" t="s">
        <v>1754</v>
      </c>
      <c r="G4" t="s">
        <v>326</v>
      </c>
      <c r="N4" s="107"/>
    </row>
    <row r="5" spans="1:79" x14ac:dyDescent="0.3">
      <c r="A5" t="s">
        <v>146</v>
      </c>
      <c r="B5" t="s">
        <v>441</v>
      </c>
      <c r="C5" t="s">
        <v>1175</v>
      </c>
      <c r="D5">
        <f t="shared" si="0"/>
        <v>1</v>
      </c>
      <c r="E5" t="s">
        <v>19</v>
      </c>
      <c r="F5" t="s">
        <v>1760</v>
      </c>
      <c r="G5" t="s">
        <v>326</v>
      </c>
      <c r="N5" s="107"/>
    </row>
    <row r="6" spans="1:79" x14ac:dyDescent="0.3">
      <c r="A6" t="s">
        <v>146</v>
      </c>
      <c r="B6" t="s">
        <v>441</v>
      </c>
      <c r="C6" t="s">
        <v>1181</v>
      </c>
      <c r="D6">
        <f t="shared" si="0"/>
        <v>1</v>
      </c>
      <c r="E6" t="s">
        <v>19</v>
      </c>
      <c r="F6" t="s">
        <v>1181</v>
      </c>
      <c r="G6" t="s">
        <v>326</v>
      </c>
      <c r="N6" s="107"/>
    </row>
    <row r="7" spans="1:79" x14ac:dyDescent="0.3">
      <c r="A7" t="s">
        <v>146</v>
      </c>
      <c r="B7" t="s">
        <v>624</v>
      </c>
      <c r="C7" t="s">
        <v>1184</v>
      </c>
      <c r="D7">
        <f t="shared" si="0"/>
        <v>1</v>
      </c>
      <c r="E7" t="s">
        <v>19</v>
      </c>
      <c r="F7" t="s">
        <v>1825</v>
      </c>
      <c r="G7" t="s">
        <v>326</v>
      </c>
      <c r="N7" s="107"/>
    </row>
    <row r="8" spans="1:79" x14ac:dyDescent="0.3">
      <c r="A8" t="s">
        <v>146</v>
      </c>
      <c r="B8" t="s">
        <v>627</v>
      </c>
      <c r="C8" t="s">
        <v>1184</v>
      </c>
      <c r="D8">
        <f t="shared" si="0"/>
        <v>1</v>
      </c>
      <c r="E8" t="s">
        <v>19</v>
      </c>
      <c r="F8" t="s">
        <v>1829</v>
      </c>
      <c r="G8" t="s">
        <v>326</v>
      </c>
      <c r="N8" s="107"/>
    </row>
    <row r="9" spans="1:79" x14ac:dyDescent="0.3">
      <c r="A9" t="s">
        <v>146</v>
      </c>
      <c r="B9" t="s">
        <v>628</v>
      </c>
      <c r="C9" t="s">
        <v>1184</v>
      </c>
      <c r="D9">
        <f t="shared" si="0"/>
        <v>1</v>
      </c>
      <c r="E9" t="s">
        <v>19</v>
      </c>
      <c r="F9" t="s">
        <v>1830</v>
      </c>
      <c r="G9" t="s">
        <v>326</v>
      </c>
      <c r="N9" s="107"/>
    </row>
    <row r="10" spans="1:79" x14ac:dyDescent="0.3">
      <c r="A10" t="s">
        <v>146</v>
      </c>
      <c r="B10" t="s">
        <v>627</v>
      </c>
      <c r="C10" t="s">
        <v>1212</v>
      </c>
      <c r="D10">
        <f t="shared" si="0"/>
        <v>1</v>
      </c>
      <c r="E10" t="s">
        <v>19</v>
      </c>
      <c r="F10" t="s">
        <v>1887</v>
      </c>
      <c r="G10" t="s">
        <v>326</v>
      </c>
      <c r="N10" s="107"/>
    </row>
    <row r="11" spans="1:79" x14ac:dyDescent="0.3">
      <c r="A11" t="s">
        <v>146</v>
      </c>
      <c r="B11" t="s">
        <v>441</v>
      </c>
      <c r="C11" t="s">
        <v>1231</v>
      </c>
      <c r="D11">
        <f t="shared" si="0"/>
        <v>1</v>
      </c>
      <c r="E11" t="s">
        <v>19</v>
      </c>
      <c r="F11" t="s">
        <v>1958</v>
      </c>
      <c r="G11" t="s">
        <v>326</v>
      </c>
      <c r="N11" s="107"/>
    </row>
    <row r="12" spans="1:79" x14ac:dyDescent="0.3">
      <c r="A12" t="s">
        <v>146</v>
      </c>
      <c r="B12" t="s">
        <v>627</v>
      </c>
      <c r="C12" t="s">
        <v>1231</v>
      </c>
      <c r="D12">
        <f t="shared" si="0"/>
        <v>1</v>
      </c>
      <c r="E12" t="s">
        <v>19</v>
      </c>
      <c r="F12" t="s">
        <v>1961</v>
      </c>
      <c r="G12" t="s">
        <v>326</v>
      </c>
      <c r="N12" s="107"/>
    </row>
    <row r="13" spans="1:79" x14ac:dyDescent="0.3">
      <c r="A13" t="s">
        <v>146</v>
      </c>
      <c r="B13" t="s">
        <v>441</v>
      </c>
      <c r="C13" t="s">
        <v>1237</v>
      </c>
      <c r="D13">
        <f t="shared" si="0"/>
        <v>1</v>
      </c>
      <c r="E13" t="s">
        <v>19</v>
      </c>
      <c r="F13" t="s">
        <v>2015</v>
      </c>
      <c r="G13" t="s">
        <v>326</v>
      </c>
      <c r="N13" s="107"/>
    </row>
    <row r="14" spans="1:79" x14ac:dyDescent="0.3">
      <c r="A14" t="s">
        <v>146</v>
      </c>
      <c r="B14" t="s">
        <v>441</v>
      </c>
      <c r="C14" t="s">
        <v>1291</v>
      </c>
      <c r="D14">
        <f t="shared" si="0"/>
        <v>1</v>
      </c>
      <c r="E14" t="s">
        <v>19</v>
      </c>
      <c r="F14" t="s">
        <v>2143</v>
      </c>
      <c r="G14" t="s">
        <v>326</v>
      </c>
      <c r="N14" s="107"/>
    </row>
    <row r="15" spans="1:79" x14ac:dyDescent="0.3">
      <c r="A15" t="s">
        <v>146</v>
      </c>
      <c r="B15" t="s">
        <v>833</v>
      </c>
      <c r="C15" t="s">
        <v>1305</v>
      </c>
      <c r="D15">
        <f t="shared" si="0"/>
        <v>1</v>
      </c>
      <c r="E15" t="s">
        <v>19</v>
      </c>
      <c r="F15" t="s">
        <v>2173</v>
      </c>
      <c r="G15" t="s">
        <v>326</v>
      </c>
      <c r="N15" s="107"/>
    </row>
    <row r="16" spans="1:79" x14ac:dyDescent="0.3">
      <c r="A16" t="s">
        <v>146</v>
      </c>
      <c r="B16" t="s">
        <v>834</v>
      </c>
      <c r="C16" t="s">
        <v>1305</v>
      </c>
      <c r="D16">
        <f t="shared" si="0"/>
        <v>1</v>
      </c>
      <c r="E16" t="s">
        <v>19</v>
      </c>
      <c r="F16" t="s">
        <v>2174</v>
      </c>
      <c r="G16" t="s">
        <v>326</v>
      </c>
      <c r="N16" s="107"/>
    </row>
    <row r="17" spans="1:14" x14ac:dyDescent="0.3">
      <c r="A17" t="s">
        <v>146</v>
      </c>
      <c r="B17" t="s">
        <v>861</v>
      </c>
      <c r="C17" t="s">
        <v>1311</v>
      </c>
      <c r="D17">
        <f t="shared" si="0"/>
        <v>1</v>
      </c>
      <c r="E17" t="s">
        <v>19</v>
      </c>
      <c r="F17" t="s">
        <v>2207</v>
      </c>
      <c r="G17" t="s">
        <v>326</v>
      </c>
      <c r="N17" s="107"/>
    </row>
    <row r="18" spans="1:14" x14ac:dyDescent="0.3">
      <c r="A18" t="s">
        <v>146</v>
      </c>
      <c r="B18" t="s">
        <v>441</v>
      </c>
      <c r="C18" t="s">
        <v>1338</v>
      </c>
      <c r="D18">
        <f t="shared" si="0"/>
        <v>1</v>
      </c>
      <c r="E18" t="s">
        <v>19</v>
      </c>
      <c r="F18" t="s">
        <v>1338</v>
      </c>
      <c r="G18" t="s">
        <v>326</v>
      </c>
      <c r="N18" s="107"/>
    </row>
    <row r="19" spans="1:14" x14ac:dyDescent="0.3">
      <c r="A19" t="s">
        <v>146</v>
      </c>
      <c r="B19" t="s">
        <v>573</v>
      </c>
      <c r="C19" t="s">
        <v>1358</v>
      </c>
      <c r="D19">
        <f t="shared" si="0"/>
        <v>1</v>
      </c>
      <c r="E19" t="s">
        <v>19</v>
      </c>
      <c r="F19" t="s">
        <v>1358</v>
      </c>
      <c r="G19" t="s">
        <v>326</v>
      </c>
      <c r="N19" s="107"/>
    </row>
    <row r="20" spans="1:14" x14ac:dyDescent="0.3">
      <c r="A20" t="s">
        <v>146</v>
      </c>
      <c r="B20" t="s">
        <v>441</v>
      </c>
      <c r="C20" t="s">
        <v>1396</v>
      </c>
      <c r="D20">
        <f t="shared" si="0"/>
        <v>1</v>
      </c>
      <c r="E20" t="s">
        <v>19</v>
      </c>
      <c r="F20" t="s">
        <v>2383</v>
      </c>
      <c r="G20" t="s">
        <v>326</v>
      </c>
      <c r="N20" s="107"/>
    </row>
    <row r="21" spans="1:14" x14ac:dyDescent="0.3">
      <c r="A21" t="s">
        <v>146</v>
      </c>
      <c r="B21" t="s">
        <v>627</v>
      </c>
      <c r="C21" t="s">
        <v>1407</v>
      </c>
      <c r="D21">
        <f t="shared" si="0"/>
        <v>1</v>
      </c>
      <c r="E21" t="s">
        <v>19</v>
      </c>
      <c r="F21" t="s">
        <v>2391</v>
      </c>
      <c r="G21" t="s">
        <v>326</v>
      </c>
      <c r="N21" s="107"/>
    </row>
    <row r="22" spans="1:14" x14ac:dyDescent="0.3">
      <c r="A22" t="s">
        <v>146</v>
      </c>
      <c r="B22" t="s">
        <v>961</v>
      </c>
      <c r="C22" t="s">
        <v>1407</v>
      </c>
      <c r="D22">
        <f t="shared" si="0"/>
        <v>1</v>
      </c>
      <c r="E22" t="s">
        <v>19</v>
      </c>
      <c r="F22" t="s">
        <v>2392</v>
      </c>
      <c r="G22" t="s">
        <v>326</v>
      </c>
      <c r="N22" s="107"/>
    </row>
    <row r="23" spans="1:14" x14ac:dyDescent="0.3">
      <c r="A23" t="s">
        <v>146</v>
      </c>
      <c r="B23" t="s">
        <v>441</v>
      </c>
      <c r="C23" t="s">
        <v>1418</v>
      </c>
      <c r="D23">
        <f t="shared" si="0"/>
        <v>1</v>
      </c>
      <c r="E23" t="s">
        <v>19</v>
      </c>
      <c r="F23" t="s">
        <v>2508</v>
      </c>
      <c r="G23" t="s">
        <v>326</v>
      </c>
      <c r="N23" s="107"/>
    </row>
    <row r="24" spans="1:14" x14ac:dyDescent="0.3">
      <c r="A24" t="s">
        <v>146</v>
      </c>
      <c r="B24" t="s">
        <v>627</v>
      </c>
      <c r="C24" t="s">
        <v>1418</v>
      </c>
      <c r="D24">
        <f t="shared" si="0"/>
        <v>1</v>
      </c>
      <c r="E24" t="s">
        <v>19</v>
      </c>
      <c r="F24" t="s">
        <v>2510</v>
      </c>
      <c r="G24" t="s">
        <v>326</v>
      </c>
      <c r="N24" s="107"/>
    </row>
    <row r="25" spans="1:14" x14ac:dyDescent="0.3">
      <c r="A25" t="s">
        <v>146</v>
      </c>
      <c r="B25" t="s">
        <v>573</v>
      </c>
      <c r="C25" t="s">
        <v>1423</v>
      </c>
      <c r="D25">
        <f t="shared" si="0"/>
        <v>1</v>
      </c>
      <c r="E25" t="s">
        <v>19</v>
      </c>
      <c r="F25" t="s">
        <v>2545</v>
      </c>
      <c r="G25" t="s">
        <v>326</v>
      </c>
      <c r="N25" s="107"/>
    </row>
    <row r="26" spans="1:14" x14ac:dyDescent="0.3">
      <c r="A26" t="s">
        <v>146</v>
      </c>
      <c r="B26" t="s">
        <v>1022</v>
      </c>
      <c r="C26" t="s">
        <v>1423</v>
      </c>
      <c r="D26">
        <f t="shared" si="0"/>
        <v>1</v>
      </c>
      <c r="E26" t="s">
        <v>19</v>
      </c>
      <c r="F26" t="s">
        <v>2546</v>
      </c>
      <c r="G26" t="s">
        <v>326</v>
      </c>
      <c r="N26" s="107"/>
    </row>
    <row r="27" spans="1:14" x14ac:dyDescent="0.3">
      <c r="A27" t="s">
        <v>146</v>
      </c>
      <c r="B27" t="s">
        <v>573</v>
      </c>
      <c r="C27" t="s">
        <v>1430</v>
      </c>
      <c r="D27">
        <f t="shared" si="0"/>
        <v>1</v>
      </c>
      <c r="E27" t="s">
        <v>19</v>
      </c>
      <c r="F27" t="s">
        <v>2561</v>
      </c>
      <c r="G27" t="s">
        <v>326</v>
      </c>
      <c r="N27" s="107"/>
    </row>
    <row r="28" spans="1:14" x14ac:dyDescent="0.3">
      <c r="A28" t="s">
        <v>146</v>
      </c>
      <c r="B28" t="s">
        <v>573</v>
      </c>
      <c r="C28" t="s">
        <v>1430</v>
      </c>
      <c r="D28">
        <f t="shared" si="0"/>
        <v>1</v>
      </c>
      <c r="E28" t="s">
        <v>19</v>
      </c>
      <c r="F28" t="s">
        <v>2562</v>
      </c>
      <c r="G28" t="s">
        <v>326</v>
      </c>
      <c r="N28" s="107"/>
    </row>
    <row r="29" spans="1:14" x14ac:dyDescent="0.3">
      <c r="A29" t="s">
        <v>146</v>
      </c>
      <c r="B29" t="s">
        <v>441</v>
      </c>
      <c r="C29" t="s">
        <v>1466</v>
      </c>
      <c r="D29">
        <f t="shared" si="0"/>
        <v>1</v>
      </c>
      <c r="E29" t="s">
        <v>19</v>
      </c>
      <c r="F29" t="s">
        <v>2669</v>
      </c>
      <c r="G29" t="s">
        <v>326</v>
      </c>
      <c r="N29" s="107"/>
    </row>
    <row r="30" spans="1:14" x14ac:dyDescent="0.3">
      <c r="A30" t="s">
        <v>146</v>
      </c>
      <c r="B30" t="s">
        <v>441</v>
      </c>
      <c r="C30" t="s">
        <v>1483</v>
      </c>
      <c r="D30">
        <f t="shared" si="0"/>
        <v>1</v>
      </c>
      <c r="E30" t="s">
        <v>19</v>
      </c>
      <c r="F30" t="s">
        <v>2710</v>
      </c>
      <c r="G30" t="s">
        <v>326</v>
      </c>
      <c r="N30" s="107"/>
    </row>
    <row r="31" spans="1:14" x14ac:dyDescent="0.3">
      <c r="A31" t="s">
        <v>146</v>
      </c>
      <c r="B31" t="s">
        <v>627</v>
      </c>
      <c r="C31" t="s">
        <v>1492</v>
      </c>
      <c r="D31">
        <f t="shared" si="0"/>
        <v>1</v>
      </c>
      <c r="E31" t="s">
        <v>19</v>
      </c>
      <c r="F31" t="s">
        <v>2738</v>
      </c>
      <c r="G31" t="s">
        <v>326</v>
      </c>
      <c r="N31" s="107"/>
    </row>
    <row r="32" spans="1:14" x14ac:dyDescent="0.3">
      <c r="A32" t="s">
        <v>146</v>
      </c>
      <c r="B32" t="s">
        <v>1094</v>
      </c>
      <c r="C32" t="s">
        <v>1520</v>
      </c>
      <c r="D32">
        <f t="shared" si="0"/>
        <v>1</v>
      </c>
      <c r="E32" t="s">
        <v>19</v>
      </c>
      <c r="F32" t="s">
        <v>2820</v>
      </c>
      <c r="G32" t="s">
        <v>326</v>
      </c>
      <c r="N32" s="107"/>
    </row>
    <row r="33" spans="1:14" x14ac:dyDescent="0.3">
      <c r="A33" t="s">
        <v>146</v>
      </c>
      <c r="B33" t="s">
        <v>1129</v>
      </c>
      <c r="C33" t="s">
        <v>1529</v>
      </c>
      <c r="D33">
        <f t="shared" si="0"/>
        <v>1</v>
      </c>
      <c r="E33" t="s">
        <v>19</v>
      </c>
      <c r="F33" t="s">
        <v>1529</v>
      </c>
      <c r="G33" t="s">
        <v>326</v>
      </c>
      <c r="N33" s="107"/>
    </row>
    <row r="34" spans="1:14" x14ac:dyDescent="0.3">
      <c r="A34" t="s">
        <v>146</v>
      </c>
      <c r="B34" t="s">
        <v>1134</v>
      </c>
      <c r="C34" t="s">
        <v>1536</v>
      </c>
      <c r="D34">
        <f t="shared" si="0"/>
        <v>1</v>
      </c>
      <c r="E34" t="s">
        <v>19</v>
      </c>
      <c r="F34" t="s">
        <v>2833</v>
      </c>
      <c r="G34" t="s">
        <v>326</v>
      </c>
      <c r="N34" s="107"/>
    </row>
    <row r="35" spans="1:14" x14ac:dyDescent="0.3">
      <c r="A35" t="s">
        <v>146</v>
      </c>
      <c r="B35" t="s">
        <v>572</v>
      </c>
      <c r="C35" t="s">
        <v>1536</v>
      </c>
      <c r="D35">
        <f t="shared" si="0"/>
        <v>1</v>
      </c>
      <c r="E35" t="s">
        <v>19</v>
      </c>
      <c r="F35" t="s">
        <v>2834</v>
      </c>
      <c r="G35" t="s">
        <v>326</v>
      </c>
      <c r="N35" s="107"/>
    </row>
    <row r="36" spans="1:14" x14ac:dyDescent="0.3">
      <c r="A36" t="s">
        <v>146</v>
      </c>
      <c r="B36" t="s">
        <v>573</v>
      </c>
      <c r="C36" t="s">
        <v>1536</v>
      </c>
      <c r="D36">
        <f t="shared" si="0"/>
        <v>1</v>
      </c>
      <c r="E36" t="s">
        <v>19</v>
      </c>
      <c r="F36" t="s">
        <v>2835</v>
      </c>
      <c r="G36" t="s">
        <v>326</v>
      </c>
      <c r="N36" s="107"/>
    </row>
    <row r="37" spans="1:14" x14ac:dyDescent="0.3">
      <c r="A37" t="s">
        <v>147</v>
      </c>
      <c r="B37" t="s">
        <v>443</v>
      </c>
      <c r="C37" t="s">
        <v>1180</v>
      </c>
      <c r="D37">
        <f t="shared" si="0"/>
        <v>1</v>
      </c>
      <c r="E37" t="s">
        <v>19</v>
      </c>
      <c r="F37" t="s">
        <v>1180</v>
      </c>
      <c r="G37" t="s">
        <v>326</v>
      </c>
      <c r="N37" s="107"/>
    </row>
    <row r="38" spans="1:14" x14ac:dyDescent="0.3">
      <c r="A38" t="s">
        <v>147</v>
      </c>
      <c r="B38" t="s">
        <v>443</v>
      </c>
      <c r="C38" t="s">
        <v>1193</v>
      </c>
      <c r="D38">
        <f t="shared" si="0"/>
        <v>1</v>
      </c>
      <c r="E38" t="s">
        <v>19</v>
      </c>
      <c r="F38" t="s">
        <v>1852</v>
      </c>
      <c r="G38" t="s">
        <v>326</v>
      </c>
      <c r="N38" s="107"/>
    </row>
    <row r="39" spans="1:14" x14ac:dyDescent="0.3">
      <c r="A39" t="s">
        <v>147</v>
      </c>
      <c r="B39" t="s">
        <v>443</v>
      </c>
      <c r="C39" t="s">
        <v>1240</v>
      </c>
      <c r="D39">
        <f t="shared" si="0"/>
        <v>1</v>
      </c>
      <c r="E39" t="s">
        <v>19</v>
      </c>
      <c r="F39" t="s">
        <v>1240</v>
      </c>
      <c r="G39" t="s">
        <v>326</v>
      </c>
      <c r="N39" s="107"/>
    </row>
    <row r="40" spans="1:14" x14ac:dyDescent="0.3">
      <c r="A40" t="s">
        <v>147</v>
      </c>
      <c r="B40" t="s">
        <v>827</v>
      </c>
      <c r="C40" t="s">
        <v>1302</v>
      </c>
      <c r="D40">
        <f t="shared" si="0"/>
        <v>1</v>
      </c>
      <c r="E40" t="s">
        <v>19</v>
      </c>
      <c r="F40" t="s">
        <v>2167</v>
      </c>
      <c r="G40" t="s">
        <v>326</v>
      </c>
      <c r="N40" s="107"/>
    </row>
    <row r="41" spans="1:14" x14ac:dyDescent="0.3">
      <c r="A41" t="s">
        <v>147</v>
      </c>
      <c r="B41" t="s">
        <v>831</v>
      </c>
      <c r="C41" t="s">
        <v>1302</v>
      </c>
      <c r="D41">
        <f t="shared" si="0"/>
        <v>1</v>
      </c>
      <c r="E41" t="s">
        <v>19</v>
      </c>
      <c r="F41" t="s">
        <v>2171</v>
      </c>
      <c r="G41" t="s">
        <v>326</v>
      </c>
      <c r="N41" s="107"/>
    </row>
    <row r="42" spans="1:14" x14ac:dyDescent="0.3">
      <c r="A42" t="s">
        <v>147</v>
      </c>
      <c r="B42" t="s">
        <v>918</v>
      </c>
      <c r="C42" t="s">
        <v>1354</v>
      </c>
      <c r="D42">
        <f t="shared" si="0"/>
        <v>1</v>
      </c>
      <c r="E42" t="s">
        <v>19</v>
      </c>
      <c r="F42" t="s">
        <v>2299</v>
      </c>
      <c r="G42" t="s">
        <v>326</v>
      </c>
      <c r="N42" s="107"/>
    </row>
    <row r="43" spans="1:14" x14ac:dyDescent="0.3">
      <c r="A43" t="s">
        <v>147</v>
      </c>
      <c r="B43" t="s">
        <v>444</v>
      </c>
      <c r="C43" t="s">
        <v>1382</v>
      </c>
      <c r="D43">
        <f t="shared" si="0"/>
        <v>1</v>
      </c>
      <c r="E43" t="s">
        <v>19</v>
      </c>
      <c r="F43" t="s">
        <v>2324</v>
      </c>
      <c r="G43" t="s">
        <v>326</v>
      </c>
      <c r="N43" s="107"/>
    </row>
    <row r="44" spans="1:14" x14ac:dyDescent="0.3">
      <c r="A44" t="s">
        <v>147</v>
      </c>
      <c r="B44" t="s">
        <v>443</v>
      </c>
      <c r="C44" t="s">
        <v>1382</v>
      </c>
      <c r="D44">
        <f t="shared" si="0"/>
        <v>1</v>
      </c>
      <c r="E44" t="s">
        <v>19</v>
      </c>
      <c r="F44" t="s">
        <v>2326</v>
      </c>
      <c r="G44" t="s">
        <v>326</v>
      </c>
      <c r="N44" s="107"/>
    </row>
    <row r="45" spans="1:14" x14ac:dyDescent="0.3">
      <c r="A45" t="s">
        <v>147</v>
      </c>
      <c r="B45" t="s">
        <v>444</v>
      </c>
      <c r="C45" t="s">
        <v>1420</v>
      </c>
      <c r="D45">
        <f t="shared" si="0"/>
        <v>1</v>
      </c>
      <c r="E45" t="s">
        <v>19</v>
      </c>
      <c r="F45" t="s">
        <v>2539</v>
      </c>
      <c r="G45" t="s">
        <v>326</v>
      </c>
      <c r="N45" s="107"/>
    </row>
    <row r="46" spans="1:14" x14ac:dyDescent="0.3">
      <c r="A46" t="s">
        <v>147</v>
      </c>
      <c r="B46" t="s">
        <v>443</v>
      </c>
      <c r="C46" t="s">
        <v>1420</v>
      </c>
      <c r="D46">
        <f t="shared" si="0"/>
        <v>1</v>
      </c>
      <c r="E46" t="s">
        <v>19</v>
      </c>
      <c r="F46" t="s">
        <v>2541</v>
      </c>
      <c r="G46" t="s">
        <v>326</v>
      </c>
      <c r="N46" s="107"/>
    </row>
    <row r="47" spans="1:14" x14ac:dyDescent="0.3">
      <c r="A47" t="s">
        <v>147</v>
      </c>
      <c r="B47" t="s">
        <v>1081</v>
      </c>
      <c r="C47" t="s">
        <v>1474</v>
      </c>
      <c r="D47">
        <f t="shared" si="0"/>
        <v>1</v>
      </c>
      <c r="E47" t="s">
        <v>19</v>
      </c>
      <c r="F47" t="s">
        <v>2686</v>
      </c>
      <c r="G47" t="s">
        <v>326</v>
      </c>
      <c r="N47" s="107"/>
    </row>
    <row r="48" spans="1:14" x14ac:dyDescent="0.3">
      <c r="A48" t="s">
        <v>148</v>
      </c>
      <c r="B48" t="s">
        <v>567</v>
      </c>
      <c r="C48" t="s">
        <v>1169</v>
      </c>
      <c r="D48">
        <f t="shared" si="0"/>
        <v>1</v>
      </c>
      <c r="E48" t="s">
        <v>19</v>
      </c>
      <c r="F48" t="s">
        <v>1169</v>
      </c>
      <c r="G48" t="s">
        <v>326</v>
      </c>
      <c r="N48" s="107"/>
    </row>
    <row r="49" spans="1:14" x14ac:dyDescent="0.3">
      <c r="A49" t="s">
        <v>148</v>
      </c>
      <c r="B49" t="s">
        <v>570</v>
      </c>
      <c r="C49" t="s">
        <v>1168</v>
      </c>
      <c r="D49">
        <f t="shared" si="0"/>
        <v>1</v>
      </c>
      <c r="E49" t="s">
        <v>19</v>
      </c>
      <c r="F49" t="s">
        <v>1749</v>
      </c>
      <c r="G49" t="s">
        <v>326</v>
      </c>
      <c r="N49" s="107"/>
    </row>
    <row r="50" spans="1:14" x14ac:dyDescent="0.3">
      <c r="A50" t="s">
        <v>148</v>
      </c>
      <c r="B50" t="s">
        <v>586</v>
      </c>
      <c r="C50" t="s">
        <v>1176</v>
      </c>
      <c r="D50">
        <f t="shared" si="0"/>
        <v>1</v>
      </c>
      <c r="E50" t="s">
        <v>19</v>
      </c>
      <c r="F50" t="s">
        <v>1773</v>
      </c>
      <c r="G50" t="s">
        <v>326</v>
      </c>
      <c r="N50" s="107"/>
    </row>
    <row r="51" spans="1:14" x14ac:dyDescent="0.3">
      <c r="A51" t="s">
        <v>148</v>
      </c>
      <c r="B51" t="s">
        <v>626</v>
      </c>
      <c r="C51" t="s">
        <v>1184</v>
      </c>
      <c r="D51">
        <f t="shared" si="0"/>
        <v>1</v>
      </c>
      <c r="E51" t="s">
        <v>19</v>
      </c>
      <c r="F51" t="s">
        <v>1828</v>
      </c>
      <c r="G51" t="s">
        <v>326</v>
      </c>
      <c r="N51" s="107"/>
    </row>
    <row r="52" spans="1:14" x14ac:dyDescent="0.3">
      <c r="A52" t="s">
        <v>148</v>
      </c>
      <c r="B52" t="s">
        <v>668</v>
      </c>
      <c r="C52" t="s">
        <v>1214</v>
      </c>
      <c r="D52">
        <f t="shared" si="0"/>
        <v>1</v>
      </c>
      <c r="E52" t="s">
        <v>19</v>
      </c>
      <c r="F52" t="s">
        <v>1888</v>
      </c>
      <c r="G52" t="s">
        <v>326</v>
      </c>
      <c r="N52" s="107"/>
    </row>
    <row r="53" spans="1:14" x14ac:dyDescent="0.3">
      <c r="A53" t="s">
        <v>148</v>
      </c>
      <c r="B53" t="s">
        <v>567</v>
      </c>
      <c r="C53" t="s">
        <v>1230</v>
      </c>
      <c r="D53">
        <f t="shared" si="0"/>
        <v>1</v>
      </c>
      <c r="E53" t="s">
        <v>19</v>
      </c>
      <c r="F53" t="s">
        <v>1230</v>
      </c>
      <c r="G53" t="s">
        <v>326</v>
      </c>
      <c r="N53" s="107"/>
    </row>
    <row r="54" spans="1:14" x14ac:dyDescent="0.3">
      <c r="A54" t="s">
        <v>148</v>
      </c>
      <c r="B54" t="s">
        <v>586</v>
      </c>
      <c r="C54" t="s">
        <v>1270</v>
      </c>
      <c r="D54">
        <f t="shared" si="0"/>
        <v>1</v>
      </c>
      <c r="E54" t="s">
        <v>19</v>
      </c>
      <c r="F54" t="s">
        <v>2084</v>
      </c>
      <c r="G54" t="s">
        <v>326</v>
      </c>
      <c r="N54" s="107"/>
    </row>
    <row r="55" spans="1:14" x14ac:dyDescent="0.3">
      <c r="A55" t="s">
        <v>148</v>
      </c>
      <c r="B55" t="s">
        <v>567</v>
      </c>
      <c r="C55" t="s">
        <v>1291</v>
      </c>
      <c r="D55">
        <f t="shared" si="0"/>
        <v>1</v>
      </c>
      <c r="E55" t="s">
        <v>19</v>
      </c>
      <c r="F55" t="s">
        <v>2141</v>
      </c>
      <c r="G55" t="s">
        <v>326</v>
      </c>
      <c r="N55" s="107"/>
    </row>
    <row r="56" spans="1:14" x14ac:dyDescent="0.3">
      <c r="A56" t="s">
        <v>148</v>
      </c>
      <c r="B56" t="s">
        <v>567</v>
      </c>
      <c r="C56" t="s">
        <v>1362</v>
      </c>
      <c r="D56">
        <f t="shared" si="0"/>
        <v>1</v>
      </c>
      <c r="E56" t="s">
        <v>19</v>
      </c>
      <c r="F56" t="s">
        <v>2305</v>
      </c>
      <c r="G56" t="s">
        <v>326</v>
      </c>
      <c r="N56" s="107"/>
    </row>
    <row r="57" spans="1:14" x14ac:dyDescent="0.3">
      <c r="A57" t="s">
        <v>148</v>
      </c>
      <c r="B57" t="s">
        <v>983</v>
      </c>
      <c r="C57" t="s">
        <v>1409</v>
      </c>
      <c r="D57">
        <f t="shared" si="0"/>
        <v>1</v>
      </c>
      <c r="E57" t="s">
        <v>19</v>
      </c>
      <c r="F57" t="s">
        <v>2427</v>
      </c>
      <c r="G57" t="s">
        <v>326</v>
      </c>
      <c r="N57" s="107"/>
    </row>
    <row r="58" spans="1:14" x14ac:dyDescent="0.3">
      <c r="A58" t="s">
        <v>148</v>
      </c>
      <c r="B58" t="s">
        <v>567</v>
      </c>
      <c r="C58" t="s">
        <v>1408</v>
      </c>
      <c r="D58">
        <f t="shared" si="0"/>
        <v>1</v>
      </c>
      <c r="E58" t="s">
        <v>19</v>
      </c>
      <c r="F58" t="s">
        <v>2443</v>
      </c>
      <c r="G58" t="s">
        <v>326</v>
      </c>
      <c r="N58" s="107"/>
    </row>
    <row r="59" spans="1:14" x14ac:dyDescent="0.3">
      <c r="A59" t="s">
        <v>148</v>
      </c>
      <c r="B59" t="s">
        <v>567</v>
      </c>
      <c r="C59" t="s">
        <v>1408</v>
      </c>
      <c r="D59">
        <f t="shared" si="0"/>
        <v>1</v>
      </c>
      <c r="E59" t="s">
        <v>19</v>
      </c>
      <c r="F59" t="s">
        <v>2444</v>
      </c>
      <c r="G59" t="s">
        <v>326</v>
      </c>
      <c r="N59" s="107"/>
    </row>
    <row r="60" spans="1:14" x14ac:dyDescent="0.3">
      <c r="A60" t="s">
        <v>148</v>
      </c>
      <c r="B60" t="s">
        <v>993</v>
      </c>
      <c r="C60" t="s">
        <v>1408</v>
      </c>
      <c r="D60">
        <f t="shared" si="0"/>
        <v>1</v>
      </c>
      <c r="E60" t="s">
        <v>19</v>
      </c>
      <c r="F60" t="s">
        <v>2445</v>
      </c>
      <c r="G60" t="s">
        <v>326</v>
      </c>
      <c r="N60" s="107"/>
    </row>
    <row r="61" spans="1:14" x14ac:dyDescent="0.3">
      <c r="A61" t="s">
        <v>148</v>
      </c>
      <c r="B61" t="s">
        <v>668</v>
      </c>
      <c r="C61" t="s">
        <v>1443</v>
      </c>
      <c r="D61">
        <f t="shared" si="0"/>
        <v>1</v>
      </c>
      <c r="E61" t="s">
        <v>19</v>
      </c>
      <c r="F61" t="s">
        <v>2569</v>
      </c>
      <c r="G61" t="s">
        <v>326</v>
      </c>
      <c r="N61" s="107"/>
    </row>
    <row r="62" spans="1:14" x14ac:dyDescent="0.3">
      <c r="A62" t="s">
        <v>148</v>
      </c>
      <c r="B62" t="s">
        <v>1034</v>
      </c>
      <c r="C62" t="s">
        <v>1443</v>
      </c>
      <c r="D62">
        <f t="shared" si="0"/>
        <v>1</v>
      </c>
      <c r="E62" t="s">
        <v>19</v>
      </c>
      <c r="F62" t="s">
        <v>2572</v>
      </c>
      <c r="G62" t="s">
        <v>326</v>
      </c>
      <c r="N62" s="107"/>
    </row>
    <row r="63" spans="1:14" x14ac:dyDescent="0.3">
      <c r="A63" t="s">
        <v>148</v>
      </c>
      <c r="B63" t="s">
        <v>669</v>
      </c>
      <c r="C63" t="s">
        <v>1513</v>
      </c>
      <c r="D63">
        <f t="shared" si="0"/>
        <v>1</v>
      </c>
      <c r="E63" t="s">
        <v>19</v>
      </c>
      <c r="F63" t="s">
        <v>2761</v>
      </c>
      <c r="G63" t="s">
        <v>326</v>
      </c>
      <c r="N63" s="107"/>
    </row>
    <row r="64" spans="1:14" x14ac:dyDescent="0.3">
      <c r="A64" t="s">
        <v>149</v>
      </c>
      <c r="B64" t="s">
        <v>548</v>
      </c>
      <c r="C64" t="s">
        <v>1144</v>
      </c>
      <c r="D64">
        <f t="shared" si="0"/>
        <v>1</v>
      </c>
      <c r="E64" t="s">
        <v>19</v>
      </c>
      <c r="F64" t="s">
        <v>1144</v>
      </c>
      <c r="G64" t="s">
        <v>326</v>
      </c>
      <c r="N64" s="107"/>
    </row>
    <row r="65" spans="1:14" x14ac:dyDescent="0.3">
      <c r="A65" t="s">
        <v>149</v>
      </c>
      <c r="B65" t="s">
        <v>451</v>
      </c>
      <c r="C65" t="s">
        <v>1149</v>
      </c>
      <c r="D65">
        <f t="shared" si="0"/>
        <v>1</v>
      </c>
      <c r="E65" t="s">
        <v>19</v>
      </c>
      <c r="F65" t="s">
        <v>1149</v>
      </c>
      <c r="G65" t="s">
        <v>326</v>
      </c>
      <c r="N65" s="107"/>
    </row>
    <row r="66" spans="1:14" x14ac:dyDescent="0.3">
      <c r="A66" t="s">
        <v>149</v>
      </c>
      <c r="B66" t="s">
        <v>552</v>
      </c>
      <c r="C66" t="s">
        <v>1150</v>
      </c>
      <c r="D66">
        <f t="shared" ref="D66:D129" si="1">SIGN(SUBTOTAL(3,E66))</f>
        <v>1</v>
      </c>
      <c r="E66" t="s">
        <v>19</v>
      </c>
      <c r="F66" t="s">
        <v>1150</v>
      </c>
      <c r="G66" t="s">
        <v>326</v>
      </c>
      <c r="N66" s="107"/>
    </row>
    <row r="67" spans="1:14" x14ac:dyDescent="0.3">
      <c r="A67" t="s">
        <v>149</v>
      </c>
      <c r="B67" t="s">
        <v>553</v>
      </c>
      <c r="C67" t="s">
        <v>1151</v>
      </c>
      <c r="D67">
        <f t="shared" si="1"/>
        <v>1</v>
      </c>
      <c r="E67" t="s">
        <v>19</v>
      </c>
      <c r="F67" t="s">
        <v>1151</v>
      </c>
      <c r="G67" t="s">
        <v>326</v>
      </c>
      <c r="N67" s="107"/>
    </row>
    <row r="68" spans="1:14" x14ac:dyDescent="0.3">
      <c r="A68" t="s">
        <v>149</v>
      </c>
      <c r="B68" t="s">
        <v>554</v>
      </c>
      <c r="C68" t="s">
        <v>1152</v>
      </c>
      <c r="D68">
        <f t="shared" si="1"/>
        <v>1</v>
      </c>
      <c r="E68" t="s">
        <v>19</v>
      </c>
      <c r="F68" t="s">
        <v>1152</v>
      </c>
      <c r="G68" t="s">
        <v>326</v>
      </c>
      <c r="N68" s="107"/>
    </row>
    <row r="69" spans="1:14" x14ac:dyDescent="0.3">
      <c r="A69" t="s">
        <v>149</v>
      </c>
      <c r="B69" t="s">
        <v>555</v>
      </c>
      <c r="C69" t="s">
        <v>1153</v>
      </c>
      <c r="D69">
        <f t="shared" si="1"/>
        <v>1</v>
      </c>
      <c r="E69" t="s">
        <v>19</v>
      </c>
      <c r="F69" t="s">
        <v>1153</v>
      </c>
      <c r="G69" t="s">
        <v>326</v>
      </c>
      <c r="N69" s="107"/>
    </row>
    <row r="70" spans="1:14" x14ac:dyDescent="0.3">
      <c r="A70" t="s">
        <v>149</v>
      </c>
      <c r="B70" t="s">
        <v>454</v>
      </c>
      <c r="C70" t="s">
        <v>1154</v>
      </c>
      <c r="D70">
        <f t="shared" si="1"/>
        <v>1</v>
      </c>
      <c r="E70" t="s">
        <v>19</v>
      </c>
      <c r="F70" t="s">
        <v>1154</v>
      </c>
      <c r="G70" t="s">
        <v>326</v>
      </c>
      <c r="N70" s="107"/>
    </row>
    <row r="71" spans="1:14" x14ac:dyDescent="0.3">
      <c r="A71" t="s">
        <v>149</v>
      </c>
      <c r="B71" t="s">
        <v>455</v>
      </c>
      <c r="C71" t="s">
        <v>1155</v>
      </c>
      <c r="D71">
        <f t="shared" si="1"/>
        <v>1</v>
      </c>
      <c r="E71" t="s">
        <v>19</v>
      </c>
      <c r="F71" t="s">
        <v>1155</v>
      </c>
      <c r="G71" t="s">
        <v>326</v>
      </c>
      <c r="N71" s="107"/>
    </row>
    <row r="72" spans="1:14" x14ac:dyDescent="0.3">
      <c r="A72" t="s">
        <v>149</v>
      </c>
      <c r="B72" t="s">
        <v>556</v>
      </c>
      <c r="C72" t="s">
        <v>1156</v>
      </c>
      <c r="D72">
        <f t="shared" si="1"/>
        <v>1</v>
      </c>
      <c r="E72" t="s">
        <v>19</v>
      </c>
      <c r="F72" t="s">
        <v>1156</v>
      </c>
      <c r="G72" t="s">
        <v>326</v>
      </c>
      <c r="N72" s="107"/>
    </row>
    <row r="73" spans="1:14" x14ac:dyDescent="0.3">
      <c r="A73" t="s">
        <v>149</v>
      </c>
      <c r="B73" t="s">
        <v>557</v>
      </c>
      <c r="C73" t="s">
        <v>1157</v>
      </c>
      <c r="D73">
        <f t="shared" si="1"/>
        <v>1</v>
      </c>
      <c r="E73" t="s">
        <v>19</v>
      </c>
      <c r="F73" t="s">
        <v>1157</v>
      </c>
      <c r="G73" t="s">
        <v>326</v>
      </c>
      <c r="N73" s="107"/>
    </row>
    <row r="74" spans="1:14" x14ac:dyDescent="0.3">
      <c r="A74" t="s">
        <v>149</v>
      </c>
      <c r="B74" t="s">
        <v>558</v>
      </c>
      <c r="C74" t="s">
        <v>1158</v>
      </c>
      <c r="D74">
        <f t="shared" si="1"/>
        <v>1</v>
      </c>
      <c r="E74" t="s">
        <v>19</v>
      </c>
      <c r="F74" t="s">
        <v>1158</v>
      </c>
      <c r="G74" t="s">
        <v>326</v>
      </c>
      <c r="N74" s="107"/>
    </row>
    <row r="75" spans="1:14" x14ac:dyDescent="0.3">
      <c r="A75" t="s">
        <v>149</v>
      </c>
      <c r="B75" t="s">
        <v>583</v>
      </c>
      <c r="C75" t="s">
        <v>1176</v>
      </c>
      <c r="D75">
        <f t="shared" si="1"/>
        <v>1</v>
      </c>
      <c r="E75" t="s">
        <v>19</v>
      </c>
      <c r="F75" t="s">
        <v>1769</v>
      </c>
      <c r="G75" t="s">
        <v>326</v>
      </c>
      <c r="N75" s="107"/>
    </row>
    <row r="76" spans="1:14" x14ac:dyDescent="0.3">
      <c r="A76" t="s">
        <v>149</v>
      </c>
      <c r="B76" t="s">
        <v>738</v>
      </c>
      <c r="C76" t="s">
        <v>1241</v>
      </c>
      <c r="D76">
        <f t="shared" si="1"/>
        <v>1</v>
      </c>
      <c r="E76" t="s">
        <v>19</v>
      </c>
      <c r="F76" t="s">
        <v>1241</v>
      </c>
      <c r="G76" t="s">
        <v>326</v>
      </c>
      <c r="N76" s="107"/>
    </row>
    <row r="77" spans="1:14" x14ac:dyDescent="0.3">
      <c r="A77" t="s">
        <v>149</v>
      </c>
      <c r="B77" t="s">
        <v>446</v>
      </c>
      <c r="C77" t="s">
        <v>1255</v>
      </c>
      <c r="D77">
        <f t="shared" si="1"/>
        <v>1</v>
      </c>
      <c r="E77" t="s">
        <v>19</v>
      </c>
      <c r="F77" t="s">
        <v>2039</v>
      </c>
      <c r="G77" t="s">
        <v>326</v>
      </c>
      <c r="N77" s="107"/>
    </row>
    <row r="78" spans="1:14" x14ac:dyDescent="0.3">
      <c r="A78" t="s">
        <v>149</v>
      </c>
      <c r="B78" t="s">
        <v>756</v>
      </c>
      <c r="C78" t="s">
        <v>1255</v>
      </c>
      <c r="D78">
        <f t="shared" si="1"/>
        <v>1</v>
      </c>
      <c r="E78" t="s">
        <v>19</v>
      </c>
      <c r="F78" t="s">
        <v>2040</v>
      </c>
      <c r="G78" t="s">
        <v>326</v>
      </c>
      <c r="N78" s="107"/>
    </row>
    <row r="79" spans="1:14" x14ac:dyDescent="0.3">
      <c r="A79" t="s">
        <v>149</v>
      </c>
      <c r="B79" t="s">
        <v>455</v>
      </c>
      <c r="C79" t="s">
        <v>1255</v>
      </c>
      <c r="D79">
        <f t="shared" si="1"/>
        <v>1</v>
      </c>
      <c r="E79" t="s">
        <v>19</v>
      </c>
      <c r="F79" t="s">
        <v>2041</v>
      </c>
      <c r="G79" t="s">
        <v>326</v>
      </c>
      <c r="N79" s="107"/>
    </row>
    <row r="80" spans="1:14" x14ac:dyDescent="0.3">
      <c r="A80" t="s">
        <v>149</v>
      </c>
      <c r="B80" t="s">
        <v>558</v>
      </c>
      <c r="C80" t="s">
        <v>1255</v>
      </c>
      <c r="D80">
        <f t="shared" si="1"/>
        <v>1</v>
      </c>
      <c r="E80" t="s">
        <v>19</v>
      </c>
      <c r="F80" t="s">
        <v>2042</v>
      </c>
      <c r="G80" t="s">
        <v>326</v>
      </c>
      <c r="N80" s="107"/>
    </row>
    <row r="81" spans="1:14" x14ac:dyDescent="0.3">
      <c r="A81" t="s">
        <v>149</v>
      </c>
      <c r="B81" t="s">
        <v>446</v>
      </c>
      <c r="C81" t="s">
        <v>1257</v>
      </c>
      <c r="D81">
        <f t="shared" si="1"/>
        <v>1</v>
      </c>
      <c r="E81" t="s">
        <v>19</v>
      </c>
      <c r="F81" t="s">
        <v>1257</v>
      </c>
      <c r="G81" t="s">
        <v>326</v>
      </c>
      <c r="N81" s="107"/>
    </row>
    <row r="82" spans="1:14" x14ac:dyDescent="0.3">
      <c r="A82" t="s">
        <v>149</v>
      </c>
      <c r="B82" t="s">
        <v>773</v>
      </c>
      <c r="C82" t="s">
        <v>1260</v>
      </c>
      <c r="D82">
        <f t="shared" si="1"/>
        <v>1</v>
      </c>
      <c r="E82" t="s">
        <v>19</v>
      </c>
      <c r="F82" t="s">
        <v>1260</v>
      </c>
      <c r="G82" t="s">
        <v>326</v>
      </c>
      <c r="N82" s="107"/>
    </row>
    <row r="83" spans="1:14" x14ac:dyDescent="0.3">
      <c r="A83" t="s">
        <v>149</v>
      </c>
      <c r="B83" t="s">
        <v>446</v>
      </c>
      <c r="C83" t="s">
        <v>1277</v>
      </c>
      <c r="D83">
        <f t="shared" si="1"/>
        <v>1</v>
      </c>
      <c r="E83" t="s">
        <v>19</v>
      </c>
      <c r="F83" t="s">
        <v>1277</v>
      </c>
      <c r="G83" t="s">
        <v>326</v>
      </c>
      <c r="N83" s="107"/>
    </row>
    <row r="84" spans="1:14" x14ac:dyDescent="0.3">
      <c r="A84" t="s">
        <v>149</v>
      </c>
      <c r="B84" t="s">
        <v>556</v>
      </c>
      <c r="C84" t="s">
        <v>1279</v>
      </c>
      <c r="D84">
        <f t="shared" si="1"/>
        <v>1</v>
      </c>
      <c r="E84" t="s">
        <v>19</v>
      </c>
      <c r="F84" t="s">
        <v>1279</v>
      </c>
      <c r="G84" t="s">
        <v>326</v>
      </c>
      <c r="N84" s="107"/>
    </row>
    <row r="85" spans="1:14" x14ac:dyDescent="0.3">
      <c r="A85" t="s">
        <v>149</v>
      </c>
      <c r="B85" t="s">
        <v>900</v>
      </c>
      <c r="C85" t="s">
        <v>1337</v>
      </c>
      <c r="D85">
        <f t="shared" si="1"/>
        <v>1</v>
      </c>
      <c r="E85" t="s">
        <v>19</v>
      </c>
      <c r="F85" t="s">
        <v>1337</v>
      </c>
      <c r="G85" t="s">
        <v>326</v>
      </c>
      <c r="N85" s="107"/>
    </row>
    <row r="86" spans="1:14" x14ac:dyDescent="0.3">
      <c r="A86" t="s">
        <v>149</v>
      </c>
      <c r="B86" t="s">
        <v>558</v>
      </c>
      <c r="C86" t="s">
        <v>1371</v>
      </c>
      <c r="D86">
        <f t="shared" si="1"/>
        <v>1</v>
      </c>
      <c r="E86" t="s">
        <v>19</v>
      </c>
      <c r="F86" t="s">
        <v>1371</v>
      </c>
      <c r="G86" t="s">
        <v>326</v>
      </c>
      <c r="N86" s="107"/>
    </row>
    <row r="87" spans="1:14" x14ac:dyDescent="0.3">
      <c r="A87" t="s">
        <v>149</v>
      </c>
      <c r="B87" t="s">
        <v>738</v>
      </c>
      <c r="C87" t="s">
        <v>1376</v>
      </c>
      <c r="D87">
        <f t="shared" si="1"/>
        <v>1</v>
      </c>
      <c r="E87" t="s">
        <v>19</v>
      </c>
      <c r="F87" t="s">
        <v>1376</v>
      </c>
      <c r="G87" t="s">
        <v>326</v>
      </c>
      <c r="N87" s="107"/>
    </row>
    <row r="88" spans="1:14" x14ac:dyDescent="0.3">
      <c r="A88" t="s">
        <v>149</v>
      </c>
      <c r="B88" t="s">
        <v>455</v>
      </c>
      <c r="C88" t="s">
        <v>1377</v>
      </c>
      <c r="D88">
        <f t="shared" si="1"/>
        <v>1</v>
      </c>
      <c r="E88" t="s">
        <v>19</v>
      </c>
      <c r="F88" t="s">
        <v>1377</v>
      </c>
      <c r="G88" t="s">
        <v>326</v>
      </c>
      <c r="N88" s="107"/>
    </row>
    <row r="89" spans="1:14" x14ac:dyDescent="0.3">
      <c r="A89" t="s">
        <v>149</v>
      </c>
      <c r="B89" t="s">
        <v>942</v>
      </c>
      <c r="C89" t="s">
        <v>1382</v>
      </c>
      <c r="D89">
        <f t="shared" si="1"/>
        <v>1</v>
      </c>
      <c r="E89" t="s">
        <v>19</v>
      </c>
      <c r="F89" t="s">
        <v>2327</v>
      </c>
      <c r="G89" t="s">
        <v>326</v>
      </c>
      <c r="N89" s="107"/>
    </row>
    <row r="90" spans="1:14" x14ac:dyDescent="0.3">
      <c r="A90" t="s">
        <v>149</v>
      </c>
      <c r="B90" t="s">
        <v>943</v>
      </c>
      <c r="C90" t="s">
        <v>1382</v>
      </c>
      <c r="D90">
        <f t="shared" si="1"/>
        <v>1</v>
      </c>
      <c r="E90" t="s">
        <v>19</v>
      </c>
      <c r="F90" t="s">
        <v>2328</v>
      </c>
      <c r="G90" t="s">
        <v>326</v>
      </c>
      <c r="N90" s="107"/>
    </row>
    <row r="91" spans="1:14" x14ac:dyDescent="0.3">
      <c r="A91" t="s">
        <v>149</v>
      </c>
      <c r="B91" t="s">
        <v>944</v>
      </c>
      <c r="C91" t="s">
        <v>1382</v>
      </c>
      <c r="D91">
        <f t="shared" si="1"/>
        <v>1</v>
      </c>
      <c r="E91" t="s">
        <v>19</v>
      </c>
      <c r="F91" t="s">
        <v>2329</v>
      </c>
      <c r="G91" t="s">
        <v>326</v>
      </c>
      <c r="N91" s="107"/>
    </row>
    <row r="92" spans="1:14" x14ac:dyDescent="0.3">
      <c r="A92" t="s">
        <v>149</v>
      </c>
      <c r="B92" t="s">
        <v>451</v>
      </c>
      <c r="C92" t="s">
        <v>1382</v>
      </c>
      <c r="D92">
        <f t="shared" si="1"/>
        <v>1</v>
      </c>
      <c r="E92" t="s">
        <v>19</v>
      </c>
      <c r="F92" t="s">
        <v>2330</v>
      </c>
      <c r="G92" t="s">
        <v>326</v>
      </c>
      <c r="N92" s="107"/>
    </row>
    <row r="93" spans="1:14" x14ac:dyDescent="0.3">
      <c r="A93" t="s">
        <v>149</v>
      </c>
      <c r="B93" t="s">
        <v>945</v>
      </c>
      <c r="C93" t="s">
        <v>1382</v>
      </c>
      <c r="D93">
        <f t="shared" si="1"/>
        <v>1</v>
      </c>
      <c r="E93" t="s">
        <v>19</v>
      </c>
      <c r="F93" t="s">
        <v>2331</v>
      </c>
      <c r="G93" t="s">
        <v>326</v>
      </c>
      <c r="N93" s="107"/>
    </row>
    <row r="94" spans="1:14" x14ac:dyDescent="0.3">
      <c r="A94" t="s">
        <v>149</v>
      </c>
      <c r="B94" t="s">
        <v>454</v>
      </c>
      <c r="C94" t="s">
        <v>1382</v>
      </c>
      <c r="D94">
        <f t="shared" si="1"/>
        <v>1</v>
      </c>
      <c r="E94" t="s">
        <v>19</v>
      </c>
      <c r="F94" t="s">
        <v>2332</v>
      </c>
      <c r="G94" t="s">
        <v>326</v>
      </c>
      <c r="N94" s="107"/>
    </row>
    <row r="95" spans="1:14" x14ac:dyDescent="0.3">
      <c r="A95" t="s">
        <v>149</v>
      </c>
      <c r="B95" t="s">
        <v>455</v>
      </c>
      <c r="C95" t="s">
        <v>1382</v>
      </c>
      <c r="D95">
        <f t="shared" si="1"/>
        <v>1</v>
      </c>
      <c r="E95" t="s">
        <v>19</v>
      </c>
      <c r="F95" t="s">
        <v>2333</v>
      </c>
      <c r="G95" t="s">
        <v>326</v>
      </c>
      <c r="N95" s="107"/>
    </row>
    <row r="96" spans="1:14" x14ac:dyDescent="0.3">
      <c r="A96" t="s">
        <v>149</v>
      </c>
      <c r="B96" t="s">
        <v>946</v>
      </c>
      <c r="C96" t="s">
        <v>1382</v>
      </c>
      <c r="D96">
        <f t="shared" si="1"/>
        <v>1</v>
      </c>
      <c r="E96" t="s">
        <v>19</v>
      </c>
      <c r="F96" t="s">
        <v>2334</v>
      </c>
      <c r="G96" t="s">
        <v>326</v>
      </c>
      <c r="N96" s="107"/>
    </row>
    <row r="97" spans="1:14" x14ac:dyDescent="0.3">
      <c r="A97" t="s">
        <v>149</v>
      </c>
      <c r="B97" t="s">
        <v>756</v>
      </c>
      <c r="C97" t="s">
        <v>1382</v>
      </c>
      <c r="D97">
        <f t="shared" si="1"/>
        <v>1</v>
      </c>
      <c r="E97" t="s">
        <v>19</v>
      </c>
      <c r="F97" t="s">
        <v>2335</v>
      </c>
      <c r="G97" t="s">
        <v>326</v>
      </c>
      <c r="N97" s="107"/>
    </row>
    <row r="98" spans="1:14" x14ac:dyDescent="0.3">
      <c r="A98" t="s">
        <v>149</v>
      </c>
      <c r="B98" t="s">
        <v>947</v>
      </c>
      <c r="C98" t="s">
        <v>1388</v>
      </c>
      <c r="D98">
        <f t="shared" si="1"/>
        <v>1</v>
      </c>
      <c r="E98" t="s">
        <v>19</v>
      </c>
      <c r="F98" t="s">
        <v>1388</v>
      </c>
      <c r="G98" t="s">
        <v>326</v>
      </c>
      <c r="N98" s="107"/>
    </row>
    <row r="99" spans="1:14" x14ac:dyDescent="0.3">
      <c r="A99" t="s">
        <v>149</v>
      </c>
      <c r="B99" t="s">
        <v>558</v>
      </c>
      <c r="C99" t="s">
        <v>1386</v>
      </c>
      <c r="D99">
        <f t="shared" si="1"/>
        <v>1</v>
      </c>
      <c r="E99" t="s">
        <v>19</v>
      </c>
      <c r="F99" t="s">
        <v>2354</v>
      </c>
      <c r="G99" t="s">
        <v>326</v>
      </c>
      <c r="N99" s="107"/>
    </row>
    <row r="100" spans="1:14" x14ac:dyDescent="0.3">
      <c r="A100" t="s">
        <v>149</v>
      </c>
      <c r="B100" t="s">
        <v>955</v>
      </c>
      <c r="C100" t="s">
        <v>1394</v>
      </c>
      <c r="D100">
        <f t="shared" si="1"/>
        <v>1</v>
      </c>
      <c r="E100" t="s">
        <v>19</v>
      </c>
      <c r="F100" t="s">
        <v>2358</v>
      </c>
      <c r="G100" t="s">
        <v>326</v>
      </c>
      <c r="N100" s="107"/>
    </row>
    <row r="101" spans="1:14" x14ac:dyDescent="0.3">
      <c r="A101" t="s">
        <v>149</v>
      </c>
      <c r="B101" t="s">
        <v>556</v>
      </c>
      <c r="C101" t="s">
        <v>1419</v>
      </c>
      <c r="D101">
        <f t="shared" si="1"/>
        <v>1</v>
      </c>
      <c r="E101" t="s">
        <v>19</v>
      </c>
      <c r="F101" t="s">
        <v>2521</v>
      </c>
      <c r="G101" t="s">
        <v>326</v>
      </c>
      <c r="N101" s="107"/>
    </row>
    <row r="102" spans="1:14" x14ac:dyDescent="0.3">
      <c r="A102" t="s">
        <v>149</v>
      </c>
      <c r="B102" t="s">
        <v>738</v>
      </c>
      <c r="C102" t="s">
        <v>1420</v>
      </c>
      <c r="D102">
        <f t="shared" si="1"/>
        <v>1</v>
      </c>
      <c r="E102" t="s">
        <v>19</v>
      </c>
      <c r="F102" t="s">
        <v>2523</v>
      </c>
      <c r="G102" t="s">
        <v>326</v>
      </c>
      <c r="N102" s="107"/>
    </row>
    <row r="103" spans="1:14" x14ac:dyDescent="0.3">
      <c r="A103" t="s">
        <v>149</v>
      </c>
      <c r="B103" t="s">
        <v>756</v>
      </c>
      <c r="C103" t="s">
        <v>1420</v>
      </c>
      <c r="D103">
        <f t="shared" si="1"/>
        <v>1</v>
      </c>
      <c r="E103" t="s">
        <v>19</v>
      </c>
      <c r="F103" t="s">
        <v>2525</v>
      </c>
      <c r="G103" t="s">
        <v>326</v>
      </c>
      <c r="N103" s="107"/>
    </row>
    <row r="104" spans="1:14" x14ac:dyDescent="0.3">
      <c r="A104" t="s">
        <v>149</v>
      </c>
      <c r="B104" t="s">
        <v>1017</v>
      </c>
      <c r="C104" t="s">
        <v>1420</v>
      </c>
      <c r="D104">
        <f t="shared" si="1"/>
        <v>1</v>
      </c>
      <c r="E104" t="s">
        <v>19</v>
      </c>
      <c r="F104" t="s">
        <v>2526</v>
      </c>
      <c r="G104" t="s">
        <v>326</v>
      </c>
      <c r="N104" s="107"/>
    </row>
    <row r="105" spans="1:14" x14ac:dyDescent="0.3">
      <c r="A105" t="s">
        <v>149</v>
      </c>
      <c r="B105" t="s">
        <v>451</v>
      </c>
      <c r="C105" t="s">
        <v>1420</v>
      </c>
      <c r="D105">
        <f t="shared" si="1"/>
        <v>1</v>
      </c>
      <c r="E105" t="s">
        <v>19</v>
      </c>
      <c r="F105" t="s">
        <v>2527</v>
      </c>
      <c r="G105" t="s">
        <v>326</v>
      </c>
      <c r="N105" s="107"/>
    </row>
    <row r="106" spans="1:14" x14ac:dyDescent="0.3">
      <c r="A106" t="s">
        <v>149</v>
      </c>
      <c r="B106" t="s">
        <v>447</v>
      </c>
      <c r="C106" t="s">
        <v>1420</v>
      </c>
      <c r="D106">
        <f t="shared" si="1"/>
        <v>1</v>
      </c>
      <c r="E106" t="s">
        <v>19</v>
      </c>
      <c r="F106" t="s">
        <v>2528</v>
      </c>
      <c r="G106" t="s">
        <v>326</v>
      </c>
      <c r="N106" s="107"/>
    </row>
    <row r="107" spans="1:14" x14ac:dyDescent="0.3">
      <c r="A107" t="s">
        <v>149</v>
      </c>
      <c r="B107" t="s">
        <v>447</v>
      </c>
      <c r="C107" t="s">
        <v>1420</v>
      </c>
      <c r="D107">
        <f t="shared" si="1"/>
        <v>1</v>
      </c>
      <c r="E107" t="s">
        <v>19</v>
      </c>
      <c r="F107" t="e">
        <v>#N/A</v>
      </c>
      <c r="G107" t="s">
        <v>326</v>
      </c>
      <c r="N107" s="107"/>
    </row>
    <row r="108" spans="1:14" x14ac:dyDescent="0.3">
      <c r="A108" t="s">
        <v>149</v>
      </c>
      <c r="B108" t="s">
        <v>447</v>
      </c>
      <c r="C108" t="s">
        <v>1420</v>
      </c>
      <c r="D108">
        <f t="shared" si="1"/>
        <v>1</v>
      </c>
      <c r="E108" t="s">
        <v>19</v>
      </c>
      <c r="F108" t="s">
        <v>2529</v>
      </c>
      <c r="G108" t="s">
        <v>326</v>
      </c>
      <c r="N108" s="107"/>
    </row>
    <row r="109" spans="1:14" x14ac:dyDescent="0.3">
      <c r="A109" t="s">
        <v>149</v>
      </c>
      <c r="B109" t="s">
        <v>447</v>
      </c>
      <c r="C109" t="s">
        <v>1420</v>
      </c>
      <c r="D109">
        <f t="shared" si="1"/>
        <v>1</v>
      </c>
      <c r="E109" t="s">
        <v>19</v>
      </c>
      <c r="F109" t="s">
        <v>2530</v>
      </c>
      <c r="G109" t="s">
        <v>326</v>
      </c>
      <c r="N109" s="107"/>
    </row>
    <row r="110" spans="1:14" x14ac:dyDescent="0.3">
      <c r="A110" t="s">
        <v>149</v>
      </c>
      <c r="B110" t="s">
        <v>947</v>
      </c>
      <c r="C110" t="s">
        <v>1420</v>
      </c>
      <c r="D110">
        <f t="shared" si="1"/>
        <v>1</v>
      </c>
      <c r="E110" t="s">
        <v>19</v>
      </c>
      <c r="F110" t="s">
        <v>2531</v>
      </c>
      <c r="G110" t="s">
        <v>326</v>
      </c>
      <c r="N110" s="107"/>
    </row>
    <row r="111" spans="1:14" x14ac:dyDescent="0.3">
      <c r="A111" t="s">
        <v>149</v>
      </c>
      <c r="B111" t="s">
        <v>561</v>
      </c>
      <c r="C111" t="s">
        <v>1420</v>
      </c>
      <c r="D111">
        <f t="shared" si="1"/>
        <v>1</v>
      </c>
      <c r="E111" t="s">
        <v>19</v>
      </c>
      <c r="F111" t="s">
        <v>2535</v>
      </c>
      <c r="G111" t="s">
        <v>326</v>
      </c>
      <c r="N111" s="107"/>
    </row>
    <row r="112" spans="1:14" x14ac:dyDescent="0.3">
      <c r="A112" t="s">
        <v>149</v>
      </c>
      <c r="B112" t="s">
        <v>447</v>
      </c>
      <c r="C112" t="s">
        <v>1433</v>
      </c>
      <c r="D112">
        <f t="shared" si="1"/>
        <v>1</v>
      </c>
      <c r="E112" t="s">
        <v>19</v>
      </c>
      <c r="F112" t="s">
        <v>1433</v>
      </c>
      <c r="G112" t="s">
        <v>326</v>
      </c>
      <c r="N112" s="107"/>
    </row>
    <row r="113" spans="1:14" x14ac:dyDescent="0.3">
      <c r="A113" t="s">
        <v>149</v>
      </c>
      <c r="B113" t="s">
        <v>738</v>
      </c>
      <c r="C113" t="s">
        <v>1447</v>
      </c>
      <c r="D113">
        <f t="shared" si="1"/>
        <v>1</v>
      </c>
      <c r="E113" t="s">
        <v>19</v>
      </c>
      <c r="F113" t="s">
        <v>2579</v>
      </c>
      <c r="G113" t="s">
        <v>326</v>
      </c>
      <c r="N113" s="107"/>
    </row>
    <row r="114" spans="1:14" x14ac:dyDescent="0.3">
      <c r="A114" t="s">
        <v>149</v>
      </c>
      <c r="B114" t="s">
        <v>518</v>
      </c>
      <c r="C114" t="s">
        <v>1447</v>
      </c>
      <c r="D114">
        <f t="shared" si="1"/>
        <v>1</v>
      </c>
      <c r="E114" t="s">
        <v>19</v>
      </c>
      <c r="F114" t="s">
        <v>2610</v>
      </c>
      <c r="G114" t="s">
        <v>326</v>
      </c>
      <c r="N114" s="107"/>
    </row>
    <row r="115" spans="1:14" x14ac:dyDescent="0.3">
      <c r="A115" t="s">
        <v>149</v>
      </c>
      <c r="B115" t="s">
        <v>1056</v>
      </c>
      <c r="C115" t="s">
        <v>1447</v>
      </c>
      <c r="D115">
        <f t="shared" si="1"/>
        <v>1</v>
      </c>
      <c r="E115" t="s">
        <v>19</v>
      </c>
      <c r="F115" t="s">
        <v>2614</v>
      </c>
      <c r="G115" t="s">
        <v>326</v>
      </c>
      <c r="N115" s="107"/>
    </row>
    <row r="116" spans="1:14" x14ac:dyDescent="0.3">
      <c r="A116" t="s">
        <v>149</v>
      </c>
      <c r="B116" t="s">
        <v>561</v>
      </c>
      <c r="C116" t="s">
        <v>1447</v>
      </c>
      <c r="D116">
        <f t="shared" si="1"/>
        <v>1</v>
      </c>
      <c r="E116" t="s">
        <v>19</v>
      </c>
      <c r="F116" t="s">
        <v>2617</v>
      </c>
      <c r="G116" t="s">
        <v>326</v>
      </c>
      <c r="N116" s="107"/>
    </row>
    <row r="117" spans="1:14" x14ac:dyDescent="0.3">
      <c r="A117" t="s">
        <v>149</v>
      </c>
      <c r="B117" t="s">
        <v>447</v>
      </c>
      <c r="C117" t="s">
        <v>1448</v>
      </c>
      <c r="D117">
        <f t="shared" si="1"/>
        <v>1</v>
      </c>
      <c r="E117" t="s">
        <v>19</v>
      </c>
      <c r="F117" t="s">
        <v>1448</v>
      </c>
      <c r="G117" t="s">
        <v>326</v>
      </c>
      <c r="N117" s="107"/>
    </row>
    <row r="118" spans="1:14" x14ac:dyDescent="0.3">
      <c r="A118" t="s">
        <v>149</v>
      </c>
      <c r="B118" t="s">
        <v>738</v>
      </c>
      <c r="C118" t="s">
        <v>1457</v>
      </c>
      <c r="D118">
        <f t="shared" si="1"/>
        <v>1</v>
      </c>
      <c r="E118" t="s">
        <v>19</v>
      </c>
      <c r="F118" t="s">
        <v>1457</v>
      </c>
      <c r="G118" t="s">
        <v>326</v>
      </c>
      <c r="N118" s="107"/>
    </row>
    <row r="119" spans="1:14" x14ac:dyDescent="0.3">
      <c r="A119" t="s">
        <v>149</v>
      </c>
      <c r="B119" t="s">
        <v>1082</v>
      </c>
      <c r="C119" t="s">
        <v>1475</v>
      </c>
      <c r="D119">
        <f t="shared" si="1"/>
        <v>1</v>
      </c>
      <c r="E119" t="s">
        <v>19</v>
      </c>
      <c r="F119" t="s">
        <v>2687</v>
      </c>
      <c r="G119" t="s">
        <v>326</v>
      </c>
      <c r="N119" s="107"/>
    </row>
    <row r="120" spans="1:14" x14ac:dyDescent="0.3">
      <c r="A120" t="s">
        <v>149</v>
      </c>
      <c r="B120" t="s">
        <v>454</v>
      </c>
      <c r="C120" t="s">
        <v>1482</v>
      </c>
      <c r="D120">
        <f t="shared" si="1"/>
        <v>1</v>
      </c>
      <c r="E120" t="s">
        <v>19</v>
      </c>
      <c r="F120" t="s">
        <v>2692</v>
      </c>
      <c r="G120" t="s">
        <v>326</v>
      </c>
      <c r="N120" s="107"/>
    </row>
    <row r="121" spans="1:14" x14ac:dyDescent="0.3">
      <c r="A121" t="s">
        <v>149</v>
      </c>
      <c r="B121" t="s">
        <v>738</v>
      </c>
      <c r="C121" t="s">
        <v>1482</v>
      </c>
      <c r="D121">
        <f t="shared" si="1"/>
        <v>1</v>
      </c>
      <c r="E121" t="s">
        <v>19</v>
      </c>
      <c r="F121" t="s">
        <v>2693</v>
      </c>
      <c r="G121" t="s">
        <v>326</v>
      </c>
      <c r="N121" s="107"/>
    </row>
    <row r="122" spans="1:14" x14ac:dyDescent="0.3">
      <c r="A122" t="s">
        <v>149</v>
      </c>
      <c r="B122" t="s">
        <v>561</v>
      </c>
      <c r="C122" t="s">
        <v>1483</v>
      </c>
      <c r="D122">
        <f t="shared" si="1"/>
        <v>1</v>
      </c>
      <c r="E122" t="s">
        <v>19</v>
      </c>
      <c r="F122" t="s">
        <v>2695</v>
      </c>
      <c r="G122" t="s">
        <v>326</v>
      </c>
      <c r="N122" s="107"/>
    </row>
    <row r="123" spans="1:14" x14ac:dyDescent="0.3">
      <c r="A123" t="s">
        <v>149</v>
      </c>
      <c r="B123" t="s">
        <v>552</v>
      </c>
      <c r="C123" t="s">
        <v>1484</v>
      </c>
      <c r="D123">
        <f t="shared" si="1"/>
        <v>1</v>
      </c>
      <c r="E123" t="s">
        <v>19</v>
      </c>
      <c r="F123" t="s">
        <v>1484</v>
      </c>
      <c r="G123" t="s">
        <v>326</v>
      </c>
      <c r="N123" s="107"/>
    </row>
    <row r="124" spans="1:14" x14ac:dyDescent="0.3">
      <c r="A124" t="s">
        <v>149</v>
      </c>
      <c r="B124" t="s">
        <v>447</v>
      </c>
      <c r="C124" t="s">
        <v>1483</v>
      </c>
      <c r="D124">
        <f t="shared" si="1"/>
        <v>1</v>
      </c>
      <c r="E124" t="s">
        <v>19</v>
      </c>
      <c r="F124" t="s">
        <v>2696</v>
      </c>
      <c r="G124" t="s">
        <v>326</v>
      </c>
      <c r="N124" s="107"/>
    </row>
    <row r="125" spans="1:14" x14ac:dyDescent="0.3">
      <c r="A125" t="s">
        <v>149</v>
      </c>
      <c r="B125" t="s">
        <v>947</v>
      </c>
      <c r="C125" t="s">
        <v>1482</v>
      </c>
      <c r="D125">
        <f t="shared" si="1"/>
        <v>1</v>
      </c>
      <c r="E125" t="s">
        <v>19</v>
      </c>
      <c r="F125" t="s">
        <v>2700</v>
      </c>
      <c r="G125" t="s">
        <v>326</v>
      </c>
      <c r="N125" s="107"/>
    </row>
    <row r="126" spans="1:14" x14ac:dyDescent="0.3">
      <c r="A126" t="s">
        <v>149</v>
      </c>
      <c r="B126" t="s">
        <v>558</v>
      </c>
      <c r="C126" t="s">
        <v>1491</v>
      </c>
      <c r="D126">
        <f t="shared" si="1"/>
        <v>1</v>
      </c>
      <c r="E126" t="s">
        <v>19</v>
      </c>
      <c r="F126" t="s">
        <v>1491</v>
      </c>
      <c r="G126" t="s">
        <v>326</v>
      </c>
      <c r="N126" s="107"/>
    </row>
    <row r="127" spans="1:14" x14ac:dyDescent="0.3">
      <c r="A127" t="s">
        <v>149</v>
      </c>
      <c r="B127" t="s">
        <v>1102</v>
      </c>
      <c r="C127" t="s">
        <v>1501</v>
      </c>
      <c r="D127">
        <f t="shared" si="1"/>
        <v>1</v>
      </c>
      <c r="E127" t="s">
        <v>19</v>
      </c>
      <c r="F127" t="s">
        <v>1501</v>
      </c>
      <c r="G127" t="s">
        <v>326</v>
      </c>
      <c r="N127" s="107"/>
    </row>
    <row r="128" spans="1:14" x14ac:dyDescent="0.3">
      <c r="A128" t="s">
        <v>149</v>
      </c>
      <c r="B128" t="s">
        <v>900</v>
      </c>
      <c r="C128" t="s">
        <v>1502</v>
      </c>
      <c r="D128">
        <f t="shared" si="1"/>
        <v>1</v>
      </c>
      <c r="E128" t="s">
        <v>19</v>
      </c>
      <c r="F128" t="s">
        <v>1502</v>
      </c>
      <c r="G128" t="s">
        <v>326</v>
      </c>
      <c r="N128" s="107"/>
    </row>
    <row r="129" spans="1:14" x14ac:dyDescent="0.3">
      <c r="A129" t="s">
        <v>149</v>
      </c>
      <c r="B129" t="s">
        <v>556</v>
      </c>
      <c r="C129" t="s">
        <v>1513</v>
      </c>
      <c r="D129">
        <f t="shared" si="1"/>
        <v>1</v>
      </c>
      <c r="E129" t="s">
        <v>19</v>
      </c>
      <c r="F129" t="s">
        <v>2806</v>
      </c>
      <c r="G129" t="s">
        <v>326</v>
      </c>
      <c r="N129" s="107"/>
    </row>
    <row r="130" spans="1:14" x14ac:dyDescent="0.3">
      <c r="A130" t="s">
        <v>149</v>
      </c>
      <c r="B130" t="s">
        <v>558</v>
      </c>
      <c r="C130" t="s">
        <v>1515</v>
      </c>
      <c r="D130">
        <f t="shared" ref="D130:D193" si="2">SIGN(SUBTOTAL(3,E130))</f>
        <v>1</v>
      </c>
      <c r="E130" t="s">
        <v>19</v>
      </c>
      <c r="F130" t="s">
        <v>2807</v>
      </c>
      <c r="G130" t="s">
        <v>326</v>
      </c>
      <c r="N130" s="107"/>
    </row>
    <row r="131" spans="1:14" x14ac:dyDescent="0.3">
      <c r="A131" t="s">
        <v>149</v>
      </c>
      <c r="B131" t="s">
        <v>900</v>
      </c>
      <c r="C131" t="s">
        <v>1516</v>
      </c>
      <c r="D131">
        <f t="shared" si="2"/>
        <v>1</v>
      </c>
      <c r="E131" t="s">
        <v>19</v>
      </c>
      <c r="F131" t="s">
        <v>1516</v>
      </c>
      <c r="G131" t="s">
        <v>326</v>
      </c>
      <c r="N131" s="107"/>
    </row>
    <row r="132" spans="1:14" x14ac:dyDescent="0.3">
      <c r="A132" t="s">
        <v>149</v>
      </c>
      <c r="B132" t="s">
        <v>1121</v>
      </c>
      <c r="C132" t="s">
        <v>1517</v>
      </c>
      <c r="D132">
        <f t="shared" si="2"/>
        <v>1</v>
      </c>
      <c r="E132" t="s">
        <v>19</v>
      </c>
      <c r="F132" t="s">
        <v>2809</v>
      </c>
      <c r="G132" t="s">
        <v>326</v>
      </c>
      <c r="N132" s="107"/>
    </row>
    <row r="133" spans="1:14" x14ac:dyDescent="0.3">
      <c r="A133" t="s">
        <v>149</v>
      </c>
      <c r="B133" t="s">
        <v>561</v>
      </c>
      <c r="C133" t="s">
        <v>1526</v>
      </c>
      <c r="D133">
        <f t="shared" si="2"/>
        <v>1</v>
      </c>
      <c r="E133" t="s">
        <v>19</v>
      </c>
      <c r="F133" t="s">
        <v>1526</v>
      </c>
      <c r="G133" t="s">
        <v>326</v>
      </c>
      <c r="N133" s="107"/>
    </row>
    <row r="134" spans="1:14" x14ac:dyDescent="0.3">
      <c r="A134" t="s">
        <v>149</v>
      </c>
      <c r="B134" t="s">
        <v>447</v>
      </c>
      <c r="C134" t="s">
        <v>1527</v>
      </c>
      <c r="D134">
        <f t="shared" si="2"/>
        <v>1</v>
      </c>
      <c r="E134" t="s">
        <v>19</v>
      </c>
      <c r="F134" t="s">
        <v>1527</v>
      </c>
      <c r="G134" t="s">
        <v>326</v>
      </c>
      <c r="N134" s="107"/>
    </row>
    <row r="135" spans="1:14" x14ac:dyDescent="0.3">
      <c r="A135" t="s">
        <v>149</v>
      </c>
      <c r="B135" t="s">
        <v>738</v>
      </c>
      <c r="C135" t="s">
        <v>1536</v>
      </c>
      <c r="D135">
        <f t="shared" si="2"/>
        <v>1</v>
      </c>
      <c r="E135" t="s">
        <v>19</v>
      </c>
      <c r="F135" t="s">
        <v>2831</v>
      </c>
      <c r="G135" t="s">
        <v>326</v>
      </c>
      <c r="N135" s="107"/>
    </row>
    <row r="136" spans="1:14" x14ac:dyDescent="0.3">
      <c r="A136" t="s">
        <v>149</v>
      </c>
      <c r="B136" t="s">
        <v>447</v>
      </c>
      <c r="C136" t="s">
        <v>1543</v>
      </c>
      <c r="D136">
        <f t="shared" si="2"/>
        <v>1</v>
      </c>
      <c r="E136" t="s">
        <v>19</v>
      </c>
      <c r="F136" t="s">
        <v>1543</v>
      </c>
      <c r="G136" t="s">
        <v>326</v>
      </c>
      <c r="N136" s="107"/>
    </row>
    <row r="137" spans="1:14" x14ac:dyDescent="0.3">
      <c r="A137" t="s">
        <v>149</v>
      </c>
      <c r="B137" t="s">
        <v>447</v>
      </c>
      <c r="C137" t="s">
        <v>1546</v>
      </c>
      <c r="D137">
        <f t="shared" si="2"/>
        <v>1</v>
      </c>
      <c r="E137" t="s">
        <v>19</v>
      </c>
      <c r="F137" t="s">
        <v>1546</v>
      </c>
      <c r="G137" t="s">
        <v>326</v>
      </c>
      <c r="N137" s="107"/>
    </row>
    <row r="138" spans="1:14" x14ac:dyDescent="0.3">
      <c r="A138" t="s">
        <v>150</v>
      </c>
      <c r="B138" t="s">
        <v>458</v>
      </c>
      <c r="C138" t="s">
        <v>1179</v>
      </c>
      <c r="D138">
        <f t="shared" si="2"/>
        <v>1</v>
      </c>
      <c r="E138" t="s">
        <v>19</v>
      </c>
      <c r="F138" t="s">
        <v>1785</v>
      </c>
      <c r="G138" t="s">
        <v>326</v>
      </c>
      <c r="N138" s="107"/>
    </row>
    <row r="139" spans="1:14" x14ac:dyDescent="0.3">
      <c r="A139" t="s">
        <v>150</v>
      </c>
      <c r="B139" t="s">
        <v>598</v>
      </c>
      <c r="C139" t="s">
        <v>1179</v>
      </c>
      <c r="D139">
        <f t="shared" si="2"/>
        <v>1</v>
      </c>
      <c r="E139" t="s">
        <v>19</v>
      </c>
      <c r="F139" t="s">
        <v>1788</v>
      </c>
      <c r="G139" t="s">
        <v>326</v>
      </c>
      <c r="N139" s="107"/>
    </row>
    <row r="140" spans="1:14" x14ac:dyDescent="0.3">
      <c r="A140" t="s">
        <v>150</v>
      </c>
      <c r="B140" t="s">
        <v>600</v>
      </c>
      <c r="C140" t="s">
        <v>1179</v>
      </c>
      <c r="D140">
        <f t="shared" si="2"/>
        <v>1</v>
      </c>
      <c r="E140" t="s">
        <v>19</v>
      </c>
      <c r="F140" t="s">
        <v>1791</v>
      </c>
      <c r="G140" t="s">
        <v>326</v>
      </c>
      <c r="N140" s="107"/>
    </row>
    <row r="141" spans="1:14" x14ac:dyDescent="0.3">
      <c r="A141" t="s">
        <v>150</v>
      </c>
      <c r="B141" t="s">
        <v>604</v>
      </c>
      <c r="C141" t="s">
        <v>1179</v>
      </c>
      <c r="D141">
        <f t="shared" si="2"/>
        <v>1</v>
      </c>
      <c r="E141" t="s">
        <v>19</v>
      </c>
      <c r="F141" t="s">
        <v>1800</v>
      </c>
      <c r="G141" t="s">
        <v>326</v>
      </c>
      <c r="N141" s="107"/>
    </row>
    <row r="142" spans="1:14" x14ac:dyDescent="0.3">
      <c r="A142" t="s">
        <v>150</v>
      </c>
      <c r="B142" t="s">
        <v>458</v>
      </c>
      <c r="C142" t="s">
        <v>1259</v>
      </c>
      <c r="D142">
        <f t="shared" si="2"/>
        <v>1</v>
      </c>
      <c r="E142" t="s">
        <v>19</v>
      </c>
      <c r="F142" t="s">
        <v>1259</v>
      </c>
      <c r="G142" t="s">
        <v>326</v>
      </c>
      <c r="N142" s="107"/>
    </row>
    <row r="143" spans="1:14" x14ac:dyDescent="0.3">
      <c r="A143" t="s">
        <v>150</v>
      </c>
      <c r="B143" t="s">
        <v>771</v>
      </c>
      <c r="C143" t="s">
        <v>1258</v>
      </c>
      <c r="D143">
        <f t="shared" si="2"/>
        <v>1</v>
      </c>
      <c r="E143" t="s">
        <v>19</v>
      </c>
      <c r="F143" t="s">
        <v>2067</v>
      </c>
      <c r="G143" t="s">
        <v>326</v>
      </c>
      <c r="N143" s="107"/>
    </row>
    <row r="144" spans="1:14" x14ac:dyDescent="0.3">
      <c r="A144" t="s">
        <v>150</v>
      </c>
      <c r="B144" t="s">
        <v>598</v>
      </c>
      <c r="C144" t="s">
        <v>1335</v>
      </c>
      <c r="D144">
        <f t="shared" si="2"/>
        <v>1</v>
      </c>
      <c r="E144" t="s">
        <v>19</v>
      </c>
      <c r="F144" t="s">
        <v>1335</v>
      </c>
      <c r="G144" t="s">
        <v>326</v>
      </c>
      <c r="N144" s="107"/>
    </row>
    <row r="145" spans="1:14" x14ac:dyDescent="0.3">
      <c r="A145" t="s">
        <v>150</v>
      </c>
      <c r="B145" t="s">
        <v>458</v>
      </c>
      <c r="C145" t="s">
        <v>1339</v>
      </c>
      <c r="D145">
        <f t="shared" si="2"/>
        <v>1</v>
      </c>
      <c r="E145" t="s">
        <v>19</v>
      </c>
      <c r="F145" t="s">
        <v>2262</v>
      </c>
      <c r="G145" t="s">
        <v>326</v>
      </c>
      <c r="N145" s="107"/>
    </row>
    <row r="146" spans="1:14" x14ac:dyDescent="0.3">
      <c r="A146" t="s">
        <v>150</v>
      </c>
      <c r="B146" t="s">
        <v>821</v>
      </c>
      <c r="C146" t="s">
        <v>1408</v>
      </c>
      <c r="D146">
        <f t="shared" si="2"/>
        <v>1</v>
      </c>
      <c r="E146" t="s">
        <v>19</v>
      </c>
      <c r="F146" t="s">
        <v>2432</v>
      </c>
      <c r="G146" t="s">
        <v>326</v>
      </c>
      <c r="N146" s="107"/>
    </row>
    <row r="147" spans="1:14" x14ac:dyDescent="0.3">
      <c r="A147" t="s">
        <v>150</v>
      </c>
      <c r="B147" t="s">
        <v>991</v>
      </c>
      <c r="C147" t="s">
        <v>1408</v>
      </c>
      <c r="D147">
        <f t="shared" si="2"/>
        <v>1</v>
      </c>
      <c r="E147" t="s">
        <v>19</v>
      </c>
      <c r="F147" t="s">
        <v>2439</v>
      </c>
      <c r="G147" t="s">
        <v>326</v>
      </c>
      <c r="N147" s="107"/>
    </row>
    <row r="148" spans="1:14" x14ac:dyDescent="0.3">
      <c r="A148" t="s">
        <v>150</v>
      </c>
      <c r="B148" t="s">
        <v>820</v>
      </c>
      <c r="C148" t="s">
        <v>1408</v>
      </c>
      <c r="D148">
        <f t="shared" si="2"/>
        <v>1</v>
      </c>
      <c r="E148" t="s">
        <v>19</v>
      </c>
      <c r="F148" t="s">
        <v>2442</v>
      </c>
      <c r="G148" t="s">
        <v>326</v>
      </c>
      <c r="N148" s="107"/>
    </row>
    <row r="149" spans="1:14" x14ac:dyDescent="0.3">
      <c r="A149" t="s">
        <v>150</v>
      </c>
      <c r="B149" t="s">
        <v>457</v>
      </c>
      <c r="C149" t="s">
        <v>1447</v>
      </c>
      <c r="D149">
        <f t="shared" si="2"/>
        <v>1</v>
      </c>
      <c r="E149" t="s">
        <v>19</v>
      </c>
      <c r="F149" t="s">
        <v>2575</v>
      </c>
      <c r="G149" t="s">
        <v>326</v>
      </c>
      <c r="N149" s="107"/>
    </row>
    <row r="150" spans="1:14" x14ac:dyDescent="0.3">
      <c r="A150" t="s">
        <v>150</v>
      </c>
      <c r="B150" t="s">
        <v>458</v>
      </c>
      <c r="C150" t="s">
        <v>1447</v>
      </c>
      <c r="D150">
        <f t="shared" si="2"/>
        <v>1</v>
      </c>
      <c r="E150" t="s">
        <v>19</v>
      </c>
      <c r="F150" t="s">
        <v>2578</v>
      </c>
      <c r="G150" t="s">
        <v>326</v>
      </c>
      <c r="N150" s="107"/>
    </row>
    <row r="151" spans="1:14" x14ac:dyDescent="0.3">
      <c r="A151" t="s">
        <v>150</v>
      </c>
      <c r="B151" t="s">
        <v>458</v>
      </c>
      <c r="C151" t="s">
        <v>1517</v>
      </c>
      <c r="D151">
        <f t="shared" si="2"/>
        <v>1</v>
      </c>
      <c r="E151" t="s">
        <v>19</v>
      </c>
      <c r="F151" t="s">
        <v>2810</v>
      </c>
      <c r="G151" t="s">
        <v>326</v>
      </c>
      <c r="N151" s="107"/>
    </row>
    <row r="152" spans="1:14" x14ac:dyDescent="0.3">
      <c r="A152" t="s">
        <v>151</v>
      </c>
      <c r="B152" t="s">
        <v>460</v>
      </c>
      <c r="C152" t="s">
        <v>1186</v>
      </c>
      <c r="D152">
        <f t="shared" si="2"/>
        <v>1</v>
      </c>
      <c r="E152" t="s">
        <v>19</v>
      </c>
      <c r="F152" t="s">
        <v>1834</v>
      </c>
      <c r="G152" t="s">
        <v>326</v>
      </c>
      <c r="N152" s="107"/>
    </row>
    <row r="153" spans="1:14" x14ac:dyDescent="0.3">
      <c r="A153" t="s">
        <v>151</v>
      </c>
      <c r="B153" t="s">
        <v>514</v>
      </c>
      <c r="C153" t="s">
        <v>1210</v>
      </c>
      <c r="D153">
        <f t="shared" si="2"/>
        <v>1</v>
      </c>
      <c r="E153" t="s">
        <v>19</v>
      </c>
      <c r="F153" t="s">
        <v>1857</v>
      </c>
      <c r="G153" t="s">
        <v>326</v>
      </c>
      <c r="N153" s="107"/>
    </row>
    <row r="154" spans="1:14" x14ac:dyDescent="0.3">
      <c r="A154" t="s">
        <v>151</v>
      </c>
      <c r="B154" t="s">
        <v>657</v>
      </c>
      <c r="C154" t="s">
        <v>1210</v>
      </c>
      <c r="D154">
        <f t="shared" si="2"/>
        <v>1</v>
      </c>
      <c r="E154" t="s">
        <v>19</v>
      </c>
      <c r="F154" t="s">
        <v>1858</v>
      </c>
      <c r="G154" t="s">
        <v>326</v>
      </c>
      <c r="N154" s="107"/>
    </row>
    <row r="155" spans="1:14" x14ac:dyDescent="0.3">
      <c r="A155" t="s">
        <v>151</v>
      </c>
      <c r="B155" t="s">
        <v>701</v>
      </c>
      <c r="C155" t="s">
        <v>1231</v>
      </c>
      <c r="D155">
        <f t="shared" si="2"/>
        <v>1</v>
      </c>
      <c r="E155" t="s">
        <v>19</v>
      </c>
      <c r="F155" t="s">
        <v>1934</v>
      </c>
      <c r="G155" t="s">
        <v>326</v>
      </c>
      <c r="N155" s="107"/>
    </row>
    <row r="156" spans="1:14" x14ac:dyDescent="0.3">
      <c r="A156" t="s">
        <v>151</v>
      </c>
      <c r="B156" t="s">
        <v>721</v>
      </c>
      <c r="C156" t="s">
        <v>1231</v>
      </c>
      <c r="D156">
        <f t="shared" si="2"/>
        <v>1</v>
      </c>
      <c r="E156" t="s">
        <v>19</v>
      </c>
      <c r="F156" t="s">
        <v>1981</v>
      </c>
      <c r="G156" t="s">
        <v>326</v>
      </c>
      <c r="N156" s="107"/>
    </row>
    <row r="157" spans="1:14" x14ac:dyDescent="0.3">
      <c r="A157" t="s">
        <v>151</v>
      </c>
      <c r="B157" t="s">
        <v>460</v>
      </c>
      <c r="C157" t="s">
        <v>1231</v>
      </c>
      <c r="D157">
        <f t="shared" si="2"/>
        <v>1</v>
      </c>
      <c r="E157" t="s">
        <v>19</v>
      </c>
      <c r="F157" t="s">
        <v>1987</v>
      </c>
      <c r="G157" t="s">
        <v>326</v>
      </c>
      <c r="N157" s="107"/>
    </row>
    <row r="158" spans="1:14" x14ac:dyDescent="0.3">
      <c r="A158" t="s">
        <v>151</v>
      </c>
      <c r="B158" t="s">
        <v>460</v>
      </c>
      <c r="C158" t="s">
        <v>1231</v>
      </c>
      <c r="D158">
        <f t="shared" si="2"/>
        <v>1</v>
      </c>
      <c r="E158" t="s">
        <v>19</v>
      </c>
      <c r="F158" t="s">
        <v>1990</v>
      </c>
      <c r="G158" t="s">
        <v>326</v>
      </c>
      <c r="N158" s="107"/>
    </row>
    <row r="159" spans="1:14" x14ac:dyDescent="0.3">
      <c r="A159" t="s">
        <v>151</v>
      </c>
      <c r="B159" t="s">
        <v>460</v>
      </c>
      <c r="C159" t="s">
        <v>1231</v>
      </c>
      <c r="D159">
        <f t="shared" si="2"/>
        <v>1</v>
      </c>
      <c r="E159" t="s">
        <v>19</v>
      </c>
      <c r="F159" t="s">
        <v>1991</v>
      </c>
      <c r="G159" t="s">
        <v>326</v>
      </c>
      <c r="N159" s="107"/>
    </row>
    <row r="160" spans="1:14" x14ac:dyDescent="0.3">
      <c r="A160" t="s">
        <v>151</v>
      </c>
      <c r="B160" t="s">
        <v>701</v>
      </c>
      <c r="C160" t="s">
        <v>1333</v>
      </c>
      <c r="D160">
        <f t="shared" si="2"/>
        <v>1</v>
      </c>
      <c r="E160" t="s">
        <v>19</v>
      </c>
      <c r="F160" t="s">
        <v>2243</v>
      </c>
      <c r="G160" t="s">
        <v>326</v>
      </c>
      <c r="N160" s="107"/>
    </row>
    <row r="161" spans="1:14" x14ac:dyDescent="0.3">
      <c r="A161" t="s">
        <v>151</v>
      </c>
      <c r="B161" t="s">
        <v>891</v>
      </c>
      <c r="C161" t="s">
        <v>1333</v>
      </c>
      <c r="D161">
        <f t="shared" si="2"/>
        <v>1</v>
      </c>
      <c r="E161" t="s">
        <v>19</v>
      </c>
      <c r="F161" t="s">
        <v>2244</v>
      </c>
      <c r="G161" t="s">
        <v>326</v>
      </c>
      <c r="N161" s="107"/>
    </row>
    <row r="162" spans="1:14" x14ac:dyDescent="0.3">
      <c r="A162" t="s">
        <v>151</v>
      </c>
      <c r="B162" t="s">
        <v>891</v>
      </c>
      <c r="C162" t="s">
        <v>1343</v>
      </c>
      <c r="D162">
        <f t="shared" si="2"/>
        <v>1</v>
      </c>
      <c r="E162" t="s">
        <v>19</v>
      </c>
      <c r="F162" t="s">
        <v>1343</v>
      </c>
      <c r="G162" t="s">
        <v>326</v>
      </c>
      <c r="N162" s="107"/>
    </row>
    <row r="163" spans="1:14" x14ac:dyDescent="0.3">
      <c r="A163" t="s">
        <v>151</v>
      </c>
      <c r="B163" t="s">
        <v>908</v>
      </c>
      <c r="C163" t="s">
        <v>1346</v>
      </c>
      <c r="D163">
        <f t="shared" si="2"/>
        <v>1</v>
      </c>
      <c r="E163" t="s">
        <v>19</v>
      </c>
      <c r="F163" t="s">
        <v>2271</v>
      </c>
      <c r="G163" t="s">
        <v>326</v>
      </c>
      <c r="N163" s="107"/>
    </row>
    <row r="164" spans="1:14" x14ac:dyDescent="0.3">
      <c r="A164" t="s">
        <v>151</v>
      </c>
      <c r="B164" t="s">
        <v>891</v>
      </c>
      <c r="C164" t="s">
        <v>1346</v>
      </c>
      <c r="D164">
        <f t="shared" si="2"/>
        <v>1</v>
      </c>
      <c r="E164" t="s">
        <v>19</v>
      </c>
      <c r="F164" t="s">
        <v>2280</v>
      </c>
      <c r="G164" t="s">
        <v>326</v>
      </c>
      <c r="N164" s="107"/>
    </row>
    <row r="165" spans="1:14" x14ac:dyDescent="0.3">
      <c r="A165" t="s">
        <v>151</v>
      </c>
      <c r="B165" t="s">
        <v>921</v>
      </c>
      <c r="C165" t="s">
        <v>1355</v>
      </c>
      <c r="D165">
        <f t="shared" si="2"/>
        <v>1</v>
      </c>
      <c r="E165" t="s">
        <v>19</v>
      </c>
      <c r="F165" t="s">
        <v>2302</v>
      </c>
      <c r="G165" t="s">
        <v>326</v>
      </c>
      <c r="N165" s="107"/>
    </row>
    <row r="166" spans="1:14" x14ac:dyDescent="0.3">
      <c r="A166" t="s">
        <v>151</v>
      </c>
      <c r="B166" t="s">
        <v>1030</v>
      </c>
      <c r="C166" t="s">
        <v>1429</v>
      </c>
      <c r="D166">
        <f t="shared" si="2"/>
        <v>1</v>
      </c>
      <c r="E166" t="s">
        <v>19</v>
      </c>
      <c r="F166" t="s">
        <v>1429</v>
      </c>
      <c r="G166" t="s">
        <v>326</v>
      </c>
      <c r="N166" s="107"/>
    </row>
    <row r="167" spans="1:14" x14ac:dyDescent="0.3">
      <c r="A167" t="s">
        <v>151</v>
      </c>
      <c r="B167" t="s">
        <v>460</v>
      </c>
      <c r="C167" t="s">
        <v>1440</v>
      </c>
      <c r="D167">
        <f t="shared" si="2"/>
        <v>1</v>
      </c>
      <c r="E167" t="s">
        <v>19</v>
      </c>
      <c r="F167" t="s">
        <v>2566</v>
      </c>
      <c r="G167" t="s">
        <v>326</v>
      </c>
      <c r="N167" s="107"/>
    </row>
    <row r="168" spans="1:14" x14ac:dyDescent="0.3">
      <c r="A168" t="s">
        <v>151</v>
      </c>
      <c r="B168" t="s">
        <v>460</v>
      </c>
      <c r="C168" t="s">
        <v>1440</v>
      </c>
      <c r="D168">
        <f t="shared" si="2"/>
        <v>1</v>
      </c>
      <c r="E168" t="s">
        <v>19</v>
      </c>
      <c r="F168" t="s">
        <v>2567</v>
      </c>
      <c r="G168" t="s">
        <v>326</v>
      </c>
      <c r="N168" s="107"/>
    </row>
    <row r="169" spans="1:14" x14ac:dyDescent="0.3">
      <c r="A169" t="s">
        <v>151</v>
      </c>
      <c r="B169" t="s">
        <v>1073</v>
      </c>
      <c r="C169" t="s">
        <v>1465</v>
      </c>
      <c r="D169">
        <f t="shared" si="2"/>
        <v>1</v>
      </c>
      <c r="E169" t="s">
        <v>19</v>
      </c>
      <c r="F169" t="s">
        <v>2645</v>
      </c>
      <c r="G169" t="s">
        <v>326</v>
      </c>
      <c r="N169" s="107"/>
    </row>
    <row r="170" spans="1:14" x14ac:dyDescent="0.3">
      <c r="A170" t="s">
        <v>151</v>
      </c>
      <c r="B170" t="s">
        <v>460</v>
      </c>
      <c r="C170" t="s">
        <v>1483</v>
      </c>
      <c r="D170">
        <f t="shared" si="2"/>
        <v>1</v>
      </c>
      <c r="E170" t="s">
        <v>19</v>
      </c>
      <c r="F170" t="s">
        <v>2703</v>
      </c>
      <c r="G170" t="s">
        <v>326</v>
      </c>
      <c r="N170" s="107"/>
    </row>
    <row r="171" spans="1:14" x14ac:dyDescent="0.3">
      <c r="A171" t="s">
        <v>151</v>
      </c>
      <c r="B171" t="s">
        <v>891</v>
      </c>
      <c r="C171" t="s">
        <v>1486</v>
      </c>
      <c r="D171">
        <f t="shared" si="2"/>
        <v>1</v>
      </c>
      <c r="E171" t="s">
        <v>19</v>
      </c>
      <c r="F171" t="s">
        <v>1486</v>
      </c>
      <c r="G171" t="s">
        <v>326</v>
      </c>
      <c r="N171" s="107"/>
    </row>
    <row r="172" spans="1:14" x14ac:dyDescent="0.3">
      <c r="A172" t="s">
        <v>151</v>
      </c>
      <c r="B172" t="s">
        <v>460</v>
      </c>
      <c r="C172" t="s">
        <v>1530</v>
      </c>
      <c r="D172">
        <f t="shared" si="2"/>
        <v>1</v>
      </c>
      <c r="E172" t="s">
        <v>19</v>
      </c>
      <c r="F172" t="s">
        <v>1530</v>
      </c>
      <c r="G172" t="s">
        <v>326</v>
      </c>
      <c r="N172" s="107"/>
    </row>
    <row r="173" spans="1:14" x14ac:dyDescent="0.3">
      <c r="A173" t="s">
        <v>152</v>
      </c>
      <c r="B173" t="s">
        <v>561</v>
      </c>
      <c r="C173" t="s">
        <v>1231</v>
      </c>
      <c r="D173">
        <f t="shared" si="2"/>
        <v>1</v>
      </c>
      <c r="E173" t="s">
        <v>19</v>
      </c>
      <c r="F173" t="s">
        <v>1988</v>
      </c>
      <c r="G173" t="s">
        <v>326</v>
      </c>
      <c r="N173" s="107"/>
    </row>
    <row r="174" spans="1:14" x14ac:dyDescent="0.3">
      <c r="A174" t="s">
        <v>153</v>
      </c>
      <c r="B174" t="s">
        <v>461</v>
      </c>
      <c r="C174" t="s">
        <v>1160</v>
      </c>
      <c r="D174">
        <f t="shared" si="2"/>
        <v>1</v>
      </c>
      <c r="E174" t="s">
        <v>19</v>
      </c>
      <c r="F174" t="s">
        <v>1160</v>
      </c>
      <c r="G174" t="s">
        <v>326</v>
      </c>
      <c r="N174" s="107"/>
    </row>
    <row r="175" spans="1:14" x14ac:dyDescent="0.3">
      <c r="A175" t="s">
        <v>153</v>
      </c>
      <c r="B175" t="s">
        <v>474</v>
      </c>
      <c r="C175" t="s">
        <v>1161</v>
      </c>
      <c r="D175">
        <f t="shared" si="2"/>
        <v>1</v>
      </c>
      <c r="E175" t="s">
        <v>19</v>
      </c>
      <c r="F175" t="s">
        <v>1161</v>
      </c>
      <c r="G175" t="s">
        <v>326</v>
      </c>
      <c r="N175" s="107"/>
    </row>
    <row r="176" spans="1:14" x14ac:dyDescent="0.3">
      <c r="A176" t="s">
        <v>153</v>
      </c>
      <c r="B176" t="s">
        <v>462</v>
      </c>
      <c r="C176" t="s">
        <v>1163</v>
      </c>
      <c r="D176">
        <f t="shared" si="2"/>
        <v>1</v>
      </c>
      <c r="E176" t="s">
        <v>19</v>
      </c>
      <c r="F176" t="s">
        <v>1163</v>
      </c>
      <c r="G176" t="s">
        <v>326</v>
      </c>
      <c r="N176" s="107"/>
    </row>
    <row r="177" spans="1:14" x14ac:dyDescent="0.3">
      <c r="A177" t="s">
        <v>153</v>
      </c>
      <c r="B177" t="s">
        <v>463</v>
      </c>
      <c r="C177" t="s">
        <v>1168</v>
      </c>
      <c r="D177">
        <f t="shared" si="2"/>
        <v>1</v>
      </c>
      <c r="E177" t="s">
        <v>19</v>
      </c>
      <c r="F177" t="s">
        <v>1751</v>
      </c>
      <c r="G177" t="s">
        <v>326</v>
      </c>
      <c r="N177" s="107"/>
    </row>
    <row r="178" spans="1:14" x14ac:dyDescent="0.3">
      <c r="A178" t="s">
        <v>153</v>
      </c>
      <c r="B178" t="s">
        <v>474</v>
      </c>
      <c r="C178" t="s">
        <v>1184</v>
      </c>
      <c r="D178">
        <f t="shared" si="2"/>
        <v>1</v>
      </c>
      <c r="E178" t="s">
        <v>19</v>
      </c>
      <c r="F178" t="s">
        <v>1826</v>
      </c>
      <c r="G178" t="s">
        <v>326</v>
      </c>
      <c r="N178" s="107"/>
    </row>
    <row r="179" spans="1:14" x14ac:dyDescent="0.3">
      <c r="A179" t="s">
        <v>153</v>
      </c>
      <c r="B179" t="s">
        <v>625</v>
      </c>
      <c r="C179" t="s">
        <v>1184</v>
      </c>
      <c r="D179">
        <f t="shared" si="2"/>
        <v>1</v>
      </c>
      <c r="E179" t="s">
        <v>19</v>
      </c>
      <c r="F179" t="s">
        <v>1827</v>
      </c>
      <c r="G179" t="s">
        <v>326</v>
      </c>
      <c r="N179" s="107"/>
    </row>
    <row r="180" spans="1:14" x14ac:dyDescent="0.3">
      <c r="A180" t="s">
        <v>153</v>
      </c>
      <c r="B180" t="s">
        <v>648</v>
      </c>
      <c r="C180" t="s">
        <v>1197</v>
      </c>
      <c r="D180">
        <f t="shared" si="2"/>
        <v>1</v>
      </c>
      <c r="E180" t="s">
        <v>19</v>
      </c>
      <c r="F180" t="s">
        <v>1197</v>
      </c>
      <c r="G180" t="s">
        <v>326</v>
      </c>
      <c r="N180" s="107"/>
    </row>
    <row r="181" spans="1:14" x14ac:dyDescent="0.3">
      <c r="A181" t="s">
        <v>153</v>
      </c>
      <c r="B181" t="s">
        <v>474</v>
      </c>
      <c r="C181" t="s">
        <v>1201</v>
      </c>
      <c r="D181">
        <f t="shared" si="2"/>
        <v>1</v>
      </c>
      <c r="E181" t="s">
        <v>19</v>
      </c>
      <c r="F181" t="s">
        <v>1201</v>
      </c>
      <c r="G181" t="s">
        <v>326</v>
      </c>
      <c r="N181" s="107"/>
    </row>
    <row r="182" spans="1:14" x14ac:dyDescent="0.3">
      <c r="A182" t="s">
        <v>153</v>
      </c>
      <c r="B182" t="s">
        <v>474</v>
      </c>
      <c r="C182" t="s">
        <v>1231</v>
      </c>
      <c r="D182">
        <f t="shared" si="2"/>
        <v>1</v>
      </c>
      <c r="E182" t="s">
        <v>19</v>
      </c>
      <c r="F182" t="s">
        <v>1964</v>
      </c>
      <c r="G182" t="s">
        <v>326</v>
      </c>
      <c r="N182" s="107"/>
    </row>
    <row r="183" spans="1:14" x14ac:dyDescent="0.3">
      <c r="A183" t="s">
        <v>153</v>
      </c>
      <c r="B183" t="s">
        <v>462</v>
      </c>
      <c r="C183" t="s">
        <v>1231</v>
      </c>
      <c r="D183">
        <f t="shared" si="2"/>
        <v>1</v>
      </c>
      <c r="E183" t="s">
        <v>19</v>
      </c>
      <c r="F183" t="s">
        <v>1970</v>
      </c>
      <c r="G183" t="s">
        <v>326</v>
      </c>
      <c r="N183" s="107"/>
    </row>
    <row r="184" spans="1:14" x14ac:dyDescent="0.3">
      <c r="A184" t="s">
        <v>153</v>
      </c>
      <c r="B184" t="s">
        <v>463</v>
      </c>
      <c r="C184" t="s">
        <v>1231</v>
      </c>
      <c r="D184">
        <f t="shared" si="2"/>
        <v>1</v>
      </c>
      <c r="E184" t="s">
        <v>19</v>
      </c>
      <c r="F184" t="s">
        <v>1977</v>
      </c>
      <c r="G184" t="s">
        <v>326</v>
      </c>
      <c r="N184" s="107"/>
    </row>
    <row r="185" spans="1:14" x14ac:dyDescent="0.3">
      <c r="A185" t="s">
        <v>153</v>
      </c>
      <c r="B185" t="s">
        <v>474</v>
      </c>
      <c r="C185" t="s">
        <v>1231</v>
      </c>
      <c r="D185">
        <f t="shared" si="2"/>
        <v>1</v>
      </c>
      <c r="E185" t="s">
        <v>19</v>
      </c>
      <c r="F185" t="s">
        <v>1978</v>
      </c>
      <c r="G185" t="s">
        <v>326</v>
      </c>
      <c r="N185" s="107"/>
    </row>
    <row r="186" spans="1:14" x14ac:dyDescent="0.3">
      <c r="A186" t="s">
        <v>153</v>
      </c>
      <c r="B186" t="s">
        <v>463</v>
      </c>
      <c r="C186" t="s">
        <v>1291</v>
      </c>
      <c r="D186">
        <f t="shared" si="2"/>
        <v>1</v>
      </c>
      <c r="E186" t="s">
        <v>19</v>
      </c>
      <c r="F186" t="s">
        <v>2149</v>
      </c>
      <c r="G186" t="s">
        <v>326</v>
      </c>
      <c r="N186" s="107"/>
    </row>
    <row r="187" spans="1:14" x14ac:dyDescent="0.3">
      <c r="A187" t="s">
        <v>153</v>
      </c>
      <c r="B187" t="s">
        <v>462</v>
      </c>
      <c r="C187" t="s">
        <v>1323</v>
      </c>
      <c r="D187">
        <f t="shared" si="2"/>
        <v>1</v>
      </c>
      <c r="E187" t="s">
        <v>19</v>
      </c>
      <c r="F187" t="s">
        <v>2227</v>
      </c>
      <c r="G187" t="s">
        <v>326</v>
      </c>
      <c r="N187" s="107"/>
    </row>
    <row r="188" spans="1:14" x14ac:dyDescent="0.3">
      <c r="A188" t="s">
        <v>153</v>
      </c>
      <c r="B188" t="s">
        <v>474</v>
      </c>
      <c r="C188" t="s">
        <v>1384</v>
      </c>
      <c r="D188">
        <f t="shared" si="2"/>
        <v>1</v>
      </c>
      <c r="E188" t="s">
        <v>19</v>
      </c>
      <c r="F188" t="s">
        <v>2359</v>
      </c>
      <c r="G188" t="s">
        <v>326</v>
      </c>
      <c r="N188" s="107"/>
    </row>
    <row r="189" spans="1:14" x14ac:dyDescent="0.3">
      <c r="A189" t="s">
        <v>153</v>
      </c>
      <c r="B189" t="s">
        <v>464</v>
      </c>
      <c r="C189" t="s">
        <v>1397</v>
      </c>
      <c r="D189">
        <f t="shared" si="2"/>
        <v>1</v>
      </c>
      <c r="E189" t="s">
        <v>19</v>
      </c>
      <c r="F189" t="s">
        <v>2362</v>
      </c>
      <c r="G189" t="s">
        <v>326</v>
      </c>
      <c r="N189" s="107"/>
    </row>
    <row r="190" spans="1:14" x14ac:dyDescent="0.3">
      <c r="A190" t="s">
        <v>153</v>
      </c>
      <c r="B190" t="s">
        <v>994</v>
      </c>
      <c r="C190" t="s">
        <v>1415</v>
      </c>
      <c r="D190">
        <f t="shared" si="2"/>
        <v>1</v>
      </c>
      <c r="E190" t="s">
        <v>19</v>
      </c>
      <c r="F190" t="s">
        <v>2447</v>
      </c>
      <c r="G190" t="s">
        <v>326</v>
      </c>
      <c r="N190" s="107"/>
    </row>
    <row r="191" spans="1:14" x14ac:dyDescent="0.3">
      <c r="A191" t="s">
        <v>153</v>
      </c>
      <c r="B191" t="s">
        <v>462</v>
      </c>
      <c r="C191" t="s">
        <v>1418</v>
      </c>
      <c r="D191">
        <f t="shared" si="2"/>
        <v>1</v>
      </c>
      <c r="E191" t="s">
        <v>19</v>
      </c>
      <c r="F191" t="s">
        <v>2501</v>
      </c>
      <c r="G191" t="s">
        <v>326</v>
      </c>
      <c r="N191" s="107"/>
    </row>
    <row r="192" spans="1:14" x14ac:dyDescent="0.3">
      <c r="A192" t="s">
        <v>153</v>
      </c>
      <c r="B192" t="s">
        <v>474</v>
      </c>
      <c r="C192" t="s">
        <v>1418</v>
      </c>
      <c r="D192">
        <f t="shared" si="2"/>
        <v>1</v>
      </c>
      <c r="E192" t="s">
        <v>19</v>
      </c>
      <c r="F192" t="s">
        <v>2505</v>
      </c>
      <c r="G192" t="s">
        <v>326</v>
      </c>
      <c r="N192" s="107"/>
    </row>
    <row r="193" spans="1:14" x14ac:dyDescent="0.3">
      <c r="A193" t="s">
        <v>153</v>
      </c>
      <c r="B193" t="s">
        <v>462</v>
      </c>
      <c r="C193" t="s">
        <v>1418</v>
      </c>
      <c r="D193">
        <f t="shared" si="2"/>
        <v>1</v>
      </c>
      <c r="E193" t="s">
        <v>19</v>
      </c>
      <c r="F193" t="s">
        <v>2513</v>
      </c>
      <c r="G193" t="s">
        <v>326</v>
      </c>
      <c r="N193" s="107"/>
    </row>
    <row r="194" spans="1:14" x14ac:dyDescent="0.3">
      <c r="A194" t="s">
        <v>153</v>
      </c>
      <c r="B194" t="s">
        <v>474</v>
      </c>
      <c r="C194" t="s">
        <v>1424</v>
      </c>
      <c r="D194">
        <f t="shared" ref="D194:D257" si="3">SIGN(SUBTOTAL(3,E194))</f>
        <v>1</v>
      </c>
      <c r="E194" t="s">
        <v>19</v>
      </c>
      <c r="F194" t="s">
        <v>1424</v>
      </c>
      <c r="G194" t="s">
        <v>326</v>
      </c>
      <c r="N194" s="107"/>
    </row>
    <row r="195" spans="1:14" x14ac:dyDescent="0.3">
      <c r="A195" t="s">
        <v>153</v>
      </c>
      <c r="B195" t="s">
        <v>463</v>
      </c>
      <c r="C195" t="s">
        <v>1428</v>
      </c>
      <c r="D195">
        <f t="shared" si="3"/>
        <v>1</v>
      </c>
      <c r="E195" t="s">
        <v>19</v>
      </c>
      <c r="F195" t="s">
        <v>2559</v>
      </c>
      <c r="G195" t="s">
        <v>326</v>
      </c>
      <c r="N195" s="107"/>
    </row>
    <row r="196" spans="1:14" x14ac:dyDescent="0.3">
      <c r="A196" t="s">
        <v>153</v>
      </c>
      <c r="B196" t="s">
        <v>463</v>
      </c>
      <c r="C196" t="s">
        <v>1450</v>
      </c>
      <c r="D196">
        <f t="shared" si="3"/>
        <v>1</v>
      </c>
      <c r="E196" t="s">
        <v>19</v>
      </c>
      <c r="F196" t="s">
        <v>2621</v>
      </c>
      <c r="G196" t="s">
        <v>326</v>
      </c>
      <c r="N196" s="107"/>
    </row>
    <row r="197" spans="1:14" x14ac:dyDescent="0.3">
      <c r="A197" t="s">
        <v>153</v>
      </c>
      <c r="B197" t="s">
        <v>474</v>
      </c>
      <c r="C197" t="s">
        <v>1466</v>
      </c>
      <c r="D197">
        <f t="shared" si="3"/>
        <v>1</v>
      </c>
      <c r="E197" t="s">
        <v>19</v>
      </c>
      <c r="F197" t="s">
        <v>2664</v>
      </c>
      <c r="G197" t="s">
        <v>326</v>
      </c>
      <c r="N197" s="107"/>
    </row>
    <row r="198" spans="1:14" x14ac:dyDescent="0.3">
      <c r="A198" t="s">
        <v>153</v>
      </c>
      <c r="B198" t="s">
        <v>462</v>
      </c>
      <c r="C198" t="s">
        <v>1466</v>
      </c>
      <c r="D198">
        <f t="shared" si="3"/>
        <v>1</v>
      </c>
      <c r="E198" t="s">
        <v>19</v>
      </c>
      <c r="F198" t="s">
        <v>2666</v>
      </c>
      <c r="G198" t="s">
        <v>326</v>
      </c>
      <c r="N198" s="107"/>
    </row>
    <row r="199" spans="1:14" x14ac:dyDescent="0.3">
      <c r="A199" t="s">
        <v>153</v>
      </c>
      <c r="B199" t="s">
        <v>1077</v>
      </c>
      <c r="C199" t="s">
        <v>1466</v>
      </c>
      <c r="D199">
        <f t="shared" si="3"/>
        <v>1</v>
      </c>
      <c r="E199" t="s">
        <v>19</v>
      </c>
      <c r="F199" t="s">
        <v>2671</v>
      </c>
      <c r="G199" t="s">
        <v>326</v>
      </c>
      <c r="N199" s="107"/>
    </row>
    <row r="200" spans="1:14" x14ac:dyDescent="0.3">
      <c r="A200" t="s">
        <v>153</v>
      </c>
      <c r="B200" t="s">
        <v>474</v>
      </c>
      <c r="C200" t="s">
        <v>1475</v>
      </c>
      <c r="D200">
        <f t="shared" si="3"/>
        <v>1</v>
      </c>
      <c r="E200" t="s">
        <v>19</v>
      </c>
      <c r="F200" t="s">
        <v>2690</v>
      </c>
      <c r="G200" t="s">
        <v>326</v>
      </c>
      <c r="N200" s="107"/>
    </row>
    <row r="201" spans="1:14" x14ac:dyDescent="0.3">
      <c r="A201" t="s">
        <v>153</v>
      </c>
      <c r="B201" t="s">
        <v>474</v>
      </c>
      <c r="C201" t="s">
        <v>1487</v>
      </c>
      <c r="D201">
        <f t="shared" si="3"/>
        <v>1</v>
      </c>
      <c r="E201" t="s">
        <v>19</v>
      </c>
      <c r="F201" t="s">
        <v>2723</v>
      </c>
      <c r="G201" t="s">
        <v>326</v>
      </c>
      <c r="N201" s="107"/>
    </row>
    <row r="202" spans="1:14" x14ac:dyDescent="0.3">
      <c r="A202" t="s">
        <v>153</v>
      </c>
      <c r="B202" t="s">
        <v>462</v>
      </c>
      <c r="C202" t="s">
        <v>1487</v>
      </c>
      <c r="D202">
        <f t="shared" si="3"/>
        <v>1</v>
      </c>
      <c r="E202" t="s">
        <v>19</v>
      </c>
      <c r="F202" t="s">
        <v>2724</v>
      </c>
      <c r="G202" t="s">
        <v>326</v>
      </c>
      <c r="N202" s="107"/>
    </row>
    <row r="203" spans="1:14" x14ac:dyDescent="0.3">
      <c r="A203" t="s">
        <v>153</v>
      </c>
      <c r="B203" t="s">
        <v>462</v>
      </c>
      <c r="C203" t="s">
        <v>1487</v>
      </c>
      <c r="D203">
        <f t="shared" si="3"/>
        <v>1</v>
      </c>
      <c r="E203" t="s">
        <v>19</v>
      </c>
      <c r="F203" t="s">
        <v>2732</v>
      </c>
      <c r="G203" t="s">
        <v>326</v>
      </c>
      <c r="N203" s="107"/>
    </row>
    <row r="204" spans="1:14" x14ac:dyDescent="0.3">
      <c r="A204" t="s">
        <v>153</v>
      </c>
      <c r="B204" t="s">
        <v>462</v>
      </c>
      <c r="C204" t="s">
        <v>1487</v>
      </c>
      <c r="D204">
        <f t="shared" si="3"/>
        <v>1</v>
      </c>
      <c r="E204" t="s">
        <v>19</v>
      </c>
      <c r="F204" t="s">
        <v>2734</v>
      </c>
      <c r="G204" t="s">
        <v>326</v>
      </c>
      <c r="N204" s="107"/>
    </row>
    <row r="205" spans="1:14" x14ac:dyDescent="0.3">
      <c r="A205" t="s">
        <v>153</v>
      </c>
      <c r="B205" t="s">
        <v>1095</v>
      </c>
      <c r="C205" t="s">
        <v>1492</v>
      </c>
      <c r="D205">
        <f t="shared" si="3"/>
        <v>1</v>
      </c>
      <c r="E205" t="s">
        <v>19</v>
      </c>
      <c r="F205" t="s">
        <v>2735</v>
      </c>
      <c r="G205" t="s">
        <v>326</v>
      </c>
      <c r="N205" s="107"/>
    </row>
    <row r="206" spans="1:14" x14ac:dyDescent="0.3">
      <c r="A206" t="s">
        <v>153</v>
      </c>
      <c r="B206" t="s">
        <v>1096</v>
      </c>
      <c r="C206" t="s">
        <v>1492</v>
      </c>
      <c r="D206">
        <f t="shared" si="3"/>
        <v>1</v>
      </c>
      <c r="E206" t="s">
        <v>19</v>
      </c>
      <c r="F206" t="s">
        <v>2736</v>
      </c>
      <c r="G206" t="s">
        <v>326</v>
      </c>
      <c r="N206" s="107"/>
    </row>
    <row r="207" spans="1:14" x14ac:dyDescent="0.3">
      <c r="A207" t="s">
        <v>153</v>
      </c>
      <c r="B207" t="s">
        <v>462</v>
      </c>
      <c r="C207" t="s">
        <v>1492</v>
      </c>
      <c r="D207">
        <f t="shared" si="3"/>
        <v>1</v>
      </c>
      <c r="E207" t="s">
        <v>19</v>
      </c>
      <c r="F207" t="s">
        <v>2739</v>
      </c>
      <c r="G207" t="s">
        <v>326</v>
      </c>
      <c r="N207" s="107"/>
    </row>
    <row r="208" spans="1:14" x14ac:dyDescent="0.3">
      <c r="A208" t="s">
        <v>153</v>
      </c>
      <c r="B208" t="s">
        <v>1103</v>
      </c>
      <c r="C208" t="s">
        <v>1504</v>
      </c>
      <c r="D208">
        <f t="shared" si="3"/>
        <v>1</v>
      </c>
      <c r="E208" t="s">
        <v>19</v>
      </c>
      <c r="F208" t="s">
        <v>2745</v>
      </c>
      <c r="G208" t="s">
        <v>326</v>
      </c>
      <c r="N208" s="107"/>
    </row>
    <row r="209" spans="1:14" x14ac:dyDescent="0.3">
      <c r="A209" t="s">
        <v>153</v>
      </c>
      <c r="B209" t="s">
        <v>1109</v>
      </c>
      <c r="C209" t="s">
        <v>1513</v>
      </c>
      <c r="D209">
        <f t="shared" si="3"/>
        <v>1</v>
      </c>
      <c r="E209" t="s">
        <v>19</v>
      </c>
      <c r="F209" t="s">
        <v>2760</v>
      </c>
      <c r="G209" t="s">
        <v>326</v>
      </c>
      <c r="N209" s="107"/>
    </row>
    <row r="210" spans="1:14" x14ac:dyDescent="0.3">
      <c r="A210" t="s">
        <v>153</v>
      </c>
      <c r="B210" t="s">
        <v>463</v>
      </c>
      <c r="C210" t="s">
        <v>1513</v>
      </c>
      <c r="D210">
        <f t="shared" si="3"/>
        <v>1</v>
      </c>
      <c r="E210" t="s">
        <v>19</v>
      </c>
      <c r="F210" t="s">
        <v>2762</v>
      </c>
      <c r="G210" t="s">
        <v>326</v>
      </c>
      <c r="N210" s="107"/>
    </row>
    <row r="211" spans="1:14" x14ac:dyDescent="0.3">
      <c r="A211" t="s">
        <v>153</v>
      </c>
      <c r="B211" t="s">
        <v>1110</v>
      </c>
      <c r="C211" t="s">
        <v>1513</v>
      </c>
      <c r="D211">
        <f t="shared" si="3"/>
        <v>1</v>
      </c>
      <c r="E211" t="s">
        <v>19</v>
      </c>
      <c r="F211" t="s">
        <v>2763</v>
      </c>
      <c r="G211" t="s">
        <v>326</v>
      </c>
      <c r="N211" s="107"/>
    </row>
    <row r="212" spans="1:14" x14ac:dyDescent="0.3">
      <c r="A212" t="s">
        <v>153</v>
      </c>
      <c r="B212" t="s">
        <v>470</v>
      </c>
      <c r="C212" t="s">
        <v>1513</v>
      </c>
      <c r="D212">
        <f t="shared" si="3"/>
        <v>1</v>
      </c>
      <c r="E212" t="s">
        <v>19</v>
      </c>
      <c r="F212" t="s">
        <v>2764</v>
      </c>
      <c r="G212" t="s">
        <v>326</v>
      </c>
      <c r="N212" s="107"/>
    </row>
    <row r="213" spans="1:14" x14ac:dyDescent="0.3">
      <c r="A213" t="s">
        <v>153</v>
      </c>
      <c r="B213" t="s">
        <v>462</v>
      </c>
      <c r="C213" t="s">
        <v>1513</v>
      </c>
      <c r="D213">
        <f t="shared" si="3"/>
        <v>1</v>
      </c>
      <c r="E213" t="s">
        <v>19</v>
      </c>
      <c r="F213" t="s">
        <v>2800</v>
      </c>
      <c r="G213" t="s">
        <v>326</v>
      </c>
      <c r="N213" s="107"/>
    </row>
    <row r="214" spans="1:14" x14ac:dyDescent="0.3">
      <c r="A214" t="s">
        <v>153</v>
      </c>
      <c r="B214" t="s">
        <v>462</v>
      </c>
      <c r="C214" t="s">
        <v>1513</v>
      </c>
      <c r="D214">
        <f t="shared" si="3"/>
        <v>1</v>
      </c>
      <c r="E214" t="s">
        <v>19</v>
      </c>
      <c r="F214" t="s">
        <v>2801</v>
      </c>
      <c r="G214" t="s">
        <v>326</v>
      </c>
      <c r="N214" s="107"/>
    </row>
    <row r="215" spans="1:14" x14ac:dyDescent="0.3">
      <c r="A215" t="s">
        <v>153</v>
      </c>
      <c r="B215" t="s">
        <v>474</v>
      </c>
      <c r="C215" t="s">
        <v>1513</v>
      </c>
      <c r="D215">
        <f t="shared" si="3"/>
        <v>1</v>
      </c>
      <c r="E215" t="s">
        <v>19</v>
      </c>
      <c r="F215" t="s">
        <v>2802</v>
      </c>
      <c r="G215" t="s">
        <v>326</v>
      </c>
      <c r="N215" s="107"/>
    </row>
    <row r="216" spans="1:14" x14ac:dyDescent="0.3">
      <c r="A216" t="s">
        <v>153</v>
      </c>
      <c r="B216" t="s">
        <v>1119</v>
      </c>
      <c r="C216" t="s">
        <v>1513</v>
      </c>
      <c r="D216">
        <f t="shared" si="3"/>
        <v>1</v>
      </c>
      <c r="E216" t="s">
        <v>19</v>
      </c>
      <c r="F216" t="s">
        <v>2803</v>
      </c>
      <c r="G216" t="s">
        <v>326</v>
      </c>
      <c r="N216" s="107"/>
    </row>
    <row r="217" spans="1:14" x14ac:dyDescent="0.3">
      <c r="A217" t="s">
        <v>153</v>
      </c>
      <c r="B217" t="s">
        <v>463</v>
      </c>
      <c r="C217" t="s">
        <v>1517</v>
      </c>
      <c r="D217">
        <f t="shared" si="3"/>
        <v>1</v>
      </c>
      <c r="E217" t="s">
        <v>19</v>
      </c>
      <c r="F217" t="s">
        <v>2812</v>
      </c>
      <c r="G217" t="s">
        <v>326</v>
      </c>
      <c r="N217" s="107"/>
    </row>
    <row r="218" spans="1:14" x14ac:dyDescent="0.3">
      <c r="A218" t="s">
        <v>153</v>
      </c>
      <c r="B218" t="s">
        <v>1119</v>
      </c>
      <c r="C218" t="s">
        <v>1522</v>
      </c>
      <c r="D218">
        <f t="shared" si="3"/>
        <v>1</v>
      </c>
      <c r="E218" t="s">
        <v>19</v>
      </c>
      <c r="F218" t="s">
        <v>1522</v>
      </c>
      <c r="G218" t="s">
        <v>326</v>
      </c>
      <c r="N218" s="107"/>
    </row>
    <row r="219" spans="1:14" x14ac:dyDescent="0.3">
      <c r="A219" t="s">
        <v>154</v>
      </c>
      <c r="B219" t="s">
        <v>559</v>
      </c>
      <c r="C219" t="s">
        <v>1159</v>
      </c>
      <c r="D219">
        <f t="shared" si="3"/>
        <v>1</v>
      </c>
      <c r="E219" t="s">
        <v>19</v>
      </c>
      <c r="F219" t="s">
        <v>1159</v>
      </c>
      <c r="G219" t="s">
        <v>326</v>
      </c>
      <c r="N219" s="107"/>
    </row>
    <row r="220" spans="1:14" x14ac:dyDescent="0.3">
      <c r="A220" t="s">
        <v>154</v>
      </c>
      <c r="B220" t="s">
        <v>477</v>
      </c>
      <c r="C220" t="s">
        <v>1170</v>
      </c>
      <c r="D220">
        <f t="shared" si="3"/>
        <v>1</v>
      </c>
      <c r="E220" t="s">
        <v>19</v>
      </c>
      <c r="F220" t="s">
        <v>1170</v>
      </c>
      <c r="G220" t="s">
        <v>326</v>
      </c>
      <c r="N220" s="107"/>
    </row>
    <row r="221" spans="1:14" x14ac:dyDescent="0.3">
      <c r="A221" t="s">
        <v>154</v>
      </c>
      <c r="B221" t="s">
        <v>477</v>
      </c>
      <c r="C221" t="s">
        <v>1172</v>
      </c>
      <c r="D221">
        <f t="shared" si="3"/>
        <v>1</v>
      </c>
      <c r="E221" t="s">
        <v>19</v>
      </c>
      <c r="F221" t="s">
        <v>1172</v>
      </c>
      <c r="G221" t="s">
        <v>326</v>
      </c>
      <c r="N221" s="107"/>
    </row>
    <row r="222" spans="1:14" x14ac:dyDescent="0.3">
      <c r="A222" t="s">
        <v>154</v>
      </c>
      <c r="B222" t="s">
        <v>477</v>
      </c>
      <c r="C222" t="s">
        <v>1173</v>
      </c>
      <c r="D222">
        <f t="shared" si="3"/>
        <v>1</v>
      </c>
      <c r="E222" t="s">
        <v>19</v>
      </c>
      <c r="F222" t="s">
        <v>1173</v>
      </c>
      <c r="G222" t="s">
        <v>326</v>
      </c>
      <c r="N222" s="107"/>
    </row>
    <row r="223" spans="1:14" x14ac:dyDescent="0.3">
      <c r="A223" t="s">
        <v>154</v>
      </c>
      <c r="B223" t="s">
        <v>590</v>
      </c>
      <c r="C223" t="s">
        <v>1175</v>
      </c>
      <c r="D223">
        <f t="shared" si="3"/>
        <v>1</v>
      </c>
      <c r="E223" t="s">
        <v>19</v>
      </c>
      <c r="F223" t="s">
        <v>1778</v>
      </c>
      <c r="G223" t="s">
        <v>326</v>
      </c>
      <c r="N223" s="107"/>
    </row>
    <row r="224" spans="1:14" x14ac:dyDescent="0.3">
      <c r="A224" t="s">
        <v>154</v>
      </c>
      <c r="B224" t="s">
        <v>602</v>
      </c>
      <c r="C224" t="s">
        <v>1179</v>
      </c>
      <c r="D224">
        <f t="shared" si="3"/>
        <v>1</v>
      </c>
      <c r="E224" t="s">
        <v>19</v>
      </c>
      <c r="F224" t="s">
        <v>1795</v>
      </c>
      <c r="G224" t="s">
        <v>326</v>
      </c>
      <c r="N224" s="107"/>
    </row>
    <row r="225" spans="1:14" x14ac:dyDescent="0.3">
      <c r="A225" t="s">
        <v>154</v>
      </c>
      <c r="B225" t="s">
        <v>510</v>
      </c>
      <c r="C225" t="s">
        <v>1192</v>
      </c>
      <c r="D225">
        <f t="shared" si="3"/>
        <v>1</v>
      </c>
      <c r="E225" t="s">
        <v>19</v>
      </c>
      <c r="F225" t="s">
        <v>1850</v>
      </c>
      <c r="G225" t="s">
        <v>326</v>
      </c>
      <c r="N225" s="107"/>
    </row>
    <row r="226" spans="1:14" x14ac:dyDescent="0.3">
      <c r="A226" t="s">
        <v>154</v>
      </c>
      <c r="B226" t="s">
        <v>498</v>
      </c>
      <c r="C226" t="s">
        <v>1192</v>
      </c>
      <c r="D226">
        <f t="shared" si="3"/>
        <v>1</v>
      </c>
      <c r="E226" t="s">
        <v>19</v>
      </c>
      <c r="F226" t="s">
        <v>1851</v>
      </c>
      <c r="G226" t="s">
        <v>326</v>
      </c>
      <c r="N226" s="107"/>
    </row>
    <row r="227" spans="1:14" x14ac:dyDescent="0.3">
      <c r="A227" t="s">
        <v>154</v>
      </c>
      <c r="B227" t="s">
        <v>649</v>
      </c>
      <c r="C227" t="s">
        <v>1198</v>
      </c>
      <c r="D227">
        <f t="shared" si="3"/>
        <v>1</v>
      </c>
      <c r="E227" t="s">
        <v>19</v>
      </c>
      <c r="F227" t="s">
        <v>1198</v>
      </c>
      <c r="G227" t="s">
        <v>326</v>
      </c>
      <c r="N227" s="107"/>
    </row>
    <row r="228" spans="1:14" x14ac:dyDescent="0.3">
      <c r="A228" t="s">
        <v>154</v>
      </c>
      <c r="B228" t="s">
        <v>559</v>
      </c>
      <c r="C228" t="s">
        <v>1237</v>
      </c>
      <c r="D228">
        <f t="shared" si="3"/>
        <v>1</v>
      </c>
      <c r="E228" t="s">
        <v>19</v>
      </c>
      <c r="F228" t="s">
        <v>2005</v>
      </c>
      <c r="G228" t="s">
        <v>326</v>
      </c>
      <c r="N228" s="107"/>
    </row>
    <row r="229" spans="1:14" x14ac:dyDescent="0.3">
      <c r="A229" t="s">
        <v>154</v>
      </c>
      <c r="B229" t="s">
        <v>735</v>
      </c>
      <c r="C229" t="s">
        <v>1237</v>
      </c>
      <c r="D229">
        <f t="shared" si="3"/>
        <v>1</v>
      </c>
      <c r="E229" t="s">
        <v>19</v>
      </c>
      <c r="F229" t="s">
        <v>2006</v>
      </c>
      <c r="G229" t="s">
        <v>326</v>
      </c>
      <c r="N229" s="107"/>
    </row>
    <row r="230" spans="1:14" x14ac:dyDescent="0.3">
      <c r="A230" t="s">
        <v>154</v>
      </c>
      <c r="B230" t="s">
        <v>498</v>
      </c>
      <c r="C230" t="s">
        <v>1237</v>
      </c>
      <c r="D230">
        <f t="shared" si="3"/>
        <v>1</v>
      </c>
      <c r="E230" t="s">
        <v>19</v>
      </c>
      <c r="F230" t="s">
        <v>2007</v>
      </c>
      <c r="G230" t="s">
        <v>326</v>
      </c>
      <c r="N230" s="107"/>
    </row>
    <row r="231" spans="1:14" x14ac:dyDescent="0.3">
      <c r="A231" t="s">
        <v>154</v>
      </c>
      <c r="B231" t="s">
        <v>559</v>
      </c>
      <c r="C231" t="s">
        <v>1237</v>
      </c>
      <c r="D231">
        <f t="shared" si="3"/>
        <v>1</v>
      </c>
      <c r="E231" t="s">
        <v>19</v>
      </c>
      <c r="F231" t="s">
        <v>2010</v>
      </c>
      <c r="G231" t="s">
        <v>326</v>
      </c>
      <c r="N231" s="107"/>
    </row>
    <row r="232" spans="1:14" x14ac:dyDescent="0.3">
      <c r="A232" t="s">
        <v>154</v>
      </c>
      <c r="B232" t="s">
        <v>476</v>
      </c>
      <c r="C232" t="s">
        <v>1237</v>
      </c>
      <c r="D232">
        <f t="shared" si="3"/>
        <v>1</v>
      </c>
      <c r="E232" t="s">
        <v>19</v>
      </c>
      <c r="F232" t="s">
        <v>2012</v>
      </c>
      <c r="G232" t="s">
        <v>326</v>
      </c>
      <c r="N232" s="107"/>
    </row>
    <row r="233" spans="1:14" x14ac:dyDescent="0.3">
      <c r="A233" t="s">
        <v>154</v>
      </c>
      <c r="B233" t="s">
        <v>754</v>
      </c>
      <c r="C233" t="s">
        <v>1249</v>
      </c>
      <c r="D233">
        <f t="shared" si="3"/>
        <v>1</v>
      </c>
      <c r="E233" t="s">
        <v>19</v>
      </c>
      <c r="F233" t="s">
        <v>2033</v>
      </c>
      <c r="G233" t="s">
        <v>326</v>
      </c>
      <c r="N233" s="107"/>
    </row>
    <row r="234" spans="1:14" x14ac:dyDescent="0.3">
      <c r="A234" t="s">
        <v>154</v>
      </c>
      <c r="B234" t="s">
        <v>754</v>
      </c>
      <c r="C234" t="s">
        <v>1252</v>
      </c>
      <c r="D234">
        <f t="shared" si="3"/>
        <v>1</v>
      </c>
      <c r="E234" t="s">
        <v>19</v>
      </c>
      <c r="F234" t="s">
        <v>1252</v>
      </c>
      <c r="G234" t="s">
        <v>326</v>
      </c>
      <c r="N234" s="107"/>
    </row>
    <row r="235" spans="1:14" x14ac:dyDescent="0.3">
      <c r="A235" t="s">
        <v>154</v>
      </c>
      <c r="B235" t="s">
        <v>477</v>
      </c>
      <c r="C235" t="s">
        <v>1256</v>
      </c>
      <c r="D235">
        <f t="shared" si="3"/>
        <v>1</v>
      </c>
      <c r="E235" t="s">
        <v>19</v>
      </c>
      <c r="F235" t="s">
        <v>2055</v>
      </c>
      <c r="G235" t="s">
        <v>326</v>
      </c>
      <c r="N235" s="107"/>
    </row>
    <row r="236" spans="1:14" x14ac:dyDescent="0.3">
      <c r="A236" t="s">
        <v>154</v>
      </c>
      <c r="B236" t="s">
        <v>796</v>
      </c>
      <c r="C236" t="s">
        <v>1284</v>
      </c>
      <c r="D236">
        <f t="shared" si="3"/>
        <v>1</v>
      </c>
      <c r="E236" t="s">
        <v>19</v>
      </c>
      <c r="F236" t="s">
        <v>2098</v>
      </c>
      <c r="G236" t="s">
        <v>326</v>
      </c>
      <c r="N236" s="107"/>
    </row>
    <row r="237" spans="1:14" x14ac:dyDescent="0.3">
      <c r="A237" t="s">
        <v>154</v>
      </c>
      <c r="B237" t="s">
        <v>797</v>
      </c>
      <c r="C237" t="s">
        <v>1284</v>
      </c>
      <c r="D237">
        <f t="shared" si="3"/>
        <v>1</v>
      </c>
      <c r="E237" t="s">
        <v>19</v>
      </c>
      <c r="F237" t="s">
        <v>2099</v>
      </c>
      <c r="G237" t="s">
        <v>326</v>
      </c>
      <c r="N237" s="107"/>
    </row>
    <row r="238" spans="1:14" x14ac:dyDescent="0.3">
      <c r="A238" t="s">
        <v>154</v>
      </c>
      <c r="B238" t="s">
        <v>835</v>
      </c>
      <c r="C238" t="s">
        <v>1305</v>
      </c>
      <c r="D238">
        <f t="shared" si="3"/>
        <v>1</v>
      </c>
      <c r="E238" t="s">
        <v>19</v>
      </c>
      <c r="F238" t="s">
        <v>2176</v>
      </c>
      <c r="G238" t="s">
        <v>326</v>
      </c>
      <c r="N238" s="107"/>
    </row>
    <row r="239" spans="1:14" x14ac:dyDescent="0.3">
      <c r="A239" t="s">
        <v>154</v>
      </c>
      <c r="B239" t="s">
        <v>498</v>
      </c>
      <c r="C239" t="s">
        <v>1305</v>
      </c>
      <c r="D239">
        <f t="shared" si="3"/>
        <v>1</v>
      </c>
      <c r="E239" t="s">
        <v>19</v>
      </c>
      <c r="F239" t="s">
        <v>2177</v>
      </c>
      <c r="G239" t="s">
        <v>326</v>
      </c>
      <c r="N239" s="107"/>
    </row>
    <row r="240" spans="1:14" x14ac:dyDescent="0.3">
      <c r="A240" t="s">
        <v>154</v>
      </c>
      <c r="B240" t="s">
        <v>498</v>
      </c>
      <c r="C240" t="s">
        <v>1305</v>
      </c>
      <c r="D240">
        <f t="shared" si="3"/>
        <v>1</v>
      </c>
      <c r="E240" t="s">
        <v>19</v>
      </c>
      <c r="F240" t="s">
        <v>2178</v>
      </c>
      <c r="G240" t="s">
        <v>326</v>
      </c>
      <c r="N240" s="107"/>
    </row>
    <row r="241" spans="1:14" x14ac:dyDescent="0.3">
      <c r="A241" t="s">
        <v>154</v>
      </c>
      <c r="B241" t="s">
        <v>869</v>
      </c>
      <c r="C241" t="s">
        <v>1313</v>
      </c>
      <c r="D241">
        <f t="shared" si="3"/>
        <v>1</v>
      </c>
      <c r="E241" t="s">
        <v>19</v>
      </c>
      <c r="F241" t="s">
        <v>1313</v>
      </c>
      <c r="G241" t="s">
        <v>326</v>
      </c>
      <c r="N241" s="107"/>
    </row>
    <row r="242" spans="1:14" x14ac:dyDescent="0.3">
      <c r="A242" t="s">
        <v>154</v>
      </c>
      <c r="B242" t="s">
        <v>476</v>
      </c>
      <c r="C242" t="s">
        <v>1386</v>
      </c>
      <c r="D242">
        <f t="shared" si="3"/>
        <v>1</v>
      </c>
      <c r="E242" t="s">
        <v>19</v>
      </c>
      <c r="F242" t="s">
        <v>2346</v>
      </c>
      <c r="G242" t="s">
        <v>326</v>
      </c>
      <c r="N242" s="107"/>
    </row>
    <row r="243" spans="1:14" x14ac:dyDescent="0.3">
      <c r="A243" t="s">
        <v>154</v>
      </c>
      <c r="B243" t="s">
        <v>559</v>
      </c>
      <c r="C243" t="s">
        <v>1386</v>
      </c>
      <c r="D243">
        <f t="shared" si="3"/>
        <v>1</v>
      </c>
      <c r="E243" t="s">
        <v>19</v>
      </c>
      <c r="F243" t="s">
        <v>2350</v>
      </c>
      <c r="G243" t="s">
        <v>326</v>
      </c>
      <c r="N243" s="107"/>
    </row>
    <row r="244" spans="1:14" x14ac:dyDescent="0.3">
      <c r="A244" t="s">
        <v>154</v>
      </c>
      <c r="B244" t="s">
        <v>559</v>
      </c>
      <c r="C244" t="s">
        <v>1386</v>
      </c>
      <c r="D244">
        <f t="shared" si="3"/>
        <v>1</v>
      </c>
      <c r="E244" t="s">
        <v>19</v>
      </c>
      <c r="F244" t="s">
        <v>2351</v>
      </c>
      <c r="G244" t="s">
        <v>326</v>
      </c>
      <c r="N244" s="107"/>
    </row>
    <row r="245" spans="1:14" x14ac:dyDescent="0.3">
      <c r="A245" t="s">
        <v>154</v>
      </c>
      <c r="B245" t="s">
        <v>907</v>
      </c>
      <c r="C245" t="s">
        <v>1396</v>
      </c>
      <c r="D245">
        <f t="shared" si="3"/>
        <v>1</v>
      </c>
      <c r="E245" t="s">
        <v>19</v>
      </c>
      <c r="F245" t="s">
        <v>2366</v>
      </c>
      <c r="G245" t="s">
        <v>326</v>
      </c>
      <c r="N245" s="107"/>
    </row>
    <row r="246" spans="1:14" x14ac:dyDescent="0.3">
      <c r="A246" t="s">
        <v>154</v>
      </c>
      <c r="B246" t="s">
        <v>960</v>
      </c>
      <c r="C246" t="s">
        <v>1407</v>
      </c>
      <c r="D246">
        <f t="shared" si="3"/>
        <v>1</v>
      </c>
      <c r="E246" t="s">
        <v>19</v>
      </c>
      <c r="F246" t="s">
        <v>2389</v>
      </c>
      <c r="G246" t="s">
        <v>326</v>
      </c>
      <c r="N246" s="107"/>
    </row>
    <row r="247" spans="1:14" x14ac:dyDescent="0.3">
      <c r="A247" t="s">
        <v>154</v>
      </c>
      <c r="B247" t="s">
        <v>735</v>
      </c>
      <c r="C247" t="s">
        <v>1407</v>
      </c>
      <c r="D247">
        <f t="shared" si="3"/>
        <v>1</v>
      </c>
      <c r="E247" t="s">
        <v>19</v>
      </c>
      <c r="F247" t="s">
        <v>2390</v>
      </c>
      <c r="G247" t="s">
        <v>326</v>
      </c>
      <c r="N247" s="107"/>
    </row>
    <row r="248" spans="1:14" x14ac:dyDescent="0.3">
      <c r="A248" t="s">
        <v>154</v>
      </c>
      <c r="B248" t="s">
        <v>510</v>
      </c>
      <c r="C248" t="s">
        <v>1415</v>
      </c>
      <c r="D248">
        <f t="shared" si="3"/>
        <v>1</v>
      </c>
      <c r="E248" t="s">
        <v>19</v>
      </c>
      <c r="F248" t="s">
        <v>2451</v>
      </c>
      <c r="G248" t="s">
        <v>326</v>
      </c>
      <c r="N248" s="107"/>
    </row>
    <row r="249" spans="1:14" x14ac:dyDescent="0.3">
      <c r="A249" t="s">
        <v>154</v>
      </c>
      <c r="B249" t="s">
        <v>559</v>
      </c>
      <c r="C249" t="s">
        <v>1418</v>
      </c>
      <c r="D249">
        <f t="shared" si="3"/>
        <v>1</v>
      </c>
      <c r="E249" t="s">
        <v>19</v>
      </c>
      <c r="F249" t="s">
        <v>2506</v>
      </c>
      <c r="G249" t="s">
        <v>326</v>
      </c>
      <c r="N249" s="107"/>
    </row>
    <row r="250" spans="1:14" x14ac:dyDescent="0.3">
      <c r="A250" t="s">
        <v>154</v>
      </c>
      <c r="B250" t="s">
        <v>754</v>
      </c>
      <c r="C250" t="s">
        <v>1418</v>
      </c>
      <c r="D250">
        <f t="shared" si="3"/>
        <v>1</v>
      </c>
      <c r="E250" t="s">
        <v>19</v>
      </c>
      <c r="F250" t="s">
        <v>2507</v>
      </c>
      <c r="G250" t="s">
        <v>326</v>
      </c>
      <c r="N250" s="107"/>
    </row>
    <row r="251" spans="1:14" x14ac:dyDescent="0.3">
      <c r="A251" t="s">
        <v>154</v>
      </c>
      <c r="B251" t="s">
        <v>735</v>
      </c>
      <c r="C251" t="s">
        <v>1418</v>
      </c>
      <c r="D251">
        <f t="shared" si="3"/>
        <v>1</v>
      </c>
      <c r="E251" t="s">
        <v>19</v>
      </c>
      <c r="F251" t="s">
        <v>2509</v>
      </c>
      <c r="G251" t="s">
        <v>326</v>
      </c>
      <c r="N251" s="107"/>
    </row>
    <row r="252" spans="1:14" x14ac:dyDescent="0.3">
      <c r="A252" t="s">
        <v>154</v>
      </c>
      <c r="B252" t="s">
        <v>1028</v>
      </c>
      <c r="C252" t="s">
        <v>1426</v>
      </c>
      <c r="D252">
        <f t="shared" si="3"/>
        <v>1</v>
      </c>
      <c r="E252" t="s">
        <v>19</v>
      </c>
      <c r="F252" t="s">
        <v>1426</v>
      </c>
      <c r="G252" t="s">
        <v>326</v>
      </c>
      <c r="N252" s="107"/>
    </row>
    <row r="253" spans="1:14" x14ac:dyDescent="0.3">
      <c r="A253" t="s">
        <v>154</v>
      </c>
      <c r="B253" t="s">
        <v>510</v>
      </c>
      <c r="C253" t="s">
        <v>1449</v>
      </c>
      <c r="D253">
        <f t="shared" si="3"/>
        <v>1</v>
      </c>
      <c r="E253" t="s">
        <v>19</v>
      </c>
      <c r="F253" t="s">
        <v>1449</v>
      </c>
      <c r="G253" t="s">
        <v>326</v>
      </c>
      <c r="N253" s="107"/>
    </row>
    <row r="254" spans="1:14" x14ac:dyDescent="0.3">
      <c r="A254" t="s">
        <v>154</v>
      </c>
      <c r="B254" t="s">
        <v>559</v>
      </c>
      <c r="C254" t="s">
        <v>1465</v>
      </c>
      <c r="D254">
        <f t="shared" si="3"/>
        <v>1</v>
      </c>
      <c r="E254" t="s">
        <v>19</v>
      </c>
      <c r="F254" t="s">
        <v>2670</v>
      </c>
      <c r="G254" t="s">
        <v>326</v>
      </c>
      <c r="N254" s="107"/>
    </row>
    <row r="255" spans="1:14" x14ac:dyDescent="0.3">
      <c r="A255" t="s">
        <v>154</v>
      </c>
      <c r="B255" t="s">
        <v>1084</v>
      </c>
      <c r="C255" t="s">
        <v>1476</v>
      </c>
      <c r="D255">
        <f t="shared" si="3"/>
        <v>1</v>
      </c>
      <c r="E255" t="s">
        <v>19</v>
      </c>
      <c r="F255" t="s">
        <v>1476</v>
      </c>
      <c r="G255" t="s">
        <v>326</v>
      </c>
      <c r="N255" s="107"/>
    </row>
    <row r="256" spans="1:14" x14ac:dyDescent="0.3">
      <c r="A256" t="s">
        <v>154</v>
      </c>
      <c r="B256" t="s">
        <v>754</v>
      </c>
      <c r="C256" t="s">
        <v>1478</v>
      </c>
      <c r="D256">
        <f t="shared" si="3"/>
        <v>1</v>
      </c>
      <c r="E256" t="s">
        <v>19</v>
      </c>
      <c r="F256" t="s">
        <v>1478</v>
      </c>
      <c r="G256" t="s">
        <v>326</v>
      </c>
      <c r="N256" s="107"/>
    </row>
    <row r="257" spans="1:14" x14ac:dyDescent="0.3">
      <c r="A257" t="s">
        <v>154</v>
      </c>
      <c r="B257" t="s">
        <v>559</v>
      </c>
      <c r="C257" t="s">
        <v>1487</v>
      </c>
      <c r="D257">
        <f t="shared" si="3"/>
        <v>1</v>
      </c>
      <c r="E257" t="s">
        <v>19</v>
      </c>
      <c r="F257" t="s">
        <v>2713</v>
      </c>
      <c r="G257" t="s">
        <v>326</v>
      </c>
      <c r="N257" s="107"/>
    </row>
    <row r="258" spans="1:14" x14ac:dyDescent="0.3">
      <c r="A258" t="s">
        <v>154</v>
      </c>
      <c r="B258" t="s">
        <v>602</v>
      </c>
      <c r="C258" t="s">
        <v>1487</v>
      </c>
      <c r="D258">
        <f t="shared" ref="D258:D321" si="4">SIGN(SUBTOTAL(3,E258))</f>
        <v>1</v>
      </c>
      <c r="E258" t="s">
        <v>19</v>
      </c>
      <c r="F258" t="s">
        <v>2719</v>
      </c>
      <c r="G258" t="s">
        <v>326</v>
      </c>
      <c r="N258" s="107"/>
    </row>
    <row r="259" spans="1:14" x14ac:dyDescent="0.3">
      <c r="A259" t="s">
        <v>154</v>
      </c>
      <c r="B259" t="s">
        <v>559</v>
      </c>
      <c r="C259" t="s">
        <v>1487</v>
      </c>
      <c r="D259">
        <f t="shared" si="4"/>
        <v>1</v>
      </c>
      <c r="E259" t="s">
        <v>19</v>
      </c>
      <c r="F259" t="s">
        <v>2721</v>
      </c>
      <c r="G259" t="s">
        <v>326</v>
      </c>
      <c r="N259" s="107"/>
    </row>
    <row r="260" spans="1:14" x14ac:dyDescent="0.3">
      <c r="A260" t="s">
        <v>154</v>
      </c>
      <c r="B260" t="s">
        <v>735</v>
      </c>
      <c r="C260" t="s">
        <v>1492</v>
      </c>
      <c r="D260">
        <f t="shared" si="4"/>
        <v>1</v>
      </c>
      <c r="E260" t="s">
        <v>19</v>
      </c>
      <c r="F260" t="s">
        <v>2737</v>
      </c>
      <c r="G260" t="s">
        <v>326</v>
      </c>
      <c r="N260" s="107"/>
    </row>
    <row r="261" spans="1:14" x14ac:dyDescent="0.3">
      <c r="A261" t="s">
        <v>154</v>
      </c>
      <c r="B261" t="s">
        <v>1106</v>
      </c>
      <c r="C261" t="s">
        <v>1505</v>
      </c>
      <c r="D261">
        <f t="shared" si="4"/>
        <v>1</v>
      </c>
      <c r="E261" t="s">
        <v>19</v>
      </c>
      <c r="F261" t="s">
        <v>2751</v>
      </c>
      <c r="G261" t="s">
        <v>326</v>
      </c>
      <c r="N261" s="107"/>
    </row>
    <row r="262" spans="1:14" x14ac:dyDescent="0.3">
      <c r="A262" t="s">
        <v>154</v>
      </c>
      <c r="B262" t="s">
        <v>498</v>
      </c>
      <c r="C262" t="s">
        <v>1513</v>
      </c>
      <c r="D262">
        <f t="shared" si="4"/>
        <v>1</v>
      </c>
      <c r="E262" t="s">
        <v>19</v>
      </c>
      <c r="F262" t="s">
        <v>2765</v>
      </c>
      <c r="G262" t="s">
        <v>326</v>
      </c>
      <c r="N262" s="107"/>
    </row>
    <row r="263" spans="1:14" x14ac:dyDescent="0.3">
      <c r="A263" t="s">
        <v>154</v>
      </c>
      <c r="B263" t="s">
        <v>1111</v>
      </c>
      <c r="C263" t="s">
        <v>1513</v>
      </c>
      <c r="D263">
        <f t="shared" si="4"/>
        <v>1</v>
      </c>
      <c r="E263" t="s">
        <v>19</v>
      </c>
      <c r="F263" t="s">
        <v>2766</v>
      </c>
      <c r="G263" t="s">
        <v>326</v>
      </c>
      <c r="N263" s="107"/>
    </row>
    <row r="264" spans="1:14" x14ac:dyDescent="0.3">
      <c r="A264" t="s">
        <v>154</v>
      </c>
      <c r="B264" t="s">
        <v>907</v>
      </c>
      <c r="C264" t="s">
        <v>1513</v>
      </c>
      <c r="D264">
        <f t="shared" si="4"/>
        <v>1</v>
      </c>
      <c r="E264" t="s">
        <v>19</v>
      </c>
      <c r="F264" t="s">
        <v>2767</v>
      </c>
      <c r="G264" t="s">
        <v>326</v>
      </c>
      <c r="N264" s="107"/>
    </row>
    <row r="265" spans="1:14" x14ac:dyDescent="0.3">
      <c r="A265" t="s">
        <v>154</v>
      </c>
      <c r="B265" t="s">
        <v>602</v>
      </c>
      <c r="C265" t="s">
        <v>1513</v>
      </c>
      <c r="D265">
        <f t="shared" si="4"/>
        <v>1</v>
      </c>
      <c r="E265" t="s">
        <v>19</v>
      </c>
      <c r="F265" t="s">
        <v>2768</v>
      </c>
      <c r="G265" t="s">
        <v>326</v>
      </c>
      <c r="N265" s="107"/>
    </row>
    <row r="266" spans="1:14" x14ac:dyDescent="0.3">
      <c r="A266" t="s">
        <v>154</v>
      </c>
      <c r="B266" t="s">
        <v>559</v>
      </c>
      <c r="C266" t="s">
        <v>1513</v>
      </c>
      <c r="D266">
        <f t="shared" si="4"/>
        <v>1</v>
      </c>
      <c r="E266" t="s">
        <v>19</v>
      </c>
      <c r="F266" t="s">
        <v>2769</v>
      </c>
      <c r="G266" t="s">
        <v>326</v>
      </c>
      <c r="N266" s="107"/>
    </row>
    <row r="267" spans="1:14" x14ac:dyDescent="0.3">
      <c r="A267" t="s">
        <v>154</v>
      </c>
      <c r="B267" t="s">
        <v>1112</v>
      </c>
      <c r="C267" t="s">
        <v>1513</v>
      </c>
      <c r="D267">
        <f t="shared" si="4"/>
        <v>1</v>
      </c>
      <c r="E267" t="s">
        <v>19</v>
      </c>
      <c r="F267" t="s">
        <v>2770</v>
      </c>
      <c r="G267" t="s">
        <v>326</v>
      </c>
      <c r="N267" s="107"/>
    </row>
    <row r="268" spans="1:14" x14ac:dyDescent="0.3">
      <c r="A268" t="s">
        <v>154</v>
      </c>
      <c r="B268" t="s">
        <v>735</v>
      </c>
      <c r="C268" t="s">
        <v>1513</v>
      </c>
      <c r="D268">
        <f t="shared" si="4"/>
        <v>1</v>
      </c>
      <c r="E268" t="s">
        <v>19</v>
      </c>
      <c r="F268" t="s">
        <v>2771</v>
      </c>
      <c r="G268" t="s">
        <v>326</v>
      </c>
      <c r="N268" s="107"/>
    </row>
    <row r="269" spans="1:14" x14ac:dyDescent="0.3">
      <c r="A269" t="s">
        <v>154</v>
      </c>
      <c r="B269" t="s">
        <v>1113</v>
      </c>
      <c r="C269" t="s">
        <v>1513</v>
      </c>
      <c r="D269">
        <f t="shared" si="4"/>
        <v>1</v>
      </c>
      <c r="E269" t="s">
        <v>19</v>
      </c>
      <c r="F269" t="s">
        <v>2772</v>
      </c>
      <c r="G269" t="s">
        <v>326</v>
      </c>
      <c r="N269" s="107"/>
    </row>
    <row r="270" spans="1:14" x14ac:dyDescent="0.3">
      <c r="A270" t="s">
        <v>154</v>
      </c>
      <c r="B270" t="s">
        <v>1116</v>
      </c>
      <c r="C270" t="s">
        <v>1513</v>
      </c>
      <c r="D270">
        <f t="shared" si="4"/>
        <v>1</v>
      </c>
      <c r="E270" t="s">
        <v>19</v>
      </c>
      <c r="F270" t="s">
        <v>2785</v>
      </c>
      <c r="G270" t="s">
        <v>326</v>
      </c>
      <c r="N270" s="107"/>
    </row>
    <row r="271" spans="1:14" x14ac:dyDescent="0.3">
      <c r="A271" t="s">
        <v>154</v>
      </c>
      <c r="B271" t="s">
        <v>476</v>
      </c>
      <c r="C271" t="s">
        <v>1517</v>
      </c>
      <c r="D271">
        <f t="shared" si="4"/>
        <v>1</v>
      </c>
      <c r="E271" t="s">
        <v>19</v>
      </c>
      <c r="F271" t="s">
        <v>2808</v>
      </c>
      <c r="G271" t="s">
        <v>326</v>
      </c>
      <c r="N271" s="107"/>
    </row>
    <row r="272" spans="1:14" x14ac:dyDescent="0.3">
      <c r="A272" t="s">
        <v>154</v>
      </c>
      <c r="B272" t="s">
        <v>590</v>
      </c>
      <c r="C272" t="s">
        <v>1525</v>
      </c>
      <c r="D272">
        <f t="shared" si="4"/>
        <v>1</v>
      </c>
      <c r="E272" t="s">
        <v>19</v>
      </c>
      <c r="F272" t="s">
        <v>2826</v>
      </c>
      <c r="G272" t="s">
        <v>326</v>
      </c>
      <c r="N272" s="107"/>
    </row>
    <row r="273" spans="1:14" x14ac:dyDescent="0.3">
      <c r="A273" t="s">
        <v>155</v>
      </c>
      <c r="B273" t="s">
        <v>594</v>
      </c>
      <c r="C273" t="s">
        <v>1175</v>
      </c>
      <c r="D273">
        <f t="shared" si="4"/>
        <v>1</v>
      </c>
      <c r="E273" t="s">
        <v>19</v>
      </c>
      <c r="F273" t="s">
        <v>1782</v>
      </c>
      <c r="G273" t="s">
        <v>326</v>
      </c>
      <c r="N273" s="107"/>
    </row>
    <row r="274" spans="1:14" x14ac:dyDescent="0.3">
      <c r="A274" t="s">
        <v>155</v>
      </c>
      <c r="B274" t="s">
        <v>594</v>
      </c>
      <c r="C274" t="s">
        <v>1339</v>
      </c>
      <c r="D274">
        <f t="shared" si="4"/>
        <v>1</v>
      </c>
      <c r="E274" t="s">
        <v>19</v>
      </c>
      <c r="F274" t="s">
        <v>2264</v>
      </c>
      <c r="G274" t="s">
        <v>326</v>
      </c>
      <c r="N274" s="107"/>
    </row>
    <row r="275" spans="1:14" x14ac:dyDescent="0.3">
      <c r="A275" t="s">
        <v>155</v>
      </c>
      <c r="B275" t="s">
        <v>902</v>
      </c>
      <c r="C275" t="s">
        <v>1339</v>
      </c>
      <c r="D275">
        <f t="shared" si="4"/>
        <v>1</v>
      </c>
      <c r="E275" t="s">
        <v>19</v>
      </c>
      <c r="F275" t="s">
        <v>2265</v>
      </c>
      <c r="G275" t="s">
        <v>326</v>
      </c>
      <c r="N275" s="107"/>
    </row>
    <row r="276" spans="1:14" x14ac:dyDescent="0.3">
      <c r="A276" t="s">
        <v>155</v>
      </c>
      <c r="B276" t="s">
        <v>594</v>
      </c>
      <c r="C276" t="s">
        <v>1339</v>
      </c>
      <c r="D276">
        <f t="shared" si="4"/>
        <v>1</v>
      </c>
      <c r="E276" t="s">
        <v>19</v>
      </c>
      <c r="F276" t="s">
        <v>2268</v>
      </c>
      <c r="G276" t="s">
        <v>326</v>
      </c>
      <c r="N276" s="107"/>
    </row>
    <row r="277" spans="1:14" x14ac:dyDescent="0.3">
      <c r="A277" t="s">
        <v>155</v>
      </c>
      <c r="B277" t="s">
        <v>902</v>
      </c>
      <c r="C277" t="s">
        <v>1420</v>
      </c>
      <c r="D277">
        <f t="shared" si="4"/>
        <v>1</v>
      </c>
      <c r="E277" t="s">
        <v>19</v>
      </c>
      <c r="F277" t="s">
        <v>2522</v>
      </c>
      <c r="G277" t="s">
        <v>326</v>
      </c>
      <c r="N277" s="107"/>
    </row>
    <row r="278" spans="1:14" x14ac:dyDescent="0.3">
      <c r="A278" t="s">
        <v>155</v>
      </c>
      <c r="B278" t="s">
        <v>594</v>
      </c>
      <c r="C278" t="s">
        <v>1420</v>
      </c>
      <c r="D278">
        <f t="shared" si="4"/>
        <v>1</v>
      </c>
      <c r="E278" t="s">
        <v>19</v>
      </c>
      <c r="F278" t="s">
        <v>2533</v>
      </c>
      <c r="G278" t="s">
        <v>326</v>
      </c>
      <c r="N278" s="107"/>
    </row>
    <row r="279" spans="1:14" x14ac:dyDescent="0.3">
      <c r="A279" t="s">
        <v>155</v>
      </c>
      <c r="B279" t="s">
        <v>1018</v>
      </c>
      <c r="C279" t="s">
        <v>1420</v>
      </c>
      <c r="D279">
        <f t="shared" si="4"/>
        <v>1</v>
      </c>
      <c r="E279" t="s">
        <v>19</v>
      </c>
      <c r="F279" t="s">
        <v>2534</v>
      </c>
      <c r="G279" t="s">
        <v>326</v>
      </c>
      <c r="N279" s="107"/>
    </row>
    <row r="280" spans="1:14" x14ac:dyDescent="0.3">
      <c r="A280" t="s">
        <v>155</v>
      </c>
      <c r="B280" t="s">
        <v>594</v>
      </c>
      <c r="C280" t="s">
        <v>1479</v>
      </c>
      <c r="D280">
        <f t="shared" si="4"/>
        <v>1</v>
      </c>
      <c r="E280" t="s">
        <v>19</v>
      </c>
      <c r="F280" t="s">
        <v>1479</v>
      </c>
      <c r="G280" t="s">
        <v>326</v>
      </c>
      <c r="N280" s="107"/>
    </row>
    <row r="281" spans="1:14" x14ac:dyDescent="0.3">
      <c r="A281" t="s">
        <v>156</v>
      </c>
      <c r="B281" t="s">
        <v>545</v>
      </c>
      <c r="C281" t="s">
        <v>1141</v>
      </c>
      <c r="D281">
        <f t="shared" si="4"/>
        <v>1</v>
      </c>
      <c r="E281" t="s">
        <v>19</v>
      </c>
      <c r="F281" t="s">
        <v>1735</v>
      </c>
      <c r="G281" t="s">
        <v>326</v>
      </c>
      <c r="N281" s="107"/>
    </row>
    <row r="282" spans="1:14" x14ac:dyDescent="0.3">
      <c r="A282" t="s">
        <v>156</v>
      </c>
      <c r="B282" t="s">
        <v>563</v>
      </c>
      <c r="C282" t="s">
        <v>1167</v>
      </c>
      <c r="D282">
        <f t="shared" si="4"/>
        <v>1</v>
      </c>
      <c r="E282" t="s">
        <v>19</v>
      </c>
      <c r="F282" t="s">
        <v>1740</v>
      </c>
      <c r="G282" t="s">
        <v>326</v>
      </c>
      <c r="N282" s="107"/>
    </row>
    <row r="283" spans="1:14" x14ac:dyDescent="0.3">
      <c r="A283" t="s">
        <v>156</v>
      </c>
      <c r="B283" t="s">
        <v>568</v>
      </c>
      <c r="C283" t="s">
        <v>1168</v>
      </c>
      <c r="D283">
        <f t="shared" si="4"/>
        <v>1</v>
      </c>
      <c r="E283" t="s">
        <v>19</v>
      </c>
      <c r="F283" t="s">
        <v>1747</v>
      </c>
      <c r="G283" t="s">
        <v>326</v>
      </c>
      <c r="N283" s="107"/>
    </row>
    <row r="284" spans="1:14" x14ac:dyDescent="0.3">
      <c r="A284" t="s">
        <v>156</v>
      </c>
      <c r="B284" t="s">
        <v>646</v>
      </c>
      <c r="C284" t="s">
        <v>1196</v>
      </c>
      <c r="D284">
        <f t="shared" si="4"/>
        <v>1</v>
      </c>
      <c r="E284" t="s">
        <v>19</v>
      </c>
      <c r="F284" t="s">
        <v>1855</v>
      </c>
      <c r="G284" t="s">
        <v>326</v>
      </c>
      <c r="N284" s="107"/>
    </row>
    <row r="285" spans="1:14" x14ac:dyDescent="0.3">
      <c r="A285" t="s">
        <v>156</v>
      </c>
      <c r="B285" t="s">
        <v>647</v>
      </c>
      <c r="C285" t="s">
        <v>1196</v>
      </c>
      <c r="D285">
        <f t="shared" si="4"/>
        <v>1</v>
      </c>
      <c r="E285" t="s">
        <v>19</v>
      </c>
      <c r="F285" t="s">
        <v>1856</v>
      </c>
      <c r="G285" t="s">
        <v>326</v>
      </c>
      <c r="N285" s="107"/>
    </row>
    <row r="286" spans="1:14" x14ac:dyDescent="0.3">
      <c r="A286" t="s">
        <v>156</v>
      </c>
      <c r="B286" t="s">
        <v>672</v>
      </c>
      <c r="C286" t="s">
        <v>1215</v>
      </c>
      <c r="D286">
        <f t="shared" si="4"/>
        <v>1</v>
      </c>
      <c r="E286" t="s">
        <v>19</v>
      </c>
      <c r="F286" t="s">
        <v>1892</v>
      </c>
      <c r="G286" t="s">
        <v>326</v>
      </c>
      <c r="N286" s="107"/>
    </row>
    <row r="287" spans="1:14" x14ac:dyDescent="0.3">
      <c r="A287" t="s">
        <v>156</v>
      </c>
      <c r="B287" t="s">
        <v>684</v>
      </c>
      <c r="C287" t="s">
        <v>1231</v>
      </c>
      <c r="D287">
        <f t="shared" si="4"/>
        <v>1</v>
      </c>
      <c r="E287" t="s">
        <v>19</v>
      </c>
      <c r="F287" t="s">
        <v>1903</v>
      </c>
      <c r="G287" t="s">
        <v>326</v>
      </c>
      <c r="N287" s="107"/>
    </row>
    <row r="288" spans="1:14" x14ac:dyDescent="0.3">
      <c r="A288" t="s">
        <v>156</v>
      </c>
      <c r="B288" t="s">
        <v>685</v>
      </c>
      <c r="C288" t="s">
        <v>1231</v>
      </c>
      <c r="D288">
        <f t="shared" si="4"/>
        <v>1</v>
      </c>
      <c r="E288" t="s">
        <v>19</v>
      </c>
      <c r="F288" t="s">
        <v>1905</v>
      </c>
      <c r="G288" t="s">
        <v>326</v>
      </c>
      <c r="N288" s="107"/>
    </row>
    <row r="289" spans="1:14" x14ac:dyDescent="0.3">
      <c r="A289" t="s">
        <v>156</v>
      </c>
      <c r="B289" t="s">
        <v>686</v>
      </c>
      <c r="C289" t="s">
        <v>1231</v>
      </c>
      <c r="D289">
        <f t="shared" si="4"/>
        <v>1</v>
      </c>
      <c r="E289" t="s">
        <v>19</v>
      </c>
      <c r="F289" t="s">
        <v>1906</v>
      </c>
      <c r="G289" t="s">
        <v>326</v>
      </c>
      <c r="N289" s="107"/>
    </row>
    <row r="290" spans="1:14" x14ac:dyDescent="0.3">
      <c r="A290" t="s">
        <v>156</v>
      </c>
      <c r="B290" t="s">
        <v>687</v>
      </c>
      <c r="C290" t="s">
        <v>1231</v>
      </c>
      <c r="D290">
        <f t="shared" si="4"/>
        <v>1</v>
      </c>
      <c r="E290" t="s">
        <v>19</v>
      </c>
      <c r="F290" t="s">
        <v>1907</v>
      </c>
      <c r="G290" t="s">
        <v>326</v>
      </c>
      <c r="N290" s="107"/>
    </row>
    <row r="291" spans="1:14" x14ac:dyDescent="0.3">
      <c r="A291" t="s">
        <v>156</v>
      </c>
      <c r="B291" t="s">
        <v>703</v>
      </c>
      <c r="C291" t="s">
        <v>1231</v>
      </c>
      <c r="D291">
        <f t="shared" si="4"/>
        <v>1</v>
      </c>
      <c r="E291" t="s">
        <v>19</v>
      </c>
      <c r="F291" t="s">
        <v>1936</v>
      </c>
      <c r="G291" t="s">
        <v>326</v>
      </c>
      <c r="N291" s="107"/>
    </row>
    <row r="292" spans="1:14" x14ac:dyDescent="0.3">
      <c r="A292" t="s">
        <v>156</v>
      </c>
      <c r="B292" t="s">
        <v>731</v>
      </c>
      <c r="C292" t="s">
        <v>1235</v>
      </c>
      <c r="D292">
        <f t="shared" si="4"/>
        <v>1</v>
      </c>
      <c r="E292" t="s">
        <v>19</v>
      </c>
      <c r="F292" t="s">
        <v>1995</v>
      </c>
      <c r="G292" t="s">
        <v>326</v>
      </c>
      <c r="N292" s="107"/>
    </row>
    <row r="293" spans="1:14" x14ac:dyDescent="0.3">
      <c r="A293" t="s">
        <v>156</v>
      </c>
      <c r="B293" t="s">
        <v>764</v>
      </c>
      <c r="C293" t="s">
        <v>1256</v>
      </c>
      <c r="D293">
        <f t="shared" si="4"/>
        <v>1</v>
      </c>
      <c r="E293" t="s">
        <v>19</v>
      </c>
      <c r="F293" t="s">
        <v>2054</v>
      </c>
      <c r="G293" t="s">
        <v>326</v>
      </c>
      <c r="N293" s="107"/>
    </row>
    <row r="294" spans="1:14" x14ac:dyDescent="0.3">
      <c r="A294" t="s">
        <v>156</v>
      </c>
      <c r="B294" t="s">
        <v>769</v>
      </c>
      <c r="C294" t="s">
        <v>1258</v>
      </c>
      <c r="D294">
        <f t="shared" si="4"/>
        <v>1</v>
      </c>
      <c r="E294" t="s">
        <v>19</v>
      </c>
      <c r="F294" t="s">
        <v>2065</v>
      </c>
      <c r="G294" t="s">
        <v>326</v>
      </c>
      <c r="N294" s="107"/>
    </row>
    <row r="295" spans="1:14" x14ac:dyDescent="0.3">
      <c r="A295" t="s">
        <v>156</v>
      </c>
      <c r="B295" t="s">
        <v>764</v>
      </c>
      <c r="C295" t="s">
        <v>1255</v>
      </c>
      <c r="D295">
        <f t="shared" si="4"/>
        <v>1</v>
      </c>
      <c r="E295" t="s">
        <v>19</v>
      </c>
      <c r="F295" t="s">
        <v>2071</v>
      </c>
      <c r="G295" t="s">
        <v>326</v>
      </c>
      <c r="N295" s="107"/>
    </row>
    <row r="296" spans="1:14" x14ac:dyDescent="0.3">
      <c r="A296" t="s">
        <v>156</v>
      </c>
      <c r="B296" t="s">
        <v>672</v>
      </c>
      <c r="C296" t="s">
        <v>1291</v>
      </c>
      <c r="D296">
        <f t="shared" si="4"/>
        <v>1</v>
      </c>
      <c r="E296" t="s">
        <v>19</v>
      </c>
      <c r="F296" t="s">
        <v>2148</v>
      </c>
      <c r="G296" t="s">
        <v>326</v>
      </c>
      <c r="N296" s="107"/>
    </row>
    <row r="297" spans="1:14" x14ac:dyDescent="0.3">
      <c r="A297" t="s">
        <v>156</v>
      </c>
      <c r="B297" t="s">
        <v>838</v>
      </c>
      <c r="C297" t="s">
        <v>1306</v>
      </c>
      <c r="D297">
        <f t="shared" si="4"/>
        <v>1</v>
      </c>
      <c r="E297" t="s">
        <v>19</v>
      </c>
      <c r="F297" t="s">
        <v>2181</v>
      </c>
      <c r="G297" t="s">
        <v>326</v>
      </c>
      <c r="N297" s="107"/>
    </row>
    <row r="298" spans="1:14" x14ac:dyDescent="0.3">
      <c r="A298" t="s">
        <v>156</v>
      </c>
      <c r="B298" t="s">
        <v>851</v>
      </c>
      <c r="C298" t="s">
        <v>1306</v>
      </c>
      <c r="D298">
        <f t="shared" si="4"/>
        <v>1</v>
      </c>
      <c r="E298" t="s">
        <v>19</v>
      </c>
      <c r="F298" t="s">
        <v>2194</v>
      </c>
      <c r="G298" t="s">
        <v>326</v>
      </c>
      <c r="N298" s="107"/>
    </row>
    <row r="299" spans="1:14" x14ac:dyDescent="0.3">
      <c r="A299" t="s">
        <v>156</v>
      </c>
      <c r="B299" t="s">
        <v>871</v>
      </c>
      <c r="C299" t="s">
        <v>1315</v>
      </c>
      <c r="D299">
        <f t="shared" si="4"/>
        <v>1</v>
      </c>
      <c r="E299" t="s">
        <v>19</v>
      </c>
      <c r="F299" t="s">
        <v>1315</v>
      </c>
      <c r="G299" t="s">
        <v>326</v>
      </c>
      <c r="N299" s="107"/>
    </row>
    <row r="300" spans="1:14" x14ac:dyDescent="0.3">
      <c r="A300" t="s">
        <v>156</v>
      </c>
      <c r="B300" t="s">
        <v>872</v>
      </c>
      <c r="C300" t="s">
        <v>1317</v>
      </c>
      <c r="D300">
        <f t="shared" si="4"/>
        <v>1</v>
      </c>
      <c r="E300" t="s">
        <v>19</v>
      </c>
      <c r="F300" t="s">
        <v>2216</v>
      </c>
      <c r="G300" t="s">
        <v>326</v>
      </c>
      <c r="N300" s="107"/>
    </row>
    <row r="301" spans="1:14" x14ac:dyDescent="0.3">
      <c r="A301" t="s">
        <v>156</v>
      </c>
      <c r="B301" t="s">
        <v>873</v>
      </c>
      <c r="C301" t="s">
        <v>1318</v>
      </c>
      <c r="D301">
        <f t="shared" si="4"/>
        <v>1</v>
      </c>
      <c r="E301" t="s">
        <v>19</v>
      </c>
      <c r="F301" t="s">
        <v>2223</v>
      </c>
      <c r="G301" t="s">
        <v>326</v>
      </c>
      <c r="N301" s="107"/>
    </row>
    <row r="302" spans="1:14" x14ac:dyDescent="0.3">
      <c r="A302" t="s">
        <v>156</v>
      </c>
      <c r="B302" t="s">
        <v>879</v>
      </c>
      <c r="C302" t="s">
        <v>1326</v>
      </c>
      <c r="D302">
        <f t="shared" si="4"/>
        <v>1</v>
      </c>
      <c r="E302" t="s">
        <v>19</v>
      </c>
      <c r="F302" t="s">
        <v>2231</v>
      </c>
      <c r="G302" t="s">
        <v>326</v>
      </c>
      <c r="N302" s="107"/>
    </row>
    <row r="303" spans="1:14" x14ac:dyDescent="0.3">
      <c r="A303" t="s">
        <v>156</v>
      </c>
      <c r="B303" t="s">
        <v>881</v>
      </c>
      <c r="C303" t="s">
        <v>1326</v>
      </c>
      <c r="D303">
        <f t="shared" si="4"/>
        <v>1</v>
      </c>
      <c r="E303" t="s">
        <v>19</v>
      </c>
      <c r="F303" t="s">
        <v>2233</v>
      </c>
      <c r="G303" t="s">
        <v>326</v>
      </c>
      <c r="N303" s="107"/>
    </row>
    <row r="304" spans="1:14" x14ac:dyDescent="0.3">
      <c r="A304" t="s">
        <v>156</v>
      </c>
      <c r="B304" t="s">
        <v>884</v>
      </c>
      <c r="C304" t="s">
        <v>1326</v>
      </c>
      <c r="D304">
        <f t="shared" si="4"/>
        <v>1</v>
      </c>
      <c r="E304" t="s">
        <v>19</v>
      </c>
      <c r="F304" t="s">
        <v>2236</v>
      </c>
      <c r="G304" t="s">
        <v>326</v>
      </c>
      <c r="N304" s="107"/>
    </row>
    <row r="305" spans="1:14" x14ac:dyDescent="0.3">
      <c r="A305" t="s">
        <v>156</v>
      </c>
      <c r="B305" t="s">
        <v>886</v>
      </c>
      <c r="C305" t="s">
        <v>1326</v>
      </c>
      <c r="D305">
        <f t="shared" si="4"/>
        <v>1</v>
      </c>
      <c r="E305" t="s">
        <v>19</v>
      </c>
      <c r="F305" t="s">
        <v>2238</v>
      </c>
      <c r="G305" t="s">
        <v>326</v>
      </c>
      <c r="N305" s="107"/>
    </row>
    <row r="306" spans="1:14" x14ac:dyDescent="0.3">
      <c r="A306" t="s">
        <v>156</v>
      </c>
      <c r="B306" t="s">
        <v>478</v>
      </c>
      <c r="C306" t="s">
        <v>1351</v>
      </c>
      <c r="D306">
        <f t="shared" si="4"/>
        <v>1</v>
      </c>
      <c r="E306" t="s">
        <v>19</v>
      </c>
      <c r="F306" t="s">
        <v>2288</v>
      </c>
      <c r="G306" t="s">
        <v>326</v>
      </c>
      <c r="N306" s="107"/>
    </row>
    <row r="307" spans="1:14" x14ac:dyDescent="0.3">
      <c r="A307" t="s">
        <v>156</v>
      </c>
      <c r="B307" t="s">
        <v>764</v>
      </c>
      <c r="C307" t="s">
        <v>1361</v>
      </c>
      <c r="D307">
        <f t="shared" si="4"/>
        <v>1</v>
      </c>
      <c r="E307" t="s">
        <v>19</v>
      </c>
      <c r="F307" t="s">
        <v>1361</v>
      </c>
      <c r="G307" t="s">
        <v>326</v>
      </c>
      <c r="N307" s="107"/>
    </row>
    <row r="308" spans="1:14" x14ac:dyDescent="0.3">
      <c r="A308" t="s">
        <v>156</v>
      </c>
      <c r="B308" t="s">
        <v>925</v>
      </c>
      <c r="C308" t="s">
        <v>1362</v>
      </c>
      <c r="D308">
        <f t="shared" si="4"/>
        <v>1</v>
      </c>
      <c r="E308" t="s">
        <v>19</v>
      </c>
      <c r="F308" t="s">
        <v>2306</v>
      </c>
      <c r="G308" t="s">
        <v>326</v>
      </c>
      <c r="N308" s="107"/>
    </row>
    <row r="309" spans="1:14" x14ac:dyDescent="0.3">
      <c r="A309" t="s">
        <v>156</v>
      </c>
      <c r="B309" t="s">
        <v>886</v>
      </c>
      <c r="C309" t="s">
        <v>1364</v>
      </c>
      <c r="D309">
        <f t="shared" si="4"/>
        <v>1</v>
      </c>
      <c r="E309" t="s">
        <v>19</v>
      </c>
      <c r="F309" t="s">
        <v>1364</v>
      </c>
      <c r="G309" t="s">
        <v>326</v>
      </c>
      <c r="N309" s="107"/>
    </row>
    <row r="310" spans="1:14" x14ac:dyDescent="0.3">
      <c r="A310" t="s">
        <v>156</v>
      </c>
      <c r="B310" t="s">
        <v>932</v>
      </c>
      <c r="C310" t="s">
        <v>1370</v>
      </c>
      <c r="D310">
        <f t="shared" si="4"/>
        <v>1</v>
      </c>
      <c r="E310" t="s">
        <v>19</v>
      </c>
      <c r="F310" t="s">
        <v>2313</v>
      </c>
      <c r="G310" t="s">
        <v>326</v>
      </c>
      <c r="N310" s="107"/>
    </row>
    <row r="311" spans="1:14" x14ac:dyDescent="0.3">
      <c r="A311" t="s">
        <v>156</v>
      </c>
      <c r="B311" t="s">
        <v>933</v>
      </c>
      <c r="C311" t="s">
        <v>1372</v>
      </c>
      <c r="D311">
        <f t="shared" si="4"/>
        <v>1</v>
      </c>
      <c r="E311" t="s">
        <v>19</v>
      </c>
      <c r="F311" t="s">
        <v>1372</v>
      </c>
      <c r="G311" t="s">
        <v>326</v>
      </c>
      <c r="N311" s="107"/>
    </row>
    <row r="312" spans="1:14" x14ac:dyDescent="0.3">
      <c r="A312" t="s">
        <v>156</v>
      </c>
      <c r="B312" t="s">
        <v>949</v>
      </c>
      <c r="C312" t="s">
        <v>1390</v>
      </c>
      <c r="D312">
        <f t="shared" si="4"/>
        <v>1</v>
      </c>
      <c r="E312" t="s">
        <v>19</v>
      </c>
      <c r="F312" t="s">
        <v>1390</v>
      </c>
      <c r="G312" t="s">
        <v>326</v>
      </c>
      <c r="N312" s="107"/>
    </row>
    <row r="313" spans="1:14" x14ac:dyDescent="0.3">
      <c r="A313" t="s">
        <v>156</v>
      </c>
      <c r="B313" t="s">
        <v>563</v>
      </c>
      <c r="C313" t="s">
        <v>1386</v>
      </c>
      <c r="D313">
        <f t="shared" si="4"/>
        <v>1</v>
      </c>
      <c r="E313" t="s">
        <v>19</v>
      </c>
      <c r="F313" t="s">
        <v>2343</v>
      </c>
      <c r="G313" t="s">
        <v>326</v>
      </c>
      <c r="N313" s="107"/>
    </row>
    <row r="314" spans="1:14" x14ac:dyDescent="0.3">
      <c r="A314" t="s">
        <v>156</v>
      </c>
      <c r="B314" t="s">
        <v>951</v>
      </c>
      <c r="C314" t="s">
        <v>1393</v>
      </c>
      <c r="D314">
        <f t="shared" si="4"/>
        <v>1</v>
      </c>
      <c r="E314" t="s">
        <v>19</v>
      </c>
      <c r="F314" t="s">
        <v>1393</v>
      </c>
      <c r="G314" t="s">
        <v>326</v>
      </c>
      <c r="N314" s="107"/>
    </row>
    <row r="315" spans="1:14" x14ac:dyDescent="0.3">
      <c r="A315" t="s">
        <v>156</v>
      </c>
      <c r="B315" t="s">
        <v>952</v>
      </c>
      <c r="C315" t="s">
        <v>1386</v>
      </c>
      <c r="D315">
        <f t="shared" si="4"/>
        <v>1</v>
      </c>
      <c r="E315" t="s">
        <v>19</v>
      </c>
      <c r="F315" t="s">
        <v>2353</v>
      </c>
      <c r="G315" t="s">
        <v>326</v>
      </c>
      <c r="N315" s="107"/>
    </row>
    <row r="316" spans="1:14" x14ac:dyDescent="0.3">
      <c r="A316" t="s">
        <v>156</v>
      </c>
      <c r="B316" t="s">
        <v>953</v>
      </c>
      <c r="C316" t="s">
        <v>1386</v>
      </c>
      <c r="D316">
        <f t="shared" si="4"/>
        <v>1</v>
      </c>
      <c r="E316" t="s">
        <v>19</v>
      </c>
      <c r="F316" t="s">
        <v>2355</v>
      </c>
      <c r="G316" t="s">
        <v>326</v>
      </c>
      <c r="N316" s="107"/>
    </row>
    <row r="317" spans="1:14" x14ac:dyDescent="0.3">
      <c r="A317" t="s">
        <v>156</v>
      </c>
      <c r="B317" t="s">
        <v>964</v>
      </c>
      <c r="C317" t="s">
        <v>1408</v>
      </c>
      <c r="D317">
        <f t="shared" si="4"/>
        <v>1</v>
      </c>
      <c r="E317" t="s">
        <v>19</v>
      </c>
      <c r="F317" t="s">
        <v>2397</v>
      </c>
      <c r="G317" t="s">
        <v>326</v>
      </c>
      <c r="N317" s="107"/>
    </row>
    <row r="318" spans="1:14" x14ac:dyDescent="0.3">
      <c r="A318" t="s">
        <v>156</v>
      </c>
      <c r="B318" t="s">
        <v>764</v>
      </c>
      <c r="C318" t="s">
        <v>1417</v>
      </c>
      <c r="D318">
        <f t="shared" si="4"/>
        <v>1</v>
      </c>
      <c r="E318" t="s">
        <v>19</v>
      </c>
      <c r="F318" t="s">
        <v>2469</v>
      </c>
      <c r="G318" t="s">
        <v>326</v>
      </c>
      <c r="N318" s="107"/>
    </row>
    <row r="319" spans="1:14" x14ac:dyDescent="0.3">
      <c r="A319" t="s">
        <v>156</v>
      </c>
      <c r="B319" t="s">
        <v>1006</v>
      </c>
      <c r="C319" t="s">
        <v>1417</v>
      </c>
      <c r="D319">
        <f t="shared" si="4"/>
        <v>1</v>
      </c>
      <c r="E319" t="s">
        <v>19</v>
      </c>
      <c r="F319" t="s">
        <v>2470</v>
      </c>
      <c r="G319" t="s">
        <v>326</v>
      </c>
      <c r="N319" s="107"/>
    </row>
    <row r="320" spans="1:14" x14ac:dyDescent="0.3">
      <c r="A320" t="s">
        <v>156</v>
      </c>
      <c r="B320" t="s">
        <v>1011</v>
      </c>
      <c r="C320" t="s">
        <v>1418</v>
      </c>
      <c r="D320">
        <f t="shared" si="4"/>
        <v>1</v>
      </c>
      <c r="E320" t="s">
        <v>19</v>
      </c>
      <c r="F320" t="s">
        <v>2491</v>
      </c>
      <c r="G320" t="s">
        <v>326</v>
      </c>
      <c r="N320" s="107"/>
    </row>
    <row r="321" spans="1:14" x14ac:dyDescent="0.3">
      <c r="A321" t="s">
        <v>156</v>
      </c>
      <c r="B321" t="s">
        <v>1006</v>
      </c>
      <c r="C321" t="s">
        <v>1418</v>
      </c>
      <c r="D321">
        <f t="shared" si="4"/>
        <v>1</v>
      </c>
      <c r="E321" t="s">
        <v>19</v>
      </c>
      <c r="F321" t="s">
        <v>2504</v>
      </c>
      <c r="G321" t="s">
        <v>326</v>
      </c>
      <c r="N321" s="107"/>
    </row>
    <row r="322" spans="1:14" x14ac:dyDescent="0.3">
      <c r="A322" t="s">
        <v>156</v>
      </c>
      <c r="B322" t="s">
        <v>1029</v>
      </c>
      <c r="C322" t="s">
        <v>1428</v>
      </c>
      <c r="D322">
        <f t="shared" ref="D322:D385" si="5">SIGN(SUBTOTAL(3,E322))</f>
        <v>1</v>
      </c>
      <c r="E322" t="s">
        <v>19</v>
      </c>
      <c r="F322" t="s">
        <v>2557</v>
      </c>
      <c r="G322" t="s">
        <v>326</v>
      </c>
      <c r="N322" s="107"/>
    </row>
    <row r="323" spans="1:14" x14ac:dyDescent="0.3">
      <c r="A323" t="s">
        <v>156</v>
      </c>
      <c r="B323" t="s">
        <v>685</v>
      </c>
      <c r="C323" t="s">
        <v>1428</v>
      </c>
      <c r="D323">
        <f t="shared" si="5"/>
        <v>1</v>
      </c>
      <c r="E323" t="s">
        <v>19</v>
      </c>
      <c r="F323" t="s">
        <v>2558</v>
      </c>
      <c r="G323" t="s">
        <v>326</v>
      </c>
      <c r="N323" s="107"/>
    </row>
    <row r="324" spans="1:14" x14ac:dyDescent="0.3">
      <c r="A324" t="s">
        <v>156</v>
      </c>
      <c r="B324" t="s">
        <v>764</v>
      </c>
      <c r="C324" t="s">
        <v>1450</v>
      </c>
      <c r="D324">
        <f t="shared" si="5"/>
        <v>1</v>
      </c>
      <c r="E324" t="s">
        <v>19</v>
      </c>
      <c r="F324" t="s">
        <v>2622</v>
      </c>
      <c r="G324" t="s">
        <v>326</v>
      </c>
      <c r="N324" s="107"/>
    </row>
    <row r="325" spans="1:14" x14ac:dyDescent="0.3">
      <c r="A325" t="s">
        <v>156</v>
      </c>
      <c r="B325" t="s">
        <v>1065</v>
      </c>
      <c r="C325" t="s">
        <v>1453</v>
      </c>
      <c r="D325">
        <f t="shared" si="5"/>
        <v>1</v>
      </c>
      <c r="E325" t="s">
        <v>19</v>
      </c>
      <c r="F325" t="s">
        <v>2632</v>
      </c>
      <c r="G325" t="s">
        <v>326</v>
      </c>
      <c r="N325" s="107"/>
    </row>
    <row r="326" spans="1:14" x14ac:dyDescent="0.3">
      <c r="A326" t="s">
        <v>156</v>
      </c>
      <c r="B326" t="s">
        <v>1066</v>
      </c>
      <c r="C326" t="s">
        <v>1453</v>
      </c>
      <c r="D326">
        <f t="shared" si="5"/>
        <v>1</v>
      </c>
      <c r="E326" t="s">
        <v>19</v>
      </c>
      <c r="F326" t="s">
        <v>2633</v>
      </c>
      <c r="G326" t="s">
        <v>326</v>
      </c>
      <c r="N326" s="107"/>
    </row>
    <row r="327" spans="1:14" x14ac:dyDescent="0.3">
      <c r="A327" t="s">
        <v>156</v>
      </c>
      <c r="B327" t="s">
        <v>933</v>
      </c>
      <c r="C327" t="s">
        <v>1453</v>
      </c>
      <c r="D327">
        <f t="shared" si="5"/>
        <v>1</v>
      </c>
      <c r="E327" t="s">
        <v>19</v>
      </c>
      <c r="F327" t="s">
        <v>2634</v>
      </c>
      <c r="G327" t="s">
        <v>326</v>
      </c>
      <c r="N327" s="107"/>
    </row>
    <row r="328" spans="1:14" x14ac:dyDescent="0.3">
      <c r="A328" t="s">
        <v>156</v>
      </c>
      <c r="B328" t="s">
        <v>685</v>
      </c>
      <c r="C328" t="s">
        <v>1453</v>
      </c>
      <c r="D328">
        <f t="shared" si="5"/>
        <v>1</v>
      </c>
      <c r="E328" t="s">
        <v>19</v>
      </c>
      <c r="F328" t="s">
        <v>2635</v>
      </c>
      <c r="G328" t="s">
        <v>326</v>
      </c>
      <c r="N328" s="107"/>
    </row>
    <row r="329" spans="1:14" x14ac:dyDescent="0.3">
      <c r="A329" t="s">
        <v>156</v>
      </c>
      <c r="B329" t="s">
        <v>1029</v>
      </c>
      <c r="C329" t="s">
        <v>1465</v>
      </c>
      <c r="D329">
        <f t="shared" si="5"/>
        <v>1</v>
      </c>
      <c r="E329" t="s">
        <v>19</v>
      </c>
      <c r="F329" t="s">
        <v>2647</v>
      </c>
      <c r="G329" t="s">
        <v>326</v>
      </c>
      <c r="N329" s="107"/>
    </row>
    <row r="330" spans="1:14" x14ac:dyDescent="0.3">
      <c r="A330" t="s">
        <v>156</v>
      </c>
      <c r="B330" t="s">
        <v>871</v>
      </c>
      <c r="C330" t="s">
        <v>1465</v>
      </c>
      <c r="D330">
        <f t="shared" si="5"/>
        <v>1</v>
      </c>
      <c r="E330" t="s">
        <v>19</v>
      </c>
      <c r="F330" t="s">
        <v>2648</v>
      </c>
      <c r="G330" t="s">
        <v>326</v>
      </c>
      <c r="N330" s="107"/>
    </row>
    <row r="331" spans="1:14" x14ac:dyDescent="0.3">
      <c r="A331" t="s">
        <v>156</v>
      </c>
      <c r="B331" t="s">
        <v>873</v>
      </c>
      <c r="C331" t="s">
        <v>1465</v>
      </c>
      <c r="D331">
        <f t="shared" si="5"/>
        <v>1</v>
      </c>
      <c r="E331" t="s">
        <v>19</v>
      </c>
      <c r="F331" t="s">
        <v>2680</v>
      </c>
      <c r="G331" t="s">
        <v>326</v>
      </c>
      <c r="N331" s="107"/>
    </row>
    <row r="332" spans="1:14" x14ac:dyDescent="0.3">
      <c r="A332" t="s">
        <v>156</v>
      </c>
      <c r="B332" t="s">
        <v>871</v>
      </c>
      <c r="C332" t="s">
        <v>1482</v>
      </c>
      <c r="D332">
        <f t="shared" si="5"/>
        <v>1</v>
      </c>
      <c r="E332" t="s">
        <v>19</v>
      </c>
      <c r="F332" t="s">
        <v>2694</v>
      </c>
      <c r="G332" t="s">
        <v>326</v>
      </c>
      <c r="N332" s="107"/>
    </row>
    <row r="333" spans="1:14" x14ac:dyDescent="0.3">
      <c r="A333" t="s">
        <v>156</v>
      </c>
      <c r="B333" t="s">
        <v>1093</v>
      </c>
      <c r="C333" t="s">
        <v>1489</v>
      </c>
      <c r="D333">
        <f t="shared" si="5"/>
        <v>1</v>
      </c>
      <c r="E333" t="s">
        <v>19</v>
      </c>
      <c r="F333" t="s">
        <v>1489</v>
      </c>
      <c r="G333" t="s">
        <v>326</v>
      </c>
      <c r="N333" s="107"/>
    </row>
    <row r="334" spans="1:14" x14ac:dyDescent="0.3">
      <c r="A334" t="s">
        <v>156</v>
      </c>
      <c r="B334" t="s">
        <v>1124</v>
      </c>
      <c r="C334" t="s">
        <v>1517</v>
      </c>
      <c r="D334">
        <f t="shared" si="5"/>
        <v>1</v>
      </c>
      <c r="E334" t="s">
        <v>19</v>
      </c>
      <c r="F334" t="s">
        <v>2819</v>
      </c>
      <c r="G334" t="s">
        <v>326</v>
      </c>
      <c r="N334" s="107"/>
    </row>
    <row r="335" spans="1:14" x14ac:dyDescent="0.3">
      <c r="A335" t="s">
        <v>156</v>
      </c>
      <c r="B335" t="s">
        <v>1137</v>
      </c>
      <c r="C335" t="s">
        <v>1545</v>
      </c>
      <c r="D335">
        <f t="shared" si="5"/>
        <v>1</v>
      </c>
      <c r="E335" t="s">
        <v>19</v>
      </c>
      <c r="F335" t="s">
        <v>1545</v>
      </c>
      <c r="G335" t="s">
        <v>326</v>
      </c>
      <c r="N335" s="107"/>
    </row>
    <row r="336" spans="1:14" x14ac:dyDescent="0.3">
      <c r="A336" t="s">
        <v>157</v>
      </c>
      <c r="B336" t="s">
        <v>479</v>
      </c>
      <c r="C336" t="s">
        <v>1212</v>
      </c>
      <c r="D336">
        <f t="shared" si="5"/>
        <v>1</v>
      </c>
      <c r="E336" t="s">
        <v>19</v>
      </c>
      <c r="F336" t="s">
        <v>1878</v>
      </c>
      <c r="G336" t="s">
        <v>326</v>
      </c>
      <c r="N336" s="107"/>
    </row>
    <row r="337" spans="1:14" x14ac:dyDescent="0.3">
      <c r="A337" t="s">
        <v>157</v>
      </c>
      <c r="B337" t="s">
        <v>671</v>
      </c>
      <c r="C337" t="s">
        <v>1215</v>
      </c>
      <c r="D337">
        <f t="shared" si="5"/>
        <v>1</v>
      </c>
      <c r="E337" t="s">
        <v>19</v>
      </c>
      <c r="F337" t="s">
        <v>1891</v>
      </c>
      <c r="G337" t="s">
        <v>326</v>
      </c>
      <c r="N337" s="107"/>
    </row>
    <row r="338" spans="1:14" x14ac:dyDescent="0.3">
      <c r="A338" t="s">
        <v>157</v>
      </c>
      <c r="B338" t="s">
        <v>683</v>
      </c>
      <c r="C338" t="s">
        <v>1231</v>
      </c>
      <c r="D338">
        <f t="shared" si="5"/>
        <v>1</v>
      </c>
      <c r="E338" t="s">
        <v>19</v>
      </c>
      <c r="F338" t="s">
        <v>1901</v>
      </c>
      <c r="G338" t="s">
        <v>326</v>
      </c>
      <c r="N338" s="107"/>
    </row>
    <row r="339" spans="1:14" x14ac:dyDescent="0.3">
      <c r="A339" t="s">
        <v>157</v>
      </c>
      <c r="B339" t="s">
        <v>691</v>
      </c>
      <c r="C339" t="s">
        <v>1231</v>
      </c>
      <c r="D339">
        <f t="shared" si="5"/>
        <v>1</v>
      </c>
      <c r="E339" t="s">
        <v>19</v>
      </c>
      <c r="F339" t="s">
        <v>1911</v>
      </c>
      <c r="G339" t="s">
        <v>326</v>
      </c>
      <c r="N339" s="107"/>
    </row>
    <row r="340" spans="1:14" x14ac:dyDescent="0.3">
      <c r="A340" t="s">
        <v>157</v>
      </c>
      <c r="B340" t="s">
        <v>479</v>
      </c>
      <c r="C340" t="s">
        <v>1231</v>
      </c>
      <c r="D340">
        <f t="shared" si="5"/>
        <v>1</v>
      </c>
      <c r="E340" t="s">
        <v>19</v>
      </c>
      <c r="F340" t="s">
        <v>1914</v>
      </c>
      <c r="G340" t="s">
        <v>326</v>
      </c>
      <c r="N340" s="107"/>
    </row>
    <row r="341" spans="1:14" x14ac:dyDescent="0.3">
      <c r="A341" t="s">
        <v>157</v>
      </c>
      <c r="B341" t="s">
        <v>671</v>
      </c>
      <c r="C341" t="s">
        <v>1231</v>
      </c>
      <c r="D341">
        <f t="shared" si="5"/>
        <v>1</v>
      </c>
      <c r="E341" t="s">
        <v>19</v>
      </c>
      <c r="F341" t="s">
        <v>1918</v>
      </c>
      <c r="G341" t="s">
        <v>326</v>
      </c>
      <c r="N341" s="107"/>
    </row>
    <row r="342" spans="1:14" x14ac:dyDescent="0.3">
      <c r="A342" t="s">
        <v>157</v>
      </c>
      <c r="B342" t="s">
        <v>479</v>
      </c>
      <c r="C342" t="s">
        <v>1231</v>
      </c>
      <c r="D342">
        <f t="shared" si="5"/>
        <v>1</v>
      </c>
      <c r="E342" t="s">
        <v>19</v>
      </c>
      <c r="F342" t="s">
        <v>1931</v>
      </c>
      <c r="G342" t="s">
        <v>326</v>
      </c>
      <c r="N342" s="107"/>
    </row>
    <row r="343" spans="1:14" x14ac:dyDescent="0.3">
      <c r="A343" t="s">
        <v>157</v>
      </c>
      <c r="B343" t="s">
        <v>702</v>
      </c>
      <c r="C343" t="s">
        <v>1231</v>
      </c>
      <c r="D343">
        <f t="shared" si="5"/>
        <v>1</v>
      </c>
      <c r="E343" t="s">
        <v>19</v>
      </c>
      <c r="F343" t="s">
        <v>1935</v>
      </c>
      <c r="G343" t="s">
        <v>326</v>
      </c>
      <c r="N343" s="107"/>
    </row>
    <row r="344" spans="1:14" x14ac:dyDescent="0.3">
      <c r="A344" t="s">
        <v>157</v>
      </c>
      <c r="B344" t="s">
        <v>706</v>
      </c>
      <c r="C344" t="s">
        <v>1231</v>
      </c>
      <c r="D344">
        <f t="shared" si="5"/>
        <v>1</v>
      </c>
      <c r="E344" t="s">
        <v>19</v>
      </c>
      <c r="F344" t="s">
        <v>1939</v>
      </c>
      <c r="G344" t="s">
        <v>326</v>
      </c>
      <c r="N344" s="107"/>
    </row>
    <row r="345" spans="1:14" x14ac:dyDescent="0.3">
      <c r="A345" t="s">
        <v>157</v>
      </c>
      <c r="B345" t="s">
        <v>479</v>
      </c>
      <c r="C345" t="s">
        <v>1231</v>
      </c>
      <c r="D345">
        <f t="shared" si="5"/>
        <v>1</v>
      </c>
      <c r="E345" t="s">
        <v>19</v>
      </c>
      <c r="F345" t="s">
        <v>1942</v>
      </c>
      <c r="G345" t="s">
        <v>326</v>
      </c>
      <c r="N345" s="107"/>
    </row>
    <row r="346" spans="1:14" x14ac:dyDescent="0.3">
      <c r="A346" t="s">
        <v>157</v>
      </c>
      <c r="B346" t="s">
        <v>732</v>
      </c>
      <c r="C346" t="s">
        <v>1235</v>
      </c>
      <c r="D346">
        <f t="shared" si="5"/>
        <v>1</v>
      </c>
      <c r="E346" t="s">
        <v>19</v>
      </c>
      <c r="F346" t="s">
        <v>1996</v>
      </c>
      <c r="G346" t="s">
        <v>326</v>
      </c>
      <c r="N346" s="107"/>
    </row>
    <row r="347" spans="1:14" x14ac:dyDescent="0.3">
      <c r="A347" t="s">
        <v>157</v>
      </c>
      <c r="B347" t="s">
        <v>778</v>
      </c>
      <c r="C347" t="s">
        <v>1264</v>
      </c>
      <c r="D347">
        <f t="shared" si="5"/>
        <v>1</v>
      </c>
      <c r="E347" t="s">
        <v>19</v>
      </c>
      <c r="F347" t="s">
        <v>2077</v>
      </c>
      <c r="G347" t="s">
        <v>326</v>
      </c>
      <c r="N347" s="107"/>
    </row>
    <row r="348" spans="1:14" x14ac:dyDescent="0.3">
      <c r="A348" t="s">
        <v>157</v>
      </c>
      <c r="B348" t="s">
        <v>779</v>
      </c>
      <c r="C348" t="s">
        <v>1264</v>
      </c>
      <c r="D348">
        <f t="shared" si="5"/>
        <v>1</v>
      </c>
      <c r="E348" t="s">
        <v>19</v>
      </c>
      <c r="F348" t="s">
        <v>2078</v>
      </c>
      <c r="G348" t="s">
        <v>326</v>
      </c>
      <c r="N348" s="107"/>
    </row>
    <row r="349" spans="1:14" x14ac:dyDescent="0.3">
      <c r="A349" t="s">
        <v>157</v>
      </c>
      <c r="B349" t="s">
        <v>780</v>
      </c>
      <c r="C349" t="s">
        <v>1264</v>
      </c>
      <c r="D349">
        <f t="shared" si="5"/>
        <v>1</v>
      </c>
      <c r="E349" t="s">
        <v>19</v>
      </c>
      <c r="F349" t="s">
        <v>2079</v>
      </c>
      <c r="G349" t="s">
        <v>326</v>
      </c>
      <c r="N349" s="107"/>
    </row>
    <row r="350" spans="1:14" x14ac:dyDescent="0.3">
      <c r="A350" t="s">
        <v>157</v>
      </c>
      <c r="B350" t="s">
        <v>732</v>
      </c>
      <c r="C350" t="s">
        <v>1289</v>
      </c>
      <c r="D350">
        <f t="shared" si="5"/>
        <v>1</v>
      </c>
      <c r="E350" t="s">
        <v>19</v>
      </c>
      <c r="F350" t="s">
        <v>2110</v>
      </c>
      <c r="G350" t="s">
        <v>326</v>
      </c>
      <c r="N350" s="107"/>
    </row>
    <row r="351" spans="1:14" x14ac:dyDescent="0.3">
      <c r="A351" t="s">
        <v>157</v>
      </c>
      <c r="B351" t="s">
        <v>866</v>
      </c>
      <c r="C351" t="s">
        <v>1311</v>
      </c>
      <c r="D351">
        <f t="shared" si="5"/>
        <v>1</v>
      </c>
      <c r="E351" t="s">
        <v>19</v>
      </c>
      <c r="F351" t="s">
        <v>2212</v>
      </c>
      <c r="G351" t="s">
        <v>326</v>
      </c>
      <c r="N351" s="107"/>
    </row>
    <row r="352" spans="1:14" x14ac:dyDescent="0.3">
      <c r="A352" t="s">
        <v>157</v>
      </c>
      <c r="B352" t="s">
        <v>671</v>
      </c>
      <c r="C352" t="s">
        <v>1316</v>
      </c>
      <c r="D352">
        <f t="shared" si="5"/>
        <v>1</v>
      </c>
      <c r="E352" t="s">
        <v>19</v>
      </c>
      <c r="F352" t="s">
        <v>1316</v>
      </c>
      <c r="G352" t="s">
        <v>326</v>
      </c>
      <c r="N352" s="107"/>
    </row>
    <row r="353" spans="1:14" x14ac:dyDescent="0.3">
      <c r="A353" t="s">
        <v>157</v>
      </c>
      <c r="B353" t="s">
        <v>913</v>
      </c>
      <c r="C353" t="s">
        <v>1351</v>
      </c>
      <c r="D353">
        <f t="shared" si="5"/>
        <v>1</v>
      </c>
      <c r="E353" t="s">
        <v>19</v>
      </c>
      <c r="F353" t="s">
        <v>2290</v>
      </c>
      <c r="G353" t="s">
        <v>326</v>
      </c>
      <c r="N353" s="107"/>
    </row>
    <row r="354" spans="1:14" x14ac:dyDescent="0.3">
      <c r="A354" t="s">
        <v>157</v>
      </c>
      <c r="B354" t="s">
        <v>767</v>
      </c>
      <c r="C354" t="s">
        <v>1351</v>
      </c>
      <c r="D354">
        <f t="shared" si="5"/>
        <v>1</v>
      </c>
      <c r="E354" t="s">
        <v>19</v>
      </c>
      <c r="F354" t="s">
        <v>2291</v>
      </c>
      <c r="G354" t="s">
        <v>326</v>
      </c>
      <c r="N354" s="107"/>
    </row>
    <row r="355" spans="1:14" x14ac:dyDescent="0.3">
      <c r="A355" t="s">
        <v>157</v>
      </c>
      <c r="B355" t="s">
        <v>924</v>
      </c>
      <c r="C355" t="s">
        <v>1362</v>
      </c>
      <c r="D355">
        <f t="shared" si="5"/>
        <v>1</v>
      </c>
      <c r="E355" t="s">
        <v>19</v>
      </c>
      <c r="F355" t="s">
        <v>2304</v>
      </c>
      <c r="G355" t="s">
        <v>326</v>
      </c>
      <c r="N355" s="107"/>
    </row>
    <row r="356" spans="1:14" x14ac:dyDescent="0.3">
      <c r="A356" t="s">
        <v>157</v>
      </c>
      <c r="B356" t="s">
        <v>479</v>
      </c>
      <c r="C356" t="s">
        <v>1386</v>
      </c>
      <c r="D356">
        <f t="shared" si="5"/>
        <v>1</v>
      </c>
      <c r="E356" t="s">
        <v>19</v>
      </c>
      <c r="F356" t="s">
        <v>2352</v>
      </c>
      <c r="G356" t="s">
        <v>326</v>
      </c>
      <c r="N356" s="107"/>
    </row>
    <row r="357" spans="1:14" x14ac:dyDescent="0.3">
      <c r="A357" t="s">
        <v>157</v>
      </c>
      <c r="B357" t="s">
        <v>732</v>
      </c>
      <c r="C357" t="s">
        <v>1404</v>
      </c>
      <c r="D357">
        <f t="shared" si="5"/>
        <v>1</v>
      </c>
      <c r="E357" t="s">
        <v>19</v>
      </c>
      <c r="F357" t="s">
        <v>1404</v>
      </c>
      <c r="G357" t="s">
        <v>326</v>
      </c>
      <c r="N357" s="107"/>
    </row>
    <row r="358" spans="1:14" x14ac:dyDescent="0.3">
      <c r="A358" t="s">
        <v>157</v>
      </c>
      <c r="B358" t="s">
        <v>479</v>
      </c>
      <c r="C358" t="s">
        <v>1415</v>
      </c>
      <c r="D358">
        <f t="shared" si="5"/>
        <v>1</v>
      </c>
      <c r="E358" t="s">
        <v>19</v>
      </c>
      <c r="F358" t="s">
        <v>2461</v>
      </c>
      <c r="G358" t="s">
        <v>326</v>
      </c>
      <c r="N358" s="107"/>
    </row>
    <row r="359" spans="1:14" x14ac:dyDescent="0.3">
      <c r="A359" t="s">
        <v>157</v>
      </c>
      <c r="B359" t="s">
        <v>671</v>
      </c>
      <c r="C359" t="s">
        <v>1418</v>
      </c>
      <c r="D359">
        <f t="shared" si="5"/>
        <v>1</v>
      </c>
      <c r="E359" t="s">
        <v>19</v>
      </c>
      <c r="F359" t="s">
        <v>2471</v>
      </c>
      <c r="G359" t="s">
        <v>326</v>
      </c>
      <c r="N359" s="107"/>
    </row>
    <row r="360" spans="1:14" x14ac:dyDescent="0.3">
      <c r="A360" t="s">
        <v>157</v>
      </c>
      <c r="B360" t="s">
        <v>691</v>
      </c>
      <c r="C360" t="s">
        <v>1418</v>
      </c>
      <c r="D360">
        <f t="shared" si="5"/>
        <v>1</v>
      </c>
      <c r="E360" t="s">
        <v>19</v>
      </c>
      <c r="F360" t="s">
        <v>2481</v>
      </c>
      <c r="G360" t="s">
        <v>326</v>
      </c>
      <c r="N360" s="107"/>
    </row>
    <row r="361" spans="1:14" x14ac:dyDescent="0.3">
      <c r="A361" t="s">
        <v>157</v>
      </c>
      <c r="B361" t="s">
        <v>479</v>
      </c>
      <c r="C361" t="s">
        <v>1418</v>
      </c>
      <c r="D361">
        <f t="shared" si="5"/>
        <v>1</v>
      </c>
      <c r="E361" t="s">
        <v>19</v>
      </c>
      <c r="F361" t="s">
        <v>2485</v>
      </c>
      <c r="G361" t="s">
        <v>326</v>
      </c>
      <c r="N361" s="107"/>
    </row>
    <row r="362" spans="1:14" x14ac:dyDescent="0.3">
      <c r="A362" t="s">
        <v>157</v>
      </c>
      <c r="B362" t="s">
        <v>479</v>
      </c>
      <c r="C362" t="s">
        <v>1418</v>
      </c>
      <c r="D362">
        <f t="shared" si="5"/>
        <v>1</v>
      </c>
      <c r="E362" t="s">
        <v>19</v>
      </c>
      <c r="F362" t="s">
        <v>2486</v>
      </c>
      <c r="G362" t="s">
        <v>326</v>
      </c>
      <c r="N362" s="107"/>
    </row>
    <row r="363" spans="1:14" x14ac:dyDescent="0.3">
      <c r="A363" t="s">
        <v>157</v>
      </c>
      <c r="B363" t="s">
        <v>732</v>
      </c>
      <c r="C363" t="s">
        <v>1418</v>
      </c>
      <c r="D363">
        <f t="shared" si="5"/>
        <v>1</v>
      </c>
      <c r="E363" t="s">
        <v>19</v>
      </c>
      <c r="F363" t="s">
        <v>2495</v>
      </c>
      <c r="G363" t="s">
        <v>326</v>
      </c>
      <c r="N363" s="107"/>
    </row>
    <row r="364" spans="1:14" x14ac:dyDescent="0.3">
      <c r="A364" t="s">
        <v>157</v>
      </c>
      <c r="B364" t="s">
        <v>774</v>
      </c>
      <c r="C364" t="s">
        <v>1418</v>
      </c>
      <c r="D364">
        <f t="shared" si="5"/>
        <v>1</v>
      </c>
      <c r="E364" t="s">
        <v>19</v>
      </c>
      <c r="F364" t="s">
        <v>2502</v>
      </c>
      <c r="G364" t="s">
        <v>326</v>
      </c>
      <c r="N364" s="107"/>
    </row>
    <row r="365" spans="1:14" x14ac:dyDescent="0.3">
      <c r="A365" t="s">
        <v>157</v>
      </c>
      <c r="B365" t="s">
        <v>767</v>
      </c>
      <c r="C365" t="s">
        <v>1418</v>
      </c>
      <c r="D365">
        <f t="shared" si="5"/>
        <v>1</v>
      </c>
      <c r="E365" t="s">
        <v>19</v>
      </c>
      <c r="F365" t="s">
        <v>2515</v>
      </c>
      <c r="G365" t="s">
        <v>326</v>
      </c>
      <c r="N365" s="107"/>
    </row>
    <row r="366" spans="1:14" x14ac:dyDescent="0.3">
      <c r="A366" t="s">
        <v>157</v>
      </c>
      <c r="B366" t="s">
        <v>864</v>
      </c>
      <c r="C366" t="s">
        <v>1443</v>
      </c>
      <c r="D366">
        <f t="shared" si="5"/>
        <v>1</v>
      </c>
      <c r="E366" t="s">
        <v>19</v>
      </c>
      <c r="F366" t="s">
        <v>2573</v>
      </c>
      <c r="G366" t="s">
        <v>326</v>
      </c>
      <c r="N366" s="107"/>
    </row>
    <row r="367" spans="1:14" x14ac:dyDescent="0.3">
      <c r="A367" t="s">
        <v>157</v>
      </c>
      <c r="B367" t="s">
        <v>968</v>
      </c>
      <c r="C367" t="s">
        <v>1458</v>
      </c>
      <c r="D367">
        <f t="shared" si="5"/>
        <v>1</v>
      </c>
      <c r="E367" t="s">
        <v>19</v>
      </c>
      <c r="F367" t="s">
        <v>2643</v>
      </c>
      <c r="G367" t="s">
        <v>326</v>
      </c>
      <c r="N367" s="107"/>
    </row>
    <row r="368" spans="1:14" x14ac:dyDescent="0.3">
      <c r="A368" t="s">
        <v>157</v>
      </c>
      <c r="B368" t="s">
        <v>1071</v>
      </c>
      <c r="C368" t="s">
        <v>1463</v>
      </c>
      <c r="D368">
        <f t="shared" si="5"/>
        <v>1</v>
      </c>
      <c r="E368" t="s">
        <v>19</v>
      </c>
      <c r="F368" t="s">
        <v>1463</v>
      </c>
      <c r="G368" t="s">
        <v>326</v>
      </c>
      <c r="N368" s="107"/>
    </row>
    <row r="369" spans="1:14" x14ac:dyDescent="0.3">
      <c r="A369" t="s">
        <v>157</v>
      </c>
      <c r="B369" t="s">
        <v>732</v>
      </c>
      <c r="C369" t="s">
        <v>1465</v>
      </c>
      <c r="D369">
        <f t="shared" si="5"/>
        <v>1</v>
      </c>
      <c r="E369" t="s">
        <v>19</v>
      </c>
      <c r="F369" t="s">
        <v>2649</v>
      </c>
      <c r="G369" t="s">
        <v>326</v>
      </c>
      <c r="N369" s="107"/>
    </row>
    <row r="370" spans="1:14" x14ac:dyDescent="0.3">
      <c r="A370" t="s">
        <v>157</v>
      </c>
      <c r="B370" t="s">
        <v>702</v>
      </c>
      <c r="C370" t="s">
        <v>1467</v>
      </c>
      <c r="D370">
        <f t="shared" si="5"/>
        <v>1</v>
      </c>
      <c r="E370" t="s">
        <v>19</v>
      </c>
      <c r="F370" t="s">
        <v>2684</v>
      </c>
      <c r="G370" t="s">
        <v>326</v>
      </c>
      <c r="N370" s="107"/>
    </row>
    <row r="371" spans="1:14" x14ac:dyDescent="0.3">
      <c r="A371" t="s">
        <v>157</v>
      </c>
      <c r="B371" t="s">
        <v>1114</v>
      </c>
      <c r="C371" t="s">
        <v>1513</v>
      </c>
      <c r="D371">
        <f t="shared" si="5"/>
        <v>1</v>
      </c>
      <c r="E371" t="s">
        <v>19</v>
      </c>
      <c r="F371" t="s">
        <v>2773</v>
      </c>
      <c r="G371" t="s">
        <v>326</v>
      </c>
      <c r="N371" s="107"/>
    </row>
    <row r="372" spans="1:14" x14ac:dyDescent="0.3">
      <c r="A372" t="s">
        <v>157</v>
      </c>
      <c r="B372" t="s">
        <v>774</v>
      </c>
      <c r="C372" t="s">
        <v>1513</v>
      </c>
      <c r="D372">
        <f t="shared" si="5"/>
        <v>1</v>
      </c>
      <c r="E372" t="s">
        <v>19</v>
      </c>
      <c r="F372" t="s">
        <v>2795</v>
      </c>
      <c r="G372" t="s">
        <v>326</v>
      </c>
      <c r="N372" s="107"/>
    </row>
    <row r="373" spans="1:14" x14ac:dyDescent="0.3">
      <c r="A373" t="s">
        <v>157</v>
      </c>
      <c r="B373" t="s">
        <v>971</v>
      </c>
      <c r="C373" t="s">
        <v>1523</v>
      </c>
      <c r="D373">
        <f t="shared" si="5"/>
        <v>1</v>
      </c>
      <c r="E373" t="s">
        <v>19</v>
      </c>
      <c r="F373" t="s">
        <v>1523</v>
      </c>
      <c r="G373" t="s">
        <v>326</v>
      </c>
      <c r="N373" s="107"/>
    </row>
    <row r="374" spans="1:14" x14ac:dyDescent="0.3">
      <c r="A374" t="s">
        <v>157</v>
      </c>
      <c r="B374" t="s">
        <v>671</v>
      </c>
      <c r="C374" t="s">
        <v>1540</v>
      </c>
      <c r="D374">
        <f t="shared" si="5"/>
        <v>1</v>
      </c>
      <c r="E374" t="s">
        <v>19</v>
      </c>
      <c r="F374" t="s">
        <v>1540</v>
      </c>
      <c r="G374" t="s">
        <v>326</v>
      </c>
      <c r="N374" s="107"/>
    </row>
    <row r="375" spans="1:14" x14ac:dyDescent="0.3">
      <c r="A375" t="s">
        <v>158</v>
      </c>
      <c r="B375" t="s">
        <v>611</v>
      </c>
      <c r="C375" t="s">
        <v>1183</v>
      </c>
      <c r="D375">
        <f t="shared" si="5"/>
        <v>1</v>
      </c>
      <c r="E375" t="s">
        <v>19</v>
      </c>
      <c r="F375" t="s">
        <v>1810</v>
      </c>
      <c r="G375" t="s">
        <v>326</v>
      </c>
      <c r="N375" s="107"/>
    </row>
    <row r="376" spans="1:14" x14ac:dyDescent="0.3">
      <c r="A376" t="s">
        <v>158</v>
      </c>
      <c r="B376" t="s">
        <v>612</v>
      </c>
      <c r="C376" t="s">
        <v>1182</v>
      </c>
      <c r="D376">
        <f t="shared" si="5"/>
        <v>1</v>
      </c>
      <c r="E376" t="s">
        <v>19</v>
      </c>
      <c r="F376" t="s">
        <v>1811</v>
      </c>
      <c r="G376" t="s">
        <v>326</v>
      </c>
      <c r="N376" s="107"/>
    </row>
    <row r="377" spans="1:14" x14ac:dyDescent="0.3">
      <c r="A377" t="s">
        <v>158</v>
      </c>
      <c r="B377" t="s">
        <v>613</v>
      </c>
      <c r="C377" t="s">
        <v>1182</v>
      </c>
      <c r="D377">
        <f t="shared" si="5"/>
        <v>1</v>
      </c>
      <c r="E377" t="s">
        <v>19</v>
      </c>
      <c r="F377" t="s">
        <v>1812</v>
      </c>
      <c r="G377" t="s">
        <v>326</v>
      </c>
      <c r="N377" s="107"/>
    </row>
    <row r="378" spans="1:14" x14ac:dyDescent="0.3">
      <c r="A378" t="s">
        <v>158</v>
      </c>
      <c r="B378" t="s">
        <v>661</v>
      </c>
      <c r="C378" t="s">
        <v>1212</v>
      </c>
      <c r="D378">
        <f t="shared" si="5"/>
        <v>1</v>
      </c>
      <c r="E378" t="s">
        <v>19</v>
      </c>
      <c r="F378" t="s">
        <v>1871</v>
      </c>
      <c r="G378" t="s">
        <v>326</v>
      </c>
      <c r="N378" s="107"/>
    </row>
    <row r="379" spans="1:14" x14ac:dyDescent="0.3">
      <c r="A379" t="s">
        <v>158</v>
      </c>
      <c r="B379" t="s">
        <v>613</v>
      </c>
      <c r="C379" t="s">
        <v>1226</v>
      </c>
      <c r="D379">
        <f t="shared" si="5"/>
        <v>1</v>
      </c>
      <c r="E379" t="s">
        <v>19</v>
      </c>
      <c r="F379" t="s">
        <v>1226</v>
      </c>
      <c r="G379" t="s">
        <v>326</v>
      </c>
      <c r="N379" s="107"/>
    </row>
    <row r="380" spans="1:14" x14ac:dyDescent="0.3">
      <c r="A380" t="s">
        <v>158</v>
      </c>
      <c r="B380" t="s">
        <v>661</v>
      </c>
      <c r="C380" t="s">
        <v>1231</v>
      </c>
      <c r="D380">
        <f t="shared" si="5"/>
        <v>1</v>
      </c>
      <c r="E380" t="s">
        <v>19</v>
      </c>
      <c r="F380" t="s">
        <v>1949</v>
      </c>
      <c r="G380" t="s">
        <v>326</v>
      </c>
      <c r="N380" s="107"/>
    </row>
    <row r="381" spans="1:14" x14ac:dyDescent="0.3">
      <c r="A381" t="s">
        <v>158</v>
      </c>
      <c r="B381" t="s">
        <v>711</v>
      </c>
      <c r="C381" t="s">
        <v>1231</v>
      </c>
      <c r="D381">
        <f t="shared" si="5"/>
        <v>1</v>
      </c>
      <c r="E381" t="s">
        <v>19</v>
      </c>
      <c r="F381" t="s">
        <v>1950</v>
      </c>
      <c r="G381" t="s">
        <v>326</v>
      </c>
      <c r="N381" s="107"/>
    </row>
    <row r="382" spans="1:14" x14ac:dyDescent="0.3">
      <c r="A382" t="s">
        <v>158</v>
      </c>
      <c r="B382" t="s">
        <v>480</v>
      </c>
      <c r="C382" t="s">
        <v>1231</v>
      </c>
      <c r="D382">
        <f t="shared" si="5"/>
        <v>1</v>
      </c>
      <c r="E382" t="s">
        <v>19</v>
      </c>
      <c r="F382" t="s">
        <v>1951</v>
      </c>
      <c r="G382" t="s">
        <v>326</v>
      </c>
      <c r="N382" s="107"/>
    </row>
    <row r="383" spans="1:14" x14ac:dyDescent="0.3">
      <c r="A383" t="s">
        <v>158</v>
      </c>
      <c r="B383" t="s">
        <v>713</v>
      </c>
      <c r="C383" t="s">
        <v>1231</v>
      </c>
      <c r="D383">
        <f t="shared" si="5"/>
        <v>1</v>
      </c>
      <c r="E383" t="s">
        <v>19</v>
      </c>
      <c r="F383" t="s">
        <v>1955</v>
      </c>
      <c r="G383" t="s">
        <v>326</v>
      </c>
      <c r="N383" s="107"/>
    </row>
    <row r="384" spans="1:14" x14ac:dyDescent="0.3">
      <c r="A384" t="s">
        <v>158</v>
      </c>
      <c r="B384" t="s">
        <v>716</v>
      </c>
      <c r="C384" t="s">
        <v>1231</v>
      </c>
      <c r="D384">
        <f t="shared" si="5"/>
        <v>1</v>
      </c>
      <c r="E384" t="s">
        <v>19</v>
      </c>
      <c r="F384" t="s">
        <v>1966</v>
      </c>
      <c r="G384" t="s">
        <v>326</v>
      </c>
      <c r="N384" s="107"/>
    </row>
    <row r="385" spans="1:14" x14ac:dyDescent="0.3">
      <c r="A385" t="s">
        <v>158</v>
      </c>
      <c r="B385" t="s">
        <v>480</v>
      </c>
      <c r="C385" t="s">
        <v>1254</v>
      </c>
      <c r="D385">
        <f t="shared" si="5"/>
        <v>1</v>
      </c>
      <c r="E385" t="s">
        <v>19</v>
      </c>
      <c r="F385" t="s">
        <v>1254</v>
      </c>
      <c r="G385" t="s">
        <v>326</v>
      </c>
      <c r="N385" s="107"/>
    </row>
    <row r="386" spans="1:14" x14ac:dyDescent="0.3">
      <c r="A386" t="s">
        <v>158</v>
      </c>
      <c r="B386" t="s">
        <v>847</v>
      </c>
      <c r="C386" t="s">
        <v>1307</v>
      </c>
      <c r="D386">
        <f t="shared" ref="D386:D449" si="6">SIGN(SUBTOTAL(3,E386))</f>
        <v>1</v>
      </c>
      <c r="E386" t="s">
        <v>19</v>
      </c>
      <c r="F386" t="s">
        <v>1307</v>
      </c>
      <c r="G386" t="s">
        <v>326</v>
      </c>
      <c r="N386" s="107"/>
    </row>
    <row r="387" spans="1:14" x14ac:dyDescent="0.3">
      <c r="A387" t="s">
        <v>158</v>
      </c>
      <c r="B387" t="s">
        <v>848</v>
      </c>
      <c r="C387" t="s">
        <v>1306</v>
      </c>
      <c r="D387">
        <f t="shared" si="6"/>
        <v>1</v>
      </c>
      <c r="E387" t="s">
        <v>19</v>
      </c>
      <c r="F387" t="s">
        <v>2192</v>
      </c>
      <c r="G387" t="s">
        <v>326</v>
      </c>
      <c r="N387" s="107"/>
    </row>
    <row r="388" spans="1:14" x14ac:dyDescent="0.3">
      <c r="A388" t="s">
        <v>158</v>
      </c>
      <c r="B388" t="s">
        <v>850</v>
      </c>
      <c r="C388" t="s">
        <v>1306</v>
      </c>
      <c r="D388">
        <f t="shared" si="6"/>
        <v>1</v>
      </c>
      <c r="E388" t="s">
        <v>19</v>
      </c>
      <c r="F388" t="s">
        <v>2193</v>
      </c>
      <c r="G388" t="s">
        <v>326</v>
      </c>
      <c r="N388" s="107"/>
    </row>
    <row r="389" spans="1:14" x14ac:dyDescent="0.3">
      <c r="A389" t="s">
        <v>158</v>
      </c>
      <c r="B389" t="s">
        <v>856</v>
      </c>
      <c r="C389" t="s">
        <v>1306</v>
      </c>
      <c r="D389">
        <f t="shared" si="6"/>
        <v>1</v>
      </c>
      <c r="E389" t="s">
        <v>19</v>
      </c>
      <c r="F389" t="s">
        <v>2199</v>
      </c>
      <c r="G389" t="s">
        <v>326</v>
      </c>
      <c r="N389" s="107"/>
    </row>
    <row r="390" spans="1:14" x14ac:dyDescent="0.3">
      <c r="A390" t="s">
        <v>158</v>
      </c>
      <c r="B390" t="s">
        <v>857</v>
      </c>
      <c r="C390" t="s">
        <v>1306</v>
      </c>
      <c r="D390">
        <f t="shared" si="6"/>
        <v>1</v>
      </c>
      <c r="E390" t="s">
        <v>19</v>
      </c>
      <c r="F390" t="s">
        <v>2201</v>
      </c>
      <c r="G390" t="s">
        <v>326</v>
      </c>
      <c r="N390" s="107"/>
    </row>
    <row r="391" spans="1:14" x14ac:dyDescent="0.3">
      <c r="A391" t="s">
        <v>158</v>
      </c>
      <c r="B391" t="s">
        <v>858</v>
      </c>
      <c r="C391" t="s">
        <v>1306</v>
      </c>
      <c r="D391">
        <f t="shared" si="6"/>
        <v>1</v>
      </c>
      <c r="E391" t="s">
        <v>19</v>
      </c>
      <c r="F391" t="s">
        <v>2202</v>
      </c>
      <c r="G391" t="s">
        <v>326</v>
      </c>
      <c r="N391" s="107"/>
    </row>
    <row r="392" spans="1:14" x14ac:dyDescent="0.3">
      <c r="A392" t="s">
        <v>158</v>
      </c>
      <c r="B392" t="s">
        <v>880</v>
      </c>
      <c r="C392" t="s">
        <v>1326</v>
      </c>
      <c r="D392">
        <f t="shared" si="6"/>
        <v>1</v>
      </c>
      <c r="E392" t="s">
        <v>19</v>
      </c>
      <c r="F392" t="s">
        <v>2232</v>
      </c>
      <c r="G392" t="s">
        <v>326</v>
      </c>
      <c r="N392" s="107"/>
    </row>
    <row r="393" spans="1:14" x14ac:dyDescent="0.3">
      <c r="A393" t="s">
        <v>158</v>
      </c>
      <c r="B393" t="s">
        <v>883</v>
      </c>
      <c r="C393" t="s">
        <v>1326</v>
      </c>
      <c r="D393">
        <f t="shared" si="6"/>
        <v>1</v>
      </c>
      <c r="E393" t="s">
        <v>19</v>
      </c>
      <c r="F393" t="s">
        <v>2235</v>
      </c>
      <c r="G393" t="s">
        <v>326</v>
      </c>
      <c r="N393" s="107"/>
    </row>
    <row r="394" spans="1:14" x14ac:dyDescent="0.3">
      <c r="A394" t="s">
        <v>158</v>
      </c>
      <c r="B394" t="s">
        <v>885</v>
      </c>
      <c r="C394" t="s">
        <v>1326</v>
      </c>
      <c r="D394">
        <f t="shared" si="6"/>
        <v>1</v>
      </c>
      <c r="E394" t="s">
        <v>19</v>
      </c>
      <c r="F394" t="s">
        <v>2237</v>
      </c>
      <c r="G394" t="s">
        <v>326</v>
      </c>
      <c r="N394" s="107"/>
    </row>
    <row r="395" spans="1:14" x14ac:dyDescent="0.3">
      <c r="A395" t="s">
        <v>158</v>
      </c>
      <c r="B395" t="s">
        <v>885</v>
      </c>
      <c r="C395" t="s">
        <v>1339</v>
      </c>
      <c r="D395">
        <f t="shared" si="6"/>
        <v>1</v>
      </c>
      <c r="E395" t="s">
        <v>19</v>
      </c>
      <c r="F395" t="s">
        <v>2263</v>
      </c>
      <c r="G395" t="s">
        <v>326</v>
      </c>
      <c r="N395" s="107"/>
    </row>
    <row r="396" spans="1:14" x14ac:dyDescent="0.3">
      <c r="A396" t="s">
        <v>158</v>
      </c>
      <c r="B396" t="s">
        <v>934</v>
      </c>
      <c r="C396" t="s">
        <v>1373</v>
      </c>
      <c r="D396">
        <f t="shared" si="6"/>
        <v>1</v>
      </c>
      <c r="E396" t="s">
        <v>19</v>
      </c>
      <c r="F396" t="s">
        <v>1373</v>
      </c>
      <c r="G396" t="s">
        <v>326</v>
      </c>
      <c r="N396" s="107"/>
    </row>
    <row r="397" spans="1:14" x14ac:dyDescent="0.3">
      <c r="A397" t="s">
        <v>158</v>
      </c>
      <c r="B397" t="s">
        <v>936</v>
      </c>
      <c r="C397" t="s">
        <v>1375</v>
      </c>
      <c r="D397">
        <f t="shared" si="6"/>
        <v>1</v>
      </c>
      <c r="E397" t="s">
        <v>19</v>
      </c>
      <c r="F397" t="s">
        <v>2317</v>
      </c>
      <c r="G397" t="s">
        <v>326</v>
      </c>
      <c r="N397" s="107"/>
    </row>
    <row r="398" spans="1:14" x14ac:dyDescent="0.3">
      <c r="A398" t="s">
        <v>158</v>
      </c>
      <c r="B398" t="s">
        <v>480</v>
      </c>
      <c r="C398" t="s">
        <v>1408</v>
      </c>
      <c r="D398">
        <f t="shared" si="6"/>
        <v>1</v>
      </c>
      <c r="E398" t="s">
        <v>19</v>
      </c>
      <c r="F398" t="s">
        <v>2398</v>
      </c>
      <c r="G398" t="s">
        <v>326</v>
      </c>
      <c r="N398" s="107"/>
    </row>
    <row r="399" spans="1:14" x14ac:dyDescent="0.3">
      <c r="A399" t="s">
        <v>158</v>
      </c>
      <c r="B399" t="s">
        <v>847</v>
      </c>
      <c r="C399" t="s">
        <v>1408</v>
      </c>
      <c r="D399">
        <f t="shared" si="6"/>
        <v>1</v>
      </c>
      <c r="E399" t="s">
        <v>19</v>
      </c>
      <c r="F399" t="s">
        <v>2399</v>
      </c>
      <c r="G399" t="s">
        <v>326</v>
      </c>
      <c r="N399" s="107"/>
    </row>
    <row r="400" spans="1:14" x14ac:dyDescent="0.3">
      <c r="A400" t="s">
        <v>158</v>
      </c>
      <c r="B400" t="s">
        <v>967</v>
      </c>
      <c r="C400" t="s">
        <v>1408</v>
      </c>
      <c r="D400">
        <f t="shared" si="6"/>
        <v>1</v>
      </c>
      <c r="E400" t="s">
        <v>19</v>
      </c>
      <c r="F400" t="s">
        <v>2404</v>
      </c>
      <c r="G400" t="s">
        <v>326</v>
      </c>
      <c r="N400" s="107"/>
    </row>
    <row r="401" spans="1:14" x14ac:dyDescent="0.3">
      <c r="A401" t="s">
        <v>158</v>
      </c>
      <c r="B401" t="s">
        <v>968</v>
      </c>
      <c r="C401" t="s">
        <v>1408</v>
      </c>
      <c r="D401">
        <f t="shared" si="6"/>
        <v>1</v>
      </c>
      <c r="E401" t="s">
        <v>19</v>
      </c>
      <c r="F401" t="s">
        <v>2405</v>
      </c>
      <c r="G401" t="s">
        <v>326</v>
      </c>
      <c r="N401" s="107"/>
    </row>
    <row r="402" spans="1:14" x14ac:dyDescent="0.3">
      <c r="A402" t="s">
        <v>158</v>
      </c>
      <c r="B402" t="s">
        <v>936</v>
      </c>
      <c r="C402" t="s">
        <v>1408</v>
      </c>
      <c r="D402">
        <f t="shared" si="6"/>
        <v>1</v>
      </c>
      <c r="E402" t="s">
        <v>19</v>
      </c>
      <c r="F402" t="s">
        <v>2408</v>
      </c>
      <c r="G402" t="s">
        <v>326</v>
      </c>
      <c r="N402" s="107"/>
    </row>
    <row r="403" spans="1:14" x14ac:dyDescent="0.3">
      <c r="A403" t="s">
        <v>158</v>
      </c>
      <c r="B403" t="s">
        <v>971</v>
      </c>
      <c r="C403" t="s">
        <v>1408</v>
      </c>
      <c r="D403">
        <f t="shared" si="6"/>
        <v>1</v>
      </c>
      <c r="E403" t="s">
        <v>19</v>
      </c>
      <c r="F403" t="s">
        <v>2411</v>
      </c>
      <c r="G403" t="s">
        <v>326</v>
      </c>
      <c r="N403" s="107"/>
    </row>
    <row r="404" spans="1:14" x14ac:dyDescent="0.3">
      <c r="A404" t="s">
        <v>158</v>
      </c>
      <c r="B404" t="s">
        <v>613</v>
      </c>
      <c r="C404" t="s">
        <v>1409</v>
      </c>
      <c r="D404">
        <f t="shared" si="6"/>
        <v>1</v>
      </c>
      <c r="E404" t="s">
        <v>19</v>
      </c>
      <c r="F404" t="s">
        <v>2428</v>
      </c>
      <c r="G404" t="s">
        <v>326</v>
      </c>
      <c r="N404" s="107"/>
    </row>
    <row r="405" spans="1:14" x14ac:dyDescent="0.3">
      <c r="A405" t="s">
        <v>158</v>
      </c>
      <c r="B405" t="s">
        <v>989</v>
      </c>
      <c r="C405" t="s">
        <v>1408</v>
      </c>
      <c r="D405">
        <f t="shared" si="6"/>
        <v>1</v>
      </c>
      <c r="E405" t="s">
        <v>19</v>
      </c>
      <c r="F405" t="s">
        <v>2436</v>
      </c>
      <c r="G405" t="s">
        <v>326</v>
      </c>
      <c r="N405" s="107"/>
    </row>
    <row r="406" spans="1:14" x14ac:dyDescent="0.3">
      <c r="A406" t="s">
        <v>158</v>
      </c>
      <c r="B406" t="s">
        <v>1041</v>
      </c>
      <c r="C406" t="s">
        <v>1447</v>
      </c>
      <c r="D406">
        <f t="shared" si="6"/>
        <v>1</v>
      </c>
      <c r="E406" t="s">
        <v>19</v>
      </c>
      <c r="F406" t="s">
        <v>2583</v>
      </c>
      <c r="G406" t="s">
        <v>326</v>
      </c>
      <c r="N406" s="107"/>
    </row>
    <row r="407" spans="1:14" x14ac:dyDescent="0.3">
      <c r="A407" t="s">
        <v>158</v>
      </c>
      <c r="B407" t="s">
        <v>1046</v>
      </c>
      <c r="C407" t="s">
        <v>1447</v>
      </c>
      <c r="D407">
        <f t="shared" si="6"/>
        <v>1</v>
      </c>
      <c r="E407" t="s">
        <v>19</v>
      </c>
      <c r="F407" t="s">
        <v>2589</v>
      </c>
      <c r="G407" t="s">
        <v>326</v>
      </c>
      <c r="N407" s="107"/>
    </row>
    <row r="408" spans="1:14" x14ac:dyDescent="0.3">
      <c r="A408" t="s">
        <v>158</v>
      </c>
      <c r="B408" t="s">
        <v>968</v>
      </c>
      <c r="C408" t="s">
        <v>1447</v>
      </c>
      <c r="D408">
        <f t="shared" si="6"/>
        <v>1</v>
      </c>
      <c r="E408" t="s">
        <v>19</v>
      </c>
      <c r="F408" t="s">
        <v>2590</v>
      </c>
      <c r="G408" t="s">
        <v>326</v>
      </c>
      <c r="N408" s="107"/>
    </row>
    <row r="409" spans="1:14" x14ac:dyDescent="0.3">
      <c r="A409" t="s">
        <v>158</v>
      </c>
      <c r="B409" t="s">
        <v>713</v>
      </c>
      <c r="C409" t="s">
        <v>1447</v>
      </c>
      <c r="D409">
        <f t="shared" si="6"/>
        <v>1</v>
      </c>
      <c r="E409" t="s">
        <v>19</v>
      </c>
      <c r="F409" t="s">
        <v>2620</v>
      </c>
      <c r="G409" t="s">
        <v>326</v>
      </c>
      <c r="N409" s="107"/>
    </row>
    <row r="410" spans="1:14" x14ac:dyDescent="0.3">
      <c r="A410" t="s">
        <v>158</v>
      </c>
      <c r="B410" t="s">
        <v>1062</v>
      </c>
      <c r="C410" t="s">
        <v>1453</v>
      </c>
      <c r="D410">
        <f t="shared" si="6"/>
        <v>1</v>
      </c>
      <c r="E410" t="s">
        <v>19</v>
      </c>
      <c r="F410" t="s">
        <v>2629</v>
      </c>
      <c r="G410" t="s">
        <v>326</v>
      </c>
      <c r="N410" s="107"/>
    </row>
    <row r="411" spans="1:14" x14ac:dyDescent="0.3">
      <c r="A411" t="s">
        <v>158</v>
      </c>
      <c r="B411" t="s">
        <v>1063</v>
      </c>
      <c r="C411" t="s">
        <v>1453</v>
      </c>
      <c r="D411">
        <f t="shared" si="6"/>
        <v>1</v>
      </c>
      <c r="E411" t="s">
        <v>19</v>
      </c>
      <c r="F411" t="s">
        <v>2630</v>
      </c>
      <c r="G411" t="s">
        <v>326</v>
      </c>
      <c r="N411" s="107"/>
    </row>
    <row r="412" spans="1:14" x14ac:dyDescent="0.3">
      <c r="A412" t="s">
        <v>158</v>
      </c>
      <c r="B412" t="s">
        <v>1064</v>
      </c>
      <c r="C412" t="s">
        <v>1453</v>
      </c>
      <c r="D412">
        <f t="shared" si="6"/>
        <v>1</v>
      </c>
      <c r="E412" t="s">
        <v>19</v>
      </c>
      <c r="F412" t="s">
        <v>2631</v>
      </c>
      <c r="G412" t="s">
        <v>326</v>
      </c>
      <c r="N412" s="107"/>
    </row>
    <row r="413" spans="1:14" x14ac:dyDescent="0.3">
      <c r="A413" t="s">
        <v>158</v>
      </c>
      <c r="B413" t="s">
        <v>612</v>
      </c>
      <c r="C413" t="s">
        <v>1460</v>
      </c>
      <c r="D413">
        <f t="shared" si="6"/>
        <v>1</v>
      </c>
      <c r="E413" t="s">
        <v>19</v>
      </c>
      <c r="F413" t="s">
        <v>1460</v>
      </c>
      <c r="G413" t="s">
        <v>326</v>
      </c>
      <c r="N413" s="107"/>
    </row>
    <row r="414" spans="1:14" x14ac:dyDescent="0.3">
      <c r="A414" t="s">
        <v>159</v>
      </c>
      <c r="B414" t="s">
        <v>490</v>
      </c>
      <c r="C414" t="s">
        <v>1175</v>
      </c>
      <c r="D414">
        <f t="shared" si="6"/>
        <v>1</v>
      </c>
      <c r="E414" t="s">
        <v>19</v>
      </c>
      <c r="F414" t="s">
        <v>1761</v>
      </c>
      <c r="G414" t="s">
        <v>326</v>
      </c>
      <c r="N414" s="107"/>
    </row>
    <row r="415" spans="1:14" x14ac:dyDescent="0.3">
      <c r="A415" t="s">
        <v>159</v>
      </c>
      <c r="B415" t="s">
        <v>580</v>
      </c>
      <c r="C415" t="s">
        <v>1176</v>
      </c>
      <c r="D415">
        <f t="shared" si="6"/>
        <v>1</v>
      </c>
      <c r="E415" t="s">
        <v>19</v>
      </c>
      <c r="F415" t="s">
        <v>1766</v>
      </c>
      <c r="G415" t="s">
        <v>326</v>
      </c>
      <c r="N415" s="107"/>
    </row>
    <row r="416" spans="1:14" x14ac:dyDescent="0.3">
      <c r="A416" t="s">
        <v>159</v>
      </c>
      <c r="B416" t="s">
        <v>581</v>
      </c>
      <c r="C416" t="s">
        <v>1176</v>
      </c>
      <c r="D416">
        <f t="shared" si="6"/>
        <v>1</v>
      </c>
      <c r="E416" t="s">
        <v>19</v>
      </c>
      <c r="F416" t="s">
        <v>1767</v>
      </c>
      <c r="G416" t="s">
        <v>326</v>
      </c>
      <c r="N416" s="107"/>
    </row>
    <row r="417" spans="1:14" x14ac:dyDescent="0.3">
      <c r="A417" t="s">
        <v>159</v>
      </c>
      <c r="B417" t="s">
        <v>584</v>
      </c>
      <c r="C417" t="s">
        <v>1176</v>
      </c>
      <c r="D417">
        <f t="shared" si="6"/>
        <v>1</v>
      </c>
      <c r="E417" t="s">
        <v>19</v>
      </c>
      <c r="F417" t="s">
        <v>1770</v>
      </c>
      <c r="G417" t="s">
        <v>326</v>
      </c>
      <c r="N417" s="107"/>
    </row>
    <row r="418" spans="1:14" x14ac:dyDescent="0.3">
      <c r="A418" t="s">
        <v>159</v>
      </c>
      <c r="B418" t="s">
        <v>588</v>
      </c>
      <c r="C418" t="s">
        <v>1176</v>
      </c>
      <c r="D418">
        <f t="shared" si="6"/>
        <v>1</v>
      </c>
      <c r="E418" t="s">
        <v>19</v>
      </c>
      <c r="F418" t="s">
        <v>1775</v>
      </c>
      <c r="G418" t="s">
        <v>326</v>
      </c>
      <c r="N418" s="107"/>
    </row>
    <row r="419" spans="1:14" x14ac:dyDescent="0.3">
      <c r="A419" t="s">
        <v>159</v>
      </c>
      <c r="B419" t="s">
        <v>669</v>
      </c>
      <c r="C419" t="s">
        <v>1214</v>
      </c>
      <c r="D419">
        <f t="shared" si="6"/>
        <v>1</v>
      </c>
      <c r="E419" t="s">
        <v>19</v>
      </c>
      <c r="F419" t="s">
        <v>1889</v>
      </c>
      <c r="G419" t="s">
        <v>326</v>
      </c>
      <c r="N419" s="107"/>
    </row>
    <row r="420" spans="1:14" x14ac:dyDescent="0.3">
      <c r="A420" t="s">
        <v>159</v>
      </c>
      <c r="B420" t="s">
        <v>481</v>
      </c>
      <c r="C420" t="s">
        <v>1255</v>
      </c>
      <c r="D420">
        <f t="shared" si="6"/>
        <v>1</v>
      </c>
      <c r="E420" t="s">
        <v>19</v>
      </c>
      <c r="F420" t="s">
        <v>2063</v>
      </c>
      <c r="G420" t="s">
        <v>326</v>
      </c>
      <c r="N420" s="107"/>
    </row>
    <row r="421" spans="1:14" x14ac:dyDescent="0.3">
      <c r="A421" t="s">
        <v>159</v>
      </c>
      <c r="B421" t="s">
        <v>481</v>
      </c>
      <c r="C421" t="s">
        <v>1261</v>
      </c>
      <c r="D421">
        <f t="shared" si="6"/>
        <v>1</v>
      </c>
      <c r="E421" t="s">
        <v>19</v>
      </c>
      <c r="F421" t="s">
        <v>2074</v>
      </c>
      <c r="G421" t="s">
        <v>326</v>
      </c>
      <c r="N421" s="107"/>
    </row>
    <row r="422" spans="1:14" x14ac:dyDescent="0.3">
      <c r="A422" t="s">
        <v>159</v>
      </c>
      <c r="B422" t="s">
        <v>490</v>
      </c>
      <c r="C422" t="s">
        <v>1261</v>
      </c>
      <c r="D422">
        <f t="shared" si="6"/>
        <v>1</v>
      </c>
      <c r="E422" t="s">
        <v>19</v>
      </c>
      <c r="F422" t="s">
        <v>2075</v>
      </c>
      <c r="G422" t="s">
        <v>326</v>
      </c>
      <c r="N422" s="107"/>
    </row>
    <row r="423" spans="1:14" x14ac:dyDescent="0.3">
      <c r="A423" t="s">
        <v>159</v>
      </c>
      <c r="B423" t="s">
        <v>776</v>
      </c>
      <c r="C423" t="s">
        <v>1261</v>
      </c>
      <c r="D423">
        <f t="shared" si="6"/>
        <v>1</v>
      </c>
      <c r="E423" t="s">
        <v>19</v>
      </c>
      <c r="F423" t="s">
        <v>2076</v>
      </c>
      <c r="G423" t="s">
        <v>326</v>
      </c>
      <c r="N423" s="107"/>
    </row>
    <row r="424" spans="1:14" x14ac:dyDescent="0.3">
      <c r="A424" t="s">
        <v>159</v>
      </c>
      <c r="B424" t="s">
        <v>828</v>
      </c>
      <c r="C424" t="s">
        <v>1302</v>
      </c>
      <c r="D424">
        <f t="shared" si="6"/>
        <v>1</v>
      </c>
      <c r="E424" t="s">
        <v>19</v>
      </c>
      <c r="F424" t="s">
        <v>2168</v>
      </c>
      <c r="G424" t="s">
        <v>326</v>
      </c>
      <c r="N424" s="107"/>
    </row>
    <row r="425" spans="1:14" x14ac:dyDescent="0.3">
      <c r="A425" t="s">
        <v>159</v>
      </c>
      <c r="B425" t="s">
        <v>849</v>
      </c>
      <c r="C425" t="s">
        <v>1308</v>
      </c>
      <c r="D425">
        <f t="shared" si="6"/>
        <v>1</v>
      </c>
      <c r="E425" t="s">
        <v>19</v>
      </c>
      <c r="F425" t="s">
        <v>1308</v>
      </c>
      <c r="G425" t="s">
        <v>326</v>
      </c>
      <c r="N425" s="107"/>
    </row>
    <row r="426" spans="1:14" x14ac:dyDescent="0.3">
      <c r="A426" t="s">
        <v>159</v>
      </c>
      <c r="B426" t="s">
        <v>882</v>
      </c>
      <c r="C426" t="s">
        <v>1326</v>
      </c>
      <c r="D426">
        <f t="shared" si="6"/>
        <v>1</v>
      </c>
      <c r="E426" t="s">
        <v>19</v>
      </c>
      <c r="F426" t="s">
        <v>2234</v>
      </c>
      <c r="G426" t="s">
        <v>326</v>
      </c>
      <c r="N426" s="107"/>
    </row>
    <row r="427" spans="1:14" x14ac:dyDescent="0.3">
      <c r="A427" t="s">
        <v>159</v>
      </c>
      <c r="B427" t="s">
        <v>490</v>
      </c>
      <c r="C427" t="s">
        <v>1339</v>
      </c>
      <c r="D427">
        <f t="shared" si="6"/>
        <v>1</v>
      </c>
      <c r="E427" t="s">
        <v>19</v>
      </c>
      <c r="F427" t="s">
        <v>2261</v>
      </c>
      <c r="G427" t="s">
        <v>326</v>
      </c>
      <c r="N427" s="107"/>
    </row>
    <row r="428" spans="1:14" x14ac:dyDescent="0.3">
      <c r="A428" t="s">
        <v>159</v>
      </c>
      <c r="B428" t="s">
        <v>490</v>
      </c>
      <c r="C428" t="s">
        <v>1408</v>
      </c>
      <c r="D428">
        <f t="shared" si="6"/>
        <v>1</v>
      </c>
      <c r="E428" t="s">
        <v>19</v>
      </c>
      <c r="F428" t="s">
        <v>2400</v>
      </c>
      <c r="G428" t="s">
        <v>326</v>
      </c>
      <c r="N428" s="107"/>
    </row>
    <row r="429" spans="1:14" x14ac:dyDescent="0.3">
      <c r="A429" t="s">
        <v>159</v>
      </c>
      <c r="B429" t="s">
        <v>970</v>
      </c>
      <c r="C429" t="s">
        <v>1408</v>
      </c>
      <c r="D429">
        <f t="shared" si="6"/>
        <v>1</v>
      </c>
      <c r="E429" t="s">
        <v>19</v>
      </c>
      <c r="F429" t="s">
        <v>2410</v>
      </c>
      <c r="G429" t="s">
        <v>326</v>
      </c>
      <c r="N429" s="107"/>
    </row>
    <row r="430" spans="1:14" x14ac:dyDescent="0.3">
      <c r="A430" t="s">
        <v>159</v>
      </c>
      <c r="B430" t="s">
        <v>981</v>
      </c>
      <c r="C430" t="s">
        <v>1408</v>
      </c>
      <c r="D430">
        <f t="shared" si="6"/>
        <v>1</v>
      </c>
      <c r="E430" t="s">
        <v>19</v>
      </c>
      <c r="F430" t="s">
        <v>2425</v>
      </c>
      <c r="G430" t="s">
        <v>326</v>
      </c>
      <c r="N430" s="107"/>
    </row>
    <row r="431" spans="1:14" x14ac:dyDescent="0.3">
      <c r="A431" t="s">
        <v>159</v>
      </c>
      <c r="B431" t="s">
        <v>982</v>
      </c>
      <c r="C431" t="s">
        <v>1408</v>
      </c>
      <c r="D431">
        <f t="shared" si="6"/>
        <v>1</v>
      </c>
      <c r="E431" t="s">
        <v>19</v>
      </c>
      <c r="F431" t="s">
        <v>2426</v>
      </c>
      <c r="G431" t="s">
        <v>326</v>
      </c>
      <c r="N431" s="107"/>
    </row>
    <row r="432" spans="1:14" x14ac:dyDescent="0.3">
      <c r="A432" t="s">
        <v>159</v>
      </c>
      <c r="B432" t="s">
        <v>865</v>
      </c>
      <c r="C432" t="s">
        <v>1409</v>
      </c>
      <c r="D432">
        <f t="shared" si="6"/>
        <v>1</v>
      </c>
      <c r="E432" t="s">
        <v>19</v>
      </c>
      <c r="F432" t="s">
        <v>2429</v>
      </c>
      <c r="G432" t="s">
        <v>326</v>
      </c>
      <c r="N432" s="107"/>
    </row>
    <row r="433" spans="1:14" x14ac:dyDescent="0.3">
      <c r="A433" t="s">
        <v>159</v>
      </c>
      <c r="B433" t="s">
        <v>986</v>
      </c>
      <c r="C433" t="s">
        <v>1408</v>
      </c>
      <c r="D433">
        <f t="shared" si="6"/>
        <v>1</v>
      </c>
      <c r="E433" t="s">
        <v>19</v>
      </c>
      <c r="F433" t="s">
        <v>2434</v>
      </c>
      <c r="G433" t="s">
        <v>326</v>
      </c>
      <c r="N433" s="107"/>
    </row>
    <row r="434" spans="1:14" x14ac:dyDescent="0.3">
      <c r="A434" t="s">
        <v>159</v>
      </c>
      <c r="B434" t="s">
        <v>588</v>
      </c>
      <c r="C434" t="s">
        <v>1447</v>
      </c>
      <c r="D434">
        <f t="shared" si="6"/>
        <v>1</v>
      </c>
      <c r="E434" t="s">
        <v>19</v>
      </c>
      <c r="F434" t="s">
        <v>2595</v>
      </c>
      <c r="G434" t="s">
        <v>326</v>
      </c>
      <c r="N434" s="107"/>
    </row>
    <row r="435" spans="1:14" x14ac:dyDescent="0.3">
      <c r="A435" t="s">
        <v>159</v>
      </c>
      <c r="B435" t="s">
        <v>828</v>
      </c>
      <c r="C435" t="s">
        <v>1447</v>
      </c>
      <c r="D435">
        <f t="shared" si="6"/>
        <v>1</v>
      </c>
      <c r="E435" t="s">
        <v>19</v>
      </c>
      <c r="F435" t="s">
        <v>2597</v>
      </c>
      <c r="G435" t="s">
        <v>326</v>
      </c>
      <c r="N435" s="107"/>
    </row>
    <row r="436" spans="1:14" x14ac:dyDescent="0.3">
      <c r="A436" t="s">
        <v>159</v>
      </c>
      <c r="B436" t="s">
        <v>1049</v>
      </c>
      <c r="C436" t="s">
        <v>1447</v>
      </c>
      <c r="D436">
        <f t="shared" si="6"/>
        <v>1</v>
      </c>
      <c r="E436" t="s">
        <v>19</v>
      </c>
      <c r="F436" t="s">
        <v>2598</v>
      </c>
      <c r="G436" t="s">
        <v>326</v>
      </c>
      <c r="N436" s="107"/>
    </row>
    <row r="437" spans="1:14" x14ac:dyDescent="0.3">
      <c r="A437" t="s">
        <v>159</v>
      </c>
      <c r="B437" t="s">
        <v>581</v>
      </c>
      <c r="C437" t="s">
        <v>1447</v>
      </c>
      <c r="D437">
        <f t="shared" si="6"/>
        <v>1</v>
      </c>
      <c r="E437" t="s">
        <v>19</v>
      </c>
      <c r="F437" t="s">
        <v>2604</v>
      </c>
      <c r="G437" t="s">
        <v>326</v>
      </c>
      <c r="N437" s="107"/>
    </row>
    <row r="438" spans="1:14" x14ac:dyDescent="0.3">
      <c r="A438" t="s">
        <v>159</v>
      </c>
      <c r="B438" t="s">
        <v>1053</v>
      </c>
      <c r="C438" t="s">
        <v>1447</v>
      </c>
      <c r="D438">
        <f t="shared" si="6"/>
        <v>1</v>
      </c>
      <c r="E438" t="s">
        <v>19</v>
      </c>
      <c r="F438" t="s">
        <v>2608</v>
      </c>
      <c r="G438" t="s">
        <v>326</v>
      </c>
      <c r="N438" s="107"/>
    </row>
    <row r="439" spans="1:14" x14ac:dyDescent="0.3">
      <c r="A439" t="s">
        <v>159</v>
      </c>
      <c r="B439" t="s">
        <v>1059</v>
      </c>
      <c r="C439" t="s">
        <v>1451</v>
      </c>
      <c r="D439">
        <f t="shared" si="6"/>
        <v>1</v>
      </c>
      <c r="E439" t="s">
        <v>19</v>
      </c>
      <c r="F439" t="s">
        <v>2625</v>
      </c>
      <c r="G439" t="s">
        <v>326</v>
      </c>
      <c r="N439" s="107"/>
    </row>
    <row r="440" spans="1:14" x14ac:dyDescent="0.3">
      <c r="A440" t="s">
        <v>159</v>
      </c>
      <c r="B440" t="s">
        <v>828</v>
      </c>
      <c r="C440" t="s">
        <v>1451</v>
      </c>
      <c r="D440">
        <f t="shared" si="6"/>
        <v>1</v>
      </c>
      <c r="E440" t="s">
        <v>19</v>
      </c>
      <c r="F440" t="s">
        <v>2626</v>
      </c>
      <c r="G440" t="s">
        <v>326</v>
      </c>
      <c r="N440" s="107"/>
    </row>
    <row r="441" spans="1:14" x14ac:dyDescent="0.3">
      <c r="A441" t="s">
        <v>159</v>
      </c>
      <c r="B441" t="s">
        <v>1053</v>
      </c>
      <c r="C441" t="s">
        <v>1451</v>
      </c>
      <c r="D441">
        <f t="shared" si="6"/>
        <v>1</v>
      </c>
      <c r="E441" t="s">
        <v>19</v>
      </c>
      <c r="F441" t="s">
        <v>2627</v>
      </c>
      <c r="G441" t="s">
        <v>326</v>
      </c>
      <c r="N441" s="107"/>
    </row>
    <row r="442" spans="1:14" x14ac:dyDescent="0.3">
      <c r="A442" t="s">
        <v>159</v>
      </c>
      <c r="B442" t="s">
        <v>481</v>
      </c>
      <c r="C442" t="s">
        <v>1453</v>
      </c>
      <c r="D442">
        <f t="shared" si="6"/>
        <v>1</v>
      </c>
      <c r="E442" t="s">
        <v>19</v>
      </c>
      <c r="F442" t="s">
        <v>2636</v>
      </c>
      <c r="G442" t="s">
        <v>326</v>
      </c>
      <c r="N442" s="107"/>
    </row>
    <row r="443" spans="1:14" x14ac:dyDescent="0.3">
      <c r="A443" t="s">
        <v>159</v>
      </c>
      <c r="B443" t="s">
        <v>1135</v>
      </c>
      <c r="C443" t="s">
        <v>1538</v>
      </c>
      <c r="D443">
        <f t="shared" si="6"/>
        <v>1</v>
      </c>
      <c r="E443" t="s">
        <v>19</v>
      </c>
      <c r="F443" t="s">
        <v>1538</v>
      </c>
      <c r="G443" t="s">
        <v>326</v>
      </c>
      <c r="N443" s="107"/>
    </row>
    <row r="444" spans="1:14" x14ac:dyDescent="0.3">
      <c r="A444" t="s">
        <v>159</v>
      </c>
      <c r="B444" t="s">
        <v>828</v>
      </c>
      <c r="C444" t="s">
        <v>1539</v>
      </c>
      <c r="D444">
        <f t="shared" si="6"/>
        <v>1</v>
      </c>
      <c r="E444" t="s">
        <v>19</v>
      </c>
      <c r="F444" t="s">
        <v>1539</v>
      </c>
      <c r="G444" t="s">
        <v>326</v>
      </c>
      <c r="N444" s="107"/>
    </row>
    <row r="445" spans="1:14" x14ac:dyDescent="0.3">
      <c r="A445" t="s">
        <v>160</v>
      </c>
      <c r="B445" t="s">
        <v>655</v>
      </c>
      <c r="C445" t="s">
        <v>1208</v>
      </c>
      <c r="D445">
        <f t="shared" si="6"/>
        <v>1</v>
      </c>
      <c r="E445" t="s">
        <v>19</v>
      </c>
      <c r="F445" t="s">
        <v>1208</v>
      </c>
      <c r="G445" t="s">
        <v>326</v>
      </c>
      <c r="N445" s="107"/>
    </row>
    <row r="446" spans="1:14" x14ac:dyDescent="0.3">
      <c r="A446" t="s">
        <v>160</v>
      </c>
      <c r="B446" t="s">
        <v>483</v>
      </c>
      <c r="C446" t="s">
        <v>1216</v>
      </c>
      <c r="D446">
        <f t="shared" si="6"/>
        <v>1</v>
      </c>
      <c r="E446" t="s">
        <v>19</v>
      </c>
      <c r="F446" t="s">
        <v>1893</v>
      </c>
      <c r="G446" t="s">
        <v>326</v>
      </c>
      <c r="N446" s="107"/>
    </row>
    <row r="447" spans="1:14" x14ac:dyDescent="0.3">
      <c r="A447" t="s">
        <v>160</v>
      </c>
      <c r="B447" t="s">
        <v>673</v>
      </c>
      <c r="C447" t="s">
        <v>1216</v>
      </c>
      <c r="D447">
        <f t="shared" si="6"/>
        <v>1</v>
      </c>
      <c r="E447" t="s">
        <v>19</v>
      </c>
      <c r="F447" t="s">
        <v>1894</v>
      </c>
      <c r="G447" t="s">
        <v>326</v>
      </c>
      <c r="N447" s="107"/>
    </row>
    <row r="448" spans="1:14" x14ac:dyDescent="0.3">
      <c r="A448" t="s">
        <v>160</v>
      </c>
      <c r="B448" t="s">
        <v>679</v>
      </c>
      <c r="C448" t="s">
        <v>1225</v>
      </c>
      <c r="D448">
        <f t="shared" si="6"/>
        <v>1</v>
      </c>
      <c r="E448" t="s">
        <v>19</v>
      </c>
      <c r="F448" t="s">
        <v>1225</v>
      </c>
      <c r="G448" t="s">
        <v>326</v>
      </c>
      <c r="N448" s="107"/>
    </row>
    <row r="449" spans="1:14" x14ac:dyDescent="0.3">
      <c r="A449" t="s">
        <v>160</v>
      </c>
      <c r="B449" t="s">
        <v>483</v>
      </c>
      <c r="C449" t="s">
        <v>1231</v>
      </c>
      <c r="D449">
        <f t="shared" si="6"/>
        <v>1</v>
      </c>
      <c r="E449" t="s">
        <v>19</v>
      </c>
      <c r="F449" t="s">
        <v>1948</v>
      </c>
      <c r="G449" t="s">
        <v>326</v>
      </c>
      <c r="N449" s="107"/>
    </row>
    <row r="450" spans="1:14" x14ac:dyDescent="0.3">
      <c r="A450" t="s">
        <v>160</v>
      </c>
      <c r="B450" t="s">
        <v>997</v>
      </c>
      <c r="C450" t="s">
        <v>1415</v>
      </c>
      <c r="D450">
        <f t="shared" ref="D450:D513" si="7">SIGN(SUBTOTAL(3,E450))</f>
        <v>1</v>
      </c>
      <c r="E450" t="s">
        <v>19</v>
      </c>
      <c r="F450" t="s">
        <v>2450</v>
      </c>
      <c r="G450" t="s">
        <v>326</v>
      </c>
      <c r="N450" s="107"/>
    </row>
    <row r="451" spans="1:14" x14ac:dyDescent="0.3">
      <c r="A451" t="s">
        <v>160</v>
      </c>
      <c r="B451" t="s">
        <v>1000</v>
      </c>
      <c r="C451" t="s">
        <v>1415</v>
      </c>
      <c r="D451">
        <f t="shared" si="7"/>
        <v>1</v>
      </c>
      <c r="E451" t="s">
        <v>19</v>
      </c>
      <c r="F451" t="s">
        <v>2456</v>
      </c>
      <c r="G451" t="s">
        <v>326</v>
      </c>
      <c r="N451" s="107"/>
    </row>
    <row r="452" spans="1:14" x14ac:dyDescent="0.3">
      <c r="A452" t="s">
        <v>160</v>
      </c>
      <c r="B452" t="s">
        <v>1003</v>
      </c>
      <c r="C452" t="s">
        <v>1415</v>
      </c>
      <c r="D452">
        <f t="shared" si="7"/>
        <v>1</v>
      </c>
      <c r="E452" t="s">
        <v>19</v>
      </c>
      <c r="F452" t="s">
        <v>2463</v>
      </c>
      <c r="G452" t="s">
        <v>326</v>
      </c>
      <c r="N452" s="107"/>
    </row>
    <row r="453" spans="1:14" x14ac:dyDescent="0.3">
      <c r="A453" t="s">
        <v>160</v>
      </c>
      <c r="B453" t="s">
        <v>483</v>
      </c>
      <c r="C453" t="s">
        <v>1415</v>
      </c>
      <c r="D453">
        <f t="shared" si="7"/>
        <v>1</v>
      </c>
      <c r="E453" t="s">
        <v>19</v>
      </c>
      <c r="F453" t="s">
        <v>2464</v>
      </c>
      <c r="G453" t="s">
        <v>326</v>
      </c>
      <c r="N453" s="107"/>
    </row>
    <row r="454" spans="1:14" x14ac:dyDescent="0.3">
      <c r="A454" t="s">
        <v>160</v>
      </c>
      <c r="B454" t="s">
        <v>483</v>
      </c>
      <c r="C454" t="s">
        <v>1418</v>
      </c>
      <c r="D454">
        <f t="shared" si="7"/>
        <v>1</v>
      </c>
      <c r="E454" t="s">
        <v>19</v>
      </c>
      <c r="F454" t="s">
        <v>2472</v>
      </c>
      <c r="G454" t="s">
        <v>326</v>
      </c>
      <c r="N454" s="107"/>
    </row>
    <row r="455" spans="1:14" x14ac:dyDescent="0.3">
      <c r="A455" t="s">
        <v>160</v>
      </c>
      <c r="B455" t="s">
        <v>482</v>
      </c>
      <c r="C455" t="s">
        <v>1418</v>
      </c>
      <c r="D455">
        <f t="shared" si="7"/>
        <v>1</v>
      </c>
      <c r="E455" t="s">
        <v>19</v>
      </c>
      <c r="F455" t="s">
        <v>2473</v>
      </c>
      <c r="G455" t="s">
        <v>326</v>
      </c>
      <c r="N455" s="107"/>
    </row>
    <row r="456" spans="1:14" x14ac:dyDescent="0.3">
      <c r="A456" t="s">
        <v>160</v>
      </c>
      <c r="B456" t="s">
        <v>1000</v>
      </c>
      <c r="C456" t="s">
        <v>1418</v>
      </c>
      <c r="D456">
        <f t="shared" si="7"/>
        <v>1</v>
      </c>
      <c r="E456" t="s">
        <v>19</v>
      </c>
      <c r="F456" t="s">
        <v>2475</v>
      </c>
      <c r="G456" t="s">
        <v>326</v>
      </c>
      <c r="N456" s="107"/>
    </row>
    <row r="457" spans="1:14" x14ac:dyDescent="0.3">
      <c r="A457" t="s">
        <v>160</v>
      </c>
      <c r="B457" t="s">
        <v>673</v>
      </c>
      <c r="C457" t="s">
        <v>1418</v>
      </c>
      <c r="D457">
        <f t="shared" si="7"/>
        <v>1</v>
      </c>
      <c r="E457" t="s">
        <v>19</v>
      </c>
      <c r="F457" t="s">
        <v>2483</v>
      </c>
      <c r="G457" t="s">
        <v>326</v>
      </c>
      <c r="N457" s="107"/>
    </row>
    <row r="458" spans="1:14" x14ac:dyDescent="0.3">
      <c r="A458" t="s">
        <v>160</v>
      </c>
      <c r="B458" t="s">
        <v>483</v>
      </c>
      <c r="C458" t="s">
        <v>1418</v>
      </c>
      <c r="D458">
        <f t="shared" si="7"/>
        <v>1</v>
      </c>
      <c r="E458" t="s">
        <v>19</v>
      </c>
      <c r="F458" t="s">
        <v>2493</v>
      </c>
      <c r="G458" t="s">
        <v>326</v>
      </c>
      <c r="N458" s="107"/>
    </row>
    <row r="459" spans="1:14" x14ac:dyDescent="0.3">
      <c r="A459" t="s">
        <v>160</v>
      </c>
      <c r="B459" t="s">
        <v>1058</v>
      </c>
      <c r="C459" t="s">
        <v>1450</v>
      </c>
      <c r="D459">
        <f t="shared" si="7"/>
        <v>1</v>
      </c>
      <c r="E459" t="s">
        <v>19</v>
      </c>
      <c r="F459" t="s">
        <v>2623</v>
      </c>
      <c r="G459" t="s">
        <v>326</v>
      </c>
      <c r="N459" s="107"/>
    </row>
    <row r="460" spans="1:14" x14ac:dyDescent="0.3">
      <c r="A460" t="s">
        <v>160</v>
      </c>
      <c r="B460" t="s">
        <v>1058</v>
      </c>
      <c r="C460" t="s">
        <v>1513</v>
      </c>
      <c r="D460">
        <f t="shared" si="7"/>
        <v>1</v>
      </c>
      <c r="E460" t="s">
        <v>19</v>
      </c>
      <c r="F460" t="s">
        <v>2774</v>
      </c>
      <c r="G460" t="s">
        <v>326</v>
      </c>
      <c r="N460" s="107"/>
    </row>
    <row r="461" spans="1:14" x14ac:dyDescent="0.3">
      <c r="A461" t="s">
        <v>160</v>
      </c>
      <c r="B461" t="s">
        <v>483</v>
      </c>
      <c r="C461" t="s">
        <v>1513</v>
      </c>
      <c r="D461">
        <f t="shared" si="7"/>
        <v>1</v>
      </c>
      <c r="E461" t="s">
        <v>19</v>
      </c>
      <c r="F461" t="s">
        <v>2775</v>
      </c>
      <c r="G461" t="s">
        <v>326</v>
      </c>
      <c r="N461" s="107"/>
    </row>
    <row r="462" spans="1:14" x14ac:dyDescent="0.3">
      <c r="A462" t="s">
        <v>160</v>
      </c>
      <c r="B462" t="s">
        <v>655</v>
      </c>
      <c r="C462" t="s">
        <v>1514</v>
      </c>
      <c r="D462">
        <f t="shared" si="7"/>
        <v>1</v>
      </c>
      <c r="E462" t="s">
        <v>19</v>
      </c>
      <c r="F462" t="s">
        <v>1514</v>
      </c>
      <c r="G462" t="s">
        <v>326</v>
      </c>
      <c r="N462" s="107"/>
    </row>
    <row r="463" spans="1:14" x14ac:dyDescent="0.3">
      <c r="A463" t="s">
        <v>160</v>
      </c>
      <c r="B463" t="s">
        <v>997</v>
      </c>
      <c r="C463" t="s">
        <v>1513</v>
      </c>
      <c r="D463">
        <f t="shared" si="7"/>
        <v>1</v>
      </c>
      <c r="E463" t="s">
        <v>19</v>
      </c>
      <c r="F463" t="s">
        <v>2776</v>
      </c>
      <c r="G463" t="s">
        <v>326</v>
      </c>
      <c r="N463" s="107"/>
    </row>
    <row r="464" spans="1:14" x14ac:dyDescent="0.3">
      <c r="A464" t="s">
        <v>160</v>
      </c>
      <c r="B464" t="s">
        <v>482</v>
      </c>
      <c r="C464" t="s">
        <v>1515</v>
      </c>
      <c r="D464">
        <f t="shared" si="7"/>
        <v>1</v>
      </c>
      <c r="E464" t="s">
        <v>19</v>
      </c>
      <c r="F464" t="s">
        <v>2805</v>
      </c>
      <c r="G464" t="s">
        <v>326</v>
      </c>
      <c r="N464" s="107"/>
    </row>
    <row r="465" spans="1:14" x14ac:dyDescent="0.3">
      <c r="A465" t="s">
        <v>161</v>
      </c>
      <c r="B465" t="s">
        <v>549</v>
      </c>
      <c r="C465" t="s">
        <v>1145</v>
      </c>
      <c r="D465">
        <f t="shared" si="7"/>
        <v>1</v>
      </c>
      <c r="E465" t="s">
        <v>19</v>
      </c>
      <c r="F465" t="s">
        <v>1145</v>
      </c>
      <c r="G465" t="s">
        <v>326</v>
      </c>
      <c r="N465" s="107"/>
    </row>
    <row r="466" spans="1:14" x14ac:dyDescent="0.3">
      <c r="A466" t="s">
        <v>161</v>
      </c>
      <c r="B466" t="s">
        <v>564</v>
      </c>
      <c r="C466" t="s">
        <v>1166</v>
      </c>
      <c r="D466">
        <f t="shared" si="7"/>
        <v>1</v>
      </c>
      <c r="E466" t="s">
        <v>19</v>
      </c>
      <c r="F466" t="s">
        <v>1741</v>
      </c>
      <c r="G466" t="s">
        <v>326</v>
      </c>
      <c r="N466" s="107"/>
    </row>
    <row r="467" spans="1:14" x14ac:dyDescent="0.3">
      <c r="A467" t="s">
        <v>161</v>
      </c>
      <c r="B467" t="s">
        <v>569</v>
      </c>
      <c r="C467" t="s">
        <v>1168</v>
      </c>
      <c r="D467">
        <f t="shared" si="7"/>
        <v>1</v>
      </c>
      <c r="E467" t="s">
        <v>19</v>
      </c>
      <c r="F467" t="s">
        <v>1748</v>
      </c>
      <c r="G467" t="s">
        <v>326</v>
      </c>
      <c r="N467" s="107"/>
    </row>
    <row r="468" spans="1:14" x14ac:dyDescent="0.3">
      <c r="A468" t="s">
        <v>161</v>
      </c>
      <c r="B468" t="s">
        <v>644</v>
      </c>
      <c r="C468" t="s">
        <v>1194</v>
      </c>
      <c r="D468">
        <f t="shared" si="7"/>
        <v>1</v>
      </c>
      <c r="E468" t="s">
        <v>19</v>
      </c>
      <c r="F468" t="s">
        <v>1194</v>
      </c>
      <c r="G468" t="s">
        <v>326</v>
      </c>
      <c r="N468" s="107"/>
    </row>
    <row r="469" spans="1:14" x14ac:dyDescent="0.3">
      <c r="A469" t="s">
        <v>161</v>
      </c>
      <c r="B469" t="s">
        <v>645</v>
      </c>
      <c r="C469" t="s">
        <v>1195</v>
      </c>
      <c r="D469">
        <f t="shared" si="7"/>
        <v>1</v>
      </c>
      <c r="E469" t="s">
        <v>19</v>
      </c>
      <c r="F469" t="s">
        <v>1195</v>
      </c>
      <c r="G469" t="s">
        <v>326</v>
      </c>
      <c r="N469" s="107"/>
    </row>
    <row r="470" spans="1:14" x14ac:dyDescent="0.3">
      <c r="A470" t="s">
        <v>161</v>
      </c>
      <c r="B470" t="s">
        <v>667</v>
      </c>
      <c r="C470" t="s">
        <v>1213</v>
      </c>
      <c r="D470">
        <f t="shared" si="7"/>
        <v>1</v>
      </c>
      <c r="E470" t="s">
        <v>19</v>
      </c>
      <c r="F470" t="s">
        <v>1213</v>
      </c>
      <c r="G470" t="s">
        <v>326</v>
      </c>
      <c r="N470" s="107"/>
    </row>
    <row r="471" spans="1:14" x14ac:dyDescent="0.3">
      <c r="A471" t="s">
        <v>161</v>
      </c>
      <c r="B471" t="s">
        <v>677</v>
      </c>
      <c r="C471" t="s">
        <v>1224</v>
      </c>
      <c r="D471">
        <f t="shared" si="7"/>
        <v>1</v>
      </c>
      <c r="E471" t="s">
        <v>19</v>
      </c>
      <c r="F471" t="s">
        <v>1899</v>
      </c>
      <c r="G471" t="s">
        <v>326</v>
      </c>
      <c r="N471" s="107"/>
    </row>
    <row r="472" spans="1:14" x14ac:dyDescent="0.3">
      <c r="A472" t="s">
        <v>161</v>
      </c>
      <c r="B472" t="s">
        <v>678</v>
      </c>
      <c r="C472" t="s">
        <v>1224</v>
      </c>
      <c r="D472">
        <f t="shared" si="7"/>
        <v>1</v>
      </c>
      <c r="E472" t="s">
        <v>19</v>
      </c>
      <c r="F472" t="s">
        <v>1900</v>
      </c>
      <c r="G472" t="s">
        <v>326</v>
      </c>
      <c r="N472" s="107"/>
    </row>
    <row r="473" spans="1:14" x14ac:dyDescent="0.3">
      <c r="A473" t="s">
        <v>161</v>
      </c>
      <c r="B473" t="s">
        <v>680</v>
      </c>
      <c r="C473" t="s">
        <v>1227</v>
      </c>
      <c r="D473">
        <f t="shared" si="7"/>
        <v>1</v>
      </c>
      <c r="E473" t="s">
        <v>19</v>
      </c>
      <c r="F473" t="s">
        <v>1227</v>
      </c>
      <c r="G473" t="s">
        <v>326</v>
      </c>
      <c r="N473" s="107"/>
    </row>
    <row r="474" spans="1:14" x14ac:dyDescent="0.3">
      <c r="A474" t="s">
        <v>161</v>
      </c>
      <c r="B474" t="s">
        <v>704</v>
      </c>
      <c r="C474" t="s">
        <v>1231</v>
      </c>
      <c r="D474">
        <f t="shared" si="7"/>
        <v>1</v>
      </c>
      <c r="E474" t="s">
        <v>19</v>
      </c>
      <c r="F474" t="s">
        <v>1937</v>
      </c>
      <c r="G474" t="s">
        <v>326</v>
      </c>
      <c r="N474" s="107"/>
    </row>
    <row r="475" spans="1:14" x14ac:dyDescent="0.3">
      <c r="A475" t="s">
        <v>161</v>
      </c>
      <c r="B475" t="s">
        <v>726</v>
      </c>
      <c r="C475" t="s">
        <v>1231</v>
      </c>
      <c r="D475">
        <f t="shared" si="7"/>
        <v>1</v>
      </c>
      <c r="E475" t="s">
        <v>19</v>
      </c>
      <c r="F475" t="s">
        <v>1989</v>
      </c>
      <c r="G475" t="s">
        <v>326</v>
      </c>
      <c r="N475" s="107"/>
    </row>
    <row r="476" spans="1:14" x14ac:dyDescent="0.3">
      <c r="A476" t="s">
        <v>161</v>
      </c>
      <c r="B476" t="s">
        <v>737</v>
      </c>
      <c r="C476" t="s">
        <v>1239</v>
      </c>
      <c r="D476">
        <f t="shared" si="7"/>
        <v>1</v>
      </c>
      <c r="E476" t="s">
        <v>19</v>
      </c>
      <c r="F476" t="s">
        <v>2016</v>
      </c>
      <c r="G476" t="s">
        <v>326</v>
      </c>
      <c r="N476" s="107"/>
    </row>
    <row r="477" spans="1:14" x14ac:dyDescent="0.3">
      <c r="A477" t="s">
        <v>161</v>
      </c>
      <c r="B477" t="s">
        <v>737</v>
      </c>
      <c r="C477" t="s">
        <v>1239</v>
      </c>
      <c r="D477">
        <f t="shared" si="7"/>
        <v>1</v>
      </c>
      <c r="E477" t="s">
        <v>19</v>
      </c>
      <c r="F477" t="s">
        <v>2017</v>
      </c>
      <c r="G477" t="s">
        <v>326</v>
      </c>
      <c r="N477" s="107"/>
    </row>
    <row r="478" spans="1:14" x14ac:dyDescent="0.3">
      <c r="A478" t="s">
        <v>161</v>
      </c>
      <c r="B478" t="s">
        <v>569</v>
      </c>
      <c r="C478" t="s">
        <v>1251</v>
      </c>
      <c r="D478">
        <f t="shared" si="7"/>
        <v>1</v>
      </c>
      <c r="E478" t="s">
        <v>19</v>
      </c>
      <c r="F478" t="s">
        <v>1251</v>
      </c>
      <c r="G478" t="s">
        <v>326</v>
      </c>
      <c r="N478" s="107"/>
    </row>
    <row r="479" spans="1:14" x14ac:dyDescent="0.3">
      <c r="A479" t="s">
        <v>161</v>
      </c>
      <c r="B479" t="s">
        <v>759</v>
      </c>
      <c r="C479" t="s">
        <v>1255</v>
      </c>
      <c r="D479">
        <f t="shared" si="7"/>
        <v>1</v>
      </c>
      <c r="E479" t="s">
        <v>19</v>
      </c>
      <c r="F479" t="s">
        <v>2045</v>
      </c>
      <c r="G479" t="s">
        <v>326</v>
      </c>
      <c r="N479" s="107"/>
    </row>
    <row r="480" spans="1:14" x14ac:dyDescent="0.3">
      <c r="A480" t="s">
        <v>161</v>
      </c>
      <c r="B480" t="s">
        <v>678</v>
      </c>
      <c r="C480" t="s">
        <v>1256</v>
      </c>
      <c r="D480">
        <f t="shared" si="7"/>
        <v>1</v>
      </c>
      <c r="E480" t="s">
        <v>19</v>
      </c>
      <c r="F480" t="s">
        <v>2053</v>
      </c>
      <c r="G480" t="s">
        <v>326</v>
      </c>
      <c r="N480" s="107"/>
    </row>
    <row r="481" spans="1:14" x14ac:dyDescent="0.3">
      <c r="A481" t="s">
        <v>161</v>
      </c>
      <c r="B481" t="s">
        <v>677</v>
      </c>
      <c r="C481" t="s">
        <v>1281</v>
      </c>
      <c r="D481">
        <f t="shared" si="7"/>
        <v>1</v>
      </c>
      <c r="E481" t="s">
        <v>19</v>
      </c>
      <c r="F481" t="s">
        <v>2094</v>
      </c>
      <c r="G481" t="s">
        <v>326</v>
      </c>
      <c r="N481" s="107"/>
    </row>
    <row r="482" spans="1:14" x14ac:dyDescent="0.3">
      <c r="A482" t="s">
        <v>161</v>
      </c>
      <c r="B482" t="s">
        <v>793</v>
      </c>
      <c r="C482" t="s">
        <v>1282</v>
      </c>
      <c r="D482">
        <f t="shared" si="7"/>
        <v>1</v>
      </c>
      <c r="E482" t="s">
        <v>19</v>
      </c>
      <c r="F482" t="s">
        <v>1282</v>
      </c>
      <c r="G482" t="s">
        <v>326</v>
      </c>
      <c r="N482" s="107"/>
    </row>
    <row r="483" spans="1:14" x14ac:dyDescent="0.3">
      <c r="A483" t="s">
        <v>161</v>
      </c>
      <c r="B483" t="s">
        <v>569</v>
      </c>
      <c r="C483" t="s">
        <v>1286</v>
      </c>
      <c r="D483">
        <f t="shared" si="7"/>
        <v>1</v>
      </c>
      <c r="E483" t="s">
        <v>19</v>
      </c>
      <c r="F483" t="s">
        <v>1286</v>
      </c>
      <c r="G483" t="s">
        <v>326</v>
      </c>
      <c r="N483" s="107"/>
    </row>
    <row r="484" spans="1:14" x14ac:dyDescent="0.3">
      <c r="A484" t="s">
        <v>161</v>
      </c>
      <c r="B484" t="s">
        <v>549</v>
      </c>
      <c r="C484" t="s">
        <v>1289</v>
      </c>
      <c r="D484">
        <f t="shared" si="7"/>
        <v>1</v>
      </c>
      <c r="E484" t="s">
        <v>19</v>
      </c>
      <c r="F484" t="s">
        <v>2119</v>
      </c>
      <c r="G484" t="s">
        <v>326</v>
      </c>
      <c r="N484" s="107"/>
    </row>
    <row r="485" spans="1:14" x14ac:dyDescent="0.3">
      <c r="A485" t="s">
        <v>161</v>
      </c>
      <c r="B485" t="s">
        <v>825</v>
      </c>
      <c r="C485" t="s">
        <v>1300</v>
      </c>
      <c r="D485">
        <f t="shared" si="7"/>
        <v>1</v>
      </c>
      <c r="E485" t="s">
        <v>19</v>
      </c>
      <c r="F485" t="s">
        <v>1300</v>
      </c>
      <c r="G485" t="s">
        <v>326</v>
      </c>
      <c r="N485" s="107"/>
    </row>
    <row r="486" spans="1:14" x14ac:dyDescent="0.3">
      <c r="A486" t="s">
        <v>161</v>
      </c>
      <c r="B486" t="s">
        <v>825</v>
      </c>
      <c r="C486" t="s">
        <v>1302</v>
      </c>
      <c r="D486">
        <f t="shared" si="7"/>
        <v>1</v>
      </c>
      <c r="E486" t="s">
        <v>19</v>
      </c>
      <c r="F486" t="s">
        <v>2166</v>
      </c>
      <c r="G486" t="s">
        <v>326</v>
      </c>
      <c r="N486" s="107"/>
    </row>
    <row r="487" spans="1:14" x14ac:dyDescent="0.3">
      <c r="A487" t="s">
        <v>161</v>
      </c>
      <c r="B487" t="s">
        <v>867</v>
      </c>
      <c r="C487" t="s">
        <v>1311</v>
      </c>
      <c r="D487">
        <f t="shared" si="7"/>
        <v>1</v>
      </c>
      <c r="E487" t="s">
        <v>19</v>
      </c>
      <c r="F487" t="s">
        <v>2214</v>
      </c>
      <c r="G487" t="s">
        <v>326</v>
      </c>
      <c r="N487" s="107"/>
    </row>
    <row r="488" spans="1:14" x14ac:dyDescent="0.3">
      <c r="A488" t="s">
        <v>161</v>
      </c>
      <c r="B488" t="s">
        <v>569</v>
      </c>
      <c r="C488" t="s">
        <v>1318</v>
      </c>
      <c r="D488">
        <f t="shared" si="7"/>
        <v>1</v>
      </c>
      <c r="E488" t="s">
        <v>19</v>
      </c>
      <c r="F488" t="s">
        <v>2217</v>
      </c>
      <c r="G488" t="s">
        <v>326</v>
      </c>
      <c r="N488" s="107"/>
    </row>
    <row r="489" spans="1:14" x14ac:dyDescent="0.3">
      <c r="A489" t="s">
        <v>161</v>
      </c>
      <c r="B489" t="s">
        <v>680</v>
      </c>
      <c r="C489" t="s">
        <v>1319</v>
      </c>
      <c r="D489">
        <f t="shared" si="7"/>
        <v>1</v>
      </c>
      <c r="E489" t="s">
        <v>19</v>
      </c>
      <c r="F489" t="s">
        <v>1319</v>
      </c>
      <c r="G489" t="s">
        <v>326</v>
      </c>
      <c r="N489" s="107"/>
    </row>
    <row r="490" spans="1:14" x14ac:dyDescent="0.3">
      <c r="A490" t="s">
        <v>161</v>
      </c>
      <c r="B490" t="s">
        <v>680</v>
      </c>
      <c r="C490" t="s">
        <v>1320</v>
      </c>
      <c r="D490">
        <f t="shared" si="7"/>
        <v>1</v>
      </c>
      <c r="E490" t="s">
        <v>19</v>
      </c>
      <c r="F490" t="s">
        <v>1320</v>
      </c>
      <c r="G490" t="s">
        <v>326</v>
      </c>
      <c r="N490" s="107"/>
    </row>
    <row r="491" spans="1:14" x14ac:dyDescent="0.3">
      <c r="A491" t="s">
        <v>161</v>
      </c>
      <c r="B491" t="s">
        <v>877</v>
      </c>
      <c r="C491" t="s">
        <v>1317</v>
      </c>
      <c r="D491">
        <f t="shared" si="7"/>
        <v>1</v>
      </c>
      <c r="E491" t="s">
        <v>19</v>
      </c>
      <c r="F491" t="s">
        <v>2230</v>
      </c>
      <c r="G491" t="s">
        <v>326</v>
      </c>
      <c r="N491" s="107"/>
    </row>
    <row r="492" spans="1:14" x14ac:dyDescent="0.3">
      <c r="A492" t="s">
        <v>161</v>
      </c>
      <c r="B492" t="s">
        <v>888</v>
      </c>
      <c r="C492" t="s">
        <v>1329</v>
      </c>
      <c r="D492">
        <f t="shared" si="7"/>
        <v>1</v>
      </c>
      <c r="E492" t="s">
        <v>19</v>
      </c>
      <c r="F492" t="s">
        <v>1329</v>
      </c>
      <c r="G492" t="s">
        <v>326</v>
      </c>
      <c r="N492" s="107"/>
    </row>
    <row r="493" spans="1:14" x14ac:dyDescent="0.3">
      <c r="A493" t="s">
        <v>161</v>
      </c>
      <c r="B493" t="s">
        <v>889</v>
      </c>
      <c r="C493" t="s">
        <v>1331</v>
      </c>
      <c r="D493">
        <f t="shared" si="7"/>
        <v>1</v>
      </c>
      <c r="E493" t="s">
        <v>19</v>
      </c>
      <c r="F493" t="s">
        <v>1331</v>
      </c>
      <c r="G493" t="s">
        <v>326</v>
      </c>
      <c r="N493" s="107"/>
    </row>
    <row r="494" spans="1:14" x14ac:dyDescent="0.3">
      <c r="A494" t="s">
        <v>161</v>
      </c>
      <c r="B494" t="s">
        <v>914</v>
      </c>
      <c r="C494" t="s">
        <v>1352</v>
      </c>
      <c r="D494">
        <f t="shared" si="7"/>
        <v>1</v>
      </c>
      <c r="E494" t="s">
        <v>19</v>
      </c>
      <c r="F494" t="s">
        <v>1352</v>
      </c>
      <c r="G494" t="s">
        <v>326</v>
      </c>
      <c r="N494" s="107"/>
    </row>
    <row r="495" spans="1:14" x14ac:dyDescent="0.3">
      <c r="A495" t="s">
        <v>161</v>
      </c>
      <c r="B495" t="s">
        <v>930</v>
      </c>
      <c r="C495" t="s">
        <v>1369</v>
      </c>
      <c r="D495">
        <f t="shared" si="7"/>
        <v>1</v>
      </c>
      <c r="E495" t="s">
        <v>19</v>
      </c>
      <c r="F495" t="s">
        <v>1369</v>
      </c>
      <c r="G495" t="s">
        <v>326</v>
      </c>
      <c r="N495" s="107"/>
    </row>
    <row r="496" spans="1:14" x14ac:dyDescent="0.3">
      <c r="A496" t="s">
        <v>161</v>
      </c>
      <c r="B496" t="s">
        <v>931</v>
      </c>
      <c r="C496" t="s">
        <v>1370</v>
      </c>
      <c r="D496">
        <f t="shared" si="7"/>
        <v>1</v>
      </c>
      <c r="E496" t="s">
        <v>19</v>
      </c>
      <c r="F496" t="s">
        <v>2310</v>
      </c>
      <c r="G496" t="s">
        <v>326</v>
      </c>
      <c r="N496" s="107"/>
    </row>
    <row r="497" spans="1:14" x14ac:dyDescent="0.3">
      <c r="A497" t="s">
        <v>161</v>
      </c>
      <c r="B497" t="s">
        <v>938</v>
      </c>
      <c r="C497" t="s">
        <v>1378</v>
      </c>
      <c r="D497">
        <f t="shared" si="7"/>
        <v>1</v>
      </c>
      <c r="E497" t="s">
        <v>19</v>
      </c>
      <c r="F497" t="s">
        <v>2321</v>
      </c>
      <c r="G497" t="s">
        <v>326</v>
      </c>
      <c r="N497" s="107"/>
    </row>
    <row r="498" spans="1:14" x14ac:dyDescent="0.3">
      <c r="A498" t="s">
        <v>161</v>
      </c>
      <c r="B498" t="s">
        <v>939</v>
      </c>
      <c r="C498" t="s">
        <v>1379</v>
      </c>
      <c r="D498">
        <f t="shared" si="7"/>
        <v>1</v>
      </c>
      <c r="E498" t="s">
        <v>19</v>
      </c>
      <c r="F498" t="s">
        <v>1379</v>
      </c>
      <c r="G498" t="s">
        <v>326</v>
      </c>
      <c r="N498" s="107"/>
    </row>
    <row r="499" spans="1:14" x14ac:dyDescent="0.3">
      <c r="A499" t="s">
        <v>161</v>
      </c>
      <c r="B499" t="s">
        <v>914</v>
      </c>
      <c r="C499" t="s">
        <v>1378</v>
      </c>
      <c r="D499">
        <f t="shared" si="7"/>
        <v>1</v>
      </c>
      <c r="E499" t="s">
        <v>19</v>
      </c>
      <c r="F499" t="s">
        <v>2322</v>
      </c>
      <c r="G499" t="s">
        <v>326</v>
      </c>
      <c r="N499" s="107"/>
    </row>
    <row r="500" spans="1:14" x14ac:dyDescent="0.3">
      <c r="A500" t="s">
        <v>161</v>
      </c>
      <c r="B500" t="s">
        <v>957</v>
      </c>
      <c r="C500" t="s">
        <v>1389</v>
      </c>
      <c r="D500">
        <f t="shared" si="7"/>
        <v>1</v>
      </c>
      <c r="E500" t="s">
        <v>19</v>
      </c>
      <c r="F500" t="s">
        <v>2386</v>
      </c>
      <c r="G500" t="s">
        <v>326</v>
      </c>
      <c r="N500" s="107"/>
    </row>
    <row r="501" spans="1:14" x14ac:dyDescent="0.3">
      <c r="A501" t="s">
        <v>161</v>
      </c>
      <c r="B501" t="s">
        <v>1002</v>
      </c>
      <c r="C501" t="s">
        <v>1415</v>
      </c>
      <c r="D501">
        <f t="shared" si="7"/>
        <v>1</v>
      </c>
      <c r="E501" t="s">
        <v>19</v>
      </c>
      <c r="F501" t="s">
        <v>2460</v>
      </c>
      <c r="G501" t="s">
        <v>326</v>
      </c>
      <c r="N501" s="107"/>
    </row>
    <row r="502" spans="1:14" x14ac:dyDescent="0.3">
      <c r="A502" t="s">
        <v>161</v>
      </c>
      <c r="B502" t="s">
        <v>1002</v>
      </c>
      <c r="C502" t="s">
        <v>1418</v>
      </c>
      <c r="D502">
        <f t="shared" si="7"/>
        <v>1</v>
      </c>
      <c r="E502" t="s">
        <v>19</v>
      </c>
      <c r="F502" t="s">
        <v>2512</v>
      </c>
      <c r="G502" t="s">
        <v>326</v>
      </c>
      <c r="N502" s="107"/>
    </row>
    <row r="503" spans="1:14" x14ac:dyDescent="0.3">
      <c r="A503" t="s">
        <v>161</v>
      </c>
      <c r="B503" t="s">
        <v>564</v>
      </c>
      <c r="C503" t="s">
        <v>1418</v>
      </c>
      <c r="D503">
        <f t="shared" si="7"/>
        <v>1</v>
      </c>
      <c r="E503" t="s">
        <v>19</v>
      </c>
      <c r="F503" t="s">
        <v>2519</v>
      </c>
      <c r="G503" t="s">
        <v>326</v>
      </c>
      <c r="N503" s="107"/>
    </row>
    <row r="504" spans="1:14" x14ac:dyDescent="0.3">
      <c r="A504" t="s">
        <v>161</v>
      </c>
      <c r="B504" t="s">
        <v>737</v>
      </c>
      <c r="C504" t="s">
        <v>1423</v>
      </c>
      <c r="D504">
        <f t="shared" si="7"/>
        <v>1</v>
      </c>
      <c r="E504" t="s">
        <v>19</v>
      </c>
      <c r="F504" t="s">
        <v>2548</v>
      </c>
      <c r="G504" t="s">
        <v>326</v>
      </c>
      <c r="N504" s="107"/>
    </row>
    <row r="505" spans="1:14" x14ac:dyDescent="0.3">
      <c r="A505" t="s">
        <v>161</v>
      </c>
      <c r="B505" t="s">
        <v>1024</v>
      </c>
      <c r="C505" t="s">
        <v>1423</v>
      </c>
      <c r="D505">
        <f t="shared" si="7"/>
        <v>1</v>
      </c>
      <c r="E505" t="s">
        <v>19</v>
      </c>
      <c r="F505" t="s">
        <v>2551</v>
      </c>
      <c r="G505" t="s">
        <v>326</v>
      </c>
      <c r="N505" s="107"/>
    </row>
    <row r="506" spans="1:14" x14ac:dyDescent="0.3">
      <c r="A506" t="s">
        <v>161</v>
      </c>
      <c r="B506" t="s">
        <v>1025</v>
      </c>
      <c r="C506" t="s">
        <v>1423</v>
      </c>
      <c r="D506">
        <f t="shared" si="7"/>
        <v>1</v>
      </c>
      <c r="E506" t="s">
        <v>19</v>
      </c>
      <c r="F506" t="s">
        <v>2552</v>
      </c>
      <c r="G506" t="s">
        <v>326</v>
      </c>
      <c r="N506" s="107"/>
    </row>
    <row r="507" spans="1:14" x14ac:dyDescent="0.3">
      <c r="A507" t="s">
        <v>161</v>
      </c>
      <c r="B507" t="s">
        <v>1025</v>
      </c>
      <c r="C507" t="s">
        <v>1423</v>
      </c>
      <c r="D507">
        <f t="shared" si="7"/>
        <v>1</v>
      </c>
      <c r="E507" t="s">
        <v>19</v>
      </c>
      <c r="F507" t="s">
        <v>2553</v>
      </c>
      <c r="G507" t="s">
        <v>326</v>
      </c>
      <c r="N507" s="107"/>
    </row>
    <row r="508" spans="1:14" x14ac:dyDescent="0.3">
      <c r="A508" t="s">
        <v>161</v>
      </c>
      <c r="B508" t="s">
        <v>1026</v>
      </c>
      <c r="C508" t="s">
        <v>1423</v>
      </c>
      <c r="D508">
        <f t="shared" si="7"/>
        <v>1</v>
      </c>
      <c r="E508" t="s">
        <v>19</v>
      </c>
      <c r="F508" t="s">
        <v>2555</v>
      </c>
      <c r="G508" t="s">
        <v>326</v>
      </c>
      <c r="N508" s="107"/>
    </row>
    <row r="509" spans="1:14" x14ac:dyDescent="0.3">
      <c r="A509" t="s">
        <v>161</v>
      </c>
      <c r="B509" t="s">
        <v>1027</v>
      </c>
      <c r="C509" t="s">
        <v>1423</v>
      </c>
      <c r="D509">
        <f t="shared" si="7"/>
        <v>1</v>
      </c>
      <c r="E509" t="s">
        <v>19</v>
      </c>
      <c r="F509" t="s">
        <v>2556</v>
      </c>
      <c r="G509" t="s">
        <v>326</v>
      </c>
      <c r="N509" s="107"/>
    </row>
    <row r="510" spans="1:14" x14ac:dyDescent="0.3">
      <c r="A510" t="s">
        <v>161</v>
      </c>
      <c r="B510" t="s">
        <v>484</v>
      </c>
      <c r="C510" t="s">
        <v>1437</v>
      </c>
      <c r="D510">
        <f t="shared" si="7"/>
        <v>1</v>
      </c>
      <c r="E510" t="s">
        <v>19</v>
      </c>
      <c r="F510" t="s">
        <v>1437</v>
      </c>
      <c r="G510" t="s">
        <v>326</v>
      </c>
      <c r="N510" s="107"/>
    </row>
    <row r="511" spans="1:14" x14ac:dyDescent="0.3">
      <c r="A511" t="s">
        <v>161</v>
      </c>
      <c r="B511" t="s">
        <v>1078</v>
      </c>
      <c r="C511" t="s">
        <v>1469</v>
      </c>
      <c r="D511">
        <f t="shared" si="7"/>
        <v>1</v>
      </c>
      <c r="E511" t="s">
        <v>19</v>
      </c>
      <c r="F511" t="s">
        <v>1469</v>
      </c>
      <c r="G511" t="s">
        <v>326</v>
      </c>
      <c r="N511" s="107"/>
    </row>
    <row r="512" spans="1:14" x14ac:dyDescent="0.3">
      <c r="A512" t="s">
        <v>161</v>
      </c>
      <c r="B512" t="s">
        <v>1089</v>
      </c>
      <c r="C512" t="s">
        <v>1483</v>
      </c>
      <c r="D512">
        <f t="shared" si="7"/>
        <v>1</v>
      </c>
      <c r="E512" t="s">
        <v>19</v>
      </c>
      <c r="F512" t="s">
        <v>2709</v>
      </c>
      <c r="G512" t="s">
        <v>326</v>
      </c>
      <c r="N512" s="107"/>
    </row>
    <row r="513" spans="1:14" x14ac:dyDescent="0.3">
      <c r="A513" t="s">
        <v>161</v>
      </c>
      <c r="B513" t="s">
        <v>1100</v>
      </c>
      <c r="C513" t="s">
        <v>1497</v>
      </c>
      <c r="D513">
        <f t="shared" si="7"/>
        <v>1</v>
      </c>
      <c r="E513" t="s">
        <v>19</v>
      </c>
      <c r="F513" t="s">
        <v>1497</v>
      </c>
      <c r="G513" t="s">
        <v>326</v>
      </c>
      <c r="N513" s="107"/>
    </row>
    <row r="514" spans="1:14" x14ac:dyDescent="0.3">
      <c r="A514" t="s">
        <v>161</v>
      </c>
      <c r="B514" t="s">
        <v>1104</v>
      </c>
      <c r="C514" t="s">
        <v>1504</v>
      </c>
      <c r="D514">
        <f t="shared" ref="D514:D577" si="8">SIGN(SUBTOTAL(3,E514))</f>
        <v>1</v>
      </c>
      <c r="E514" t="s">
        <v>19</v>
      </c>
      <c r="F514" t="s">
        <v>2748</v>
      </c>
      <c r="G514" t="s">
        <v>326</v>
      </c>
      <c r="N514" s="107"/>
    </row>
    <row r="515" spans="1:14" x14ac:dyDescent="0.3">
      <c r="A515" t="s">
        <v>161</v>
      </c>
      <c r="B515" t="s">
        <v>1107</v>
      </c>
      <c r="C515" t="s">
        <v>1506</v>
      </c>
      <c r="D515">
        <f t="shared" si="8"/>
        <v>1</v>
      </c>
      <c r="E515" t="s">
        <v>19</v>
      </c>
      <c r="F515" t="s">
        <v>2754</v>
      </c>
      <c r="G515" t="s">
        <v>326</v>
      </c>
      <c r="N515" s="107"/>
    </row>
    <row r="516" spans="1:14" x14ac:dyDescent="0.3">
      <c r="A516" t="s">
        <v>161</v>
      </c>
      <c r="B516" t="s">
        <v>680</v>
      </c>
      <c r="C516" t="s">
        <v>1536</v>
      </c>
      <c r="D516">
        <f t="shared" si="8"/>
        <v>1</v>
      </c>
      <c r="E516" t="s">
        <v>19</v>
      </c>
      <c r="F516" t="s">
        <v>2827</v>
      </c>
      <c r="G516" t="s">
        <v>326</v>
      </c>
      <c r="N516" s="107"/>
    </row>
    <row r="517" spans="1:14" x14ac:dyDescent="0.3">
      <c r="A517" t="s">
        <v>161</v>
      </c>
      <c r="B517" t="s">
        <v>939</v>
      </c>
      <c r="C517" t="s">
        <v>1536</v>
      </c>
      <c r="D517">
        <f t="shared" si="8"/>
        <v>1</v>
      </c>
      <c r="E517" t="s">
        <v>19</v>
      </c>
      <c r="F517" t="s">
        <v>2832</v>
      </c>
      <c r="G517" t="s">
        <v>326</v>
      </c>
      <c r="N517" s="107"/>
    </row>
    <row r="518" spans="1:14" x14ac:dyDescent="0.3">
      <c r="A518" t="s">
        <v>162</v>
      </c>
      <c r="B518" t="s">
        <v>632</v>
      </c>
      <c r="C518" t="s">
        <v>1186</v>
      </c>
      <c r="D518">
        <f t="shared" si="8"/>
        <v>1</v>
      </c>
      <c r="E518" t="s">
        <v>19</v>
      </c>
      <c r="F518" t="s">
        <v>1835</v>
      </c>
      <c r="G518" t="s">
        <v>326</v>
      </c>
      <c r="N518" s="107"/>
    </row>
    <row r="519" spans="1:14" x14ac:dyDescent="0.3">
      <c r="A519" t="s">
        <v>162</v>
      </c>
      <c r="B519" t="s">
        <v>717</v>
      </c>
      <c r="C519" t="s">
        <v>1231</v>
      </c>
      <c r="D519">
        <f t="shared" si="8"/>
        <v>1</v>
      </c>
      <c r="E519" t="s">
        <v>19</v>
      </c>
      <c r="F519" t="s">
        <v>1967</v>
      </c>
      <c r="G519" t="s">
        <v>326</v>
      </c>
      <c r="N519" s="107"/>
    </row>
    <row r="520" spans="1:14" x14ac:dyDescent="0.3">
      <c r="A520" t="s">
        <v>162</v>
      </c>
      <c r="B520" t="s">
        <v>752</v>
      </c>
      <c r="C520" t="s">
        <v>1248</v>
      </c>
      <c r="D520">
        <f t="shared" si="8"/>
        <v>1</v>
      </c>
      <c r="E520" t="s">
        <v>19</v>
      </c>
      <c r="F520" t="s">
        <v>1248</v>
      </c>
      <c r="G520" t="s">
        <v>326</v>
      </c>
      <c r="N520" s="107"/>
    </row>
    <row r="521" spans="1:14" x14ac:dyDescent="0.3">
      <c r="A521" t="s">
        <v>162</v>
      </c>
      <c r="B521" t="s">
        <v>514</v>
      </c>
      <c r="C521" t="s">
        <v>1333</v>
      </c>
      <c r="D521">
        <f t="shared" si="8"/>
        <v>1</v>
      </c>
      <c r="E521" t="s">
        <v>19</v>
      </c>
      <c r="F521" t="s">
        <v>2242</v>
      </c>
      <c r="G521" t="s">
        <v>326</v>
      </c>
      <c r="N521" s="107"/>
    </row>
    <row r="522" spans="1:14" x14ac:dyDescent="0.3">
      <c r="A522" t="s">
        <v>162</v>
      </c>
      <c r="B522" t="s">
        <v>632</v>
      </c>
      <c r="C522" t="s">
        <v>1346</v>
      </c>
      <c r="D522">
        <f t="shared" si="8"/>
        <v>1</v>
      </c>
      <c r="E522" t="s">
        <v>19</v>
      </c>
      <c r="F522" t="s">
        <v>2274</v>
      </c>
      <c r="G522" t="s">
        <v>326</v>
      </c>
      <c r="N522" s="107"/>
    </row>
    <row r="523" spans="1:14" x14ac:dyDescent="0.3">
      <c r="A523" t="s">
        <v>162</v>
      </c>
      <c r="B523" t="s">
        <v>910</v>
      </c>
      <c r="C523" t="s">
        <v>1346</v>
      </c>
      <c r="D523">
        <f t="shared" si="8"/>
        <v>1</v>
      </c>
      <c r="E523" t="s">
        <v>19</v>
      </c>
      <c r="F523" t="s">
        <v>2275</v>
      </c>
      <c r="G523" t="s">
        <v>326</v>
      </c>
      <c r="N523" s="107"/>
    </row>
    <row r="524" spans="1:14" x14ac:dyDescent="0.3">
      <c r="A524" t="s">
        <v>162</v>
      </c>
      <c r="B524" t="s">
        <v>910</v>
      </c>
      <c r="C524" t="s">
        <v>1374</v>
      </c>
      <c r="D524">
        <f t="shared" si="8"/>
        <v>1</v>
      </c>
      <c r="E524" t="s">
        <v>19</v>
      </c>
      <c r="F524" t="s">
        <v>2316</v>
      </c>
      <c r="G524" t="s">
        <v>326</v>
      </c>
      <c r="N524" s="107"/>
    </row>
    <row r="525" spans="1:14" x14ac:dyDescent="0.3">
      <c r="A525" t="s">
        <v>162</v>
      </c>
      <c r="B525" t="s">
        <v>632</v>
      </c>
      <c r="C525" t="s">
        <v>1465</v>
      </c>
      <c r="D525">
        <f t="shared" si="8"/>
        <v>1</v>
      </c>
      <c r="E525" t="s">
        <v>19</v>
      </c>
      <c r="F525" t="s">
        <v>2675</v>
      </c>
      <c r="G525" t="s">
        <v>326</v>
      </c>
      <c r="N525" s="107"/>
    </row>
    <row r="526" spans="1:14" x14ac:dyDescent="0.3">
      <c r="A526" t="s">
        <v>162</v>
      </c>
      <c r="B526" t="s">
        <v>632</v>
      </c>
      <c r="C526" t="s">
        <v>1493</v>
      </c>
      <c r="D526">
        <f t="shared" si="8"/>
        <v>1</v>
      </c>
      <c r="E526" t="s">
        <v>19</v>
      </c>
      <c r="F526" t="s">
        <v>1493</v>
      </c>
      <c r="G526" t="s">
        <v>326</v>
      </c>
      <c r="N526" s="107"/>
    </row>
    <row r="527" spans="1:14" x14ac:dyDescent="0.3">
      <c r="A527" t="s">
        <v>162</v>
      </c>
      <c r="B527" t="s">
        <v>1132</v>
      </c>
      <c r="C527" t="s">
        <v>1534</v>
      </c>
      <c r="D527">
        <f t="shared" si="8"/>
        <v>1</v>
      </c>
      <c r="E527" t="s">
        <v>19</v>
      </c>
      <c r="F527" t="s">
        <v>1534</v>
      </c>
      <c r="G527" t="s">
        <v>326</v>
      </c>
      <c r="N527" s="107"/>
    </row>
    <row r="528" spans="1:14" x14ac:dyDescent="0.3">
      <c r="A528" t="s">
        <v>163</v>
      </c>
      <c r="B528" t="s">
        <v>485</v>
      </c>
      <c r="C528" t="s">
        <v>1167</v>
      </c>
      <c r="D528">
        <f t="shared" si="8"/>
        <v>1</v>
      </c>
      <c r="E528" t="s">
        <v>19</v>
      </c>
      <c r="F528" t="s">
        <v>1737</v>
      </c>
      <c r="G528" t="s">
        <v>326</v>
      </c>
      <c r="N528" s="107"/>
    </row>
    <row r="529" spans="1:14" x14ac:dyDescent="0.3">
      <c r="A529" t="s">
        <v>163</v>
      </c>
      <c r="B529" t="s">
        <v>485</v>
      </c>
      <c r="C529" t="s">
        <v>1167</v>
      </c>
      <c r="D529">
        <f t="shared" si="8"/>
        <v>1</v>
      </c>
      <c r="E529" t="s">
        <v>19</v>
      </c>
      <c r="F529" t="s">
        <v>1739</v>
      </c>
      <c r="G529" t="s">
        <v>326</v>
      </c>
      <c r="N529" s="107"/>
    </row>
    <row r="530" spans="1:14" x14ac:dyDescent="0.3">
      <c r="A530" t="s">
        <v>163</v>
      </c>
      <c r="B530" t="s">
        <v>485</v>
      </c>
      <c r="C530" t="s">
        <v>1168</v>
      </c>
      <c r="D530">
        <f t="shared" si="8"/>
        <v>1</v>
      </c>
      <c r="E530" t="s">
        <v>19</v>
      </c>
      <c r="F530" t="s">
        <v>1742</v>
      </c>
      <c r="G530" t="s">
        <v>326</v>
      </c>
      <c r="N530" s="107"/>
    </row>
    <row r="531" spans="1:14" x14ac:dyDescent="0.3">
      <c r="A531" t="s">
        <v>163</v>
      </c>
      <c r="B531" t="s">
        <v>574</v>
      </c>
      <c r="C531" t="s">
        <v>1168</v>
      </c>
      <c r="D531">
        <f t="shared" si="8"/>
        <v>1</v>
      </c>
      <c r="E531" t="s">
        <v>19</v>
      </c>
      <c r="F531" t="s">
        <v>1756</v>
      </c>
      <c r="G531" t="s">
        <v>326</v>
      </c>
      <c r="N531" s="107"/>
    </row>
    <row r="532" spans="1:14" x14ac:dyDescent="0.3">
      <c r="A532" t="s">
        <v>163</v>
      </c>
      <c r="B532" t="s">
        <v>485</v>
      </c>
      <c r="C532" t="s">
        <v>1191</v>
      </c>
      <c r="D532">
        <f t="shared" si="8"/>
        <v>1</v>
      </c>
      <c r="E532" t="s">
        <v>19</v>
      </c>
      <c r="F532" t="s">
        <v>1191</v>
      </c>
      <c r="G532" t="s">
        <v>326</v>
      </c>
      <c r="N532" s="107"/>
    </row>
    <row r="533" spans="1:14" x14ac:dyDescent="0.3">
      <c r="A533" t="s">
        <v>163</v>
      </c>
      <c r="B533" t="s">
        <v>485</v>
      </c>
      <c r="C533" t="s">
        <v>1231</v>
      </c>
      <c r="D533">
        <f t="shared" si="8"/>
        <v>1</v>
      </c>
      <c r="E533" t="s">
        <v>19</v>
      </c>
      <c r="F533" t="s">
        <v>1980</v>
      </c>
      <c r="G533" t="s">
        <v>326</v>
      </c>
      <c r="N533" s="107"/>
    </row>
    <row r="534" spans="1:14" x14ac:dyDescent="0.3">
      <c r="A534" t="s">
        <v>163</v>
      </c>
      <c r="B534" t="s">
        <v>485</v>
      </c>
      <c r="C534" t="s">
        <v>1289</v>
      </c>
      <c r="D534">
        <f t="shared" si="8"/>
        <v>1</v>
      </c>
      <c r="E534" t="s">
        <v>19</v>
      </c>
      <c r="F534" t="s">
        <v>2130</v>
      </c>
      <c r="G534" t="s">
        <v>326</v>
      </c>
      <c r="N534" s="107"/>
    </row>
    <row r="535" spans="1:14" x14ac:dyDescent="0.3">
      <c r="A535" t="s">
        <v>163</v>
      </c>
      <c r="B535" t="s">
        <v>574</v>
      </c>
      <c r="C535" t="s">
        <v>1292</v>
      </c>
      <c r="D535">
        <f t="shared" si="8"/>
        <v>1</v>
      </c>
      <c r="E535" t="s">
        <v>19</v>
      </c>
      <c r="F535" t="s">
        <v>1292</v>
      </c>
      <c r="G535" t="s">
        <v>326</v>
      </c>
      <c r="N535" s="107"/>
    </row>
    <row r="536" spans="1:14" x14ac:dyDescent="0.3">
      <c r="A536" t="s">
        <v>163</v>
      </c>
      <c r="B536" t="s">
        <v>485</v>
      </c>
      <c r="C536" t="s">
        <v>1291</v>
      </c>
      <c r="D536">
        <f t="shared" si="8"/>
        <v>1</v>
      </c>
      <c r="E536" t="s">
        <v>19</v>
      </c>
      <c r="F536" t="s">
        <v>2147</v>
      </c>
      <c r="G536" t="s">
        <v>326</v>
      </c>
      <c r="N536" s="107"/>
    </row>
    <row r="537" spans="1:14" x14ac:dyDescent="0.3">
      <c r="A537" t="s">
        <v>163</v>
      </c>
      <c r="B537" t="s">
        <v>950</v>
      </c>
      <c r="C537" t="s">
        <v>1386</v>
      </c>
      <c r="D537">
        <f t="shared" si="8"/>
        <v>1</v>
      </c>
      <c r="E537" t="s">
        <v>19</v>
      </c>
      <c r="F537" t="s">
        <v>2348</v>
      </c>
      <c r="G537" t="s">
        <v>326</v>
      </c>
      <c r="N537" s="107"/>
    </row>
    <row r="538" spans="1:14" x14ac:dyDescent="0.3">
      <c r="A538" t="s">
        <v>163</v>
      </c>
      <c r="B538" t="s">
        <v>485</v>
      </c>
      <c r="C538" t="s">
        <v>1465</v>
      </c>
      <c r="D538">
        <f t="shared" si="8"/>
        <v>1</v>
      </c>
      <c r="E538" t="s">
        <v>19</v>
      </c>
      <c r="F538" t="s">
        <v>2653</v>
      </c>
      <c r="G538" t="s">
        <v>326</v>
      </c>
      <c r="N538" s="107"/>
    </row>
    <row r="539" spans="1:14" x14ac:dyDescent="0.3">
      <c r="A539" t="s">
        <v>163</v>
      </c>
      <c r="B539" t="s">
        <v>485</v>
      </c>
      <c r="C539" t="s">
        <v>1487</v>
      </c>
      <c r="D539">
        <f t="shared" si="8"/>
        <v>1</v>
      </c>
      <c r="E539" t="s">
        <v>19</v>
      </c>
      <c r="F539" t="s">
        <v>2717</v>
      </c>
      <c r="G539" t="s">
        <v>326</v>
      </c>
      <c r="N539" s="107"/>
    </row>
    <row r="540" spans="1:14" x14ac:dyDescent="0.3">
      <c r="A540" t="s">
        <v>164</v>
      </c>
      <c r="B540" t="s">
        <v>630</v>
      </c>
      <c r="C540" t="s">
        <v>1186</v>
      </c>
      <c r="D540">
        <f t="shared" si="8"/>
        <v>1</v>
      </c>
      <c r="E540" t="s">
        <v>19</v>
      </c>
      <c r="F540" t="s">
        <v>1832</v>
      </c>
      <c r="G540" t="s">
        <v>326</v>
      </c>
      <c r="N540" s="107"/>
    </row>
    <row r="541" spans="1:14" x14ac:dyDescent="0.3">
      <c r="A541" t="s">
        <v>164</v>
      </c>
      <c r="B541" t="s">
        <v>723</v>
      </c>
      <c r="C541" t="s">
        <v>1231</v>
      </c>
      <c r="D541">
        <f t="shared" si="8"/>
        <v>1</v>
      </c>
      <c r="E541" t="s">
        <v>19</v>
      </c>
      <c r="F541" t="s">
        <v>1984</v>
      </c>
      <c r="G541" t="s">
        <v>326</v>
      </c>
      <c r="N541" s="107"/>
    </row>
    <row r="542" spans="1:14" x14ac:dyDescent="0.3">
      <c r="A542" t="s">
        <v>164</v>
      </c>
      <c r="B542" t="s">
        <v>810</v>
      </c>
      <c r="C542" t="s">
        <v>1289</v>
      </c>
      <c r="D542">
        <f t="shared" si="8"/>
        <v>1</v>
      </c>
      <c r="E542" t="s">
        <v>19</v>
      </c>
      <c r="F542" t="s">
        <v>2128</v>
      </c>
      <c r="G542" t="s">
        <v>326</v>
      </c>
      <c r="N542" s="107"/>
    </row>
    <row r="543" spans="1:14" x14ac:dyDescent="0.3">
      <c r="A543" t="s">
        <v>164</v>
      </c>
      <c r="B543" t="s">
        <v>630</v>
      </c>
      <c r="C543" t="s">
        <v>1333</v>
      </c>
      <c r="D543">
        <f t="shared" si="8"/>
        <v>1</v>
      </c>
      <c r="E543" t="s">
        <v>19</v>
      </c>
      <c r="F543" t="s">
        <v>2240</v>
      </c>
      <c r="G543" t="s">
        <v>326</v>
      </c>
      <c r="N543" s="107"/>
    </row>
    <row r="544" spans="1:14" x14ac:dyDescent="0.3">
      <c r="A544" t="s">
        <v>164</v>
      </c>
      <c r="B544" t="s">
        <v>890</v>
      </c>
      <c r="C544" t="s">
        <v>1333</v>
      </c>
      <c r="D544">
        <f t="shared" si="8"/>
        <v>1</v>
      </c>
      <c r="E544" t="s">
        <v>19</v>
      </c>
      <c r="F544" t="s">
        <v>2241</v>
      </c>
      <c r="G544" t="s">
        <v>326</v>
      </c>
      <c r="N544" s="107"/>
    </row>
    <row r="545" spans="1:14" x14ac:dyDescent="0.3">
      <c r="A545" t="s">
        <v>164</v>
      </c>
      <c r="B545" t="s">
        <v>893</v>
      </c>
      <c r="C545" t="s">
        <v>1332</v>
      </c>
      <c r="D545">
        <f t="shared" si="8"/>
        <v>1</v>
      </c>
      <c r="E545" t="s">
        <v>19</v>
      </c>
      <c r="F545" t="s">
        <v>2247</v>
      </c>
      <c r="G545" t="s">
        <v>326</v>
      </c>
      <c r="N545" s="107"/>
    </row>
    <row r="546" spans="1:14" x14ac:dyDescent="0.3">
      <c r="A546" t="s">
        <v>164</v>
      </c>
      <c r="B546" t="s">
        <v>906</v>
      </c>
      <c r="C546" t="s">
        <v>1342</v>
      </c>
      <c r="D546">
        <f t="shared" si="8"/>
        <v>1</v>
      </c>
      <c r="E546" t="s">
        <v>19</v>
      </c>
      <c r="F546" t="s">
        <v>1342</v>
      </c>
      <c r="G546" t="s">
        <v>326</v>
      </c>
      <c r="N546" s="107"/>
    </row>
    <row r="547" spans="1:14" x14ac:dyDescent="0.3">
      <c r="A547" t="s">
        <v>164</v>
      </c>
      <c r="B547" t="s">
        <v>909</v>
      </c>
      <c r="C547" t="s">
        <v>1346</v>
      </c>
      <c r="D547">
        <f t="shared" si="8"/>
        <v>1</v>
      </c>
      <c r="E547" t="s">
        <v>19</v>
      </c>
      <c r="F547" t="s">
        <v>2272</v>
      </c>
      <c r="G547" t="s">
        <v>326</v>
      </c>
      <c r="N547" s="107"/>
    </row>
    <row r="548" spans="1:14" x14ac:dyDescent="0.3">
      <c r="A548" t="s">
        <v>164</v>
      </c>
      <c r="B548" t="s">
        <v>909</v>
      </c>
      <c r="C548" t="s">
        <v>1346</v>
      </c>
      <c r="D548">
        <f t="shared" si="8"/>
        <v>1</v>
      </c>
      <c r="E548" t="s">
        <v>19</v>
      </c>
      <c r="F548" t="s">
        <v>2273</v>
      </c>
      <c r="G548" t="s">
        <v>326</v>
      </c>
      <c r="N548" s="107"/>
    </row>
    <row r="549" spans="1:14" x14ac:dyDescent="0.3">
      <c r="A549" t="s">
        <v>164</v>
      </c>
      <c r="B549" t="s">
        <v>723</v>
      </c>
      <c r="C549" t="s">
        <v>1346</v>
      </c>
      <c r="D549">
        <f t="shared" si="8"/>
        <v>1</v>
      </c>
      <c r="E549" t="s">
        <v>19</v>
      </c>
      <c r="F549" t="s">
        <v>2282</v>
      </c>
      <c r="G549" t="s">
        <v>326</v>
      </c>
      <c r="N549" s="107"/>
    </row>
    <row r="550" spans="1:14" x14ac:dyDescent="0.3">
      <c r="A550" t="s">
        <v>164</v>
      </c>
      <c r="B550" t="s">
        <v>723</v>
      </c>
      <c r="C550" t="s">
        <v>1346</v>
      </c>
      <c r="D550">
        <f t="shared" si="8"/>
        <v>1</v>
      </c>
      <c r="E550" t="s">
        <v>19</v>
      </c>
      <c r="F550" t="s">
        <v>2283</v>
      </c>
      <c r="G550" t="s">
        <v>326</v>
      </c>
      <c r="N550" s="107"/>
    </row>
    <row r="551" spans="1:14" x14ac:dyDescent="0.3">
      <c r="A551" t="s">
        <v>164</v>
      </c>
      <c r="B551" t="s">
        <v>893</v>
      </c>
      <c r="C551" t="s">
        <v>1374</v>
      </c>
      <c r="D551">
        <f t="shared" si="8"/>
        <v>1</v>
      </c>
      <c r="E551" t="s">
        <v>19</v>
      </c>
      <c r="F551" t="s">
        <v>2314</v>
      </c>
      <c r="G551" t="s">
        <v>326</v>
      </c>
      <c r="N551" s="107"/>
    </row>
    <row r="552" spans="1:14" x14ac:dyDescent="0.3">
      <c r="A552" t="s">
        <v>164</v>
      </c>
      <c r="B552" t="s">
        <v>723</v>
      </c>
      <c r="C552" t="s">
        <v>1459</v>
      </c>
      <c r="D552">
        <f t="shared" si="8"/>
        <v>1</v>
      </c>
      <c r="E552" t="s">
        <v>19</v>
      </c>
      <c r="F552" t="s">
        <v>1459</v>
      </c>
      <c r="G552" t="s">
        <v>326</v>
      </c>
      <c r="N552" s="107"/>
    </row>
    <row r="553" spans="1:14" x14ac:dyDescent="0.3">
      <c r="A553" t="s">
        <v>164</v>
      </c>
      <c r="B553" t="s">
        <v>1074</v>
      </c>
      <c r="C553" t="s">
        <v>1465</v>
      </c>
      <c r="D553">
        <f t="shared" si="8"/>
        <v>1</v>
      </c>
      <c r="E553" t="s">
        <v>19</v>
      </c>
      <c r="F553" t="s">
        <v>2654</v>
      </c>
      <c r="G553" t="s">
        <v>326</v>
      </c>
      <c r="N553" s="107"/>
    </row>
    <row r="554" spans="1:14" x14ac:dyDescent="0.3">
      <c r="A554" t="s">
        <v>164</v>
      </c>
      <c r="B554" t="s">
        <v>723</v>
      </c>
      <c r="C554" t="s">
        <v>1494</v>
      </c>
      <c r="D554">
        <f t="shared" si="8"/>
        <v>1</v>
      </c>
      <c r="E554" t="s">
        <v>19</v>
      </c>
      <c r="F554" t="s">
        <v>2740</v>
      </c>
      <c r="G554" t="s">
        <v>326</v>
      </c>
      <c r="N554" s="107"/>
    </row>
    <row r="555" spans="1:14" x14ac:dyDescent="0.3">
      <c r="A555" t="s">
        <v>164</v>
      </c>
      <c r="B555" t="s">
        <v>723</v>
      </c>
      <c r="C555" t="s">
        <v>1494</v>
      </c>
      <c r="D555">
        <f t="shared" si="8"/>
        <v>1</v>
      </c>
      <c r="E555" t="s">
        <v>19</v>
      </c>
      <c r="F555" t="s">
        <v>2741</v>
      </c>
      <c r="G555" t="s">
        <v>326</v>
      </c>
      <c r="N555" s="107"/>
    </row>
    <row r="556" spans="1:14" x14ac:dyDescent="0.3">
      <c r="A556" t="s">
        <v>164</v>
      </c>
      <c r="B556" t="s">
        <v>723</v>
      </c>
      <c r="C556" t="s">
        <v>1503</v>
      </c>
      <c r="D556">
        <f t="shared" si="8"/>
        <v>1</v>
      </c>
      <c r="E556" t="s">
        <v>19</v>
      </c>
      <c r="F556" t="s">
        <v>1503</v>
      </c>
      <c r="G556" t="s">
        <v>326</v>
      </c>
      <c r="N556" s="107"/>
    </row>
    <row r="557" spans="1:14" x14ac:dyDescent="0.3">
      <c r="A557" t="s">
        <v>165</v>
      </c>
      <c r="B557" t="s">
        <v>660</v>
      </c>
      <c r="C557" t="s">
        <v>1212</v>
      </c>
      <c r="D557">
        <f t="shared" si="8"/>
        <v>1</v>
      </c>
      <c r="E557" t="s">
        <v>19</v>
      </c>
      <c r="F557" t="s">
        <v>1867</v>
      </c>
      <c r="G557" t="s">
        <v>326</v>
      </c>
      <c r="N557" s="107"/>
    </row>
    <row r="558" spans="1:14" x14ac:dyDescent="0.3">
      <c r="A558" t="s">
        <v>165</v>
      </c>
      <c r="B558" t="s">
        <v>663</v>
      </c>
      <c r="C558" t="s">
        <v>1212</v>
      </c>
      <c r="D558">
        <f t="shared" si="8"/>
        <v>1</v>
      </c>
      <c r="E558" t="s">
        <v>19</v>
      </c>
      <c r="F558" t="s">
        <v>1876</v>
      </c>
      <c r="G558" t="s">
        <v>326</v>
      </c>
      <c r="N558" s="107"/>
    </row>
    <row r="559" spans="1:14" x14ac:dyDescent="0.3">
      <c r="A559" t="s">
        <v>165</v>
      </c>
      <c r="B559" t="s">
        <v>688</v>
      </c>
      <c r="C559" t="s">
        <v>1231</v>
      </c>
      <c r="D559">
        <f t="shared" si="8"/>
        <v>1</v>
      </c>
      <c r="E559" t="s">
        <v>19</v>
      </c>
      <c r="F559" t="s">
        <v>1908</v>
      </c>
      <c r="G559" t="s">
        <v>326</v>
      </c>
      <c r="N559" s="107"/>
    </row>
    <row r="560" spans="1:14" x14ac:dyDescent="0.3">
      <c r="A560" t="s">
        <v>165</v>
      </c>
      <c r="B560" t="s">
        <v>614</v>
      </c>
      <c r="C560" t="s">
        <v>1231</v>
      </c>
      <c r="D560">
        <f t="shared" si="8"/>
        <v>1</v>
      </c>
      <c r="E560" t="s">
        <v>19</v>
      </c>
      <c r="F560" t="s">
        <v>1913</v>
      </c>
      <c r="G560" t="s">
        <v>326</v>
      </c>
      <c r="N560" s="107"/>
    </row>
    <row r="561" spans="1:14" x14ac:dyDescent="0.3">
      <c r="A561" t="s">
        <v>165</v>
      </c>
      <c r="B561" t="s">
        <v>487</v>
      </c>
      <c r="C561" t="s">
        <v>1231</v>
      </c>
      <c r="D561">
        <f t="shared" si="8"/>
        <v>1</v>
      </c>
      <c r="E561" t="s">
        <v>19</v>
      </c>
      <c r="F561" t="s">
        <v>1927</v>
      </c>
      <c r="G561" t="s">
        <v>326</v>
      </c>
      <c r="N561" s="107"/>
    </row>
    <row r="562" spans="1:14" x14ac:dyDescent="0.3">
      <c r="A562" t="s">
        <v>165</v>
      </c>
      <c r="B562" t="s">
        <v>698</v>
      </c>
      <c r="C562" t="s">
        <v>1231</v>
      </c>
      <c r="D562">
        <f t="shared" si="8"/>
        <v>1</v>
      </c>
      <c r="E562" t="s">
        <v>19</v>
      </c>
      <c r="F562" t="s">
        <v>1928</v>
      </c>
      <c r="G562" t="s">
        <v>326</v>
      </c>
      <c r="N562" s="107"/>
    </row>
    <row r="563" spans="1:14" x14ac:dyDescent="0.3">
      <c r="A563" t="s">
        <v>165</v>
      </c>
      <c r="B563" t="s">
        <v>699</v>
      </c>
      <c r="C563" t="s">
        <v>1231</v>
      </c>
      <c r="D563">
        <f t="shared" si="8"/>
        <v>1</v>
      </c>
      <c r="E563" t="s">
        <v>19</v>
      </c>
      <c r="F563" t="s">
        <v>1929</v>
      </c>
      <c r="G563" t="s">
        <v>326</v>
      </c>
      <c r="N563" s="107"/>
    </row>
    <row r="564" spans="1:14" x14ac:dyDescent="0.3">
      <c r="A564" t="s">
        <v>165</v>
      </c>
      <c r="B564" t="s">
        <v>699</v>
      </c>
      <c r="C564" t="s">
        <v>1231</v>
      </c>
      <c r="D564">
        <f t="shared" si="8"/>
        <v>1</v>
      </c>
      <c r="E564" t="s">
        <v>19</v>
      </c>
      <c r="F564" t="s">
        <v>1930</v>
      </c>
      <c r="G564" t="s">
        <v>326</v>
      </c>
      <c r="N564" s="107"/>
    </row>
    <row r="565" spans="1:14" x14ac:dyDescent="0.3">
      <c r="A565" t="s">
        <v>165</v>
      </c>
      <c r="B565" t="s">
        <v>622</v>
      </c>
      <c r="C565" t="s">
        <v>1231</v>
      </c>
      <c r="D565">
        <f t="shared" si="8"/>
        <v>1</v>
      </c>
      <c r="E565" t="s">
        <v>19</v>
      </c>
      <c r="F565" t="s">
        <v>1932</v>
      </c>
      <c r="G565" t="s">
        <v>326</v>
      </c>
      <c r="N565" s="107"/>
    </row>
    <row r="566" spans="1:14" x14ac:dyDescent="0.3">
      <c r="A566" t="s">
        <v>165</v>
      </c>
      <c r="B566" t="s">
        <v>700</v>
      </c>
      <c r="C566" t="s">
        <v>1231</v>
      </c>
      <c r="D566">
        <f t="shared" si="8"/>
        <v>1</v>
      </c>
      <c r="E566" t="s">
        <v>19</v>
      </c>
      <c r="F566" t="s">
        <v>1933</v>
      </c>
      <c r="G566" t="s">
        <v>326</v>
      </c>
      <c r="N566" s="107"/>
    </row>
    <row r="567" spans="1:14" x14ac:dyDescent="0.3">
      <c r="A567" t="s">
        <v>165</v>
      </c>
      <c r="B567" t="s">
        <v>707</v>
      </c>
      <c r="C567" t="s">
        <v>1231</v>
      </c>
      <c r="D567">
        <f t="shared" si="8"/>
        <v>1</v>
      </c>
      <c r="E567" t="s">
        <v>19</v>
      </c>
      <c r="F567" t="s">
        <v>1940</v>
      </c>
      <c r="G567" t="s">
        <v>326</v>
      </c>
      <c r="N567" s="107"/>
    </row>
    <row r="568" spans="1:14" x14ac:dyDescent="0.3">
      <c r="A568" t="s">
        <v>165</v>
      </c>
      <c r="B568" t="s">
        <v>715</v>
      </c>
      <c r="C568" t="s">
        <v>1231</v>
      </c>
      <c r="D568">
        <f t="shared" si="8"/>
        <v>1</v>
      </c>
      <c r="E568" t="s">
        <v>19</v>
      </c>
      <c r="F568" t="s">
        <v>1960</v>
      </c>
      <c r="G568" t="s">
        <v>326</v>
      </c>
      <c r="N568" s="107"/>
    </row>
    <row r="569" spans="1:14" x14ac:dyDescent="0.3">
      <c r="A569" t="s">
        <v>165</v>
      </c>
      <c r="B569" t="s">
        <v>622</v>
      </c>
      <c r="C569" t="s">
        <v>1231</v>
      </c>
      <c r="D569">
        <f t="shared" si="8"/>
        <v>1</v>
      </c>
      <c r="E569" t="s">
        <v>19</v>
      </c>
      <c r="F569" t="s">
        <v>1965</v>
      </c>
      <c r="G569" t="s">
        <v>326</v>
      </c>
      <c r="N569" s="107"/>
    </row>
    <row r="570" spans="1:14" x14ac:dyDescent="0.3">
      <c r="A570" t="s">
        <v>165</v>
      </c>
      <c r="B570" t="s">
        <v>622</v>
      </c>
      <c r="C570" t="s">
        <v>1234</v>
      </c>
      <c r="D570">
        <f t="shared" si="8"/>
        <v>1</v>
      </c>
      <c r="E570" t="s">
        <v>19</v>
      </c>
      <c r="F570" t="s">
        <v>1234</v>
      </c>
      <c r="G570" t="s">
        <v>326</v>
      </c>
      <c r="N570" s="107"/>
    </row>
    <row r="571" spans="1:14" x14ac:dyDescent="0.3">
      <c r="A571" t="s">
        <v>165</v>
      </c>
      <c r="B571" t="s">
        <v>751</v>
      </c>
      <c r="C571" t="s">
        <v>1247</v>
      </c>
      <c r="D571">
        <f t="shared" si="8"/>
        <v>1</v>
      </c>
      <c r="E571" t="s">
        <v>19</v>
      </c>
      <c r="F571" t="s">
        <v>2030</v>
      </c>
      <c r="G571" t="s">
        <v>326</v>
      </c>
      <c r="N571" s="107"/>
    </row>
    <row r="572" spans="1:14" x14ac:dyDescent="0.3">
      <c r="A572" t="s">
        <v>165</v>
      </c>
      <c r="B572" t="s">
        <v>783</v>
      </c>
      <c r="C572" t="s">
        <v>1267</v>
      </c>
      <c r="D572">
        <f t="shared" si="8"/>
        <v>1</v>
      </c>
      <c r="E572" t="s">
        <v>19</v>
      </c>
      <c r="F572" t="s">
        <v>1267</v>
      </c>
      <c r="G572" t="s">
        <v>326</v>
      </c>
      <c r="N572" s="107"/>
    </row>
    <row r="573" spans="1:14" x14ac:dyDescent="0.3">
      <c r="A573" t="s">
        <v>165</v>
      </c>
      <c r="B573" t="s">
        <v>487</v>
      </c>
      <c r="C573" t="s">
        <v>1289</v>
      </c>
      <c r="D573">
        <f t="shared" si="8"/>
        <v>1</v>
      </c>
      <c r="E573" t="s">
        <v>19</v>
      </c>
      <c r="F573" t="s">
        <v>2108</v>
      </c>
      <c r="G573" t="s">
        <v>326</v>
      </c>
      <c r="N573" s="107"/>
    </row>
    <row r="574" spans="1:14" x14ac:dyDescent="0.3">
      <c r="A574" t="s">
        <v>165</v>
      </c>
      <c r="B574" t="s">
        <v>801</v>
      </c>
      <c r="C574" t="s">
        <v>1289</v>
      </c>
      <c r="D574">
        <f t="shared" si="8"/>
        <v>1</v>
      </c>
      <c r="E574" t="s">
        <v>19</v>
      </c>
      <c r="F574" t="s">
        <v>2109</v>
      </c>
      <c r="G574" t="s">
        <v>326</v>
      </c>
      <c r="N574" s="107"/>
    </row>
    <row r="575" spans="1:14" x14ac:dyDescent="0.3">
      <c r="A575" t="s">
        <v>165</v>
      </c>
      <c r="B575" t="s">
        <v>807</v>
      </c>
      <c r="C575" t="s">
        <v>1289</v>
      </c>
      <c r="D575">
        <f t="shared" si="8"/>
        <v>1</v>
      </c>
      <c r="E575" t="s">
        <v>19</v>
      </c>
      <c r="F575" t="s">
        <v>2124</v>
      </c>
      <c r="G575" t="s">
        <v>326</v>
      </c>
      <c r="N575" s="107"/>
    </row>
    <row r="576" spans="1:14" x14ac:dyDescent="0.3">
      <c r="A576" t="s">
        <v>165</v>
      </c>
      <c r="B576" t="s">
        <v>808</v>
      </c>
      <c r="C576" t="s">
        <v>1289</v>
      </c>
      <c r="D576">
        <f t="shared" si="8"/>
        <v>1</v>
      </c>
      <c r="E576" t="s">
        <v>19</v>
      </c>
      <c r="F576" t="s">
        <v>2126</v>
      </c>
      <c r="G576" t="s">
        <v>326</v>
      </c>
      <c r="N576" s="107"/>
    </row>
    <row r="577" spans="1:14" x14ac:dyDescent="0.3">
      <c r="A577" t="s">
        <v>165</v>
      </c>
      <c r="B577" t="s">
        <v>487</v>
      </c>
      <c r="C577" t="s">
        <v>1415</v>
      </c>
      <c r="D577">
        <f t="shared" si="8"/>
        <v>1</v>
      </c>
      <c r="E577" t="s">
        <v>19</v>
      </c>
      <c r="F577" t="s">
        <v>2458</v>
      </c>
      <c r="G577" t="s">
        <v>326</v>
      </c>
      <c r="N577" s="107"/>
    </row>
    <row r="578" spans="1:14" x14ac:dyDescent="0.3">
      <c r="A578" t="s">
        <v>165</v>
      </c>
      <c r="B578" t="s">
        <v>699</v>
      </c>
      <c r="C578" t="s">
        <v>1415</v>
      </c>
      <c r="D578">
        <f t="shared" ref="D578:D641" si="9">SIGN(SUBTOTAL(3,E578))</f>
        <v>1</v>
      </c>
      <c r="E578" t="s">
        <v>19</v>
      </c>
      <c r="F578" t="s">
        <v>2466</v>
      </c>
      <c r="G578" t="s">
        <v>326</v>
      </c>
      <c r="N578" s="107"/>
    </row>
    <row r="579" spans="1:14" x14ac:dyDescent="0.3">
      <c r="A579" t="s">
        <v>165</v>
      </c>
      <c r="B579" t="s">
        <v>700</v>
      </c>
      <c r="C579" t="s">
        <v>1417</v>
      </c>
      <c r="D579">
        <f t="shared" si="9"/>
        <v>1</v>
      </c>
      <c r="E579" t="s">
        <v>19</v>
      </c>
      <c r="F579" t="s">
        <v>2468</v>
      </c>
      <c r="G579" t="s">
        <v>326</v>
      </c>
      <c r="N579" s="107"/>
    </row>
    <row r="580" spans="1:14" x14ac:dyDescent="0.3">
      <c r="A580" t="s">
        <v>165</v>
      </c>
      <c r="B580" t="s">
        <v>1007</v>
      </c>
      <c r="C580" t="s">
        <v>1418</v>
      </c>
      <c r="D580">
        <f t="shared" si="9"/>
        <v>1</v>
      </c>
      <c r="E580" t="s">
        <v>19</v>
      </c>
      <c r="F580" t="s">
        <v>2474</v>
      </c>
      <c r="G580" t="s">
        <v>326</v>
      </c>
      <c r="N580" s="107"/>
    </row>
    <row r="581" spans="1:14" x14ac:dyDescent="0.3">
      <c r="A581" t="s">
        <v>165</v>
      </c>
      <c r="B581" t="s">
        <v>1008</v>
      </c>
      <c r="C581" t="s">
        <v>1418</v>
      </c>
      <c r="D581">
        <f t="shared" si="9"/>
        <v>1</v>
      </c>
      <c r="E581" t="s">
        <v>19</v>
      </c>
      <c r="F581" t="s">
        <v>2476</v>
      </c>
      <c r="G581" t="s">
        <v>326</v>
      </c>
      <c r="N581" s="107"/>
    </row>
    <row r="582" spans="1:14" x14ac:dyDescent="0.3">
      <c r="A582" t="s">
        <v>165</v>
      </c>
      <c r="B582" t="s">
        <v>808</v>
      </c>
      <c r="C582" t="s">
        <v>1418</v>
      </c>
      <c r="D582">
        <f t="shared" si="9"/>
        <v>1</v>
      </c>
      <c r="E582" t="s">
        <v>19</v>
      </c>
      <c r="F582" t="s">
        <v>2477</v>
      </c>
      <c r="G582" t="s">
        <v>326</v>
      </c>
      <c r="N582" s="107"/>
    </row>
    <row r="583" spans="1:14" x14ac:dyDescent="0.3">
      <c r="A583" t="s">
        <v>165</v>
      </c>
      <c r="B583" t="s">
        <v>1009</v>
      </c>
      <c r="C583" t="s">
        <v>1418</v>
      </c>
      <c r="D583">
        <f t="shared" si="9"/>
        <v>1</v>
      </c>
      <c r="E583" t="s">
        <v>19</v>
      </c>
      <c r="F583" t="s">
        <v>2479</v>
      </c>
      <c r="G583" t="s">
        <v>326</v>
      </c>
      <c r="N583" s="107"/>
    </row>
    <row r="584" spans="1:14" x14ac:dyDescent="0.3">
      <c r="A584" t="s">
        <v>165</v>
      </c>
      <c r="B584" t="s">
        <v>699</v>
      </c>
      <c r="C584" t="s">
        <v>1418</v>
      </c>
      <c r="D584">
        <f t="shared" si="9"/>
        <v>1</v>
      </c>
      <c r="E584" t="s">
        <v>19</v>
      </c>
      <c r="F584" t="s">
        <v>2480</v>
      </c>
      <c r="G584" t="s">
        <v>326</v>
      </c>
      <c r="N584" s="107"/>
    </row>
    <row r="585" spans="1:14" x14ac:dyDescent="0.3">
      <c r="A585" t="s">
        <v>165</v>
      </c>
      <c r="B585" t="s">
        <v>715</v>
      </c>
      <c r="C585" t="s">
        <v>1418</v>
      </c>
      <c r="D585">
        <f t="shared" si="9"/>
        <v>1</v>
      </c>
      <c r="E585" t="s">
        <v>19</v>
      </c>
      <c r="F585" t="s">
        <v>2484</v>
      </c>
      <c r="G585" t="s">
        <v>326</v>
      </c>
      <c r="N585" s="107"/>
    </row>
    <row r="586" spans="1:14" x14ac:dyDescent="0.3">
      <c r="A586" t="s">
        <v>165</v>
      </c>
      <c r="B586" t="s">
        <v>1013</v>
      </c>
      <c r="C586" t="s">
        <v>1418</v>
      </c>
      <c r="D586">
        <f t="shared" si="9"/>
        <v>1</v>
      </c>
      <c r="E586" t="s">
        <v>19</v>
      </c>
      <c r="F586" t="s">
        <v>2494</v>
      </c>
      <c r="G586" t="s">
        <v>326</v>
      </c>
      <c r="N586" s="107"/>
    </row>
    <row r="587" spans="1:14" x14ac:dyDescent="0.3">
      <c r="A587" t="s">
        <v>165</v>
      </c>
      <c r="B587" t="s">
        <v>487</v>
      </c>
      <c r="C587" t="s">
        <v>1418</v>
      </c>
      <c r="D587">
        <f t="shared" si="9"/>
        <v>1</v>
      </c>
      <c r="E587" t="s">
        <v>19</v>
      </c>
      <c r="F587" t="s">
        <v>2496</v>
      </c>
      <c r="G587" t="s">
        <v>326</v>
      </c>
      <c r="N587" s="107"/>
    </row>
    <row r="588" spans="1:14" x14ac:dyDescent="0.3">
      <c r="A588" t="s">
        <v>165</v>
      </c>
      <c r="B588" t="s">
        <v>707</v>
      </c>
      <c r="C588" t="s">
        <v>1431</v>
      </c>
      <c r="D588">
        <f t="shared" si="9"/>
        <v>1</v>
      </c>
      <c r="E588" t="s">
        <v>19</v>
      </c>
      <c r="F588" t="s">
        <v>1431</v>
      </c>
      <c r="G588" t="s">
        <v>326</v>
      </c>
      <c r="N588" s="107"/>
    </row>
    <row r="589" spans="1:14" x14ac:dyDescent="0.3">
      <c r="A589" t="s">
        <v>165</v>
      </c>
      <c r="B589" t="s">
        <v>1075</v>
      </c>
      <c r="C589" t="s">
        <v>1465</v>
      </c>
      <c r="D589">
        <f t="shared" si="9"/>
        <v>1</v>
      </c>
      <c r="E589" t="s">
        <v>19</v>
      </c>
      <c r="F589" t="s">
        <v>2656</v>
      </c>
      <c r="G589" t="s">
        <v>326</v>
      </c>
      <c r="N589" s="107"/>
    </row>
    <row r="590" spans="1:14" x14ac:dyDescent="0.3">
      <c r="A590" t="s">
        <v>165</v>
      </c>
      <c r="B590" t="s">
        <v>715</v>
      </c>
      <c r="C590" t="s">
        <v>1465</v>
      </c>
      <c r="D590">
        <f t="shared" si="9"/>
        <v>1</v>
      </c>
      <c r="E590" t="s">
        <v>19</v>
      </c>
      <c r="F590" t="s">
        <v>2657</v>
      </c>
      <c r="G590" t="s">
        <v>326</v>
      </c>
      <c r="N590" s="107"/>
    </row>
    <row r="591" spans="1:14" x14ac:dyDescent="0.3">
      <c r="A591" t="s">
        <v>165</v>
      </c>
      <c r="B591" t="s">
        <v>699</v>
      </c>
      <c r="C591" t="s">
        <v>1465</v>
      </c>
      <c r="D591">
        <f t="shared" si="9"/>
        <v>1</v>
      </c>
      <c r="E591" t="s">
        <v>19</v>
      </c>
      <c r="F591" t="s">
        <v>2658</v>
      </c>
      <c r="G591" t="s">
        <v>326</v>
      </c>
      <c r="N591" s="107"/>
    </row>
    <row r="592" spans="1:14" x14ac:dyDescent="0.3">
      <c r="A592" t="s">
        <v>165</v>
      </c>
      <c r="B592" t="s">
        <v>1083</v>
      </c>
      <c r="C592" t="s">
        <v>1475</v>
      </c>
      <c r="D592">
        <f t="shared" si="9"/>
        <v>1</v>
      </c>
      <c r="E592" t="s">
        <v>19</v>
      </c>
      <c r="F592" t="s">
        <v>2689</v>
      </c>
      <c r="G592" t="s">
        <v>326</v>
      </c>
      <c r="N592" s="107"/>
    </row>
    <row r="593" spans="1:14" x14ac:dyDescent="0.3">
      <c r="A593" t="s">
        <v>165</v>
      </c>
      <c r="B593" t="s">
        <v>1086</v>
      </c>
      <c r="C593" t="s">
        <v>1480</v>
      </c>
      <c r="D593">
        <f t="shared" si="9"/>
        <v>1</v>
      </c>
      <c r="E593" t="s">
        <v>19</v>
      </c>
      <c r="F593" t="s">
        <v>1480</v>
      </c>
      <c r="G593" t="s">
        <v>326</v>
      </c>
      <c r="N593" s="107"/>
    </row>
    <row r="594" spans="1:14" x14ac:dyDescent="0.3">
      <c r="A594" t="s">
        <v>165</v>
      </c>
      <c r="B594" t="s">
        <v>707</v>
      </c>
      <c r="C594" t="s">
        <v>1483</v>
      </c>
      <c r="D594">
        <f t="shared" si="9"/>
        <v>1</v>
      </c>
      <c r="E594" t="s">
        <v>19</v>
      </c>
      <c r="F594" t="s">
        <v>2697</v>
      </c>
      <c r="G594" t="s">
        <v>326</v>
      </c>
      <c r="N594" s="107"/>
    </row>
    <row r="595" spans="1:14" x14ac:dyDescent="0.3">
      <c r="A595" t="s">
        <v>165</v>
      </c>
      <c r="B595" t="s">
        <v>1127</v>
      </c>
      <c r="C595" t="s">
        <v>1521</v>
      </c>
      <c r="D595">
        <f t="shared" si="9"/>
        <v>1</v>
      </c>
      <c r="E595" t="s">
        <v>19</v>
      </c>
      <c r="F595" t="s">
        <v>1521</v>
      </c>
      <c r="G595" t="s">
        <v>326</v>
      </c>
      <c r="N595" s="107"/>
    </row>
    <row r="596" spans="1:14" x14ac:dyDescent="0.3">
      <c r="A596" t="s">
        <v>165</v>
      </c>
      <c r="B596" t="s">
        <v>1130</v>
      </c>
      <c r="C596" t="s">
        <v>1531</v>
      </c>
      <c r="D596">
        <f t="shared" si="9"/>
        <v>1</v>
      </c>
      <c r="E596" t="s">
        <v>19</v>
      </c>
      <c r="F596" t="s">
        <v>1531</v>
      </c>
      <c r="G596" t="s">
        <v>326</v>
      </c>
      <c r="N596" s="107"/>
    </row>
    <row r="597" spans="1:14" x14ac:dyDescent="0.3">
      <c r="A597" t="s">
        <v>165</v>
      </c>
      <c r="B597" t="s">
        <v>487</v>
      </c>
      <c r="C597" t="s">
        <v>1532</v>
      </c>
      <c r="D597">
        <f t="shared" si="9"/>
        <v>1</v>
      </c>
      <c r="E597" t="s">
        <v>19</v>
      </c>
      <c r="F597" t="s">
        <v>1532</v>
      </c>
      <c r="G597" t="s">
        <v>326</v>
      </c>
      <c r="N597" s="107"/>
    </row>
    <row r="598" spans="1:14" x14ac:dyDescent="0.3">
      <c r="A598" t="s">
        <v>165</v>
      </c>
      <c r="B598" t="s">
        <v>1136</v>
      </c>
      <c r="C598" t="s">
        <v>1541</v>
      </c>
      <c r="D598">
        <f t="shared" si="9"/>
        <v>1</v>
      </c>
      <c r="E598" t="s">
        <v>19</v>
      </c>
      <c r="F598" t="s">
        <v>1541</v>
      </c>
      <c r="G598" t="s">
        <v>326</v>
      </c>
      <c r="N598" s="107"/>
    </row>
    <row r="599" spans="1:14" x14ac:dyDescent="0.3">
      <c r="A599" t="s">
        <v>166</v>
      </c>
      <c r="B599" t="s">
        <v>541</v>
      </c>
      <c r="C599" t="s">
        <v>1139</v>
      </c>
      <c r="D599">
        <f t="shared" si="9"/>
        <v>1</v>
      </c>
      <c r="E599" t="s">
        <v>19</v>
      </c>
      <c r="F599" t="s">
        <v>1139</v>
      </c>
      <c r="G599" t="s">
        <v>326</v>
      </c>
      <c r="N599" s="107"/>
    </row>
    <row r="600" spans="1:14" x14ac:dyDescent="0.3">
      <c r="A600" t="s">
        <v>166</v>
      </c>
      <c r="B600" t="s">
        <v>614</v>
      </c>
      <c r="C600" t="s">
        <v>1182</v>
      </c>
      <c r="D600">
        <f t="shared" si="9"/>
        <v>1</v>
      </c>
      <c r="E600" t="s">
        <v>19</v>
      </c>
      <c r="F600" t="s">
        <v>1813</v>
      </c>
      <c r="G600" t="s">
        <v>326</v>
      </c>
      <c r="N600" s="107"/>
    </row>
    <row r="601" spans="1:14" x14ac:dyDescent="0.3">
      <c r="A601" t="s">
        <v>166</v>
      </c>
      <c r="B601" t="s">
        <v>615</v>
      </c>
      <c r="C601" t="s">
        <v>1183</v>
      </c>
      <c r="D601">
        <f t="shared" si="9"/>
        <v>1</v>
      </c>
      <c r="E601" t="s">
        <v>19</v>
      </c>
      <c r="F601" t="s">
        <v>1814</v>
      </c>
      <c r="G601" t="s">
        <v>326</v>
      </c>
      <c r="N601" s="107"/>
    </row>
    <row r="602" spans="1:14" x14ac:dyDescent="0.3">
      <c r="A602" t="s">
        <v>166</v>
      </c>
      <c r="B602" t="s">
        <v>616</v>
      </c>
      <c r="C602" t="s">
        <v>1183</v>
      </c>
      <c r="D602">
        <f t="shared" si="9"/>
        <v>1</v>
      </c>
      <c r="E602" t="s">
        <v>19</v>
      </c>
      <c r="F602" t="s">
        <v>1815</v>
      </c>
      <c r="G602" t="s">
        <v>326</v>
      </c>
      <c r="N602" s="107"/>
    </row>
    <row r="603" spans="1:14" x14ac:dyDescent="0.3">
      <c r="A603" t="s">
        <v>166</v>
      </c>
      <c r="B603" t="s">
        <v>621</v>
      </c>
      <c r="C603" t="s">
        <v>1182</v>
      </c>
      <c r="D603">
        <f t="shared" si="9"/>
        <v>1</v>
      </c>
      <c r="E603" t="s">
        <v>19</v>
      </c>
      <c r="F603" t="s">
        <v>1822</v>
      </c>
      <c r="G603" t="s">
        <v>326</v>
      </c>
      <c r="N603" s="107"/>
    </row>
    <row r="604" spans="1:14" x14ac:dyDescent="0.3">
      <c r="A604" t="s">
        <v>166</v>
      </c>
      <c r="B604" t="s">
        <v>743</v>
      </c>
      <c r="C604" t="s">
        <v>1244</v>
      </c>
      <c r="D604">
        <f t="shared" si="9"/>
        <v>1</v>
      </c>
      <c r="E604" t="s">
        <v>19</v>
      </c>
      <c r="F604" t="s">
        <v>2024</v>
      </c>
      <c r="G604" t="s">
        <v>326</v>
      </c>
      <c r="N604" s="107"/>
    </row>
    <row r="605" spans="1:14" x14ac:dyDescent="0.3">
      <c r="A605" t="s">
        <v>166</v>
      </c>
      <c r="B605" t="s">
        <v>744</v>
      </c>
      <c r="C605" t="s">
        <v>1244</v>
      </c>
      <c r="D605">
        <f t="shared" si="9"/>
        <v>1</v>
      </c>
      <c r="E605" t="s">
        <v>19</v>
      </c>
      <c r="F605" t="s">
        <v>2025</v>
      </c>
      <c r="G605" t="s">
        <v>326</v>
      </c>
      <c r="N605" s="107"/>
    </row>
    <row r="606" spans="1:14" x14ac:dyDescent="0.3">
      <c r="A606" t="s">
        <v>166</v>
      </c>
      <c r="B606" t="s">
        <v>829</v>
      </c>
      <c r="C606" t="s">
        <v>1303</v>
      </c>
      <c r="D606">
        <f t="shared" si="9"/>
        <v>1</v>
      </c>
      <c r="E606" t="s">
        <v>19</v>
      </c>
      <c r="F606" t="s">
        <v>1303</v>
      </c>
      <c r="G606" t="s">
        <v>326</v>
      </c>
      <c r="N606" s="107"/>
    </row>
    <row r="607" spans="1:14" x14ac:dyDescent="0.3">
      <c r="A607" t="s">
        <v>166</v>
      </c>
      <c r="B607" t="s">
        <v>715</v>
      </c>
      <c r="C607" t="s">
        <v>1302</v>
      </c>
      <c r="D607">
        <f t="shared" si="9"/>
        <v>1</v>
      </c>
      <c r="E607" t="s">
        <v>19</v>
      </c>
      <c r="F607" t="s">
        <v>2169</v>
      </c>
      <c r="G607" t="s">
        <v>326</v>
      </c>
      <c r="N607" s="107"/>
    </row>
    <row r="608" spans="1:14" x14ac:dyDescent="0.3">
      <c r="A608" t="s">
        <v>166</v>
      </c>
      <c r="B608" t="s">
        <v>854</v>
      </c>
      <c r="C608" t="s">
        <v>1306</v>
      </c>
      <c r="D608">
        <f t="shared" si="9"/>
        <v>1</v>
      </c>
      <c r="E608" t="s">
        <v>19</v>
      </c>
      <c r="F608" t="s">
        <v>2197</v>
      </c>
      <c r="G608" t="s">
        <v>326</v>
      </c>
      <c r="N608" s="107"/>
    </row>
    <row r="609" spans="1:14" x14ac:dyDescent="0.3">
      <c r="A609" t="s">
        <v>166</v>
      </c>
      <c r="B609" t="s">
        <v>829</v>
      </c>
      <c r="C609" t="s">
        <v>1306</v>
      </c>
      <c r="D609">
        <f t="shared" si="9"/>
        <v>1</v>
      </c>
      <c r="E609" t="s">
        <v>19</v>
      </c>
      <c r="F609" t="s">
        <v>2200</v>
      </c>
      <c r="G609" t="s">
        <v>326</v>
      </c>
      <c r="N609" s="107"/>
    </row>
    <row r="610" spans="1:14" x14ac:dyDescent="0.3">
      <c r="A610" t="s">
        <v>166</v>
      </c>
      <c r="B610" t="s">
        <v>870</v>
      </c>
      <c r="C610" t="s">
        <v>1314</v>
      </c>
      <c r="D610">
        <f t="shared" si="9"/>
        <v>1</v>
      </c>
      <c r="E610" t="s">
        <v>19</v>
      </c>
      <c r="F610" t="s">
        <v>1314</v>
      </c>
      <c r="G610" t="s">
        <v>326</v>
      </c>
      <c r="N610" s="107"/>
    </row>
    <row r="611" spans="1:14" x14ac:dyDescent="0.3">
      <c r="A611" t="s">
        <v>166</v>
      </c>
      <c r="B611" t="s">
        <v>954</v>
      </c>
      <c r="C611" t="s">
        <v>1386</v>
      </c>
      <c r="D611">
        <f t="shared" si="9"/>
        <v>1</v>
      </c>
      <c r="E611" t="s">
        <v>19</v>
      </c>
      <c r="F611" t="s">
        <v>2356</v>
      </c>
      <c r="G611" t="s">
        <v>326</v>
      </c>
      <c r="N611" s="107"/>
    </row>
    <row r="612" spans="1:14" x14ac:dyDescent="0.3">
      <c r="A612" t="s">
        <v>166</v>
      </c>
      <c r="B612" t="s">
        <v>644</v>
      </c>
      <c r="C612" t="s">
        <v>1408</v>
      </c>
      <c r="D612">
        <f t="shared" si="9"/>
        <v>1</v>
      </c>
      <c r="E612" t="s">
        <v>19</v>
      </c>
      <c r="F612" t="s">
        <v>2394</v>
      </c>
      <c r="G612" t="s">
        <v>326</v>
      </c>
      <c r="N612" s="107"/>
    </row>
    <row r="613" spans="1:14" x14ac:dyDescent="0.3">
      <c r="A613" t="s">
        <v>166</v>
      </c>
      <c r="B613" t="s">
        <v>966</v>
      </c>
      <c r="C613" t="s">
        <v>1408</v>
      </c>
      <c r="D613">
        <f t="shared" si="9"/>
        <v>1</v>
      </c>
      <c r="E613" t="s">
        <v>19</v>
      </c>
      <c r="F613" t="s">
        <v>2402</v>
      </c>
      <c r="G613" t="s">
        <v>326</v>
      </c>
      <c r="N613" s="107"/>
    </row>
    <row r="614" spans="1:14" x14ac:dyDescent="0.3">
      <c r="A614" t="s">
        <v>166</v>
      </c>
      <c r="B614" t="s">
        <v>614</v>
      </c>
      <c r="C614" t="s">
        <v>1408</v>
      </c>
      <c r="D614">
        <f t="shared" si="9"/>
        <v>1</v>
      </c>
      <c r="E614" t="s">
        <v>19</v>
      </c>
      <c r="F614" t="s">
        <v>2403</v>
      </c>
      <c r="G614" t="s">
        <v>326</v>
      </c>
      <c r="N614" s="107"/>
    </row>
    <row r="615" spans="1:14" x14ac:dyDescent="0.3">
      <c r="A615" t="s">
        <v>166</v>
      </c>
      <c r="B615" t="s">
        <v>501</v>
      </c>
      <c r="C615" t="s">
        <v>1408</v>
      </c>
      <c r="D615">
        <f t="shared" si="9"/>
        <v>1</v>
      </c>
      <c r="E615" t="s">
        <v>19</v>
      </c>
      <c r="F615" t="s">
        <v>2407</v>
      </c>
      <c r="G615" t="s">
        <v>326</v>
      </c>
      <c r="N615" s="107"/>
    </row>
    <row r="616" spans="1:14" x14ac:dyDescent="0.3">
      <c r="A616" t="s">
        <v>166</v>
      </c>
      <c r="B616" t="s">
        <v>489</v>
      </c>
      <c r="C616" t="s">
        <v>1408</v>
      </c>
      <c r="D616">
        <f t="shared" si="9"/>
        <v>1</v>
      </c>
      <c r="E616" t="s">
        <v>19</v>
      </c>
      <c r="F616" t="s">
        <v>2415</v>
      </c>
      <c r="G616" t="s">
        <v>326</v>
      </c>
      <c r="N616" s="107"/>
    </row>
    <row r="617" spans="1:14" x14ac:dyDescent="0.3">
      <c r="A617" t="s">
        <v>166</v>
      </c>
      <c r="B617" t="s">
        <v>987</v>
      </c>
      <c r="C617" t="s">
        <v>1411</v>
      </c>
      <c r="D617">
        <f t="shared" si="9"/>
        <v>1</v>
      </c>
      <c r="E617" t="s">
        <v>19</v>
      </c>
      <c r="F617" t="s">
        <v>1411</v>
      </c>
      <c r="G617" t="s">
        <v>326</v>
      </c>
      <c r="N617" s="107"/>
    </row>
    <row r="618" spans="1:14" x14ac:dyDescent="0.3">
      <c r="A618" t="s">
        <v>166</v>
      </c>
      <c r="B618" t="s">
        <v>621</v>
      </c>
      <c r="C618" t="s">
        <v>1443</v>
      </c>
      <c r="D618">
        <f t="shared" si="9"/>
        <v>1</v>
      </c>
      <c r="E618" t="s">
        <v>19</v>
      </c>
      <c r="F618" t="s">
        <v>2571</v>
      </c>
      <c r="G618" t="s">
        <v>326</v>
      </c>
      <c r="N618" s="107"/>
    </row>
    <row r="619" spans="1:14" x14ac:dyDescent="0.3">
      <c r="A619" t="s">
        <v>166</v>
      </c>
      <c r="B619" t="s">
        <v>1039</v>
      </c>
      <c r="C619" t="s">
        <v>1447</v>
      </c>
      <c r="D619">
        <f t="shared" si="9"/>
        <v>1</v>
      </c>
      <c r="E619" t="s">
        <v>19</v>
      </c>
      <c r="F619" t="s">
        <v>2581</v>
      </c>
      <c r="G619" t="s">
        <v>326</v>
      </c>
      <c r="N619" s="107"/>
    </row>
    <row r="620" spans="1:14" x14ac:dyDescent="0.3">
      <c r="A620" t="s">
        <v>166</v>
      </c>
      <c r="B620" t="s">
        <v>1042</v>
      </c>
      <c r="C620" t="s">
        <v>1447</v>
      </c>
      <c r="D620">
        <f t="shared" si="9"/>
        <v>1</v>
      </c>
      <c r="E620" t="s">
        <v>19</v>
      </c>
      <c r="F620" t="s">
        <v>2584</v>
      </c>
      <c r="G620" t="s">
        <v>326</v>
      </c>
      <c r="N620" s="107"/>
    </row>
    <row r="621" spans="1:14" x14ac:dyDescent="0.3">
      <c r="A621" t="s">
        <v>166</v>
      </c>
      <c r="B621" t="s">
        <v>1043</v>
      </c>
      <c r="C621" t="s">
        <v>1447</v>
      </c>
      <c r="D621">
        <f t="shared" si="9"/>
        <v>1</v>
      </c>
      <c r="E621" t="s">
        <v>19</v>
      </c>
      <c r="F621" t="s">
        <v>2585</v>
      </c>
      <c r="G621" t="s">
        <v>326</v>
      </c>
      <c r="N621" s="107"/>
    </row>
    <row r="622" spans="1:14" x14ac:dyDescent="0.3">
      <c r="A622" t="s">
        <v>166</v>
      </c>
      <c r="B622" t="s">
        <v>966</v>
      </c>
      <c r="C622" t="s">
        <v>1458</v>
      </c>
      <c r="D622">
        <f t="shared" si="9"/>
        <v>1</v>
      </c>
      <c r="E622" t="s">
        <v>19</v>
      </c>
      <c r="F622" t="s">
        <v>2642</v>
      </c>
      <c r="G622" t="s">
        <v>326</v>
      </c>
      <c r="N622" s="107"/>
    </row>
    <row r="623" spans="1:14" x14ac:dyDescent="0.3">
      <c r="A623" t="s">
        <v>166</v>
      </c>
      <c r="B623" t="s">
        <v>501</v>
      </c>
      <c r="C623" t="s">
        <v>1461</v>
      </c>
      <c r="D623">
        <f t="shared" si="9"/>
        <v>1</v>
      </c>
      <c r="E623" t="s">
        <v>19</v>
      </c>
      <c r="F623" t="s">
        <v>1461</v>
      </c>
      <c r="G623" t="s">
        <v>326</v>
      </c>
      <c r="N623" s="107"/>
    </row>
    <row r="624" spans="1:14" x14ac:dyDescent="0.3">
      <c r="A624" t="s">
        <v>166</v>
      </c>
      <c r="B624" t="s">
        <v>616</v>
      </c>
      <c r="C624" t="s">
        <v>1510</v>
      </c>
      <c r="D624">
        <f t="shared" si="9"/>
        <v>1</v>
      </c>
      <c r="E624" t="s">
        <v>19</v>
      </c>
      <c r="F624" t="s">
        <v>1510</v>
      </c>
      <c r="G624" t="s">
        <v>326</v>
      </c>
      <c r="N624" s="107"/>
    </row>
    <row r="625" spans="1:14" x14ac:dyDescent="0.3">
      <c r="A625" t="s">
        <v>166</v>
      </c>
      <c r="B625" t="s">
        <v>489</v>
      </c>
      <c r="C625" t="s">
        <v>1517</v>
      </c>
      <c r="D625">
        <f t="shared" si="9"/>
        <v>1</v>
      </c>
      <c r="E625" t="s">
        <v>19</v>
      </c>
      <c r="F625" t="s">
        <v>2817</v>
      </c>
      <c r="G625" t="s">
        <v>326</v>
      </c>
      <c r="N625" s="107"/>
    </row>
    <row r="626" spans="1:14" x14ac:dyDescent="0.3">
      <c r="A626" t="s">
        <v>166</v>
      </c>
      <c r="B626" t="s">
        <v>616</v>
      </c>
      <c r="C626" t="s">
        <v>1536</v>
      </c>
      <c r="D626">
        <f t="shared" si="9"/>
        <v>1</v>
      </c>
      <c r="E626" t="s">
        <v>19</v>
      </c>
      <c r="F626" t="s">
        <v>2830</v>
      </c>
      <c r="G626" t="s">
        <v>326</v>
      </c>
      <c r="N626" s="107"/>
    </row>
    <row r="627" spans="1:14" x14ac:dyDescent="0.3">
      <c r="A627" t="s">
        <v>167</v>
      </c>
      <c r="B627" t="s">
        <v>550</v>
      </c>
      <c r="C627" t="s">
        <v>1146</v>
      </c>
      <c r="D627">
        <f t="shared" si="9"/>
        <v>1</v>
      </c>
      <c r="E627" t="s">
        <v>19</v>
      </c>
      <c r="F627" t="s">
        <v>1146</v>
      </c>
      <c r="G627" t="s">
        <v>326</v>
      </c>
      <c r="N627" s="107"/>
    </row>
    <row r="628" spans="1:14" x14ac:dyDescent="0.3">
      <c r="A628" t="s">
        <v>167</v>
      </c>
      <c r="B628" t="s">
        <v>551</v>
      </c>
      <c r="C628" t="s">
        <v>1147</v>
      </c>
      <c r="D628">
        <f t="shared" si="9"/>
        <v>1</v>
      </c>
      <c r="E628" t="s">
        <v>19</v>
      </c>
      <c r="F628" t="s">
        <v>1147</v>
      </c>
      <c r="G628" t="s">
        <v>326</v>
      </c>
      <c r="N628" s="107"/>
    </row>
    <row r="629" spans="1:14" x14ac:dyDescent="0.3">
      <c r="A629" t="s">
        <v>167</v>
      </c>
      <c r="B629" t="s">
        <v>578</v>
      </c>
      <c r="C629" t="s">
        <v>1175</v>
      </c>
      <c r="D629">
        <f t="shared" si="9"/>
        <v>1</v>
      </c>
      <c r="E629" t="s">
        <v>19</v>
      </c>
      <c r="F629" t="s">
        <v>1764</v>
      </c>
      <c r="G629" t="s">
        <v>326</v>
      </c>
      <c r="N629" s="107"/>
    </row>
    <row r="630" spans="1:14" x14ac:dyDescent="0.3">
      <c r="A630" t="s">
        <v>167</v>
      </c>
      <c r="B630" t="s">
        <v>629</v>
      </c>
      <c r="C630" t="s">
        <v>1184</v>
      </c>
      <c r="D630">
        <f t="shared" si="9"/>
        <v>1</v>
      </c>
      <c r="E630" t="s">
        <v>19</v>
      </c>
      <c r="F630" t="s">
        <v>1831</v>
      </c>
      <c r="G630" t="s">
        <v>326</v>
      </c>
      <c r="N630" s="107"/>
    </row>
    <row r="631" spans="1:14" x14ac:dyDescent="0.3">
      <c r="A631" t="s">
        <v>167</v>
      </c>
      <c r="B631" t="s">
        <v>789</v>
      </c>
      <c r="C631" t="s">
        <v>1274</v>
      </c>
      <c r="D631">
        <f t="shared" si="9"/>
        <v>1</v>
      </c>
      <c r="E631" t="s">
        <v>19</v>
      </c>
      <c r="F631" t="s">
        <v>1274</v>
      </c>
      <c r="G631" t="s">
        <v>326</v>
      </c>
      <c r="N631" s="107"/>
    </row>
    <row r="632" spans="1:14" x14ac:dyDescent="0.3">
      <c r="A632" t="s">
        <v>167</v>
      </c>
      <c r="B632" t="s">
        <v>550</v>
      </c>
      <c r="C632" t="s">
        <v>1275</v>
      </c>
      <c r="D632">
        <f t="shared" si="9"/>
        <v>1</v>
      </c>
      <c r="E632" t="s">
        <v>19</v>
      </c>
      <c r="F632" t="s">
        <v>1275</v>
      </c>
      <c r="G632" t="s">
        <v>326</v>
      </c>
      <c r="N632" s="107"/>
    </row>
    <row r="633" spans="1:14" x14ac:dyDescent="0.3">
      <c r="A633" t="s">
        <v>167</v>
      </c>
      <c r="B633" t="s">
        <v>819</v>
      </c>
      <c r="C633" t="s">
        <v>1296</v>
      </c>
      <c r="D633">
        <f t="shared" si="9"/>
        <v>1</v>
      </c>
      <c r="E633" t="s">
        <v>19</v>
      </c>
      <c r="F633" t="s">
        <v>1296</v>
      </c>
      <c r="G633" t="s">
        <v>326</v>
      </c>
      <c r="N633" s="107"/>
    </row>
    <row r="634" spans="1:14" x14ac:dyDescent="0.3">
      <c r="A634" t="s">
        <v>167</v>
      </c>
      <c r="B634" t="s">
        <v>826</v>
      </c>
      <c r="C634" t="s">
        <v>1302</v>
      </c>
      <c r="D634">
        <f t="shared" si="9"/>
        <v>1</v>
      </c>
      <c r="E634" t="s">
        <v>19</v>
      </c>
      <c r="F634" t="s">
        <v>2165</v>
      </c>
      <c r="G634" t="s">
        <v>326</v>
      </c>
      <c r="N634" s="107"/>
    </row>
    <row r="635" spans="1:14" x14ac:dyDescent="0.3">
      <c r="A635" t="s">
        <v>167</v>
      </c>
      <c r="B635" t="s">
        <v>863</v>
      </c>
      <c r="C635" t="s">
        <v>1311</v>
      </c>
      <c r="D635">
        <f t="shared" si="9"/>
        <v>1</v>
      </c>
      <c r="E635" t="s">
        <v>19</v>
      </c>
      <c r="F635" t="s">
        <v>2209</v>
      </c>
      <c r="G635" t="s">
        <v>326</v>
      </c>
      <c r="N635" s="107"/>
    </row>
    <row r="636" spans="1:14" x14ac:dyDescent="0.3">
      <c r="A636" t="s">
        <v>167</v>
      </c>
      <c r="B636" t="s">
        <v>922</v>
      </c>
      <c r="C636" t="s">
        <v>1359</v>
      </c>
      <c r="D636">
        <f t="shared" si="9"/>
        <v>1</v>
      </c>
      <c r="E636" t="s">
        <v>19</v>
      </c>
      <c r="F636" t="s">
        <v>1359</v>
      </c>
      <c r="G636" t="s">
        <v>326</v>
      </c>
      <c r="N636" s="107"/>
    </row>
    <row r="637" spans="1:14" x14ac:dyDescent="0.3">
      <c r="A637" t="s">
        <v>167</v>
      </c>
      <c r="B637" t="s">
        <v>923</v>
      </c>
      <c r="C637" t="s">
        <v>1360</v>
      </c>
      <c r="D637">
        <f t="shared" si="9"/>
        <v>1</v>
      </c>
      <c r="E637" t="s">
        <v>19</v>
      </c>
      <c r="F637" t="s">
        <v>1360</v>
      </c>
      <c r="G637" t="s">
        <v>326</v>
      </c>
      <c r="N637" s="107"/>
    </row>
    <row r="638" spans="1:14" x14ac:dyDescent="0.3">
      <c r="A638" t="s">
        <v>167</v>
      </c>
      <c r="B638" t="s">
        <v>550</v>
      </c>
      <c r="C638" t="s">
        <v>1396</v>
      </c>
      <c r="D638">
        <f t="shared" si="9"/>
        <v>1</v>
      </c>
      <c r="E638" t="s">
        <v>19</v>
      </c>
      <c r="F638" t="s">
        <v>2384</v>
      </c>
      <c r="G638" t="s">
        <v>326</v>
      </c>
      <c r="N638" s="107"/>
    </row>
    <row r="639" spans="1:14" x14ac:dyDescent="0.3">
      <c r="A639" t="s">
        <v>167</v>
      </c>
      <c r="B639" t="s">
        <v>959</v>
      </c>
      <c r="C639" t="s">
        <v>1405</v>
      </c>
      <c r="D639">
        <f t="shared" si="9"/>
        <v>1</v>
      </c>
      <c r="E639" t="s">
        <v>19</v>
      </c>
      <c r="F639" t="s">
        <v>1405</v>
      </c>
      <c r="G639" t="s">
        <v>326</v>
      </c>
      <c r="N639" s="107"/>
    </row>
    <row r="640" spans="1:14" x14ac:dyDescent="0.3">
      <c r="A640" t="s">
        <v>167</v>
      </c>
      <c r="B640" t="s">
        <v>629</v>
      </c>
      <c r="C640" t="s">
        <v>1414</v>
      </c>
      <c r="D640">
        <f t="shared" si="9"/>
        <v>1</v>
      </c>
      <c r="E640" t="s">
        <v>19</v>
      </c>
      <c r="F640" t="s">
        <v>1414</v>
      </c>
      <c r="G640" t="s">
        <v>326</v>
      </c>
      <c r="N640" s="107"/>
    </row>
    <row r="641" spans="1:14" x14ac:dyDescent="0.3">
      <c r="A641" t="s">
        <v>167</v>
      </c>
      <c r="B641" t="s">
        <v>551</v>
      </c>
      <c r="C641" t="s">
        <v>1423</v>
      </c>
      <c r="D641">
        <f t="shared" si="9"/>
        <v>1</v>
      </c>
      <c r="E641" t="s">
        <v>19</v>
      </c>
      <c r="F641" t="s">
        <v>2547</v>
      </c>
      <c r="G641" t="s">
        <v>326</v>
      </c>
      <c r="N641" s="107"/>
    </row>
    <row r="642" spans="1:14" x14ac:dyDescent="0.3">
      <c r="A642" t="s">
        <v>167</v>
      </c>
      <c r="B642" t="s">
        <v>629</v>
      </c>
      <c r="C642" t="s">
        <v>1466</v>
      </c>
      <c r="D642">
        <f t="shared" ref="D642:D705" si="10">SIGN(SUBTOTAL(3,E642))</f>
        <v>1</v>
      </c>
      <c r="E642" t="s">
        <v>19</v>
      </c>
      <c r="F642" t="s">
        <v>2662</v>
      </c>
      <c r="G642" t="s">
        <v>326</v>
      </c>
      <c r="N642" s="107"/>
    </row>
    <row r="643" spans="1:14" x14ac:dyDescent="0.3">
      <c r="A643" t="s">
        <v>167</v>
      </c>
      <c r="B643" t="s">
        <v>922</v>
      </c>
      <c r="C643" t="s">
        <v>1466</v>
      </c>
      <c r="D643">
        <f t="shared" si="10"/>
        <v>1</v>
      </c>
      <c r="E643" t="s">
        <v>19</v>
      </c>
      <c r="F643" t="s">
        <v>2663</v>
      </c>
      <c r="G643" t="s">
        <v>326</v>
      </c>
      <c r="N643" s="107"/>
    </row>
    <row r="644" spans="1:14" x14ac:dyDescent="0.3">
      <c r="A644" t="s">
        <v>167</v>
      </c>
      <c r="B644" t="s">
        <v>550</v>
      </c>
      <c r="C644" t="s">
        <v>1483</v>
      </c>
      <c r="D644">
        <f t="shared" si="10"/>
        <v>1</v>
      </c>
      <c r="E644" t="s">
        <v>19</v>
      </c>
      <c r="F644" t="s">
        <v>2711</v>
      </c>
      <c r="G644" t="s">
        <v>326</v>
      </c>
      <c r="N644" s="107"/>
    </row>
    <row r="645" spans="1:14" x14ac:dyDescent="0.3">
      <c r="A645" t="s">
        <v>167</v>
      </c>
      <c r="B645" t="s">
        <v>789</v>
      </c>
      <c r="C645" t="s">
        <v>1490</v>
      </c>
      <c r="D645">
        <f t="shared" si="10"/>
        <v>1</v>
      </c>
      <c r="E645" t="s">
        <v>19</v>
      </c>
      <c r="F645" t="s">
        <v>1490</v>
      </c>
      <c r="G645" t="s">
        <v>326</v>
      </c>
      <c r="N645" s="107"/>
    </row>
    <row r="646" spans="1:14" x14ac:dyDescent="0.3">
      <c r="A646" t="s">
        <v>167</v>
      </c>
      <c r="B646" t="s">
        <v>789</v>
      </c>
      <c r="C646" t="s">
        <v>1504</v>
      </c>
      <c r="D646">
        <f t="shared" si="10"/>
        <v>1</v>
      </c>
      <c r="E646" t="s">
        <v>19</v>
      </c>
      <c r="F646" t="s">
        <v>2744</v>
      </c>
      <c r="G646" t="s">
        <v>326</v>
      </c>
      <c r="N646" s="107"/>
    </row>
    <row r="647" spans="1:14" x14ac:dyDescent="0.3">
      <c r="A647" t="s">
        <v>167</v>
      </c>
      <c r="B647" t="s">
        <v>826</v>
      </c>
      <c r="C647" t="s">
        <v>1504</v>
      </c>
      <c r="D647">
        <f t="shared" si="10"/>
        <v>1</v>
      </c>
      <c r="E647" t="s">
        <v>19</v>
      </c>
      <c r="F647" t="s">
        <v>2747</v>
      </c>
      <c r="G647" t="s">
        <v>326</v>
      </c>
      <c r="N647" s="107"/>
    </row>
    <row r="648" spans="1:14" x14ac:dyDescent="0.3">
      <c r="A648" t="s">
        <v>167</v>
      </c>
      <c r="B648" t="s">
        <v>789</v>
      </c>
      <c r="C648" t="s">
        <v>1513</v>
      </c>
      <c r="D648">
        <f t="shared" si="10"/>
        <v>1</v>
      </c>
      <c r="E648" t="s">
        <v>19</v>
      </c>
      <c r="F648" t="s">
        <v>2777</v>
      </c>
      <c r="G648" t="s">
        <v>326</v>
      </c>
      <c r="N648" s="107"/>
    </row>
    <row r="649" spans="1:14" x14ac:dyDescent="0.3">
      <c r="A649" t="s">
        <v>167</v>
      </c>
      <c r="B649" t="s">
        <v>629</v>
      </c>
      <c r="C649" t="s">
        <v>1513</v>
      </c>
      <c r="D649">
        <f t="shared" si="10"/>
        <v>1</v>
      </c>
      <c r="E649" t="s">
        <v>19</v>
      </c>
      <c r="F649" t="s">
        <v>2778</v>
      </c>
      <c r="G649" t="s">
        <v>326</v>
      </c>
      <c r="N649" s="107"/>
    </row>
    <row r="650" spans="1:14" x14ac:dyDescent="0.3">
      <c r="A650" t="s">
        <v>167</v>
      </c>
      <c r="B650" t="s">
        <v>550</v>
      </c>
      <c r="C650" t="s">
        <v>1513</v>
      </c>
      <c r="D650">
        <f t="shared" si="10"/>
        <v>1</v>
      </c>
      <c r="E650" t="s">
        <v>19</v>
      </c>
      <c r="F650" t="s">
        <v>2799</v>
      </c>
      <c r="G650" t="s">
        <v>326</v>
      </c>
      <c r="N650" s="107"/>
    </row>
    <row r="651" spans="1:14" x14ac:dyDescent="0.3">
      <c r="A651" t="s">
        <v>167</v>
      </c>
      <c r="B651" t="s">
        <v>1120</v>
      </c>
      <c r="C651" t="s">
        <v>1513</v>
      </c>
      <c r="D651">
        <f t="shared" si="10"/>
        <v>1</v>
      </c>
      <c r="E651" t="s">
        <v>19</v>
      </c>
      <c r="F651" t="s">
        <v>2804</v>
      </c>
      <c r="G651" t="s">
        <v>326</v>
      </c>
      <c r="N651" s="107"/>
    </row>
    <row r="652" spans="1:14" x14ac:dyDescent="0.3">
      <c r="A652" t="s">
        <v>168</v>
      </c>
      <c r="B652" t="s">
        <v>544</v>
      </c>
      <c r="C652" t="s">
        <v>1141</v>
      </c>
      <c r="D652">
        <f t="shared" si="10"/>
        <v>1</v>
      </c>
      <c r="E652" t="s">
        <v>19</v>
      </c>
      <c r="F652" t="s">
        <v>1734</v>
      </c>
      <c r="G652" t="s">
        <v>326</v>
      </c>
      <c r="N652" s="107"/>
    </row>
    <row r="653" spans="1:14" x14ac:dyDescent="0.3">
      <c r="A653" t="s">
        <v>168</v>
      </c>
      <c r="B653" t="s">
        <v>544</v>
      </c>
      <c r="C653" t="s">
        <v>1168</v>
      </c>
      <c r="D653">
        <f t="shared" si="10"/>
        <v>1</v>
      </c>
      <c r="E653" t="s">
        <v>19</v>
      </c>
      <c r="F653" t="s">
        <v>1750</v>
      </c>
      <c r="G653" t="s">
        <v>326</v>
      </c>
      <c r="N653" s="107"/>
    </row>
    <row r="654" spans="1:14" x14ac:dyDescent="0.3">
      <c r="A654" t="s">
        <v>168</v>
      </c>
      <c r="B654" t="s">
        <v>544</v>
      </c>
      <c r="C654" t="s">
        <v>1179</v>
      </c>
      <c r="D654">
        <f t="shared" si="10"/>
        <v>1</v>
      </c>
      <c r="E654" t="s">
        <v>19</v>
      </c>
      <c r="F654" t="s">
        <v>1794</v>
      </c>
      <c r="G654" t="s">
        <v>326</v>
      </c>
      <c r="N654" s="107"/>
    </row>
    <row r="655" spans="1:14" x14ac:dyDescent="0.3">
      <c r="A655" t="s">
        <v>168</v>
      </c>
      <c r="B655" t="s">
        <v>544</v>
      </c>
      <c r="C655" t="s">
        <v>1185</v>
      </c>
      <c r="D655">
        <f t="shared" si="10"/>
        <v>1</v>
      </c>
      <c r="E655" t="s">
        <v>19</v>
      </c>
      <c r="F655" t="s">
        <v>1185</v>
      </c>
      <c r="G655" t="s">
        <v>326</v>
      </c>
      <c r="N655" s="107"/>
    </row>
    <row r="656" spans="1:14" x14ac:dyDescent="0.3">
      <c r="A656" t="s">
        <v>168</v>
      </c>
      <c r="B656" t="s">
        <v>656</v>
      </c>
      <c r="C656" t="s">
        <v>1209</v>
      </c>
      <c r="D656">
        <f t="shared" si="10"/>
        <v>1</v>
      </c>
      <c r="E656" t="s">
        <v>19</v>
      </c>
      <c r="F656" t="s">
        <v>1209</v>
      </c>
      <c r="G656" t="s">
        <v>326</v>
      </c>
      <c r="N656" s="107"/>
    </row>
    <row r="657" spans="1:14" x14ac:dyDescent="0.3">
      <c r="A657" t="s">
        <v>168</v>
      </c>
      <c r="B657" t="s">
        <v>682</v>
      </c>
      <c r="C657" t="s">
        <v>1229</v>
      </c>
      <c r="D657">
        <f t="shared" si="10"/>
        <v>1</v>
      </c>
      <c r="E657" t="s">
        <v>19</v>
      </c>
      <c r="F657" t="s">
        <v>1229</v>
      </c>
      <c r="G657" t="s">
        <v>326</v>
      </c>
      <c r="N657" s="107"/>
    </row>
    <row r="658" spans="1:14" x14ac:dyDescent="0.3">
      <c r="A658" t="s">
        <v>168</v>
      </c>
      <c r="B658" t="s">
        <v>544</v>
      </c>
      <c r="C658" t="s">
        <v>1231</v>
      </c>
      <c r="D658">
        <f t="shared" si="10"/>
        <v>1</v>
      </c>
      <c r="E658" t="s">
        <v>19</v>
      </c>
      <c r="F658" t="s">
        <v>1902</v>
      </c>
      <c r="G658" t="s">
        <v>326</v>
      </c>
      <c r="N658" s="107"/>
    </row>
    <row r="659" spans="1:14" x14ac:dyDescent="0.3">
      <c r="A659" t="s">
        <v>168</v>
      </c>
      <c r="B659" t="s">
        <v>705</v>
      </c>
      <c r="C659" t="s">
        <v>1231</v>
      </c>
      <c r="D659">
        <f t="shared" si="10"/>
        <v>1</v>
      </c>
      <c r="E659" t="s">
        <v>19</v>
      </c>
      <c r="F659" t="s">
        <v>1938</v>
      </c>
      <c r="G659" t="s">
        <v>326</v>
      </c>
      <c r="N659" s="107"/>
    </row>
    <row r="660" spans="1:14" x14ac:dyDescent="0.3">
      <c r="A660" t="s">
        <v>168</v>
      </c>
      <c r="B660" t="s">
        <v>736</v>
      </c>
      <c r="C660" t="s">
        <v>1237</v>
      </c>
      <c r="D660">
        <f t="shared" si="10"/>
        <v>1</v>
      </c>
      <c r="E660" t="s">
        <v>19</v>
      </c>
      <c r="F660" t="s">
        <v>2013</v>
      </c>
      <c r="G660" t="s">
        <v>326</v>
      </c>
      <c r="N660" s="107"/>
    </row>
    <row r="661" spans="1:14" x14ac:dyDescent="0.3">
      <c r="A661" t="s">
        <v>168</v>
      </c>
      <c r="B661" t="s">
        <v>767</v>
      </c>
      <c r="C661" t="s">
        <v>1255</v>
      </c>
      <c r="D661">
        <f t="shared" si="10"/>
        <v>1</v>
      </c>
      <c r="E661" t="s">
        <v>19</v>
      </c>
      <c r="F661" t="s">
        <v>2060</v>
      </c>
      <c r="G661" t="s">
        <v>326</v>
      </c>
      <c r="N661" s="107"/>
    </row>
    <row r="662" spans="1:14" x14ac:dyDescent="0.3">
      <c r="A662" t="s">
        <v>168</v>
      </c>
      <c r="B662" t="s">
        <v>775</v>
      </c>
      <c r="C662" t="s">
        <v>1261</v>
      </c>
      <c r="D662">
        <f t="shared" si="10"/>
        <v>1</v>
      </c>
      <c r="E662" t="s">
        <v>19</v>
      </c>
      <c r="F662" t="s">
        <v>2073</v>
      </c>
      <c r="G662" t="s">
        <v>326</v>
      </c>
      <c r="N662" s="107"/>
    </row>
    <row r="663" spans="1:14" x14ac:dyDescent="0.3">
      <c r="A663" t="s">
        <v>168</v>
      </c>
      <c r="B663" t="s">
        <v>788</v>
      </c>
      <c r="C663" t="s">
        <v>1273</v>
      </c>
      <c r="D663">
        <f t="shared" si="10"/>
        <v>1</v>
      </c>
      <c r="E663" t="s">
        <v>19</v>
      </c>
      <c r="F663" t="s">
        <v>1273</v>
      </c>
      <c r="G663" t="s">
        <v>326</v>
      </c>
      <c r="N663" s="107"/>
    </row>
    <row r="664" spans="1:14" x14ac:dyDescent="0.3">
      <c r="A664" t="s">
        <v>168</v>
      </c>
      <c r="B664" t="s">
        <v>853</v>
      </c>
      <c r="C664" t="s">
        <v>1306</v>
      </c>
      <c r="D664">
        <f t="shared" si="10"/>
        <v>1</v>
      </c>
      <c r="E664" t="s">
        <v>19</v>
      </c>
      <c r="F664" t="s">
        <v>2196</v>
      </c>
      <c r="G664" t="s">
        <v>326</v>
      </c>
      <c r="N664" s="107"/>
    </row>
    <row r="665" spans="1:14" x14ac:dyDescent="0.3">
      <c r="A665" t="s">
        <v>168</v>
      </c>
      <c r="B665" t="s">
        <v>855</v>
      </c>
      <c r="C665" t="s">
        <v>1306</v>
      </c>
      <c r="D665">
        <f t="shared" si="10"/>
        <v>1</v>
      </c>
      <c r="E665" t="s">
        <v>19</v>
      </c>
      <c r="F665" t="s">
        <v>2198</v>
      </c>
      <c r="G665" t="s">
        <v>326</v>
      </c>
      <c r="N665" s="107"/>
    </row>
    <row r="666" spans="1:14" x14ac:dyDescent="0.3">
      <c r="A666" t="s">
        <v>168</v>
      </c>
      <c r="B666" t="s">
        <v>865</v>
      </c>
      <c r="C666" t="s">
        <v>1311</v>
      </c>
      <c r="D666">
        <f t="shared" si="10"/>
        <v>1</v>
      </c>
      <c r="E666" t="s">
        <v>19</v>
      </c>
      <c r="F666" t="s">
        <v>2211</v>
      </c>
      <c r="G666" t="s">
        <v>326</v>
      </c>
      <c r="N666" s="107"/>
    </row>
    <row r="667" spans="1:14" x14ac:dyDescent="0.3">
      <c r="A667" t="s">
        <v>168</v>
      </c>
      <c r="B667" t="s">
        <v>901</v>
      </c>
      <c r="C667" t="s">
        <v>1339</v>
      </c>
      <c r="D667">
        <f t="shared" si="10"/>
        <v>1</v>
      </c>
      <c r="E667" t="s">
        <v>19</v>
      </c>
      <c r="F667" t="s">
        <v>2260</v>
      </c>
      <c r="G667" t="s">
        <v>326</v>
      </c>
      <c r="N667" s="107"/>
    </row>
    <row r="668" spans="1:14" x14ac:dyDescent="0.3">
      <c r="A668" t="s">
        <v>168</v>
      </c>
      <c r="B668" t="s">
        <v>544</v>
      </c>
      <c r="C668" t="s">
        <v>1383</v>
      </c>
      <c r="D668">
        <f t="shared" si="10"/>
        <v>1</v>
      </c>
      <c r="E668" t="s">
        <v>19</v>
      </c>
      <c r="F668" t="s">
        <v>2336</v>
      </c>
      <c r="G668" t="s">
        <v>326</v>
      </c>
      <c r="N668" s="107"/>
    </row>
    <row r="669" spans="1:14" x14ac:dyDescent="0.3">
      <c r="A669" t="s">
        <v>168</v>
      </c>
      <c r="B669" t="s">
        <v>520</v>
      </c>
      <c r="C669" t="s">
        <v>1408</v>
      </c>
      <c r="D669">
        <f t="shared" si="10"/>
        <v>1</v>
      </c>
      <c r="E669" t="s">
        <v>19</v>
      </c>
      <c r="F669" t="s">
        <v>2419</v>
      </c>
      <c r="G669" t="s">
        <v>326</v>
      </c>
      <c r="N669" s="107"/>
    </row>
    <row r="670" spans="1:14" x14ac:dyDescent="0.3">
      <c r="A670" t="s">
        <v>168</v>
      </c>
      <c r="B670" t="s">
        <v>977</v>
      </c>
      <c r="C670" t="s">
        <v>1408</v>
      </c>
      <c r="D670">
        <f t="shared" si="10"/>
        <v>1</v>
      </c>
      <c r="E670" t="s">
        <v>19</v>
      </c>
      <c r="F670" t="s">
        <v>2420</v>
      </c>
      <c r="G670" t="s">
        <v>326</v>
      </c>
      <c r="N670" s="107"/>
    </row>
    <row r="671" spans="1:14" x14ac:dyDescent="0.3">
      <c r="A671" t="s">
        <v>168</v>
      </c>
      <c r="B671" t="s">
        <v>979</v>
      </c>
      <c r="C671" t="s">
        <v>1408</v>
      </c>
      <c r="D671">
        <f t="shared" si="10"/>
        <v>1</v>
      </c>
      <c r="E671" t="s">
        <v>19</v>
      </c>
      <c r="F671" t="s">
        <v>2422</v>
      </c>
      <c r="G671" t="s">
        <v>326</v>
      </c>
      <c r="N671" s="107"/>
    </row>
    <row r="672" spans="1:14" x14ac:dyDescent="0.3">
      <c r="A672" t="s">
        <v>168</v>
      </c>
      <c r="B672" t="s">
        <v>980</v>
      </c>
      <c r="C672" t="s">
        <v>1408</v>
      </c>
      <c r="D672">
        <f t="shared" si="10"/>
        <v>1</v>
      </c>
      <c r="E672" t="s">
        <v>19</v>
      </c>
      <c r="F672" t="s">
        <v>2424</v>
      </c>
      <c r="G672" t="s">
        <v>326</v>
      </c>
      <c r="N672" s="107"/>
    </row>
    <row r="673" spans="1:14" x14ac:dyDescent="0.3">
      <c r="A673" t="s">
        <v>168</v>
      </c>
      <c r="B673" t="s">
        <v>767</v>
      </c>
      <c r="C673" t="s">
        <v>1408</v>
      </c>
      <c r="D673">
        <f t="shared" si="10"/>
        <v>1</v>
      </c>
      <c r="E673" t="s">
        <v>19</v>
      </c>
      <c r="F673" t="s">
        <v>2446</v>
      </c>
      <c r="G673" t="s">
        <v>326</v>
      </c>
      <c r="N673" s="107"/>
    </row>
    <row r="674" spans="1:14" x14ac:dyDescent="0.3">
      <c r="A674" t="s">
        <v>168</v>
      </c>
      <c r="B674" t="s">
        <v>1033</v>
      </c>
      <c r="C674" t="s">
        <v>1443</v>
      </c>
      <c r="D674">
        <f t="shared" si="10"/>
        <v>1</v>
      </c>
      <c r="E674" t="s">
        <v>19</v>
      </c>
      <c r="F674" t="s">
        <v>2568</v>
      </c>
      <c r="G674" t="s">
        <v>326</v>
      </c>
      <c r="N674" s="107"/>
    </row>
    <row r="675" spans="1:14" x14ac:dyDescent="0.3">
      <c r="A675" t="s">
        <v>168</v>
      </c>
      <c r="B675" t="s">
        <v>544</v>
      </c>
      <c r="C675" t="s">
        <v>1499</v>
      </c>
      <c r="D675">
        <f t="shared" si="10"/>
        <v>1</v>
      </c>
      <c r="E675" t="s">
        <v>19</v>
      </c>
      <c r="F675" t="s">
        <v>1499</v>
      </c>
      <c r="G675" t="s">
        <v>326</v>
      </c>
      <c r="N675" s="107"/>
    </row>
    <row r="676" spans="1:14" x14ac:dyDescent="0.3">
      <c r="A676" t="s">
        <v>168</v>
      </c>
      <c r="B676" t="s">
        <v>1101</v>
      </c>
      <c r="C676" t="s">
        <v>1500</v>
      </c>
      <c r="D676">
        <f t="shared" si="10"/>
        <v>1</v>
      </c>
      <c r="E676" t="s">
        <v>19</v>
      </c>
      <c r="F676" t="s">
        <v>1500</v>
      </c>
      <c r="G676" t="s">
        <v>326</v>
      </c>
      <c r="N676" s="107"/>
    </row>
    <row r="677" spans="1:14" x14ac:dyDescent="0.3">
      <c r="A677" t="s">
        <v>168</v>
      </c>
      <c r="B677" t="s">
        <v>1118</v>
      </c>
      <c r="C677" t="s">
        <v>1513</v>
      </c>
      <c r="D677">
        <f t="shared" si="10"/>
        <v>1</v>
      </c>
      <c r="E677" t="s">
        <v>19</v>
      </c>
      <c r="F677" t="s">
        <v>2796</v>
      </c>
      <c r="G677" t="s">
        <v>326</v>
      </c>
      <c r="N677" s="107"/>
    </row>
    <row r="678" spans="1:14" x14ac:dyDescent="0.3">
      <c r="A678" t="s">
        <v>168</v>
      </c>
      <c r="B678" t="s">
        <v>490</v>
      </c>
      <c r="C678" t="s">
        <v>1524</v>
      </c>
      <c r="D678">
        <f t="shared" si="10"/>
        <v>1</v>
      </c>
      <c r="E678" t="s">
        <v>19</v>
      </c>
      <c r="F678" t="s">
        <v>1524</v>
      </c>
      <c r="G678" t="s">
        <v>326</v>
      </c>
      <c r="N678" s="107"/>
    </row>
    <row r="679" spans="1:14" x14ac:dyDescent="0.3">
      <c r="A679" t="s">
        <v>169</v>
      </c>
      <c r="B679" t="s">
        <v>740</v>
      </c>
      <c r="C679" t="s">
        <v>1242</v>
      </c>
      <c r="D679">
        <f t="shared" si="10"/>
        <v>1</v>
      </c>
      <c r="E679" t="s">
        <v>19</v>
      </c>
      <c r="F679" t="s">
        <v>2021</v>
      </c>
      <c r="G679" t="s">
        <v>326</v>
      </c>
      <c r="N679" s="107"/>
    </row>
    <row r="680" spans="1:14" x14ac:dyDescent="0.3">
      <c r="A680" t="s">
        <v>169</v>
      </c>
      <c r="B680" t="s">
        <v>741</v>
      </c>
      <c r="C680" t="s">
        <v>1243</v>
      </c>
      <c r="D680">
        <f t="shared" si="10"/>
        <v>1</v>
      </c>
      <c r="E680" t="s">
        <v>19</v>
      </c>
      <c r="F680" t="s">
        <v>2022</v>
      </c>
      <c r="G680" t="s">
        <v>326</v>
      </c>
      <c r="N680" s="107"/>
    </row>
    <row r="681" spans="1:14" x14ac:dyDescent="0.3">
      <c r="A681" t="s">
        <v>169</v>
      </c>
      <c r="B681" t="s">
        <v>742</v>
      </c>
      <c r="C681" t="s">
        <v>1243</v>
      </c>
      <c r="D681">
        <f t="shared" si="10"/>
        <v>1</v>
      </c>
      <c r="E681" t="s">
        <v>19</v>
      </c>
      <c r="F681" t="s">
        <v>2023</v>
      </c>
      <c r="G681" t="s">
        <v>326</v>
      </c>
      <c r="N681" s="107"/>
    </row>
    <row r="682" spans="1:14" x14ac:dyDescent="0.3">
      <c r="A682" t="s">
        <v>169</v>
      </c>
      <c r="B682" t="s">
        <v>492</v>
      </c>
      <c r="C682" t="s">
        <v>1255</v>
      </c>
      <c r="D682">
        <f t="shared" si="10"/>
        <v>1</v>
      </c>
      <c r="E682" t="s">
        <v>19</v>
      </c>
      <c r="F682" t="s">
        <v>2047</v>
      </c>
      <c r="G682" t="s">
        <v>326</v>
      </c>
      <c r="N682" s="107"/>
    </row>
    <row r="683" spans="1:14" x14ac:dyDescent="0.3">
      <c r="A683" t="s">
        <v>169</v>
      </c>
      <c r="B683" t="s">
        <v>760</v>
      </c>
      <c r="C683" t="s">
        <v>1255</v>
      </c>
      <c r="D683">
        <f t="shared" si="10"/>
        <v>1</v>
      </c>
      <c r="E683" t="s">
        <v>19</v>
      </c>
      <c r="F683" t="s">
        <v>2048</v>
      </c>
      <c r="G683" t="s">
        <v>326</v>
      </c>
      <c r="N683" s="107"/>
    </row>
    <row r="684" spans="1:14" x14ac:dyDescent="0.3">
      <c r="A684" t="s">
        <v>169</v>
      </c>
      <c r="B684" t="s">
        <v>761</v>
      </c>
      <c r="C684" t="s">
        <v>1255</v>
      </c>
      <c r="D684">
        <f t="shared" si="10"/>
        <v>1</v>
      </c>
      <c r="E684" t="s">
        <v>19</v>
      </c>
      <c r="F684" t="s">
        <v>2049</v>
      </c>
      <c r="G684" t="s">
        <v>326</v>
      </c>
      <c r="N684" s="107"/>
    </row>
    <row r="685" spans="1:14" x14ac:dyDescent="0.3">
      <c r="A685" t="s">
        <v>169</v>
      </c>
      <c r="B685" t="s">
        <v>762</v>
      </c>
      <c r="C685" t="s">
        <v>1255</v>
      </c>
      <c r="D685">
        <f t="shared" si="10"/>
        <v>1</v>
      </c>
      <c r="E685" t="s">
        <v>19</v>
      </c>
      <c r="F685" t="s">
        <v>2050</v>
      </c>
      <c r="G685" t="s">
        <v>326</v>
      </c>
      <c r="N685" s="107"/>
    </row>
    <row r="686" spans="1:14" x14ac:dyDescent="0.3">
      <c r="A686" t="s">
        <v>169</v>
      </c>
      <c r="B686" t="s">
        <v>761</v>
      </c>
      <c r="C686" t="s">
        <v>1318</v>
      </c>
      <c r="D686">
        <f t="shared" si="10"/>
        <v>1</v>
      </c>
      <c r="E686" t="s">
        <v>19</v>
      </c>
      <c r="F686" t="s">
        <v>2218</v>
      </c>
      <c r="G686" t="s">
        <v>326</v>
      </c>
      <c r="N686" s="107"/>
    </row>
    <row r="687" spans="1:14" x14ac:dyDescent="0.3">
      <c r="A687" t="s">
        <v>169</v>
      </c>
      <c r="B687" t="s">
        <v>761</v>
      </c>
      <c r="C687" t="s">
        <v>1363</v>
      </c>
      <c r="D687">
        <f t="shared" si="10"/>
        <v>1</v>
      </c>
      <c r="E687" t="s">
        <v>19</v>
      </c>
      <c r="F687" t="s">
        <v>2307</v>
      </c>
      <c r="G687" t="s">
        <v>326</v>
      </c>
      <c r="N687" s="107"/>
    </row>
    <row r="688" spans="1:14" x14ac:dyDescent="0.3">
      <c r="A688" t="s">
        <v>169</v>
      </c>
      <c r="B688" t="s">
        <v>1060</v>
      </c>
      <c r="C688" t="s">
        <v>1452</v>
      </c>
      <c r="D688">
        <f t="shared" si="10"/>
        <v>1</v>
      </c>
      <c r="E688" t="s">
        <v>19</v>
      </c>
      <c r="F688" t="s">
        <v>1452</v>
      </c>
      <c r="G688" t="s">
        <v>326</v>
      </c>
      <c r="N688" s="107"/>
    </row>
    <row r="689" spans="1:14" x14ac:dyDescent="0.3">
      <c r="A689" t="s">
        <v>169</v>
      </c>
      <c r="B689" t="s">
        <v>741</v>
      </c>
      <c r="C689" t="s">
        <v>1455</v>
      </c>
      <c r="D689">
        <f t="shared" si="10"/>
        <v>1</v>
      </c>
      <c r="E689" t="s">
        <v>19</v>
      </c>
      <c r="F689" t="s">
        <v>2637</v>
      </c>
      <c r="G689" t="s">
        <v>326</v>
      </c>
      <c r="N689" s="107"/>
    </row>
    <row r="690" spans="1:14" x14ac:dyDescent="0.3">
      <c r="A690" t="s">
        <v>169</v>
      </c>
      <c r="B690" t="s">
        <v>492</v>
      </c>
      <c r="C690" t="s">
        <v>1455</v>
      </c>
      <c r="D690">
        <f t="shared" si="10"/>
        <v>1</v>
      </c>
      <c r="E690" t="s">
        <v>19</v>
      </c>
      <c r="F690" t="s">
        <v>2640</v>
      </c>
      <c r="G690" t="s">
        <v>326</v>
      </c>
      <c r="N690" s="107"/>
    </row>
    <row r="691" spans="1:14" x14ac:dyDescent="0.3">
      <c r="A691" t="s">
        <v>169</v>
      </c>
      <c r="B691" t="s">
        <v>762</v>
      </c>
      <c r="C691" t="s">
        <v>1455</v>
      </c>
      <c r="D691">
        <f t="shared" si="10"/>
        <v>1</v>
      </c>
      <c r="E691" t="s">
        <v>19</v>
      </c>
      <c r="F691" t="s">
        <v>2641</v>
      </c>
      <c r="G691" t="s">
        <v>326</v>
      </c>
      <c r="N691" s="107"/>
    </row>
    <row r="692" spans="1:14" x14ac:dyDescent="0.3">
      <c r="A692" t="s">
        <v>170</v>
      </c>
      <c r="B692" t="s">
        <v>597</v>
      </c>
      <c r="C692" t="s">
        <v>1179</v>
      </c>
      <c r="D692">
        <f t="shared" si="10"/>
        <v>1</v>
      </c>
      <c r="E692" t="s">
        <v>19</v>
      </c>
      <c r="F692" t="s">
        <v>1787</v>
      </c>
      <c r="G692" t="s">
        <v>326</v>
      </c>
      <c r="N692" s="107"/>
    </row>
    <row r="693" spans="1:14" x14ac:dyDescent="0.3">
      <c r="A693" t="s">
        <v>170</v>
      </c>
      <c r="B693" t="s">
        <v>493</v>
      </c>
      <c r="C693" t="s">
        <v>1182</v>
      </c>
      <c r="D693">
        <f t="shared" si="10"/>
        <v>1</v>
      </c>
      <c r="E693" t="s">
        <v>19</v>
      </c>
      <c r="F693" t="s">
        <v>1817</v>
      </c>
      <c r="G693" t="s">
        <v>326</v>
      </c>
      <c r="N693" s="107"/>
    </row>
    <row r="694" spans="1:14" x14ac:dyDescent="0.3">
      <c r="A694" t="s">
        <v>170</v>
      </c>
      <c r="B694" t="s">
        <v>765</v>
      </c>
      <c r="C694" t="s">
        <v>1255</v>
      </c>
      <c r="D694">
        <f t="shared" si="10"/>
        <v>1</v>
      </c>
      <c r="E694" t="s">
        <v>19</v>
      </c>
      <c r="F694" t="s">
        <v>2057</v>
      </c>
      <c r="G694" t="s">
        <v>326</v>
      </c>
      <c r="N694" s="107"/>
    </row>
    <row r="695" spans="1:14" x14ac:dyDescent="0.3">
      <c r="A695" t="s">
        <v>170</v>
      </c>
      <c r="B695" t="s">
        <v>845</v>
      </c>
      <c r="C695" t="s">
        <v>1306</v>
      </c>
      <c r="D695">
        <f t="shared" si="10"/>
        <v>1</v>
      </c>
      <c r="E695" t="s">
        <v>19</v>
      </c>
      <c r="F695" t="s">
        <v>2190</v>
      </c>
      <c r="G695" t="s">
        <v>326</v>
      </c>
      <c r="N695" s="107"/>
    </row>
    <row r="696" spans="1:14" x14ac:dyDescent="0.3">
      <c r="A696" t="s">
        <v>170</v>
      </c>
      <c r="B696" t="s">
        <v>919</v>
      </c>
      <c r="C696" t="s">
        <v>1353</v>
      </c>
      <c r="D696">
        <f t="shared" si="10"/>
        <v>1</v>
      </c>
      <c r="E696" t="s">
        <v>19</v>
      </c>
      <c r="F696" t="s">
        <v>2300</v>
      </c>
      <c r="G696" t="s">
        <v>326</v>
      </c>
      <c r="N696" s="107"/>
    </row>
    <row r="697" spans="1:14" x14ac:dyDescent="0.3">
      <c r="A697" t="s">
        <v>170</v>
      </c>
      <c r="B697" t="s">
        <v>963</v>
      </c>
      <c r="C697" t="s">
        <v>1408</v>
      </c>
      <c r="D697">
        <f t="shared" si="10"/>
        <v>1</v>
      </c>
      <c r="E697" t="s">
        <v>19</v>
      </c>
      <c r="F697" t="s">
        <v>2395</v>
      </c>
      <c r="G697" t="s">
        <v>326</v>
      </c>
      <c r="N697" s="107"/>
    </row>
    <row r="698" spans="1:14" x14ac:dyDescent="0.3">
      <c r="A698" t="s">
        <v>170</v>
      </c>
      <c r="B698" t="s">
        <v>965</v>
      </c>
      <c r="C698" t="s">
        <v>1408</v>
      </c>
      <c r="D698">
        <f t="shared" si="10"/>
        <v>1</v>
      </c>
      <c r="E698" t="s">
        <v>19</v>
      </c>
      <c r="F698" t="s">
        <v>2401</v>
      </c>
      <c r="G698" t="s">
        <v>326</v>
      </c>
      <c r="N698" s="107"/>
    </row>
    <row r="699" spans="1:14" x14ac:dyDescent="0.3">
      <c r="A699" t="s">
        <v>170</v>
      </c>
      <c r="B699" t="s">
        <v>493</v>
      </c>
      <c r="C699" t="s">
        <v>1408</v>
      </c>
      <c r="D699">
        <f t="shared" si="10"/>
        <v>1</v>
      </c>
      <c r="E699" t="s">
        <v>19</v>
      </c>
      <c r="F699" t="s">
        <v>2406</v>
      </c>
      <c r="G699" t="s">
        <v>326</v>
      </c>
      <c r="N699" s="107"/>
    </row>
    <row r="700" spans="1:14" x14ac:dyDescent="0.3">
      <c r="A700" t="s">
        <v>170</v>
      </c>
      <c r="B700" t="s">
        <v>976</v>
      </c>
      <c r="C700" t="s">
        <v>1408</v>
      </c>
      <c r="D700">
        <f t="shared" si="10"/>
        <v>1</v>
      </c>
      <c r="E700" t="s">
        <v>19</v>
      </c>
      <c r="F700" t="s">
        <v>2418</v>
      </c>
      <c r="G700" t="s">
        <v>326</v>
      </c>
      <c r="N700" s="107"/>
    </row>
    <row r="701" spans="1:14" x14ac:dyDescent="0.3">
      <c r="A701" t="s">
        <v>170</v>
      </c>
      <c r="B701" t="s">
        <v>1040</v>
      </c>
      <c r="C701" t="s">
        <v>1447</v>
      </c>
      <c r="D701">
        <f t="shared" si="10"/>
        <v>1</v>
      </c>
      <c r="E701" t="s">
        <v>19</v>
      </c>
      <c r="F701" t="s">
        <v>2582</v>
      </c>
      <c r="G701" t="s">
        <v>326</v>
      </c>
      <c r="N701" s="107"/>
    </row>
    <row r="702" spans="1:14" x14ac:dyDescent="0.3">
      <c r="A702" t="s">
        <v>170</v>
      </c>
      <c r="B702" t="s">
        <v>510</v>
      </c>
      <c r="C702" t="s">
        <v>1447</v>
      </c>
      <c r="D702">
        <f t="shared" si="10"/>
        <v>1</v>
      </c>
      <c r="E702" t="s">
        <v>19</v>
      </c>
      <c r="F702" t="s">
        <v>2586</v>
      </c>
      <c r="G702" t="s">
        <v>326</v>
      </c>
      <c r="N702" s="107"/>
    </row>
    <row r="703" spans="1:14" x14ac:dyDescent="0.3">
      <c r="A703" t="s">
        <v>170</v>
      </c>
      <c r="B703" t="s">
        <v>1044</v>
      </c>
      <c r="C703" t="s">
        <v>1447</v>
      </c>
      <c r="D703">
        <f t="shared" si="10"/>
        <v>1</v>
      </c>
      <c r="E703" t="s">
        <v>19</v>
      </c>
      <c r="F703" t="s">
        <v>2587</v>
      </c>
      <c r="G703" t="s">
        <v>326</v>
      </c>
      <c r="N703" s="107"/>
    </row>
    <row r="704" spans="1:14" x14ac:dyDescent="0.3">
      <c r="A704" t="s">
        <v>170</v>
      </c>
      <c r="B704" t="s">
        <v>535</v>
      </c>
      <c r="C704" t="s">
        <v>1447</v>
      </c>
      <c r="D704">
        <f t="shared" si="10"/>
        <v>1</v>
      </c>
      <c r="E704" t="s">
        <v>19</v>
      </c>
      <c r="F704" t="s">
        <v>2592</v>
      </c>
      <c r="G704" t="s">
        <v>326</v>
      </c>
      <c r="N704" s="107"/>
    </row>
    <row r="705" spans="1:14" x14ac:dyDescent="0.3">
      <c r="A705" t="s">
        <v>170</v>
      </c>
      <c r="B705" t="s">
        <v>1054</v>
      </c>
      <c r="C705" t="s">
        <v>1447</v>
      </c>
      <c r="D705">
        <f t="shared" si="10"/>
        <v>1</v>
      </c>
      <c r="E705" t="s">
        <v>19</v>
      </c>
      <c r="F705" t="s">
        <v>2609</v>
      </c>
      <c r="G705" t="s">
        <v>326</v>
      </c>
      <c r="N705" s="107"/>
    </row>
    <row r="706" spans="1:14" x14ac:dyDescent="0.3">
      <c r="A706" t="s">
        <v>170</v>
      </c>
      <c r="B706" t="s">
        <v>1061</v>
      </c>
      <c r="C706" t="s">
        <v>1453</v>
      </c>
      <c r="D706">
        <f t="shared" ref="D706:D769" si="11">SIGN(SUBTOTAL(3,E706))</f>
        <v>1</v>
      </c>
      <c r="E706" t="s">
        <v>19</v>
      </c>
      <c r="F706" t="s">
        <v>2628</v>
      </c>
      <c r="G706" t="s">
        <v>326</v>
      </c>
      <c r="N706" s="107"/>
    </row>
    <row r="707" spans="1:14" x14ac:dyDescent="0.3">
      <c r="A707" t="s">
        <v>171</v>
      </c>
      <c r="B707" t="s">
        <v>494</v>
      </c>
      <c r="C707" t="s">
        <v>1176</v>
      </c>
      <c r="D707">
        <f t="shared" si="11"/>
        <v>1</v>
      </c>
      <c r="E707" t="s">
        <v>19</v>
      </c>
      <c r="F707" t="s">
        <v>1771</v>
      </c>
      <c r="G707" t="s">
        <v>326</v>
      </c>
      <c r="N707" s="107"/>
    </row>
    <row r="708" spans="1:14" x14ac:dyDescent="0.3">
      <c r="A708" t="s">
        <v>171</v>
      </c>
      <c r="B708" t="s">
        <v>494</v>
      </c>
      <c r="C708" t="s">
        <v>1176</v>
      </c>
      <c r="D708">
        <f t="shared" si="11"/>
        <v>1</v>
      </c>
      <c r="E708" t="s">
        <v>19</v>
      </c>
      <c r="F708" t="s">
        <v>1777</v>
      </c>
      <c r="G708" t="s">
        <v>326</v>
      </c>
      <c r="N708" s="107"/>
    </row>
    <row r="709" spans="1:14" x14ac:dyDescent="0.3">
      <c r="A709" t="s">
        <v>171</v>
      </c>
      <c r="B709" t="s">
        <v>494</v>
      </c>
      <c r="C709" t="s">
        <v>1193</v>
      </c>
      <c r="D709">
        <f t="shared" si="11"/>
        <v>1</v>
      </c>
      <c r="E709" t="s">
        <v>19</v>
      </c>
      <c r="F709" t="s">
        <v>1854</v>
      </c>
      <c r="G709" t="s">
        <v>326</v>
      </c>
      <c r="N709" s="107"/>
    </row>
    <row r="710" spans="1:14" x14ac:dyDescent="0.3">
      <c r="A710" t="s">
        <v>171</v>
      </c>
      <c r="B710" t="s">
        <v>904</v>
      </c>
      <c r="C710" t="s">
        <v>1340</v>
      </c>
      <c r="D710">
        <f t="shared" si="11"/>
        <v>1</v>
      </c>
      <c r="E710" t="s">
        <v>19</v>
      </c>
      <c r="F710" t="s">
        <v>2269</v>
      </c>
      <c r="G710" t="s">
        <v>326</v>
      </c>
      <c r="N710" s="107"/>
    </row>
    <row r="711" spans="1:14" x14ac:dyDescent="0.3">
      <c r="A711" t="s">
        <v>171</v>
      </c>
      <c r="B711" t="s">
        <v>495</v>
      </c>
      <c r="C711" t="s">
        <v>1382</v>
      </c>
      <c r="D711">
        <f t="shared" si="11"/>
        <v>1</v>
      </c>
      <c r="E711" t="s">
        <v>19</v>
      </c>
      <c r="F711" t="s">
        <v>2325</v>
      </c>
      <c r="G711" t="s">
        <v>326</v>
      </c>
      <c r="N711" s="107"/>
    </row>
    <row r="712" spans="1:14" x14ac:dyDescent="0.3">
      <c r="A712" t="s">
        <v>171</v>
      </c>
      <c r="B712" t="s">
        <v>494</v>
      </c>
      <c r="C712" t="s">
        <v>1394</v>
      </c>
      <c r="D712">
        <f t="shared" si="11"/>
        <v>1</v>
      </c>
      <c r="E712" t="s">
        <v>19</v>
      </c>
      <c r="F712" t="s">
        <v>2357</v>
      </c>
      <c r="G712" t="s">
        <v>326</v>
      </c>
      <c r="N712" s="107"/>
    </row>
    <row r="713" spans="1:14" x14ac:dyDescent="0.3">
      <c r="A713" t="s">
        <v>171</v>
      </c>
      <c r="B713" t="s">
        <v>1021</v>
      </c>
      <c r="C713" t="s">
        <v>1420</v>
      </c>
      <c r="D713">
        <f t="shared" si="11"/>
        <v>1</v>
      </c>
      <c r="E713" t="s">
        <v>19</v>
      </c>
      <c r="F713" t="s">
        <v>2542</v>
      </c>
      <c r="G713" t="s">
        <v>326</v>
      </c>
      <c r="N713" s="107"/>
    </row>
    <row r="714" spans="1:14" x14ac:dyDescent="0.3">
      <c r="A714" t="s">
        <v>171</v>
      </c>
      <c r="B714" t="s">
        <v>1067</v>
      </c>
      <c r="C714" t="s">
        <v>1454</v>
      </c>
      <c r="D714">
        <f t="shared" si="11"/>
        <v>1</v>
      </c>
      <c r="E714" t="s">
        <v>19</v>
      </c>
      <c r="F714" t="s">
        <v>1454</v>
      </c>
      <c r="G714" t="s">
        <v>326</v>
      </c>
      <c r="N714" s="107"/>
    </row>
    <row r="715" spans="1:14" x14ac:dyDescent="0.3">
      <c r="A715" t="s">
        <v>171</v>
      </c>
      <c r="B715" t="s">
        <v>494</v>
      </c>
      <c r="C715" t="s">
        <v>1481</v>
      </c>
      <c r="D715">
        <f t="shared" si="11"/>
        <v>1</v>
      </c>
      <c r="E715" t="s">
        <v>19</v>
      </c>
      <c r="F715" t="s">
        <v>1481</v>
      </c>
      <c r="G715" t="s">
        <v>326</v>
      </c>
      <c r="N715" s="107"/>
    </row>
    <row r="716" spans="1:14" x14ac:dyDescent="0.3">
      <c r="A716" t="s">
        <v>172</v>
      </c>
      <c r="B716" t="s">
        <v>676</v>
      </c>
      <c r="C716" t="s">
        <v>1220</v>
      </c>
      <c r="D716">
        <f t="shared" si="11"/>
        <v>1</v>
      </c>
      <c r="E716" t="s">
        <v>19</v>
      </c>
      <c r="F716" t="s">
        <v>1220</v>
      </c>
      <c r="G716" t="s">
        <v>326</v>
      </c>
      <c r="N716" s="107"/>
    </row>
    <row r="717" spans="1:14" x14ac:dyDescent="0.3">
      <c r="A717" t="s">
        <v>172</v>
      </c>
      <c r="B717" t="s">
        <v>676</v>
      </c>
      <c r="C717" t="s">
        <v>1346</v>
      </c>
      <c r="D717">
        <f t="shared" si="11"/>
        <v>1</v>
      </c>
      <c r="E717" t="s">
        <v>19</v>
      </c>
      <c r="F717" t="s">
        <v>2276</v>
      </c>
      <c r="G717" t="s">
        <v>326</v>
      </c>
      <c r="N717" s="107"/>
    </row>
    <row r="718" spans="1:14" x14ac:dyDescent="0.3">
      <c r="A718" t="s">
        <v>172</v>
      </c>
      <c r="B718" t="s">
        <v>676</v>
      </c>
      <c r="C718" t="s">
        <v>1346</v>
      </c>
      <c r="D718">
        <f t="shared" si="11"/>
        <v>1</v>
      </c>
      <c r="E718" t="s">
        <v>19</v>
      </c>
      <c r="F718" t="s">
        <v>2277</v>
      </c>
      <c r="G718" t="s">
        <v>326</v>
      </c>
      <c r="N718" s="107"/>
    </row>
    <row r="719" spans="1:14" x14ac:dyDescent="0.3">
      <c r="A719" t="s">
        <v>172</v>
      </c>
      <c r="B719" t="s">
        <v>935</v>
      </c>
      <c r="C719" t="s">
        <v>1374</v>
      </c>
      <c r="D719">
        <f t="shared" si="11"/>
        <v>1</v>
      </c>
      <c r="E719" t="s">
        <v>19</v>
      </c>
      <c r="F719" t="s">
        <v>2315</v>
      </c>
      <c r="G719" t="s">
        <v>326</v>
      </c>
      <c r="N719" s="107"/>
    </row>
    <row r="720" spans="1:14" x14ac:dyDescent="0.3">
      <c r="A720" t="s">
        <v>173</v>
      </c>
      <c r="B720" t="s">
        <v>496</v>
      </c>
      <c r="C720" t="s">
        <v>1168</v>
      </c>
      <c r="D720">
        <f t="shared" si="11"/>
        <v>1</v>
      </c>
      <c r="E720" t="s">
        <v>19</v>
      </c>
      <c r="F720" t="s">
        <v>1757</v>
      </c>
      <c r="G720" t="s">
        <v>326</v>
      </c>
      <c r="N720" s="107"/>
    </row>
    <row r="721" spans="1:14" x14ac:dyDescent="0.3">
      <c r="A721" t="s">
        <v>173</v>
      </c>
      <c r="B721" t="s">
        <v>596</v>
      </c>
      <c r="C721" t="s">
        <v>1179</v>
      </c>
      <c r="D721">
        <f t="shared" si="11"/>
        <v>1</v>
      </c>
      <c r="E721" t="s">
        <v>19</v>
      </c>
      <c r="F721" t="s">
        <v>1786</v>
      </c>
      <c r="G721" t="s">
        <v>326</v>
      </c>
      <c r="N721" s="107"/>
    </row>
    <row r="722" spans="1:14" x14ac:dyDescent="0.3">
      <c r="A722" t="s">
        <v>173</v>
      </c>
      <c r="B722" t="s">
        <v>631</v>
      </c>
      <c r="C722" t="s">
        <v>1186</v>
      </c>
      <c r="D722">
        <f t="shared" si="11"/>
        <v>1</v>
      </c>
      <c r="E722" t="s">
        <v>19</v>
      </c>
      <c r="F722" t="s">
        <v>1833</v>
      </c>
      <c r="G722" t="s">
        <v>326</v>
      </c>
      <c r="N722" s="107"/>
    </row>
    <row r="723" spans="1:14" x14ac:dyDescent="0.3">
      <c r="A723" t="s">
        <v>173</v>
      </c>
      <c r="B723" t="s">
        <v>633</v>
      </c>
      <c r="C723" t="s">
        <v>1186</v>
      </c>
      <c r="D723">
        <f t="shared" si="11"/>
        <v>1</v>
      </c>
      <c r="E723" t="s">
        <v>19</v>
      </c>
      <c r="F723" t="s">
        <v>1836</v>
      </c>
      <c r="G723" t="s">
        <v>326</v>
      </c>
      <c r="N723" s="107"/>
    </row>
    <row r="724" spans="1:14" x14ac:dyDescent="0.3">
      <c r="A724" t="s">
        <v>173</v>
      </c>
      <c r="B724" t="s">
        <v>718</v>
      </c>
      <c r="C724" t="s">
        <v>1231</v>
      </c>
      <c r="D724">
        <f t="shared" si="11"/>
        <v>1</v>
      </c>
      <c r="E724" t="s">
        <v>19</v>
      </c>
      <c r="F724" t="s">
        <v>1968</v>
      </c>
      <c r="G724" t="s">
        <v>326</v>
      </c>
      <c r="N724" s="107"/>
    </row>
    <row r="725" spans="1:14" x14ac:dyDescent="0.3">
      <c r="A725" t="s">
        <v>173</v>
      </c>
      <c r="B725" t="s">
        <v>718</v>
      </c>
      <c r="C725" t="s">
        <v>1231</v>
      </c>
      <c r="D725">
        <f t="shared" si="11"/>
        <v>1</v>
      </c>
      <c r="E725" t="s">
        <v>19</v>
      </c>
      <c r="F725" t="s">
        <v>1975</v>
      </c>
      <c r="G725" t="s">
        <v>326</v>
      </c>
      <c r="N725" s="107"/>
    </row>
    <row r="726" spans="1:14" x14ac:dyDescent="0.3">
      <c r="A726" t="s">
        <v>173</v>
      </c>
      <c r="B726" t="s">
        <v>719</v>
      </c>
      <c r="C726" t="s">
        <v>1231</v>
      </c>
      <c r="D726">
        <f t="shared" si="11"/>
        <v>1</v>
      </c>
      <c r="E726" t="s">
        <v>19</v>
      </c>
      <c r="F726" t="s">
        <v>1976</v>
      </c>
      <c r="G726" t="s">
        <v>326</v>
      </c>
      <c r="N726" s="107"/>
    </row>
    <row r="727" spans="1:14" x14ac:dyDescent="0.3">
      <c r="A727" t="s">
        <v>173</v>
      </c>
      <c r="B727" t="s">
        <v>720</v>
      </c>
      <c r="C727" t="s">
        <v>1231</v>
      </c>
      <c r="D727">
        <f t="shared" si="11"/>
        <v>1</v>
      </c>
      <c r="E727" t="s">
        <v>19</v>
      </c>
      <c r="F727" t="s">
        <v>1979</v>
      </c>
      <c r="G727" t="s">
        <v>326</v>
      </c>
      <c r="N727" s="107"/>
    </row>
    <row r="728" spans="1:14" x14ac:dyDescent="0.3">
      <c r="A728" t="s">
        <v>173</v>
      </c>
      <c r="B728" t="s">
        <v>722</v>
      </c>
      <c r="C728" t="s">
        <v>1231</v>
      </c>
      <c r="D728">
        <f t="shared" si="11"/>
        <v>1</v>
      </c>
      <c r="E728" t="s">
        <v>19</v>
      </c>
      <c r="F728" t="s">
        <v>1982</v>
      </c>
      <c r="G728" t="s">
        <v>326</v>
      </c>
      <c r="N728" s="107"/>
    </row>
    <row r="729" spans="1:14" x14ac:dyDescent="0.3">
      <c r="A729" t="s">
        <v>173</v>
      </c>
      <c r="B729" t="s">
        <v>725</v>
      </c>
      <c r="C729" t="s">
        <v>1231</v>
      </c>
      <c r="D729">
        <f t="shared" si="11"/>
        <v>1</v>
      </c>
      <c r="E729" t="s">
        <v>19</v>
      </c>
      <c r="F729" t="s">
        <v>1986</v>
      </c>
      <c r="G729" t="s">
        <v>326</v>
      </c>
      <c r="N729" s="107"/>
    </row>
    <row r="730" spans="1:14" x14ac:dyDescent="0.3">
      <c r="A730" t="s">
        <v>173</v>
      </c>
      <c r="B730" t="s">
        <v>631</v>
      </c>
      <c r="C730" t="s">
        <v>1255</v>
      </c>
      <c r="D730">
        <f t="shared" si="11"/>
        <v>1</v>
      </c>
      <c r="E730" t="s">
        <v>19</v>
      </c>
      <c r="F730" t="s">
        <v>2036</v>
      </c>
      <c r="G730" t="s">
        <v>326</v>
      </c>
      <c r="N730" s="107"/>
    </row>
    <row r="731" spans="1:14" x14ac:dyDescent="0.3">
      <c r="A731" t="s">
        <v>173</v>
      </c>
      <c r="B731" t="s">
        <v>631</v>
      </c>
      <c r="C731" t="s">
        <v>1255</v>
      </c>
      <c r="D731">
        <f t="shared" si="11"/>
        <v>1</v>
      </c>
      <c r="E731" t="s">
        <v>19</v>
      </c>
      <c r="F731" t="s">
        <v>2037</v>
      </c>
      <c r="G731" t="s">
        <v>326</v>
      </c>
      <c r="N731" s="107"/>
    </row>
    <row r="732" spans="1:14" x14ac:dyDescent="0.3">
      <c r="A732" t="s">
        <v>173</v>
      </c>
      <c r="B732" t="s">
        <v>725</v>
      </c>
      <c r="C732" t="s">
        <v>1263</v>
      </c>
      <c r="D732">
        <f t="shared" si="11"/>
        <v>1</v>
      </c>
      <c r="E732" t="s">
        <v>19</v>
      </c>
      <c r="F732" t="s">
        <v>1263</v>
      </c>
      <c r="G732" t="s">
        <v>326</v>
      </c>
      <c r="N732" s="107"/>
    </row>
    <row r="733" spans="1:14" x14ac:dyDescent="0.3">
      <c r="A733" t="s">
        <v>173</v>
      </c>
      <c r="B733" t="s">
        <v>790</v>
      </c>
      <c r="C733" t="s">
        <v>1276</v>
      </c>
      <c r="D733">
        <f t="shared" si="11"/>
        <v>1</v>
      </c>
      <c r="E733" t="s">
        <v>19</v>
      </c>
      <c r="F733" t="s">
        <v>2088</v>
      </c>
      <c r="G733" t="s">
        <v>326</v>
      </c>
      <c r="N733" s="107"/>
    </row>
    <row r="734" spans="1:14" x14ac:dyDescent="0.3">
      <c r="A734" t="s">
        <v>173</v>
      </c>
      <c r="B734" t="s">
        <v>790</v>
      </c>
      <c r="C734" t="s">
        <v>1278</v>
      </c>
      <c r="D734">
        <f t="shared" si="11"/>
        <v>1</v>
      </c>
      <c r="E734" t="s">
        <v>19</v>
      </c>
      <c r="F734" t="s">
        <v>1278</v>
      </c>
      <c r="G734" t="s">
        <v>326</v>
      </c>
      <c r="N734" s="107"/>
    </row>
    <row r="735" spans="1:14" x14ac:dyDescent="0.3">
      <c r="A735" t="s">
        <v>173</v>
      </c>
      <c r="B735" t="s">
        <v>809</v>
      </c>
      <c r="C735" t="s">
        <v>1289</v>
      </c>
      <c r="D735">
        <f t="shared" si="11"/>
        <v>1</v>
      </c>
      <c r="E735" t="s">
        <v>19</v>
      </c>
      <c r="F735" t="s">
        <v>2127</v>
      </c>
      <c r="G735" t="s">
        <v>326</v>
      </c>
      <c r="N735" s="107"/>
    </row>
    <row r="736" spans="1:14" x14ac:dyDescent="0.3">
      <c r="A736" t="s">
        <v>173</v>
      </c>
      <c r="B736" t="s">
        <v>496</v>
      </c>
      <c r="C736" t="s">
        <v>1289</v>
      </c>
      <c r="D736">
        <f t="shared" si="11"/>
        <v>1</v>
      </c>
      <c r="E736" t="s">
        <v>19</v>
      </c>
      <c r="F736" t="s">
        <v>2133</v>
      </c>
      <c r="G736" t="s">
        <v>326</v>
      </c>
      <c r="N736" s="107"/>
    </row>
    <row r="737" spans="1:14" x14ac:dyDescent="0.3">
      <c r="A737" t="s">
        <v>173</v>
      </c>
      <c r="B737" t="s">
        <v>809</v>
      </c>
      <c r="C737" t="s">
        <v>1289</v>
      </c>
      <c r="D737">
        <f t="shared" si="11"/>
        <v>1</v>
      </c>
      <c r="E737" t="s">
        <v>19</v>
      </c>
      <c r="F737" t="s">
        <v>2135</v>
      </c>
      <c r="G737" t="s">
        <v>326</v>
      </c>
      <c r="N737" s="107"/>
    </row>
    <row r="738" spans="1:14" x14ac:dyDescent="0.3">
      <c r="A738" t="s">
        <v>173</v>
      </c>
      <c r="B738" t="s">
        <v>790</v>
      </c>
      <c r="C738" t="s">
        <v>1291</v>
      </c>
      <c r="D738">
        <f t="shared" si="11"/>
        <v>1</v>
      </c>
      <c r="E738" t="s">
        <v>19</v>
      </c>
      <c r="F738" t="s">
        <v>2146</v>
      </c>
      <c r="G738" t="s">
        <v>326</v>
      </c>
      <c r="N738" s="107"/>
    </row>
    <row r="739" spans="1:14" x14ac:dyDescent="0.3">
      <c r="A739" t="s">
        <v>173</v>
      </c>
      <c r="B739" t="s">
        <v>631</v>
      </c>
      <c r="C739" t="s">
        <v>1291</v>
      </c>
      <c r="D739">
        <f t="shared" si="11"/>
        <v>1</v>
      </c>
      <c r="E739" t="s">
        <v>19</v>
      </c>
      <c r="F739" t="s">
        <v>2150</v>
      </c>
      <c r="G739" t="s">
        <v>326</v>
      </c>
      <c r="N739" s="107"/>
    </row>
    <row r="740" spans="1:14" x14ac:dyDescent="0.3">
      <c r="A740" t="s">
        <v>173</v>
      </c>
      <c r="B740" t="s">
        <v>790</v>
      </c>
      <c r="C740" t="s">
        <v>1318</v>
      </c>
      <c r="D740">
        <f t="shared" si="11"/>
        <v>1</v>
      </c>
      <c r="E740" t="s">
        <v>19</v>
      </c>
      <c r="F740" t="s">
        <v>2220</v>
      </c>
      <c r="G740" t="s">
        <v>326</v>
      </c>
      <c r="N740" s="107"/>
    </row>
    <row r="741" spans="1:14" x14ac:dyDescent="0.3">
      <c r="A741" t="s">
        <v>173</v>
      </c>
      <c r="B741" t="s">
        <v>878</v>
      </c>
      <c r="C741" t="s">
        <v>1325</v>
      </c>
      <c r="D741">
        <f t="shared" si="11"/>
        <v>1</v>
      </c>
      <c r="E741" t="s">
        <v>19</v>
      </c>
      <c r="F741" t="s">
        <v>1325</v>
      </c>
      <c r="G741" t="s">
        <v>326</v>
      </c>
      <c r="N741" s="107"/>
    </row>
    <row r="742" spans="1:14" x14ac:dyDescent="0.3">
      <c r="A742" t="s">
        <v>173</v>
      </c>
      <c r="B742" t="s">
        <v>722</v>
      </c>
      <c r="C742" t="s">
        <v>1336</v>
      </c>
      <c r="D742">
        <f t="shared" si="11"/>
        <v>1</v>
      </c>
      <c r="E742" t="s">
        <v>19</v>
      </c>
      <c r="F742" t="s">
        <v>2259</v>
      </c>
      <c r="G742" t="s">
        <v>326</v>
      </c>
      <c r="N742" s="107"/>
    </row>
    <row r="743" spans="1:14" x14ac:dyDescent="0.3">
      <c r="A743" t="s">
        <v>173</v>
      </c>
      <c r="B743" t="s">
        <v>722</v>
      </c>
      <c r="C743" t="s">
        <v>1368</v>
      </c>
      <c r="D743">
        <f t="shared" si="11"/>
        <v>1</v>
      </c>
      <c r="E743" t="s">
        <v>19</v>
      </c>
      <c r="F743" t="s">
        <v>1368</v>
      </c>
      <c r="G743" t="s">
        <v>326</v>
      </c>
      <c r="N743" s="107"/>
    </row>
    <row r="744" spans="1:14" x14ac:dyDescent="0.3">
      <c r="A744" t="s">
        <v>173</v>
      </c>
      <c r="B744" t="s">
        <v>718</v>
      </c>
      <c r="C744" t="s">
        <v>1384</v>
      </c>
      <c r="D744">
        <f t="shared" si="11"/>
        <v>1</v>
      </c>
      <c r="E744" t="s">
        <v>19</v>
      </c>
      <c r="F744" t="s">
        <v>2338</v>
      </c>
      <c r="G744" t="s">
        <v>326</v>
      </c>
      <c r="N744" s="107"/>
    </row>
    <row r="745" spans="1:14" x14ac:dyDescent="0.3">
      <c r="A745" t="s">
        <v>173</v>
      </c>
      <c r="B745" t="s">
        <v>948</v>
      </c>
      <c r="C745" t="s">
        <v>1389</v>
      </c>
      <c r="D745">
        <f t="shared" si="11"/>
        <v>1</v>
      </c>
      <c r="E745" t="s">
        <v>19</v>
      </c>
      <c r="F745" t="s">
        <v>2340</v>
      </c>
      <c r="G745" t="s">
        <v>326</v>
      </c>
      <c r="N745" s="107"/>
    </row>
    <row r="746" spans="1:14" x14ac:dyDescent="0.3">
      <c r="A746" t="s">
        <v>173</v>
      </c>
      <c r="B746" t="s">
        <v>948</v>
      </c>
      <c r="C746" t="s">
        <v>1386</v>
      </c>
      <c r="D746">
        <f t="shared" si="11"/>
        <v>1</v>
      </c>
      <c r="E746" t="s">
        <v>19</v>
      </c>
      <c r="F746" t="s">
        <v>2345</v>
      </c>
      <c r="G746" t="s">
        <v>326</v>
      </c>
      <c r="N746" s="107"/>
    </row>
    <row r="747" spans="1:14" x14ac:dyDescent="0.3">
      <c r="A747" t="s">
        <v>173</v>
      </c>
      <c r="B747" t="s">
        <v>631</v>
      </c>
      <c r="C747" t="s">
        <v>1467</v>
      </c>
      <c r="D747">
        <f t="shared" si="11"/>
        <v>1</v>
      </c>
      <c r="E747" t="s">
        <v>19</v>
      </c>
      <c r="F747" t="s">
        <v>2681</v>
      </c>
      <c r="G747" t="s">
        <v>326</v>
      </c>
      <c r="N747" s="107"/>
    </row>
    <row r="748" spans="1:14" x14ac:dyDescent="0.3">
      <c r="A748" t="s">
        <v>173</v>
      </c>
      <c r="B748" t="s">
        <v>1088</v>
      </c>
      <c r="C748" t="s">
        <v>1483</v>
      </c>
      <c r="D748">
        <f t="shared" si="11"/>
        <v>1</v>
      </c>
      <c r="E748" t="s">
        <v>19</v>
      </c>
      <c r="F748" t="s">
        <v>2705</v>
      </c>
      <c r="G748" t="s">
        <v>326</v>
      </c>
      <c r="N748" s="107"/>
    </row>
    <row r="749" spans="1:14" x14ac:dyDescent="0.3">
      <c r="A749" t="s">
        <v>173</v>
      </c>
      <c r="B749" t="s">
        <v>496</v>
      </c>
      <c r="C749" t="s">
        <v>1483</v>
      </c>
      <c r="D749">
        <f t="shared" si="11"/>
        <v>1</v>
      </c>
      <c r="E749" t="s">
        <v>19</v>
      </c>
      <c r="F749" t="s">
        <v>2707</v>
      </c>
      <c r="G749" t="s">
        <v>326</v>
      </c>
      <c r="N749" s="107"/>
    </row>
    <row r="750" spans="1:14" x14ac:dyDescent="0.3">
      <c r="A750" t="s">
        <v>173</v>
      </c>
      <c r="B750" t="s">
        <v>1122</v>
      </c>
      <c r="C750" t="s">
        <v>1517</v>
      </c>
      <c r="D750">
        <f t="shared" si="11"/>
        <v>1</v>
      </c>
      <c r="E750" t="s">
        <v>19</v>
      </c>
      <c r="F750" t="s">
        <v>2813</v>
      </c>
      <c r="G750" t="s">
        <v>326</v>
      </c>
      <c r="N750" s="107"/>
    </row>
    <row r="751" spans="1:14" x14ac:dyDescent="0.3">
      <c r="A751" t="s">
        <v>174</v>
      </c>
      <c r="B751" t="s">
        <v>497</v>
      </c>
      <c r="C751" t="s">
        <v>1258</v>
      </c>
      <c r="D751">
        <f t="shared" si="11"/>
        <v>1</v>
      </c>
      <c r="E751" t="s">
        <v>19</v>
      </c>
      <c r="F751" t="s">
        <v>2064</v>
      </c>
      <c r="G751" t="s">
        <v>326</v>
      </c>
      <c r="N751" s="107"/>
    </row>
    <row r="752" spans="1:14" x14ac:dyDescent="0.3">
      <c r="A752" t="s">
        <v>174</v>
      </c>
      <c r="B752" t="s">
        <v>791</v>
      </c>
      <c r="C752" t="s">
        <v>1280</v>
      </c>
      <c r="D752">
        <f t="shared" si="11"/>
        <v>1</v>
      </c>
      <c r="E752" t="s">
        <v>19</v>
      </c>
      <c r="F752" t="s">
        <v>1280</v>
      </c>
      <c r="G752" t="s">
        <v>326</v>
      </c>
      <c r="N752" s="107"/>
    </row>
    <row r="753" spans="1:14" x14ac:dyDescent="0.3">
      <c r="A753" t="s">
        <v>174</v>
      </c>
      <c r="B753" t="s">
        <v>915</v>
      </c>
      <c r="C753" t="s">
        <v>1353</v>
      </c>
      <c r="D753">
        <f t="shared" si="11"/>
        <v>1</v>
      </c>
      <c r="E753" t="s">
        <v>19</v>
      </c>
      <c r="F753" t="s">
        <v>2294</v>
      </c>
      <c r="G753" t="s">
        <v>326</v>
      </c>
      <c r="N753" s="107"/>
    </row>
    <row r="754" spans="1:14" x14ac:dyDescent="0.3">
      <c r="A754" t="s">
        <v>174</v>
      </c>
      <c r="B754" t="s">
        <v>917</v>
      </c>
      <c r="C754" t="s">
        <v>1354</v>
      </c>
      <c r="D754">
        <f t="shared" si="11"/>
        <v>1</v>
      </c>
      <c r="E754" t="s">
        <v>19</v>
      </c>
      <c r="F754" t="s">
        <v>2297</v>
      </c>
      <c r="G754" t="s">
        <v>326</v>
      </c>
      <c r="N754" s="107"/>
    </row>
    <row r="755" spans="1:14" x14ac:dyDescent="0.3">
      <c r="A755" t="s">
        <v>174</v>
      </c>
      <c r="B755" t="s">
        <v>497</v>
      </c>
      <c r="C755" t="s">
        <v>1354</v>
      </c>
      <c r="D755">
        <f t="shared" si="11"/>
        <v>1</v>
      </c>
      <c r="E755" t="s">
        <v>19</v>
      </c>
      <c r="F755" t="s">
        <v>2298</v>
      </c>
      <c r="G755" t="s">
        <v>326</v>
      </c>
      <c r="N755" s="107"/>
    </row>
    <row r="756" spans="1:14" x14ac:dyDescent="0.3">
      <c r="A756" t="s">
        <v>174</v>
      </c>
      <c r="B756" t="s">
        <v>962</v>
      </c>
      <c r="C756" t="s">
        <v>1407</v>
      </c>
      <c r="D756">
        <f t="shared" si="11"/>
        <v>1</v>
      </c>
      <c r="E756" t="s">
        <v>19</v>
      </c>
      <c r="F756" t="s">
        <v>2393</v>
      </c>
      <c r="G756" t="s">
        <v>326</v>
      </c>
      <c r="N756" s="107"/>
    </row>
    <row r="757" spans="1:14" x14ac:dyDescent="0.3">
      <c r="A757" t="s">
        <v>174</v>
      </c>
      <c r="B757" t="s">
        <v>497</v>
      </c>
      <c r="C757" t="s">
        <v>1420</v>
      </c>
      <c r="D757">
        <f t="shared" si="11"/>
        <v>1</v>
      </c>
      <c r="E757" t="s">
        <v>19</v>
      </c>
      <c r="F757" t="s">
        <v>2537</v>
      </c>
      <c r="G757" t="s">
        <v>326</v>
      </c>
      <c r="N757" s="107"/>
    </row>
    <row r="758" spans="1:14" x14ac:dyDescent="0.3">
      <c r="A758" t="s">
        <v>174</v>
      </c>
      <c r="B758" t="s">
        <v>1019</v>
      </c>
      <c r="C758" t="s">
        <v>1420</v>
      </c>
      <c r="D758">
        <f t="shared" si="11"/>
        <v>1</v>
      </c>
      <c r="E758" t="s">
        <v>19</v>
      </c>
      <c r="F758" t="s">
        <v>2538</v>
      </c>
      <c r="G758" t="s">
        <v>326</v>
      </c>
      <c r="N758" s="107"/>
    </row>
    <row r="759" spans="1:14" x14ac:dyDescent="0.3">
      <c r="A759" t="s">
        <v>174</v>
      </c>
      <c r="B759" t="s">
        <v>1020</v>
      </c>
      <c r="C759" t="s">
        <v>1420</v>
      </c>
      <c r="D759">
        <f t="shared" si="11"/>
        <v>1</v>
      </c>
      <c r="E759" t="s">
        <v>19</v>
      </c>
      <c r="F759" t="s">
        <v>2540</v>
      </c>
      <c r="G759" t="s">
        <v>326</v>
      </c>
      <c r="N759" s="107"/>
    </row>
    <row r="760" spans="1:14" x14ac:dyDescent="0.3">
      <c r="A760" t="s">
        <v>174</v>
      </c>
      <c r="B760" t="s">
        <v>497</v>
      </c>
      <c r="C760" t="s">
        <v>1438</v>
      </c>
      <c r="D760">
        <f t="shared" si="11"/>
        <v>1</v>
      </c>
      <c r="E760" t="s">
        <v>19</v>
      </c>
      <c r="F760" t="s">
        <v>2565</v>
      </c>
      <c r="G760" t="s">
        <v>326</v>
      </c>
      <c r="N760" s="107"/>
    </row>
    <row r="761" spans="1:14" x14ac:dyDescent="0.3">
      <c r="A761" t="s">
        <v>174</v>
      </c>
      <c r="B761" t="s">
        <v>497</v>
      </c>
      <c r="C761" t="s">
        <v>1447</v>
      </c>
      <c r="D761">
        <f t="shared" si="11"/>
        <v>1</v>
      </c>
      <c r="E761" t="s">
        <v>19</v>
      </c>
      <c r="F761" t="s">
        <v>2576</v>
      </c>
      <c r="G761" t="s">
        <v>326</v>
      </c>
      <c r="N761" s="107"/>
    </row>
    <row r="762" spans="1:14" x14ac:dyDescent="0.3">
      <c r="A762" t="s">
        <v>174</v>
      </c>
      <c r="B762" t="s">
        <v>1055</v>
      </c>
      <c r="C762" t="s">
        <v>1447</v>
      </c>
      <c r="D762">
        <f t="shared" si="11"/>
        <v>1</v>
      </c>
      <c r="E762" t="s">
        <v>19</v>
      </c>
      <c r="F762" t="s">
        <v>2611</v>
      </c>
      <c r="G762" t="s">
        <v>326</v>
      </c>
      <c r="N762" s="107"/>
    </row>
    <row r="763" spans="1:14" x14ac:dyDescent="0.3">
      <c r="A763" t="s">
        <v>175</v>
      </c>
      <c r="B763" t="s">
        <v>562</v>
      </c>
      <c r="C763" t="s">
        <v>1167</v>
      </c>
      <c r="D763">
        <f t="shared" si="11"/>
        <v>1</v>
      </c>
      <c r="E763" t="s">
        <v>19</v>
      </c>
      <c r="F763" t="s">
        <v>1738</v>
      </c>
      <c r="G763" t="s">
        <v>326</v>
      </c>
      <c r="N763" s="107"/>
    </row>
    <row r="764" spans="1:14" x14ac:dyDescent="0.3">
      <c r="A764" t="s">
        <v>175</v>
      </c>
      <c r="B764" t="s">
        <v>501</v>
      </c>
      <c r="C764" t="s">
        <v>1168</v>
      </c>
      <c r="D764">
        <f t="shared" si="11"/>
        <v>1</v>
      </c>
      <c r="E764" t="s">
        <v>19</v>
      </c>
      <c r="F764" t="s">
        <v>1744</v>
      </c>
      <c r="G764" t="s">
        <v>326</v>
      </c>
      <c r="N764" s="107"/>
    </row>
    <row r="765" spans="1:14" x14ac:dyDescent="0.3">
      <c r="A765" t="s">
        <v>175</v>
      </c>
      <c r="B765" t="s">
        <v>566</v>
      </c>
      <c r="C765" t="s">
        <v>1168</v>
      </c>
      <c r="D765">
        <f t="shared" si="11"/>
        <v>1</v>
      </c>
      <c r="E765" t="s">
        <v>19</v>
      </c>
      <c r="F765" t="s">
        <v>1745</v>
      </c>
      <c r="G765" t="s">
        <v>326</v>
      </c>
      <c r="N765" s="107"/>
    </row>
    <row r="766" spans="1:14" x14ac:dyDescent="0.3">
      <c r="A766" t="s">
        <v>175</v>
      </c>
      <c r="B766" t="s">
        <v>675</v>
      </c>
      <c r="C766" t="s">
        <v>1218</v>
      </c>
      <c r="D766">
        <f t="shared" si="11"/>
        <v>1</v>
      </c>
      <c r="E766" t="s">
        <v>19</v>
      </c>
      <c r="F766" t="s">
        <v>1897</v>
      </c>
      <c r="G766" t="s">
        <v>326</v>
      </c>
      <c r="N766" s="107"/>
    </row>
    <row r="767" spans="1:14" x14ac:dyDescent="0.3">
      <c r="A767" t="s">
        <v>175</v>
      </c>
      <c r="B767" t="s">
        <v>675</v>
      </c>
      <c r="C767" t="s">
        <v>1218</v>
      </c>
      <c r="D767">
        <f t="shared" si="11"/>
        <v>1</v>
      </c>
      <c r="E767" t="s">
        <v>19</v>
      </c>
      <c r="F767" t="s">
        <v>1898</v>
      </c>
      <c r="G767" t="s">
        <v>326</v>
      </c>
      <c r="N767" s="107"/>
    </row>
    <row r="768" spans="1:14" x14ac:dyDescent="0.3">
      <c r="A768" t="s">
        <v>175</v>
      </c>
      <c r="B768" t="s">
        <v>694</v>
      </c>
      <c r="C768" t="s">
        <v>1231</v>
      </c>
      <c r="D768">
        <f t="shared" si="11"/>
        <v>1</v>
      </c>
      <c r="E768" t="s">
        <v>19</v>
      </c>
      <c r="F768" t="s">
        <v>1919</v>
      </c>
      <c r="G768" t="s">
        <v>326</v>
      </c>
      <c r="N768" s="107"/>
    </row>
    <row r="769" spans="1:14" x14ac:dyDescent="0.3">
      <c r="A769" t="s">
        <v>175</v>
      </c>
      <c r="B769" t="s">
        <v>695</v>
      </c>
      <c r="C769" t="s">
        <v>1231</v>
      </c>
      <c r="D769">
        <f t="shared" si="11"/>
        <v>1</v>
      </c>
      <c r="E769" t="s">
        <v>19</v>
      </c>
      <c r="F769" t="s">
        <v>1920</v>
      </c>
      <c r="G769" t="s">
        <v>326</v>
      </c>
      <c r="N769" s="107"/>
    </row>
    <row r="770" spans="1:14" x14ac:dyDescent="0.3">
      <c r="A770" t="s">
        <v>175</v>
      </c>
      <c r="B770" t="s">
        <v>501</v>
      </c>
      <c r="C770" t="s">
        <v>1231</v>
      </c>
      <c r="D770">
        <f t="shared" ref="D770:D833" si="12">SIGN(SUBTOTAL(3,E770))</f>
        <v>1</v>
      </c>
      <c r="E770" t="s">
        <v>19</v>
      </c>
      <c r="F770" t="s">
        <v>1921</v>
      </c>
      <c r="G770" t="s">
        <v>326</v>
      </c>
      <c r="N770" s="107"/>
    </row>
    <row r="771" spans="1:14" x14ac:dyDescent="0.3">
      <c r="A771" t="s">
        <v>175</v>
      </c>
      <c r="B771" t="s">
        <v>696</v>
      </c>
      <c r="C771" t="s">
        <v>1231</v>
      </c>
      <c r="D771">
        <f t="shared" si="12"/>
        <v>1</v>
      </c>
      <c r="E771" t="s">
        <v>19</v>
      </c>
      <c r="F771" t="s">
        <v>1922</v>
      </c>
      <c r="G771" t="s">
        <v>326</v>
      </c>
      <c r="N771" s="107"/>
    </row>
    <row r="772" spans="1:14" x14ac:dyDescent="0.3">
      <c r="A772" t="s">
        <v>175</v>
      </c>
      <c r="B772" t="s">
        <v>697</v>
      </c>
      <c r="C772" t="s">
        <v>1231</v>
      </c>
      <c r="D772">
        <f t="shared" si="12"/>
        <v>1</v>
      </c>
      <c r="E772" t="s">
        <v>19</v>
      </c>
      <c r="F772" t="s">
        <v>1923</v>
      </c>
      <c r="G772" t="s">
        <v>326</v>
      </c>
      <c r="N772" s="107"/>
    </row>
    <row r="773" spans="1:14" x14ac:dyDescent="0.3">
      <c r="A773" t="s">
        <v>175</v>
      </c>
      <c r="B773" t="s">
        <v>499</v>
      </c>
      <c r="C773" t="s">
        <v>1231</v>
      </c>
      <c r="D773">
        <f t="shared" si="12"/>
        <v>1</v>
      </c>
      <c r="E773" t="s">
        <v>19</v>
      </c>
      <c r="F773" t="s">
        <v>1924</v>
      </c>
      <c r="G773" t="s">
        <v>326</v>
      </c>
      <c r="N773" s="107"/>
    </row>
    <row r="774" spans="1:14" x14ac:dyDescent="0.3">
      <c r="A774" t="s">
        <v>175</v>
      </c>
      <c r="B774" t="s">
        <v>501</v>
      </c>
      <c r="C774" t="s">
        <v>1231</v>
      </c>
      <c r="D774">
        <f t="shared" si="12"/>
        <v>1</v>
      </c>
      <c r="E774" t="s">
        <v>19</v>
      </c>
      <c r="F774" t="s">
        <v>1925</v>
      </c>
      <c r="G774" t="s">
        <v>326</v>
      </c>
      <c r="N774" s="107"/>
    </row>
    <row r="775" spans="1:14" x14ac:dyDescent="0.3">
      <c r="A775" t="s">
        <v>175</v>
      </c>
      <c r="B775" t="s">
        <v>502</v>
      </c>
      <c r="C775" t="s">
        <v>1231</v>
      </c>
      <c r="D775">
        <f t="shared" si="12"/>
        <v>1</v>
      </c>
      <c r="E775" t="s">
        <v>19</v>
      </c>
      <c r="F775" t="s">
        <v>1969</v>
      </c>
      <c r="G775" t="s">
        <v>326</v>
      </c>
      <c r="N775" s="107"/>
    </row>
    <row r="776" spans="1:14" x14ac:dyDescent="0.3">
      <c r="A776" t="s">
        <v>175</v>
      </c>
      <c r="B776" t="s">
        <v>501</v>
      </c>
      <c r="C776" t="s">
        <v>1231</v>
      </c>
      <c r="D776">
        <f t="shared" si="12"/>
        <v>1</v>
      </c>
      <c r="E776" t="s">
        <v>19</v>
      </c>
      <c r="F776" t="s">
        <v>1972</v>
      </c>
      <c r="G776" t="s">
        <v>326</v>
      </c>
      <c r="N776" s="107"/>
    </row>
    <row r="777" spans="1:14" x14ac:dyDescent="0.3">
      <c r="A777" t="s">
        <v>175</v>
      </c>
      <c r="B777" t="s">
        <v>562</v>
      </c>
      <c r="C777" t="s">
        <v>1231</v>
      </c>
      <c r="D777">
        <f t="shared" si="12"/>
        <v>1</v>
      </c>
      <c r="E777" t="s">
        <v>19</v>
      </c>
      <c r="F777" t="s">
        <v>1983</v>
      </c>
      <c r="G777" t="s">
        <v>326</v>
      </c>
      <c r="N777" s="107"/>
    </row>
    <row r="778" spans="1:14" x14ac:dyDescent="0.3">
      <c r="A778" t="s">
        <v>175</v>
      </c>
      <c r="B778" t="s">
        <v>498</v>
      </c>
      <c r="C778" t="s">
        <v>1233</v>
      </c>
      <c r="D778">
        <f t="shared" si="12"/>
        <v>1</v>
      </c>
      <c r="E778" t="s">
        <v>19</v>
      </c>
      <c r="F778" t="s">
        <v>1233</v>
      </c>
      <c r="G778" t="s">
        <v>326</v>
      </c>
      <c r="N778" s="107"/>
    </row>
    <row r="779" spans="1:14" x14ac:dyDescent="0.3">
      <c r="A779" t="s">
        <v>175</v>
      </c>
      <c r="B779" t="s">
        <v>748</v>
      </c>
      <c r="C779" t="s">
        <v>1246</v>
      </c>
      <c r="D779">
        <f t="shared" si="12"/>
        <v>1</v>
      </c>
      <c r="E779" t="s">
        <v>19</v>
      </c>
      <c r="F779" t="s">
        <v>1246</v>
      </c>
      <c r="G779" t="s">
        <v>326</v>
      </c>
      <c r="N779" s="107"/>
    </row>
    <row r="780" spans="1:14" x14ac:dyDescent="0.3">
      <c r="A780" t="s">
        <v>175</v>
      </c>
      <c r="B780" t="s">
        <v>799</v>
      </c>
      <c r="C780" t="s">
        <v>1288</v>
      </c>
      <c r="D780">
        <f t="shared" si="12"/>
        <v>1</v>
      </c>
      <c r="E780" t="s">
        <v>19</v>
      </c>
      <c r="F780" t="s">
        <v>1288</v>
      </c>
      <c r="G780" t="s">
        <v>326</v>
      </c>
      <c r="N780" s="107"/>
    </row>
    <row r="781" spans="1:14" x14ac:dyDescent="0.3">
      <c r="A781" t="s">
        <v>175</v>
      </c>
      <c r="B781" t="s">
        <v>499</v>
      </c>
      <c r="C781" t="s">
        <v>1289</v>
      </c>
      <c r="D781">
        <f t="shared" si="12"/>
        <v>1</v>
      </c>
      <c r="E781" t="s">
        <v>19</v>
      </c>
      <c r="F781" t="s">
        <v>2102</v>
      </c>
      <c r="G781" t="s">
        <v>326</v>
      </c>
      <c r="N781" s="107"/>
    </row>
    <row r="782" spans="1:14" x14ac:dyDescent="0.3">
      <c r="A782" t="s">
        <v>175</v>
      </c>
      <c r="B782" t="s">
        <v>501</v>
      </c>
      <c r="C782" t="s">
        <v>1289</v>
      </c>
      <c r="D782">
        <f t="shared" si="12"/>
        <v>1</v>
      </c>
      <c r="E782" t="s">
        <v>19</v>
      </c>
      <c r="F782" t="s">
        <v>2116</v>
      </c>
      <c r="G782" t="s">
        <v>326</v>
      </c>
      <c r="N782" s="107"/>
    </row>
    <row r="783" spans="1:14" x14ac:dyDescent="0.3">
      <c r="A783" t="s">
        <v>175</v>
      </c>
      <c r="B783" t="s">
        <v>813</v>
      </c>
      <c r="C783" t="s">
        <v>1289</v>
      </c>
      <c r="D783">
        <f t="shared" si="12"/>
        <v>1</v>
      </c>
      <c r="E783" t="s">
        <v>19</v>
      </c>
      <c r="F783" t="s">
        <v>2136</v>
      </c>
      <c r="G783" t="s">
        <v>326</v>
      </c>
      <c r="N783" s="107"/>
    </row>
    <row r="784" spans="1:14" x14ac:dyDescent="0.3">
      <c r="A784" t="s">
        <v>175</v>
      </c>
      <c r="B784" t="s">
        <v>815</v>
      </c>
      <c r="C784" t="s">
        <v>1291</v>
      </c>
      <c r="D784">
        <f t="shared" si="12"/>
        <v>1</v>
      </c>
      <c r="E784" t="s">
        <v>19</v>
      </c>
      <c r="F784" t="s">
        <v>2138</v>
      </c>
      <c r="G784" t="s">
        <v>326</v>
      </c>
      <c r="N784" s="107"/>
    </row>
    <row r="785" spans="1:14" x14ac:dyDescent="0.3">
      <c r="A785" t="s">
        <v>175</v>
      </c>
      <c r="B785" t="s">
        <v>501</v>
      </c>
      <c r="C785" t="s">
        <v>1291</v>
      </c>
      <c r="D785">
        <f t="shared" si="12"/>
        <v>1</v>
      </c>
      <c r="E785" t="s">
        <v>19</v>
      </c>
      <c r="F785" t="s">
        <v>2139</v>
      </c>
      <c r="G785" t="s">
        <v>326</v>
      </c>
      <c r="N785" s="107"/>
    </row>
    <row r="786" spans="1:14" x14ac:dyDescent="0.3">
      <c r="A786" t="s">
        <v>175</v>
      </c>
      <c r="B786" t="s">
        <v>695</v>
      </c>
      <c r="C786" t="s">
        <v>1291</v>
      </c>
      <c r="D786">
        <f t="shared" si="12"/>
        <v>1</v>
      </c>
      <c r="E786" t="s">
        <v>19</v>
      </c>
      <c r="F786" t="s">
        <v>2140</v>
      </c>
      <c r="G786" t="s">
        <v>326</v>
      </c>
      <c r="N786" s="107"/>
    </row>
    <row r="787" spans="1:14" x14ac:dyDescent="0.3">
      <c r="A787" t="s">
        <v>175</v>
      </c>
      <c r="B787" t="s">
        <v>562</v>
      </c>
      <c r="C787" t="s">
        <v>1291</v>
      </c>
      <c r="D787">
        <f t="shared" si="12"/>
        <v>1</v>
      </c>
      <c r="E787" t="s">
        <v>19</v>
      </c>
      <c r="F787" t="s">
        <v>2145</v>
      </c>
      <c r="G787" t="s">
        <v>326</v>
      </c>
      <c r="N787" s="107"/>
    </row>
    <row r="788" spans="1:14" x14ac:dyDescent="0.3">
      <c r="A788" t="s">
        <v>175</v>
      </c>
      <c r="B788" t="s">
        <v>675</v>
      </c>
      <c r="C788" t="s">
        <v>1297</v>
      </c>
      <c r="D788">
        <f t="shared" si="12"/>
        <v>1</v>
      </c>
      <c r="E788" t="s">
        <v>19</v>
      </c>
      <c r="F788" t="s">
        <v>2154</v>
      </c>
      <c r="G788" t="s">
        <v>326</v>
      </c>
      <c r="N788" s="107"/>
    </row>
    <row r="789" spans="1:14" x14ac:dyDescent="0.3">
      <c r="A789" t="s">
        <v>175</v>
      </c>
      <c r="B789" t="s">
        <v>841</v>
      </c>
      <c r="C789" t="s">
        <v>1306</v>
      </c>
      <c r="D789">
        <f t="shared" si="12"/>
        <v>1</v>
      </c>
      <c r="E789" t="s">
        <v>19</v>
      </c>
      <c r="F789" t="s">
        <v>2186</v>
      </c>
      <c r="G789" t="s">
        <v>326</v>
      </c>
      <c r="N789" s="107"/>
    </row>
    <row r="790" spans="1:14" x14ac:dyDescent="0.3">
      <c r="A790" t="s">
        <v>175</v>
      </c>
      <c r="B790" t="s">
        <v>842</v>
      </c>
      <c r="C790" t="s">
        <v>1306</v>
      </c>
      <c r="D790">
        <f t="shared" si="12"/>
        <v>1</v>
      </c>
      <c r="E790" t="s">
        <v>19</v>
      </c>
      <c r="F790" t="s">
        <v>2187</v>
      </c>
      <c r="G790" t="s">
        <v>326</v>
      </c>
      <c r="N790" s="107"/>
    </row>
    <row r="791" spans="1:14" x14ac:dyDescent="0.3">
      <c r="A791" t="s">
        <v>175</v>
      </c>
      <c r="B791" t="s">
        <v>843</v>
      </c>
      <c r="C791" t="s">
        <v>1306</v>
      </c>
      <c r="D791">
        <f t="shared" si="12"/>
        <v>1</v>
      </c>
      <c r="E791" t="s">
        <v>19</v>
      </c>
      <c r="F791" t="s">
        <v>2188</v>
      </c>
      <c r="G791" t="s">
        <v>326</v>
      </c>
      <c r="N791" s="107"/>
    </row>
    <row r="792" spans="1:14" x14ac:dyDescent="0.3">
      <c r="A792" t="s">
        <v>175</v>
      </c>
      <c r="B792" t="s">
        <v>844</v>
      </c>
      <c r="C792" t="s">
        <v>1306</v>
      </c>
      <c r="D792">
        <f t="shared" si="12"/>
        <v>1</v>
      </c>
      <c r="E792" t="s">
        <v>19</v>
      </c>
      <c r="F792" t="s">
        <v>2189</v>
      </c>
      <c r="G792" t="s">
        <v>326</v>
      </c>
      <c r="N792" s="107"/>
    </row>
    <row r="793" spans="1:14" x14ac:dyDescent="0.3">
      <c r="A793" t="s">
        <v>175</v>
      </c>
      <c r="B793" t="s">
        <v>498</v>
      </c>
      <c r="C793" t="s">
        <v>1332</v>
      </c>
      <c r="D793">
        <f t="shared" si="12"/>
        <v>1</v>
      </c>
      <c r="E793" t="s">
        <v>19</v>
      </c>
      <c r="F793" t="s">
        <v>2239</v>
      </c>
      <c r="G793" t="s">
        <v>326</v>
      </c>
      <c r="N793" s="107"/>
    </row>
    <row r="794" spans="1:14" x14ac:dyDescent="0.3">
      <c r="A794" t="s">
        <v>175</v>
      </c>
      <c r="B794" t="s">
        <v>894</v>
      </c>
      <c r="C794" t="s">
        <v>1332</v>
      </c>
      <c r="D794">
        <f t="shared" si="12"/>
        <v>1</v>
      </c>
      <c r="E794" t="s">
        <v>19</v>
      </c>
      <c r="F794" t="s">
        <v>2248</v>
      </c>
      <c r="G794" t="s">
        <v>326</v>
      </c>
      <c r="N794" s="107"/>
    </row>
    <row r="795" spans="1:14" x14ac:dyDescent="0.3">
      <c r="A795" t="s">
        <v>175</v>
      </c>
      <c r="B795" t="s">
        <v>895</v>
      </c>
      <c r="C795" t="s">
        <v>1332</v>
      </c>
      <c r="D795">
        <f t="shared" si="12"/>
        <v>1</v>
      </c>
      <c r="E795" t="s">
        <v>19</v>
      </c>
      <c r="F795" t="s">
        <v>2249</v>
      </c>
      <c r="G795" t="s">
        <v>326</v>
      </c>
      <c r="N795" s="107"/>
    </row>
    <row r="796" spans="1:14" x14ac:dyDescent="0.3">
      <c r="A796" t="s">
        <v>175</v>
      </c>
      <c r="B796" t="s">
        <v>896</v>
      </c>
      <c r="C796" t="s">
        <v>1332</v>
      </c>
      <c r="D796">
        <f t="shared" si="12"/>
        <v>1</v>
      </c>
      <c r="E796" t="s">
        <v>19</v>
      </c>
      <c r="F796" t="s">
        <v>2250</v>
      </c>
      <c r="G796" t="s">
        <v>326</v>
      </c>
      <c r="N796" s="107"/>
    </row>
    <row r="797" spans="1:14" x14ac:dyDescent="0.3">
      <c r="A797" t="s">
        <v>175</v>
      </c>
      <c r="B797" t="s">
        <v>502</v>
      </c>
      <c r="C797" t="s">
        <v>1333</v>
      </c>
      <c r="D797">
        <f t="shared" si="12"/>
        <v>1</v>
      </c>
      <c r="E797" t="s">
        <v>19</v>
      </c>
      <c r="F797" t="s">
        <v>2251</v>
      </c>
      <c r="G797" t="s">
        <v>326</v>
      </c>
      <c r="N797" s="107"/>
    </row>
    <row r="798" spans="1:14" x14ac:dyDescent="0.3">
      <c r="A798" t="s">
        <v>175</v>
      </c>
      <c r="B798" t="s">
        <v>894</v>
      </c>
      <c r="C798" t="s">
        <v>1333</v>
      </c>
      <c r="D798">
        <f t="shared" si="12"/>
        <v>1</v>
      </c>
      <c r="E798" t="s">
        <v>19</v>
      </c>
      <c r="F798" t="s">
        <v>2252</v>
      </c>
      <c r="G798" t="s">
        <v>326</v>
      </c>
      <c r="N798" s="107"/>
    </row>
    <row r="799" spans="1:14" x14ac:dyDescent="0.3">
      <c r="A799" t="s">
        <v>175</v>
      </c>
      <c r="B799" t="s">
        <v>502</v>
      </c>
      <c r="C799" t="s">
        <v>1333</v>
      </c>
      <c r="D799">
        <f t="shared" si="12"/>
        <v>1</v>
      </c>
      <c r="E799" t="s">
        <v>19</v>
      </c>
      <c r="F799" t="s">
        <v>2253</v>
      </c>
      <c r="G799" t="s">
        <v>326</v>
      </c>
      <c r="N799" s="107"/>
    </row>
    <row r="800" spans="1:14" x14ac:dyDescent="0.3">
      <c r="A800" t="s">
        <v>175</v>
      </c>
      <c r="B800" t="s">
        <v>498</v>
      </c>
      <c r="C800" t="s">
        <v>1332</v>
      </c>
      <c r="D800">
        <f t="shared" si="12"/>
        <v>1</v>
      </c>
      <c r="E800" t="s">
        <v>19</v>
      </c>
      <c r="F800" t="s">
        <v>2254</v>
      </c>
      <c r="G800" t="s">
        <v>326</v>
      </c>
      <c r="N800" s="107"/>
    </row>
    <row r="801" spans="1:14" x14ac:dyDescent="0.3">
      <c r="A801" t="s">
        <v>175</v>
      </c>
      <c r="B801" t="s">
        <v>907</v>
      </c>
      <c r="C801" t="s">
        <v>1344</v>
      </c>
      <c r="D801">
        <f t="shared" si="12"/>
        <v>1</v>
      </c>
      <c r="E801" t="s">
        <v>19</v>
      </c>
      <c r="F801" t="s">
        <v>1344</v>
      </c>
      <c r="G801" t="s">
        <v>326</v>
      </c>
      <c r="N801" s="107"/>
    </row>
    <row r="802" spans="1:14" x14ac:dyDescent="0.3">
      <c r="A802" t="s">
        <v>175</v>
      </c>
      <c r="B802" t="s">
        <v>562</v>
      </c>
      <c r="C802" t="s">
        <v>1346</v>
      </c>
      <c r="D802">
        <f t="shared" si="12"/>
        <v>1</v>
      </c>
      <c r="E802" t="s">
        <v>19</v>
      </c>
      <c r="F802" t="s">
        <v>2278</v>
      </c>
      <c r="G802" t="s">
        <v>326</v>
      </c>
      <c r="N802" s="107"/>
    </row>
    <row r="803" spans="1:14" x14ac:dyDescent="0.3">
      <c r="A803" t="s">
        <v>175</v>
      </c>
      <c r="B803" t="s">
        <v>911</v>
      </c>
      <c r="C803" t="s">
        <v>1347</v>
      </c>
      <c r="D803">
        <f t="shared" si="12"/>
        <v>1</v>
      </c>
      <c r="E803" t="s">
        <v>19</v>
      </c>
      <c r="F803" t="s">
        <v>2281</v>
      </c>
      <c r="G803" t="s">
        <v>326</v>
      </c>
      <c r="N803" s="107"/>
    </row>
    <row r="804" spans="1:14" x14ac:dyDescent="0.3">
      <c r="A804" t="s">
        <v>175</v>
      </c>
      <c r="B804" t="s">
        <v>912</v>
      </c>
      <c r="C804" t="s">
        <v>1347</v>
      </c>
      <c r="D804">
        <f t="shared" si="12"/>
        <v>1</v>
      </c>
      <c r="E804" t="s">
        <v>19</v>
      </c>
      <c r="F804" t="s">
        <v>2285</v>
      </c>
      <c r="G804" t="s">
        <v>326</v>
      </c>
      <c r="N804" s="107"/>
    </row>
    <row r="805" spans="1:14" x14ac:dyDescent="0.3">
      <c r="A805" t="s">
        <v>175</v>
      </c>
      <c r="B805" t="s">
        <v>896</v>
      </c>
      <c r="C805" t="s">
        <v>1347</v>
      </c>
      <c r="D805">
        <f t="shared" si="12"/>
        <v>1</v>
      </c>
      <c r="E805" t="s">
        <v>19</v>
      </c>
      <c r="F805" t="s">
        <v>2286</v>
      </c>
      <c r="G805" t="s">
        <v>326</v>
      </c>
      <c r="N805" s="107"/>
    </row>
    <row r="806" spans="1:14" x14ac:dyDescent="0.3">
      <c r="A806" t="s">
        <v>175</v>
      </c>
      <c r="B806" t="s">
        <v>911</v>
      </c>
      <c r="C806" t="s">
        <v>1347</v>
      </c>
      <c r="D806">
        <f t="shared" si="12"/>
        <v>1</v>
      </c>
      <c r="E806" t="s">
        <v>19</v>
      </c>
      <c r="F806" t="s">
        <v>2287</v>
      </c>
      <c r="G806" t="s">
        <v>326</v>
      </c>
      <c r="N806" s="107"/>
    </row>
    <row r="807" spans="1:14" x14ac:dyDescent="0.3">
      <c r="A807" t="s">
        <v>175</v>
      </c>
      <c r="B807" t="s">
        <v>803</v>
      </c>
      <c r="C807" t="s">
        <v>1355</v>
      </c>
      <c r="D807">
        <f t="shared" si="12"/>
        <v>1</v>
      </c>
      <c r="E807" t="s">
        <v>19</v>
      </c>
      <c r="F807" t="s">
        <v>2303</v>
      </c>
      <c r="G807" t="s">
        <v>326</v>
      </c>
      <c r="N807" s="107"/>
    </row>
    <row r="808" spans="1:14" x14ac:dyDescent="0.3">
      <c r="A808" t="s">
        <v>175</v>
      </c>
      <c r="B808" t="s">
        <v>675</v>
      </c>
      <c r="C808" t="s">
        <v>1386</v>
      </c>
      <c r="D808">
        <f t="shared" si="12"/>
        <v>1</v>
      </c>
      <c r="E808" t="s">
        <v>19</v>
      </c>
      <c r="F808" t="s">
        <v>2344</v>
      </c>
      <c r="G808" t="s">
        <v>326</v>
      </c>
      <c r="N808" s="107"/>
    </row>
    <row r="809" spans="1:14" x14ac:dyDescent="0.3">
      <c r="A809" t="s">
        <v>175</v>
      </c>
      <c r="B809" t="s">
        <v>1005</v>
      </c>
      <c r="C809" t="s">
        <v>1416</v>
      </c>
      <c r="D809">
        <f t="shared" si="12"/>
        <v>1</v>
      </c>
      <c r="E809" t="s">
        <v>19</v>
      </c>
      <c r="F809" t="s">
        <v>1416</v>
      </c>
      <c r="G809" t="s">
        <v>326</v>
      </c>
      <c r="N809" s="107"/>
    </row>
    <row r="810" spans="1:14" x14ac:dyDescent="0.3">
      <c r="A810" t="s">
        <v>175</v>
      </c>
      <c r="B810" t="s">
        <v>1005</v>
      </c>
      <c r="C810" t="s">
        <v>1441</v>
      </c>
      <c r="D810">
        <f t="shared" si="12"/>
        <v>1</v>
      </c>
      <c r="E810" t="s">
        <v>19</v>
      </c>
      <c r="F810" t="s">
        <v>1441</v>
      </c>
      <c r="G810" t="s">
        <v>326</v>
      </c>
      <c r="N810" s="107"/>
    </row>
    <row r="811" spans="1:14" x14ac:dyDescent="0.3">
      <c r="A811" t="s">
        <v>175</v>
      </c>
      <c r="B811" t="s">
        <v>1036</v>
      </c>
      <c r="C811" t="s">
        <v>1445</v>
      </c>
      <c r="D811">
        <f t="shared" si="12"/>
        <v>1</v>
      </c>
      <c r="E811" t="s">
        <v>19</v>
      </c>
      <c r="F811" t="s">
        <v>1445</v>
      </c>
      <c r="G811" t="s">
        <v>326</v>
      </c>
      <c r="N811" s="107"/>
    </row>
    <row r="812" spans="1:14" x14ac:dyDescent="0.3">
      <c r="A812" t="s">
        <v>175</v>
      </c>
      <c r="B812" t="s">
        <v>1037</v>
      </c>
      <c r="C812" t="s">
        <v>1446</v>
      </c>
      <c r="D812">
        <f t="shared" si="12"/>
        <v>1</v>
      </c>
      <c r="E812" t="s">
        <v>19</v>
      </c>
      <c r="F812" t="s">
        <v>1446</v>
      </c>
      <c r="G812" t="s">
        <v>326</v>
      </c>
      <c r="N812" s="107"/>
    </row>
    <row r="813" spans="1:14" x14ac:dyDescent="0.3">
      <c r="A813" t="s">
        <v>175</v>
      </c>
      <c r="B813" t="s">
        <v>697</v>
      </c>
      <c r="C813" t="s">
        <v>1466</v>
      </c>
      <c r="D813">
        <f t="shared" si="12"/>
        <v>1</v>
      </c>
      <c r="E813" t="s">
        <v>19</v>
      </c>
      <c r="F813" t="s">
        <v>2668</v>
      </c>
      <c r="G813" t="s">
        <v>326</v>
      </c>
      <c r="N813" s="107"/>
    </row>
    <row r="814" spans="1:14" x14ac:dyDescent="0.3">
      <c r="A814" t="s">
        <v>175</v>
      </c>
      <c r="B814" t="s">
        <v>566</v>
      </c>
      <c r="C814" t="s">
        <v>1467</v>
      </c>
      <c r="D814">
        <f t="shared" si="12"/>
        <v>1</v>
      </c>
      <c r="E814" t="s">
        <v>19</v>
      </c>
      <c r="F814" t="s">
        <v>2685</v>
      </c>
      <c r="G814" t="s">
        <v>326</v>
      </c>
      <c r="N814" s="107"/>
    </row>
    <row r="815" spans="1:14" x14ac:dyDescent="0.3">
      <c r="A815" t="s">
        <v>175</v>
      </c>
      <c r="B815" t="s">
        <v>912</v>
      </c>
      <c r="C815" t="s">
        <v>1483</v>
      </c>
      <c r="D815">
        <f t="shared" si="12"/>
        <v>1</v>
      </c>
      <c r="E815" t="s">
        <v>19</v>
      </c>
      <c r="F815" t="s">
        <v>2702</v>
      </c>
      <c r="G815" t="s">
        <v>326</v>
      </c>
      <c r="N815" s="107"/>
    </row>
    <row r="816" spans="1:14" x14ac:dyDescent="0.3">
      <c r="A816" t="s">
        <v>175</v>
      </c>
      <c r="B816" t="s">
        <v>1097</v>
      </c>
      <c r="C816" t="s">
        <v>1495</v>
      </c>
      <c r="D816">
        <f t="shared" si="12"/>
        <v>1</v>
      </c>
      <c r="E816" t="s">
        <v>19</v>
      </c>
      <c r="F816" t="s">
        <v>2742</v>
      </c>
      <c r="G816" t="s">
        <v>326</v>
      </c>
      <c r="N816" s="107"/>
    </row>
    <row r="817" spans="1:14" x14ac:dyDescent="0.3">
      <c r="A817" t="s">
        <v>175</v>
      </c>
      <c r="B817" t="s">
        <v>1098</v>
      </c>
      <c r="C817" t="s">
        <v>1495</v>
      </c>
      <c r="D817">
        <f t="shared" si="12"/>
        <v>1</v>
      </c>
      <c r="E817" t="s">
        <v>19</v>
      </c>
      <c r="F817" t="s">
        <v>2743</v>
      </c>
      <c r="G817" t="s">
        <v>326</v>
      </c>
      <c r="N817" s="107"/>
    </row>
    <row r="818" spans="1:14" x14ac:dyDescent="0.3">
      <c r="A818" t="s">
        <v>175</v>
      </c>
      <c r="B818" t="s">
        <v>675</v>
      </c>
      <c r="C818" t="s">
        <v>1519</v>
      </c>
      <c r="D818">
        <f t="shared" si="12"/>
        <v>1</v>
      </c>
      <c r="E818" t="s">
        <v>19</v>
      </c>
      <c r="F818" t="s">
        <v>1519</v>
      </c>
      <c r="G818" t="s">
        <v>326</v>
      </c>
      <c r="N818" s="107"/>
    </row>
    <row r="819" spans="1:14" x14ac:dyDescent="0.3">
      <c r="A819" t="s">
        <v>175</v>
      </c>
      <c r="B819" t="s">
        <v>1005</v>
      </c>
      <c r="C819" t="s">
        <v>1520</v>
      </c>
      <c r="D819">
        <f t="shared" si="12"/>
        <v>1</v>
      </c>
      <c r="E819" t="s">
        <v>19</v>
      </c>
      <c r="F819" t="s">
        <v>2822</v>
      </c>
      <c r="G819" t="s">
        <v>326</v>
      </c>
      <c r="N819" s="107"/>
    </row>
    <row r="820" spans="1:14" x14ac:dyDescent="0.3">
      <c r="A820" t="s">
        <v>175</v>
      </c>
      <c r="B820" t="s">
        <v>501</v>
      </c>
      <c r="C820" t="s">
        <v>1520</v>
      </c>
      <c r="D820">
        <f t="shared" si="12"/>
        <v>1</v>
      </c>
      <c r="E820" t="s">
        <v>19</v>
      </c>
      <c r="F820" t="s">
        <v>2823</v>
      </c>
      <c r="G820" t="s">
        <v>326</v>
      </c>
      <c r="N820" s="107"/>
    </row>
    <row r="821" spans="1:14" x14ac:dyDescent="0.3">
      <c r="A821" t="s">
        <v>175</v>
      </c>
      <c r="B821" t="s">
        <v>1126</v>
      </c>
      <c r="C821" t="s">
        <v>1520</v>
      </c>
      <c r="D821">
        <f t="shared" si="12"/>
        <v>1</v>
      </c>
      <c r="E821" t="s">
        <v>19</v>
      </c>
      <c r="F821" t="s">
        <v>2824</v>
      </c>
      <c r="G821" t="s">
        <v>326</v>
      </c>
      <c r="N821" s="107"/>
    </row>
    <row r="822" spans="1:14" x14ac:dyDescent="0.3">
      <c r="A822" t="s">
        <v>175</v>
      </c>
      <c r="B822" t="s">
        <v>1128</v>
      </c>
      <c r="C822" t="s">
        <v>1528</v>
      </c>
      <c r="D822">
        <f t="shared" si="12"/>
        <v>1</v>
      </c>
      <c r="E822" t="s">
        <v>19</v>
      </c>
      <c r="F822" t="s">
        <v>1528</v>
      </c>
      <c r="G822" t="s">
        <v>326</v>
      </c>
      <c r="N822" s="107"/>
    </row>
    <row r="823" spans="1:14" x14ac:dyDescent="0.3">
      <c r="A823" t="s">
        <v>175</v>
      </c>
      <c r="B823" t="s">
        <v>1133</v>
      </c>
      <c r="C823" t="s">
        <v>1535</v>
      </c>
      <c r="D823">
        <f t="shared" si="12"/>
        <v>1</v>
      </c>
      <c r="E823" t="s">
        <v>19</v>
      </c>
      <c r="F823" t="s">
        <v>1535</v>
      </c>
      <c r="G823" t="s">
        <v>326</v>
      </c>
      <c r="N823" s="107"/>
    </row>
    <row r="824" spans="1:14" x14ac:dyDescent="0.3">
      <c r="A824" t="s">
        <v>176</v>
      </c>
      <c r="B824" t="s">
        <v>561</v>
      </c>
      <c r="C824" t="s">
        <v>1166</v>
      </c>
      <c r="D824">
        <f t="shared" si="12"/>
        <v>1</v>
      </c>
      <c r="E824" t="s">
        <v>19</v>
      </c>
      <c r="F824" t="s">
        <v>1736</v>
      </c>
      <c r="G824" t="s">
        <v>326</v>
      </c>
      <c r="N824" s="107"/>
    </row>
    <row r="825" spans="1:14" x14ac:dyDescent="0.3">
      <c r="A825" t="s">
        <v>176</v>
      </c>
      <c r="B825" t="s">
        <v>506</v>
      </c>
      <c r="C825" t="s">
        <v>1168</v>
      </c>
      <c r="D825">
        <f t="shared" si="12"/>
        <v>1</v>
      </c>
      <c r="E825" t="s">
        <v>19</v>
      </c>
      <c r="F825" t="s">
        <v>1755</v>
      </c>
      <c r="G825" t="s">
        <v>326</v>
      </c>
      <c r="N825" s="107"/>
    </row>
    <row r="826" spans="1:14" x14ac:dyDescent="0.3">
      <c r="A826" t="s">
        <v>176</v>
      </c>
      <c r="B826" t="s">
        <v>561</v>
      </c>
      <c r="C826" t="s">
        <v>1171</v>
      </c>
      <c r="D826">
        <f t="shared" si="12"/>
        <v>1</v>
      </c>
      <c r="E826" t="s">
        <v>19</v>
      </c>
      <c r="F826" t="s">
        <v>1171</v>
      </c>
      <c r="G826" t="s">
        <v>326</v>
      </c>
      <c r="N826" s="107"/>
    </row>
    <row r="827" spans="1:14" x14ac:dyDescent="0.3">
      <c r="A827" t="s">
        <v>176</v>
      </c>
      <c r="B827" t="s">
        <v>561</v>
      </c>
      <c r="C827" t="s">
        <v>1179</v>
      </c>
      <c r="D827">
        <f t="shared" si="12"/>
        <v>1</v>
      </c>
      <c r="E827" t="s">
        <v>19</v>
      </c>
      <c r="F827" t="s">
        <v>1793</v>
      </c>
      <c r="G827" t="s">
        <v>326</v>
      </c>
      <c r="N827" s="107"/>
    </row>
    <row r="828" spans="1:14" x14ac:dyDescent="0.3">
      <c r="A828" t="s">
        <v>176</v>
      </c>
      <c r="B828" t="s">
        <v>505</v>
      </c>
      <c r="C828" t="s">
        <v>1199</v>
      </c>
      <c r="D828">
        <f t="shared" si="12"/>
        <v>1</v>
      </c>
      <c r="E828" t="s">
        <v>19</v>
      </c>
      <c r="F828" t="s">
        <v>1199</v>
      </c>
      <c r="G828" t="s">
        <v>326</v>
      </c>
      <c r="N828" s="107"/>
    </row>
    <row r="829" spans="1:14" x14ac:dyDescent="0.3">
      <c r="A829" t="s">
        <v>176</v>
      </c>
      <c r="B829" t="s">
        <v>574</v>
      </c>
      <c r="C829" t="s">
        <v>1203</v>
      </c>
      <c r="D829">
        <f t="shared" si="12"/>
        <v>1</v>
      </c>
      <c r="E829" t="s">
        <v>19</v>
      </c>
      <c r="F829" t="s">
        <v>1203</v>
      </c>
      <c r="G829" t="s">
        <v>326</v>
      </c>
      <c r="N829" s="107"/>
    </row>
    <row r="830" spans="1:14" x14ac:dyDescent="0.3">
      <c r="A830" t="s">
        <v>176</v>
      </c>
      <c r="B830" t="s">
        <v>506</v>
      </c>
      <c r="C830" t="s">
        <v>1204</v>
      </c>
      <c r="D830">
        <f t="shared" si="12"/>
        <v>1</v>
      </c>
      <c r="E830" t="s">
        <v>19</v>
      </c>
      <c r="F830" t="s">
        <v>1204</v>
      </c>
      <c r="G830" t="s">
        <v>326</v>
      </c>
      <c r="N830" s="107"/>
    </row>
    <row r="831" spans="1:14" x14ac:dyDescent="0.3">
      <c r="A831" t="s">
        <v>176</v>
      </c>
      <c r="B831" t="s">
        <v>561</v>
      </c>
      <c r="C831" t="s">
        <v>1231</v>
      </c>
      <c r="D831">
        <f t="shared" si="12"/>
        <v>1</v>
      </c>
      <c r="E831" t="s">
        <v>19</v>
      </c>
      <c r="F831" t="s">
        <v>1974</v>
      </c>
      <c r="G831" t="s">
        <v>326</v>
      </c>
      <c r="N831" s="107"/>
    </row>
    <row r="832" spans="1:14" x14ac:dyDescent="0.3">
      <c r="A832" t="s">
        <v>176</v>
      </c>
      <c r="B832" t="s">
        <v>734</v>
      </c>
      <c r="C832" t="s">
        <v>1237</v>
      </c>
      <c r="D832">
        <f t="shared" si="12"/>
        <v>1</v>
      </c>
      <c r="E832" t="s">
        <v>19</v>
      </c>
      <c r="F832" t="s">
        <v>2003</v>
      </c>
      <c r="G832" t="s">
        <v>326</v>
      </c>
      <c r="N832" s="107"/>
    </row>
    <row r="833" spans="1:14" x14ac:dyDescent="0.3">
      <c r="A833" t="s">
        <v>176</v>
      </c>
      <c r="B833" t="s">
        <v>506</v>
      </c>
      <c r="C833" t="s">
        <v>1237</v>
      </c>
      <c r="D833">
        <f t="shared" si="12"/>
        <v>1</v>
      </c>
      <c r="E833" t="s">
        <v>19</v>
      </c>
      <c r="F833" t="s">
        <v>2004</v>
      </c>
      <c r="G833" t="s">
        <v>326</v>
      </c>
      <c r="N833" s="107"/>
    </row>
    <row r="834" spans="1:14" x14ac:dyDescent="0.3">
      <c r="A834" t="s">
        <v>176</v>
      </c>
      <c r="B834" t="s">
        <v>505</v>
      </c>
      <c r="C834" t="s">
        <v>1237</v>
      </c>
      <c r="D834">
        <f t="shared" ref="D834:D897" si="13">SIGN(SUBTOTAL(3,E834))</f>
        <v>1</v>
      </c>
      <c r="E834" t="s">
        <v>19</v>
      </c>
      <c r="F834" t="s">
        <v>2008</v>
      </c>
      <c r="G834" t="s">
        <v>326</v>
      </c>
      <c r="N834" s="107"/>
    </row>
    <row r="835" spans="1:14" x14ac:dyDescent="0.3">
      <c r="A835" t="s">
        <v>176</v>
      </c>
      <c r="B835" t="s">
        <v>505</v>
      </c>
      <c r="C835" t="s">
        <v>1237</v>
      </c>
      <c r="D835">
        <f t="shared" si="13"/>
        <v>1</v>
      </c>
      <c r="E835" t="s">
        <v>19</v>
      </c>
      <c r="F835" t="s">
        <v>2009</v>
      </c>
      <c r="G835" t="s">
        <v>326</v>
      </c>
      <c r="N835" s="107"/>
    </row>
    <row r="836" spans="1:14" x14ac:dyDescent="0.3">
      <c r="A836" t="s">
        <v>176</v>
      </c>
      <c r="B836" t="s">
        <v>506</v>
      </c>
      <c r="C836" t="s">
        <v>1237</v>
      </c>
      <c r="D836">
        <f t="shared" si="13"/>
        <v>1</v>
      </c>
      <c r="E836" t="s">
        <v>19</v>
      </c>
      <c r="F836" t="s">
        <v>2014</v>
      </c>
      <c r="G836" t="s">
        <v>326</v>
      </c>
      <c r="N836" s="107"/>
    </row>
    <row r="837" spans="1:14" x14ac:dyDescent="0.3">
      <c r="A837" t="s">
        <v>176</v>
      </c>
      <c r="B837" t="s">
        <v>505</v>
      </c>
      <c r="C837" t="s">
        <v>1249</v>
      </c>
      <c r="D837">
        <f t="shared" si="13"/>
        <v>1</v>
      </c>
      <c r="E837" t="s">
        <v>19</v>
      </c>
      <c r="F837" t="s">
        <v>2031</v>
      </c>
      <c r="G837" t="s">
        <v>326</v>
      </c>
      <c r="N837" s="107"/>
    </row>
    <row r="838" spans="1:14" x14ac:dyDescent="0.3">
      <c r="A838" t="s">
        <v>176</v>
      </c>
      <c r="B838" t="s">
        <v>506</v>
      </c>
      <c r="C838" t="s">
        <v>1253</v>
      </c>
      <c r="D838">
        <f t="shared" si="13"/>
        <v>1</v>
      </c>
      <c r="E838" t="s">
        <v>19</v>
      </c>
      <c r="F838" t="s">
        <v>1253</v>
      </c>
      <c r="G838" t="s">
        <v>326</v>
      </c>
      <c r="N838" s="107"/>
    </row>
    <row r="839" spans="1:14" x14ac:dyDescent="0.3">
      <c r="A839" t="s">
        <v>176</v>
      </c>
      <c r="B839" t="s">
        <v>795</v>
      </c>
      <c r="C839" t="s">
        <v>1284</v>
      </c>
      <c r="D839">
        <f t="shared" si="13"/>
        <v>1</v>
      </c>
      <c r="E839" t="s">
        <v>19</v>
      </c>
      <c r="F839" t="s">
        <v>2097</v>
      </c>
      <c r="G839" t="s">
        <v>326</v>
      </c>
      <c r="N839" s="107"/>
    </row>
    <row r="840" spans="1:14" x14ac:dyDescent="0.3">
      <c r="A840" t="s">
        <v>176</v>
      </c>
      <c r="B840" t="s">
        <v>734</v>
      </c>
      <c r="C840" t="s">
        <v>1297</v>
      </c>
      <c r="D840">
        <f t="shared" si="13"/>
        <v>1</v>
      </c>
      <c r="E840" t="s">
        <v>19</v>
      </c>
      <c r="F840" t="s">
        <v>2158</v>
      </c>
      <c r="G840" t="s">
        <v>326</v>
      </c>
      <c r="N840" s="107"/>
    </row>
    <row r="841" spans="1:14" x14ac:dyDescent="0.3">
      <c r="A841" t="s">
        <v>176</v>
      </c>
      <c r="B841" t="s">
        <v>830</v>
      </c>
      <c r="C841" t="s">
        <v>1302</v>
      </c>
      <c r="D841">
        <f t="shared" si="13"/>
        <v>1</v>
      </c>
      <c r="E841" t="s">
        <v>19</v>
      </c>
      <c r="F841" t="s">
        <v>2170</v>
      </c>
      <c r="G841" t="s">
        <v>326</v>
      </c>
      <c r="N841" s="107"/>
    </row>
    <row r="842" spans="1:14" x14ac:dyDescent="0.3">
      <c r="A842" t="s">
        <v>176</v>
      </c>
      <c r="B842" t="s">
        <v>836</v>
      </c>
      <c r="C842" t="s">
        <v>1305</v>
      </c>
      <c r="D842">
        <f t="shared" si="13"/>
        <v>1</v>
      </c>
      <c r="E842" t="s">
        <v>19</v>
      </c>
      <c r="F842" t="s">
        <v>2179</v>
      </c>
      <c r="G842" t="s">
        <v>326</v>
      </c>
      <c r="N842" s="107"/>
    </row>
    <row r="843" spans="1:14" x14ac:dyDescent="0.3">
      <c r="A843" t="s">
        <v>176</v>
      </c>
      <c r="B843" t="s">
        <v>887</v>
      </c>
      <c r="C843" t="s">
        <v>1328</v>
      </c>
      <c r="D843">
        <f t="shared" si="13"/>
        <v>1</v>
      </c>
      <c r="E843" t="s">
        <v>19</v>
      </c>
      <c r="F843" t="s">
        <v>1328</v>
      </c>
      <c r="G843" t="s">
        <v>326</v>
      </c>
      <c r="N843" s="107"/>
    </row>
    <row r="844" spans="1:14" x14ac:dyDescent="0.3">
      <c r="A844" t="s">
        <v>176</v>
      </c>
      <c r="B844" t="s">
        <v>734</v>
      </c>
      <c r="C844" t="s">
        <v>1396</v>
      </c>
      <c r="D844">
        <f t="shared" si="13"/>
        <v>1</v>
      </c>
      <c r="E844" t="s">
        <v>19</v>
      </c>
      <c r="F844" t="s">
        <v>2365</v>
      </c>
      <c r="G844" t="s">
        <v>326</v>
      </c>
      <c r="N844" s="107"/>
    </row>
    <row r="845" spans="1:14" x14ac:dyDescent="0.3">
      <c r="A845" t="s">
        <v>176</v>
      </c>
      <c r="B845" t="s">
        <v>506</v>
      </c>
      <c r="C845" t="s">
        <v>1396</v>
      </c>
      <c r="D845">
        <f t="shared" si="13"/>
        <v>1</v>
      </c>
      <c r="E845" t="s">
        <v>19</v>
      </c>
      <c r="F845" t="s">
        <v>2367</v>
      </c>
      <c r="G845" t="s">
        <v>326</v>
      </c>
      <c r="N845" s="107"/>
    </row>
    <row r="846" spans="1:14" x14ac:dyDescent="0.3">
      <c r="A846" t="s">
        <v>176</v>
      </c>
      <c r="B846" t="s">
        <v>505</v>
      </c>
      <c r="C846" t="s">
        <v>1396</v>
      </c>
      <c r="D846">
        <f t="shared" si="13"/>
        <v>1</v>
      </c>
      <c r="E846" t="s">
        <v>19</v>
      </c>
      <c r="F846" t="s">
        <v>2372</v>
      </c>
      <c r="G846" t="s">
        <v>326</v>
      </c>
      <c r="N846" s="107"/>
    </row>
    <row r="847" spans="1:14" x14ac:dyDescent="0.3">
      <c r="A847" t="s">
        <v>176</v>
      </c>
      <c r="B847" t="s">
        <v>505</v>
      </c>
      <c r="C847" t="s">
        <v>1396</v>
      </c>
      <c r="D847">
        <f t="shared" si="13"/>
        <v>1</v>
      </c>
      <c r="E847" t="s">
        <v>19</v>
      </c>
      <c r="F847" t="s">
        <v>2373</v>
      </c>
      <c r="G847" t="s">
        <v>326</v>
      </c>
      <c r="N847" s="107"/>
    </row>
    <row r="848" spans="1:14" x14ac:dyDescent="0.3">
      <c r="A848" t="s">
        <v>176</v>
      </c>
      <c r="B848" t="s">
        <v>506</v>
      </c>
      <c r="C848" t="s">
        <v>1396</v>
      </c>
      <c r="D848">
        <f t="shared" si="13"/>
        <v>1</v>
      </c>
      <c r="E848" t="s">
        <v>19</v>
      </c>
      <c r="F848" t="s">
        <v>2374</v>
      </c>
      <c r="G848" t="s">
        <v>326</v>
      </c>
      <c r="N848" s="107"/>
    </row>
    <row r="849" spans="1:14" x14ac:dyDescent="0.3">
      <c r="A849" t="s">
        <v>176</v>
      </c>
      <c r="B849" t="s">
        <v>734</v>
      </c>
      <c r="C849" t="s">
        <v>1396</v>
      </c>
      <c r="D849">
        <f t="shared" si="13"/>
        <v>1</v>
      </c>
      <c r="E849" t="s">
        <v>19</v>
      </c>
      <c r="F849" t="s">
        <v>2375</v>
      </c>
      <c r="G849" t="s">
        <v>326</v>
      </c>
      <c r="N849" s="107"/>
    </row>
    <row r="850" spans="1:14" x14ac:dyDescent="0.3">
      <c r="A850" t="s">
        <v>176</v>
      </c>
      <c r="B850" t="s">
        <v>505</v>
      </c>
      <c r="C850" t="s">
        <v>1396</v>
      </c>
      <c r="D850">
        <f t="shared" si="13"/>
        <v>1</v>
      </c>
      <c r="E850" t="s">
        <v>19</v>
      </c>
      <c r="F850" t="s">
        <v>2376</v>
      </c>
      <c r="G850" t="s">
        <v>326</v>
      </c>
      <c r="N850" s="107"/>
    </row>
    <row r="851" spans="1:14" x14ac:dyDescent="0.3">
      <c r="A851" t="s">
        <v>176</v>
      </c>
      <c r="B851" t="s">
        <v>734</v>
      </c>
      <c r="C851" t="s">
        <v>1396</v>
      </c>
      <c r="D851">
        <f t="shared" si="13"/>
        <v>1</v>
      </c>
      <c r="E851" t="s">
        <v>19</v>
      </c>
      <c r="F851" t="s">
        <v>2377</v>
      </c>
      <c r="G851" t="s">
        <v>326</v>
      </c>
      <c r="N851" s="107"/>
    </row>
    <row r="852" spans="1:14" x14ac:dyDescent="0.3">
      <c r="A852" t="s">
        <v>176</v>
      </c>
      <c r="B852" t="s">
        <v>734</v>
      </c>
      <c r="C852" t="s">
        <v>1396</v>
      </c>
      <c r="D852">
        <f t="shared" si="13"/>
        <v>1</v>
      </c>
      <c r="E852" t="s">
        <v>19</v>
      </c>
      <c r="F852" t="s">
        <v>2378</v>
      </c>
      <c r="G852" t="s">
        <v>326</v>
      </c>
      <c r="N852" s="107"/>
    </row>
    <row r="853" spans="1:14" x14ac:dyDescent="0.3">
      <c r="A853" t="s">
        <v>176</v>
      </c>
      <c r="B853" t="s">
        <v>561</v>
      </c>
      <c r="C853" t="s">
        <v>1400</v>
      </c>
      <c r="D853">
        <f t="shared" si="13"/>
        <v>1</v>
      </c>
      <c r="E853" t="s">
        <v>19</v>
      </c>
      <c r="F853" t="s">
        <v>1400</v>
      </c>
      <c r="G853" t="s">
        <v>326</v>
      </c>
      <c r="N853" s="107"/>
    </row>
    <row r="854" spans="1:14" x14ac:dyDescent="0.3">
      <c r="A854" t="s">
        <v>176</v>
      </c>
      <c r="B854" t="s">
        <v>734</v>
      </c>
      <c r="C854" t="s">
        <v>1418</v>
      </c>
      <c r="D854">
        <f t="shared" si="13"/>
        <v>1</v>
      </c>
      <c r="E854" t="s">
        <v>19</v>
      </c>
      <c r="F854" t="s">
        <v>2514</v>
      </c>
      <c r="G854" t="s">
        <v>326</v>
      </c>
      <c r="N854" s="107"/>
    </row>
    <row r="855" spans="1:14" x14ac:dyDescent="0.3">
      <c r="A855" t="s">
        <v>176</v>
      </c>
      <c r="B855" t="s">
        <v>734</v>
      </c>
      <c r="C855" t="s">
        <v>1418</v>
      </c>
      <c r="D855">
        <f t="shared" si="13"/>
        <v>1</v>
      </c>
      <c r="E855" t="s">
        <v>19</v>
      </c>
      <c r="F855" t="s">
        <v>2516</v>
      </c>
      <c r="G855" t="s">
        <v>326</v>
      </c>
      <c r="N855" s="107"/>
    </row>
    <row r="856" spans="1:14" x14ac:dyDescent="0.3">
      <c r="A856" t="s">
        <v>176</v>
      </c>
      <c r="B856" t="s">
        <v>505</v>
      </c>
      <c r="C856" t="s">
        <v>1418</v>
      </c>
      <c r="D856">
        <f t="shared" si="13"/>
        <v>1</v>
      </c>
      <c r="E856" t="s">
        <v>19</v>
      </c>
      <c r="F856" t="s">
        <v>2518</v>
      </c>
      <c r="G856" t="s">
        <v>326</v>
      </c>
      <c r="N856" s="107"/>
    </row>
    <row r="857" spans="1:14" x14ac:dyDescent="0.3">
      <c r="A857" t="s">
        <v>176</v>
      </c>
      <c r="B857" t="s">
        <v>505</v>
      </c>
      <c r="C857" t="s">
        <v>1428</v>
      </c>
      <c r="D857">
        <f t="shared" si="13"/>
        <v>1</v>
      </c>
      <c r="E857" t="s">
        <v>19</v>
      </c>
      <c r="F857" t="s">
        <v>2560</v>
      </c>
      <c r="G857" t="s">
        <v>326</v>
      </c>
      <c r="N857" s="107"/>
    </row>
    <row r="858" spans="1:14" x14ac:dyDescent="0.3">
      <c r="A858" t="s">
        <v>176</v>
      </c>
      <c r="B858" t="s">
        <v>734</v>
      </c>
      <c r="C858" t="s">
        <v>1466</v>
      </c>
      <c r="D858">
        <f t="shared" si="13"/>
        <v>1</v>
      </c>
      <c r="E858" t="s">
        <v>19</v>
      </c>
      <c r="F858" t="s">
        <v>2660</v>
      </c>
      <c r="G858" t="s">
        <v>326</v>
      </c>
      <c r="N858" s="107"/>
    </row>
    <row r="859" spans="1:14" x14ac:dyDescent="0.3">
      <c r="A859" t="s">
        <v>176</v>
      </c>
      <c r="B859" t="s">
        <v>505</v>
      </c>
      <c r="C859" t="s">
        <v>1466</v>
      </c>
      <c r="D859">
        <f t="shared" si="13"/>
        <v>1</v>
      </c>
      <c r="E859" t="s">
        <v>19</v>
      </c>
      <c r="F859" t="s">
        <v>2674</v>
      </c>
      <c r="G859" t="s">
        <v>326</v>
      </c>
      <c r="N859" s="107"/>
    </row>
    <row r="860" spans="1:14" x14ac:dyDescent="0.3">
      <c r="A860" t="s">
        <v>176</v>
      </c>
      <c r="B860" t="s">
        <v>506</v>
      </c>
      <c r="C860" t="s">
        <v>1487</v>
      </c>
      <c r="D860">
        <f t="shared" si="13"/>
        <v>1</v>
      </c>
      <c r="E860" t="s">
        <v>19</v>
      </c>
      <c r="F860" t="s">
        <v>2712</v>
      </c>
      <c r="G860" t="s">
        <v>326</v>
      </c>
      <c r="N860" s="107"/>
    </row>
    <row r="861" spans="1:14" x14ac:dyDescent="0.3">
      <c r="A861" t="s">
        <v>176</v>
      </c>
      <c r="B861" t="s">
        <v>836</v>
      </c>
      <c r="C861" t="s">
        <v>1487</v>
      </c>
      <c r="D861">
        <f t="shared" si="13"/>
        <v>1</v>
      </c>
      <c r="E861" t="s">
        <v>19</v>
      </c>
      <c r="F861" t="s">
        <v>2720</v>
      </c>
      <c r="G861" t="s">
        <v>326</v>
      </c>
      <c r="N861" s="107"/>
    </row>
    <row r="862" spans="1:14" x14ac:dyDescent="0.3">
      <c r="A862" t="s">
        <v>176</v>
      </c>
      <c r="B862" t="s">
        <v>505</v>
      </c>
      <c r="C862" t="s">
        <v>1487</v>
      </c>
      <c r="D862">
        <f t="shared" si="13"/>
        <v>1</v>
      </c>
      <c r="E862" t="s">
        <v>19</v>
      </c>
      <c r="F862" t="s">
        <v>2722</v>
      </c>
      <c r="G862" t="s">
        <v>326</v>
      </c>
      <c r="N862" s="107"/>
    </row>
    <row r="863" spans="1:14" x14ac:dyDescent="0.3">
      <c r="A863" t="s">
        <v>176</v>
      </c>
      <c r="B863" t="s">
        <v>1091</v>
      </c>
      <c r="C863" t="s">
        <v>1487</v>
      </c>
      <c r="D863">
        <f t="shared" si="13"/>
        <v>1</v>
      </c>
      <c r="E863" t="s">
        <v>19</v>
      </c>
      <c r="F863" t="s">
        <v>2727</v>
      </c>
      <c r="G863" t="s">
        <v>326</v>
      </c>
      <c r="N863" s="107"/>
    </row>
    <row r="864" spans="1:14" x14ac:dyDescent="0.3">
      <c r="A864" t="s">
        <v>176</v>
      </c>
      <c r="B864" t="s">
        <v>505</v>
      </c>
      <c r="C864" t="s">
        <v>1487</v>
      </c>
      <c r="D864">
        <f t="shared" si="13"/>
        <v>1</v>
      </c>
      <c r="E864" t="s">
        <v>19</v>
      </c>
      <c r="F864" t="s">
        <v>2731</v>
      </c>
      <c r="G864" t="s">
        <v>326</v>
      </c>
      <c r="N864" s="107"/>
    </row>
    <row r="865" spans="1:14" x14ac:dyDescent="0.3">
      <c r="A865" t="s">
        <v>176</v>
      </c>
      <c r="B865" t="s">
        <v>506</v>
      </c>
      <c r="C865" t="s">
        <v>1508</v>
      </c>
      <c r="D865">
        <f t="shared" si="13"/>
        <v>1</v>
      </c>
      <c r="E865" t="s">
        <v>19</v>
      </c>
      <c r="F865" t="s">
        <v>1508</v>
      </c>
      <c r="G865" t="s">
        <v>326</v>
      </c>
      <c r="N865" s="107"/>
    </row>
    <row r="866" spans="1:14" x14ac:dyDescent="0.3">
      <c r="A866" t="s">
        <v>176</v>
      </c>
      <c r="B866" t="s">
        <v>505</v>
      </c>
      <c r="C866" t="s">
        <v>1513</v>
      </c>
      <c r="D866">
        <f t="shared" si="13"/>
        <v>1</v>
      </c>
      <c r="E866" t="s">
        <v>19</v>
      </c>
      <c r="F866" t="s">
        <v>2779</v>
      </c>
      <c r="G866" t="s">
        <v>326</v>
      </c>
      <c r="N866" s="107"/>
    </row>
    <row r="867" spans="1:14" x14ac:dyDescent="0.3">
      <c r="A867" t="s">
        <v>176</v>
      </c>
      <c r="B867" t="s">
        <v>506</v>
      </c>
      <c r="C867" t="s">
        <v>1513</v>
      </c>
      <c r="D867">
        <f t="shared" si="13"/>
        <v>1</v>
      </c>
      <c r="E867" t="s">
        <v>19</v>
      </c>
      <c r="F867" t="s">
        <v>2780</v>
      </c>
      <c r="G867" t="s">
        <v>326</v>
      </c>
      <c r="N867" s="107"/>
    </row>
    <row r="868" spans="1:14" x14ac:dyDescent="0.3">
      <c r="A868" t="s">
        <v>176</v>
      </c>
      <c r="B868" t="s">
        <v>734</v>
      </c>
      <c r="C868" t="s">
        <v>1513</v>
      </c>
      <c r="D868">
        <f t="shared" si="13"/>
        <v>1</v>
      </c>
      <c r="E868" t="s">
        <v>19</v>
      </c>
      <c r="F868" t="s">
        <v>2781</v>
      </c>
      <c r="G868" t="s">
        <v>326</v>
      </c>
      <c r="N868" s="107"/>
    </row>
    <row r="869" spans="1:14" x14ac:dyDescent="0.3">
      <c r="A869" t="s">
        <v>177</v>
      </c>
      <c r="B869" t="s">
        <v>617</v>
      </c>
      <c r="C869" t="s">
        <v>1183</v>
      </c>
      <c r="D869">
        <f t="shared" si="13"/>
        <v>1</v>
      </c>
      <c r="E869" t="s">
        <v>19</v>
      </c>
      <c r="F869" t="s">
        <v>1816</v>
      </c>
      <c r="G869" t="s">
        <v>326</v>
      </c>
      <c r="N869" s="107"/>
    </row>
    <row r="870" spans="1:14" x14ac:dyDescent="0.3">
      <c r="A870" t="s">
        <v>177</v>
      </c>
      <c r="B870" t="s">
        <v>739</v>
      </c>
      <c r="C870" t="s">
        <v>1242</v>
      </c>
      <c r="D870">
        <f t="shared" si="13"/>
        <v>1</v>
      </c>
      <c r="E870" t="s">
        <v>19</v>
      </c>
      <c r="F870" t="s">
        <v>2020</v>
      </c>
      <c r="G870" t="s">
        <v>326</v>
      </c>
      <c r="N870" s="107"/>
    </row>
    <row r="871" spans="1:14" x14ac:dyDescent="0.3">
      <c r="A871" t="s">
        <v>177</v>
      </c>
      <c r="B871" t="s">
        <v>508</v>
      </c>
      <c r="C871" t="s">
        <v>1408</v>
      </c>
      <c r="D871">
        <f t="shared" si="13"/>
        <v>1</v>
      </c>
      <c r="E871" t="s">
        <v>19</v>
      </c>
      <c r="F871" t="s">
        <v>2396</v>
      </c>
      <c r="G871" t="s">
        <v>326</v>
      </c>
      <c r="N871" s="107"/>
    </row>
    <row r="872" spans="1:14" x14ac:dyDescent="0.3">
      <c r="A872" t="s">
        <v>177</v>
      </c>
      <c r="B872" t="s">
        <v>973</v>
      </c>
      <c r="C872" t="s">
        <v>1408</v>
      </c>
      <c r="D872">
        <f t="shared" si="13"/>
        <v>1</v>
      </c>
      <c r="E872" t="s">
        <v>19</v>
      </c>
      <c r="F872" t="s">
        <v>2413</v>
      </c>
      <c r="G872" t="s">
        <v>326</v>
      </c>
      <c r="N872" s="107"/>
    </row>
    <row r="873" spans="1:14" x14ac:dyDescent="0.3">
      <c r="A873" t="s">
        <v>177</v>
      </c>
      <c r="B873" t="s">
        <v>1045</v>
      </c>
      <c r="C873" t="s">
        <v>1447</v>
      </c>
      <c r="D873">
        <f t="shared" si="13"/>
        <v>1</v>
      </c>
      <c r="E873" t="s">
        <v>19</v>
      </c>
      <c r="F873" t="s">
        <v>2588</v>
      </c>
      <c r="G873" t="s">
        <v>326</v>
      </c>
      <c r="N873" s="107"/>
    </row>
    <row r="874" spans="1:14" x14ac:dyDescent="0.3">
      <c r="A874" t="s">
        <v>177</v>
      </c>
      <c r="B874" t="s">
        <v>1069</v>
      </c>
      <c r="C874" t="s">
        <v>1458</v>
      </c>
      <c r="D874">
        <f t="shared" si="13"/>
        <v>1</v>
      </c>
      <c r="E874" t="s">
        <v>19</v>
      </c>
      <c r="F874" t="s">
        <v>2644</v>
      </c>
      <c r="G874" t="s">
        <v>326</v>
      </c>
      <c r="N874" s="107"/>
    </row>
    <row r="875" spans="1:14" x14ac:dyDescent="0.3">
      <c r="A875" t="s">
        <v>178</v>
      </c>
      <c r="B875" t="s">
        <v>542</v>
      </c>
      <c r="C875" t="s">
        <v>1140</v>
      </c>
      <c r="D875">
        <f t="shared" si="13"/>
        <v>1</v>
      </c>
      <c r="E875" t="s">
        <v>19</v>
      </c>
      <c r="F875" t="s">
        <v>1732</v>
      </c>
      <c r="G875" t="s">
        <v>326</v>
      </c>
      <c r="N875" s="107"/>
    </row>
    <row r="876" spans="1:14" x14ac:dyDescent="0.3">
      <c r="A876" t="s">
        <v>178</v>
      </c>
      <c r="B876" t="s">
        <v>510</v>
      </c>
      <c r="C876" t="s">
        <v>1219</v>
      </c>
      <c r="D876">
        <f t="shared" si="13"/>
        <v>1</v>
      </c>
      <c r="E876" t="s">
        <v>19</v>
      </c>
      <c r="F876" t="s">
        <v>1219</v>
      </c>
      <c r="G876" t="s">
        <v>326</v>
      </c>
      <c r="N876" s="107"/>
    </row>
    <row r="877" spans="1:14" x14ac:dyDescent="0.3">
      <c r="A877" t="s">
        <v>178</v>
      </c>
      <c r="B877" t="s">
        <v>542</v>
      </c>
      <c r="C877" t="s">
        <v>1231</v>
      </c>
      <c r="D877">
        <f t="shared" si="13"/>
        <v>1</v>
      </c>
      <c r="E877" t="s">
        <v>19</v>
      </c>
      <c r="F877" t="s">
        <v>1904</v>
      </c>
      <c r="G877" t="s">
        <v>326</v>
      </c>
      <c r="N877" s="107"/>
    </row>
    <row r="878" spans="1:14" x14ac:dyDescent="0.3">
      <c r="A878" t="s">
        <v>178</v>
      </c>
      <c r="B878" t="s">
        <v>689</v>
      </c>
      <c r="C878" t="s">
        <v>1231</v>
      </c>
      <c r="D878">
        <f t="shared" si="13"/>
        <v>1</v>
      </c>
      <c r="E878" t="s">
        <v>19</v>
      </c>
      <c r="F878" t="s">
        <v>1909</v>
      </c>
      <c r="G878" t="s">
        <v>326</v>
      </c>
      <c r="N878" s="107"/>
    </row>
    <row r="879" spans="1:14" x14ac:dyDescent="0.3">
      <c r="A879" t="s">
        <v>178</v>
      </c>
      <c r="B879" t="s">
        <v>690</v>
      </c>
      <c r="C879" t="s">
        <v>1231</v>
      </c>
      <c r="D879">
        <f t="shared" si="13"/>
        <v>1</v>
      </c>
      <c r="E879" t="s">
        <v>19</v>
      </c>
      <c r="F879" t="s">
        <v>1910</v>
      </c>
      <c r="G879" t="s">
        <v>326</v>
      </c>
      <c r="N879" s="107"/>
    </row>
    <row r="880" spans="1:14" x14ac:dyDescent="0.3">
      <c r="A880" t="s">
        <v>178</v>
      </c>
      <c r="B880" t="s">
        <v>509</v>
      </c>
      <c r="C880" t="s">
        <v>1231</v>
      </c>
      <c r="D880">
        <f t="shared" si="13"/>
        <v>1</v>
      </c>
      <c r="E880" t="s">
        <v>19</v>
      </c>
      <c r="F880" t="s">
        <v>1912</v>
      </c>
      <c r="G880" t="s">
        <v>326</v>
      </c>
      <c r="N880" s="107"/>
    </row>
    <row r="881" spans="1:14" x14ac:dyDescent="0.3">
      <c r="A881" t="s">
        <v>178</v>
      </c>
      <c r="B881" t="s">
        <v>510</v>
      </c>
      <c r="C881" t="s">
        <v>1231</v>
      </c>
      <c r="D881">
        <f t="shared" si="13"/>
        <v>1</v>
      </c>
      <c r="E881" t="s">
        <v>19</v>
      </c>
      <c r="F881" t="s">
        <v>1915</v>
      </c>
      <c r="G881" t="s">
        <v>326</v>
      </c>
      <c r="N881" s="107"/>
    </row>
    <row r="882" spans="1:14" x14ac:dyDescent="0.3">
      <c r="A882" t="s">
        <v>178</v>
      </c>
      <c r="B882" t="s">
        <v>689</v>
      </c>
      <c r="C882" t="s">
        <v>1231</v>
      </c>
      <c r="D882">
        <f t="shared" si="13"/>
        <v>1</v>
      </c>
      <c r="E882" t="s">
        <v>19</v>
      </c>
      <c r="F882" t="s">
        <v>1926</v>
      </c>
      <c r="G882" t="s">
        <v>326</v>
      </c>
      <c r="N882" s="107"/>
    </row>
    <row r="883" spans="1:14" x14ac:dyDescent="0.3">
      <c r="A883" t="s">
        <v>178</v>
      </c>
      <c r="B883" t="s">
        <v>709</v>
      </c>
      <c r="C883" t="s">
        <v>1231</v>
      </c>
      <c r="D883">
        <f t="shared" si="13"/>
        <v>1</v>
      </c>
      <c r="E883" t="s">
        <v>19</v>
      </c>
      <c r="F883" t="s">
        <v>1943</v>
      </c>
      <c r="G883" t="s">
        <v>326</v>
      </c>
      <c r="N883" s="107"/>
    </row>
    <row r="884" spans="1:14" x14ac:dyDescent="0.3">
      <c r="A884" t="s">
        <v>178</v>
      </c>
      <c r="B884" t="s">
        <v>710</v>
      </c>
      <c r="C884" t="s">
        <v>1231</v>
      </c>
      <c r="D884">
        <f t="shared" si="13"/>
        <v>1</v>
      </c>
      <c r="E884" t="s">
        <v>19</v>
      </c>
      <c r="F884" t="s">
        <v>1946</v>
      </c>
      <c r="G884" t="s">
        <v>326</v>
      </c>
      <c r="N884" s="107"/>
    </row>
    <row r="885" spans="1:14" x14ac:dyDescent="0.3">
      <c r="A885" t="s">
        <v>178</v>
      </c>
      <c r="B885" t="s">
        <v>510</v>
      </c>
      <c r="C885" t="s">
        <v>1231</v>
      </c>
      <c r="D885">
        <f t="shared" si="13"/>
        <v>1</v>
      </c>
      <c r="E885" t="s">
        <v>19</v>
      </c>
      <c r="F885" t="s">
        <v>1947</v>
      </c>
      <c r="G885" t="s">
        <v>326</v>
      </c>
      <c r="N885" s="107"/>
    </row>
    <row r="886" spans="1:14" x14ac:dyDescent="0.3">
      <c r="A886" t="s">
        <v>178</v>
      </c>
      <c r="B886" t="s">
        <v>509</v>
      </c>
      <c r="C886" t="s">
        <v>1231</v>
      </c>
      <c r="D886">
        <f t="shared" si="13"/>
        <v>1</v>
      </c>
      <c r="E886" t="s">
        <v>19</v>
      </c>
      <c r="F886" t="s">
        <v>1953</v>
      </c>
      <c r="G886" t="s">
        <v>326</v>
      </c>
      <c r="N886" s="107"/>
    </row>
    <row r="887" spans="1:14" x14ac:dyDescent="0.3">
      <c r="A887" t="s">
        <v>178</v>
      </c>
      <c r="B887" t="s">
        <v>656</v>
      </c>
      <c r="C887" t="s">
        <v>1231</v>
      </c>
      <c r="D887">
        <f t="shared" si="13"/>
        <v>1</v>
      </c>
      <c r="E887" t="s">
        <v>19</v>
      </c>
      <c r="F887" t="s">
        <v>1959</v>
      </c>
      <c r="G887" t="s">
        <v>326</v>
      </c>
      <c r="N887" s="107"/>
    </row>
    <row r="888" spans="1:14" x14ac:dyDescent="0.3">
      <c r="A888" t="s">
        <v>178</v>
      </c>
      <c r="B888" t="s">
        <v>699</v>
      </c>
      <c r="C888" t="s">
        <v>1231</v>
      </c>
      <c r="D888">
        <f t="shared" si="13"/>
        <v>1</v>
      </c>
      <c r="E888" t="s">
        <v>19</v>
      </c>
      <c r="F888" t="s">
        <v>1962</v>
      </c>
      <c r="G888" t="s">
        <v>326</v>
      </c>
      <c r="N888" s="107"/>
    </row>
    <row r="889" spans="1:14" x14ac:dyDescent="0.3">
      <c r="A889" t="s">
        <v>178</v>
      </c>
      <c r="B889" t="s">
        <v>710</v>
      </c>
      <c r="C889" t="s">
        <v>1276</v>
      </c>
      <c r="D889">
        <f t="shared" si="13"/>
        <v>1</v>
      </c>
      <c r="E889" t="s">
        <v>19</v>
      </c>
      <c r="F889" t="s">
        <v>2091</v>
      </c>
      <c r="G889" t="s">
        <v>326</v>
      </c>
      <c r="N889" s="107"/>
    </row>
    <row r="890" spans="1:14" x14ac:dyDescent="0.3">
      <c r="A890" t="s">
        <v>178</v>
      </c>
      <c r="B890" t="s">
        <v>510</v>
      </c>
      <c r="C890" t="s">
        <v>1289</v>
      </c>
      <c r="D890">
        <f t="shared" si="13"/>
        <v>1</v>
      </c>
      <c r="E890" t="s">
        <v>19</v>
      </c>
      <c r="F890" t="s">
        <v>2101</v>
      </c>
      <c r="G890" t="s">
        <v>326</v>
      </c>
      <c r="N890" s="107"/>
    </row>
    <row r="891" spans="1:14" x14ac:dyDescent="0.3">
      <c r="A891" t="s">
        <v>178</v>
      </c>
      <c r="B891" t="s">
        <v>800</v>
      </c>
      <c r="C891" t="s">
        <v>1289</v>
      </c>
      <c r="D891">
        <f t="shared" si="13"/>
        <v>1</v>
      </c>
      <c r="E891" t="s">
        <v>19</v>
      </c>
      <c r="F891" t="s">
        <v>2103</v>
      </c>
      <c r="G891" t="s">
        <v>326</v>
      </c>
      <c r="N891" s="107"/>
    </row>
    <row r="892" spans="1:14" x14ac:dyDescent="0.3">
      <c r="A892" t="s">
        <v>178</v>
      </c>
      <c r="B892" t="s">
        <v>690</v>
      </c>
      <c r="C892" t="s">
        <v>1289</v>
      </c>
      <c r="D892">
        <f t="shared" si="13"/>
        <v>1</v>
      </c>
      <c r="E892" t="s">
        <v>19</v>
      </c>
      <c r="F892" t="s">
        <v>2107</v>
      </c>
      <c r="G892" t="s">
        <v>326</v>
      </c>
      <c r="N892" s="107"/>
    </row>
    <row r="893" spans="1:14" x14ac:dyDescent="0.3">
      <c r="A893" t="s">
        <v>178</v>
      </c>
      <c r="B893" t="s">
        <v>509</v>
      </c>
      <c r="C893" t="s">
        <v>1289</v>
      </c>
      <c r="D893">
        <f t="shared" si="13"/>
        <v>1</v>
      </c>
      <c r="E893" t="s">
        <v>19</v>
      </c>
      <c r="F893" t="s">
        <v>2112</v>
      </c>
      <c r="G893" t="s">
        <v>326</v>
      </c>
      <c r="N893" s="107"/>
    </row>
    <row r="894" spans="1:14" x14ac:dyDescent="0.3">
      <c r="A894" t="s">
        <v>178</v>
      </c>
      <c r="B894" t="s">
        <v>802</v>
      </c>
      <c r="C894" t="s">
        <v>1289</v>
      </c>
      <c r="D894">
        <f t="shared" si="13"/>
        <v>1</v>
      </c>
      <c r="E894" t="s">
        <v>19</v>
      </c>
      <c r="F894" t="s">
        <v>2113</v>
      </c>
      <c r="G894" t="s">
        <v>326</v>
      </c>
      <c r="N894" s="107"/>
    </row>
    <row r="895" spans="1:14" x14ac:dyDescent="0.3">
      <c r="A895" t="s">
        <v>178</v>
      </c>
      <c r="B895" t="s">
        <v>510</v>
      </c>
      <c r="C895" t="s">
        <v>1289</v>
      </c>
      <c r="D895">
        <f t="shared" si="13"/>
        <v>1</v>
      </c>
      <c r="E895" t="s">
        <v>19</v>
      </c>
      <c r="F895" t="s">
        <v>2115</v>
      </c>
      <c r="G895" t="s">
        <v>326</v>
      </c>
      <c r="N895" s="107"/>
    </row>
    <row r="896" spans="1:14" x14ac:dyDescent="0.3">
      <c r="A896" t="s">
        <v>178</v>
      </c>
      <c r="B896" t="s">
        <v>509</v>
      </c>
      <c r="C896" t="s">
        <v>1297</v>
      </c>
      <c r="D896">
        <f t="shared" si="13"/>
        <v>1</v>
      </c>
      <c r="E896" t="s">
        <v>19</v>
      </c>
      <c r="F896" t="s">
        <v>2155</v>
      </c>
      <c r="G896" t="s">
        <v>326</v>
      </c>
      <c r="N896" s="107"/>
    </row>
    <row r="897" spans="1:14" x14ac:dyDescent="0.3">
      <c r="A897" t="s">
        <v>178</v>
      </c>
      <c r="B897" t="s">
        <v>710</v>
      </c>
      <c r="C897" t="s">
        <v>1298</v>
      </c>
      <c r="D897">
        <f t="shared" si="13"/>
        <v>1</v>
      </c>
      <c r="E897" t="s">
        <v>19</v>
      </c>
      <c r="F897" t="s">
        <v>1298</v>
      </c>
      <c r="G897" t="s">
        <v>326</v>
      </c>
      <c r="N897" s="107"/>
    </row>
    <row r="898" spans="1:14" x14ac:dyDescent="0.3">
      <c r="A898" t="s">
        <v>178</v>
      </c>
      <c r="B898" t="s">
        <v>821</v>
      </c>
      <c r="C898" t="s">
        <v>1297</v>
      </c>
      <c r="D898">
        <f t="shared" ref="D898:D961" si="14">SIGN(SUBTOTAL(3,E898))</f>
        <v>1</v>
      </c>
      <c r="E898" t="s">
        <v>19</v>
      </c>
      <c r="F898" t="s">
        <v>2162</v>
      </c>
      <c r="G898" t="s">
        <v>326</v>
      </c>
      <c r="N898" s="107"/>
    </row>
    <row r="899" spans="1:14" x14ac:dyDescent="0.3">
      <c r="A899" t="s">
        <v>178</v>
      </c>
      <c r="B899" t="s">
        <v>839</v>
      </c>
      <c r="C899" t="s">
        <v>1306</v>
      </c>
      <c r="D899">
        <f t="shared" si="14"/>
        <v>1</v>
      </c>
      <c r="E899" t="s">
        <v>19</v>
      </c>
      <c r="F899" t="s">
        <v>2182</v>
      </c>
      <c r="G899" t="s">
        <v>326</v>
      </c>
      <c r="N899" s="107"/>
    </row>
    <row r="900" spans="1:14" x14ac:dyDescent="0.3">
      <c r="A900" t="s">
        <v>178</v>
      </c>
      <c r="B900" t="s">
        <v>637</v>
      </c>
      <c r="C900" t="s">
        <v>1306</v>
      </c>
      <c r="D900">
        <f t="shared" si="14"/>
        <v>1</v>
      </c>
      <c r="E900" t="s">
        <v>19</v>
      </c>
      <c r="F900" t="s">
        <v>2183</v>
      </c>
      <c r="G900" t="s">
        <v>326</v>
      </c>
      <c r="N900" s="107"/>
    </row>
    <row r="901" spans="1:14" x14ac:dyDescent="0.3">
      <c r="A901" t="s">
        <v>178</v>
      </c>
      <c r="B901" t="s">
        <v>864</v>
      </c>
      <c r="C901" t="s">
        <v>1311</v>
      </c>
      <c r="D901">
        <f t="shared" si="14"/>
        <v>1</v>
      </c>
      <c r="E901" t="s">
        <v>19</v>
      </c>
      <c r="F901" t="s">
        <v>2210</v>
      </c>
      <c r="G901" t="s">
        <v>326</v>
      </c>
      <c r="N901" s="107"/>
    </row>
    <row r="902" spans="1:14" x14ac:dyDescent="0.3">
      <c r="A902" t="s">
        <v>178</v>
      </c>
      <c r="B902" t="s">
        <v>510</v>
      </c>
      <c r="C902" t="s">
        <v>1351</v>
      </c>
      <c r="D902">
        <f t="shared" si="14"/>
        <v>1</v>
      </c>
      <c r="E902" t="s">
        <v>19</v>
      </c>
      <c r="F902" t="s">
        <v>2289</v>
      </c>
      <c r="G902" t="s">
        <v>326</v>
      </c>
      <c r="N902" s="107"/>
    </row>
    <row r="903" spans="1:14" x14ac:dyDescent="0.3">
      <c r="A903" t="s">
        <v>178</v>
      </c>
      <c r="B903" t="s">
        <v>542</v>
      </c>
      <c r="C903" t="s">
        <v>1386</v>
      </c>
      <c r="D903">
        <f t="shared" si="14"/>
        <v>1</v>
      </c>
      <c r="E903" t="s">
        <v>19</v>
      </c>
      <c r="F903" t="s">
        <v>2347</v>
      </c>
      <c r="G903" t="s">
        <v>326</v>
      </c>
      <c r="N903" s="107"/>
    </row>
    <row r="904" spans="1:14" x14ac:dyDescent="0.3">
      <c r="A904" t="s">
        <v>178</v>
      </c>
      <c r="B904" t="s">
        <v>690</v>
      </c>
      <c r="C904" t="s">
        <v>1386</v>
      </c>
      <c r="D904">
        <f t="shared" si="14"/>
        <v>1</v>
      </c>
      <c r="E904" t="s">
        <v>19</v>
      </c>
      <c r="F904" t="s">
        <v>2349</v>
      </c>
      <c r="G904" t="s">
        <v>326</v>
      </c>
      <c r="N904" s="107"/>
    </row>
    <row r="905" spans="1:14" x14ac:dyDescent="0.3">
      <c r="A905" t="s">
        <v>178</v>
      </c>
      <c r="B905" t="s">
        <v>710</v>
      </c>
      <c r="C905" t="s">
        <v>1402</v>
      </c>
      <c r="D905">
        <f t="shared" si="14"/>
        <v>1</v>
      </c>
      <c r="E905" t="s">
        <v>19</v>
      </c>
      <c r="F905" t="s">
        <v>1402</v>
      </c>
      <c r="G905" t="s">
        <v>326</v>
      </c>
      <c r="N905" s="107"/>
    </row>
    <row r="906" spans="1:14" x14ac:dyDescent="0.3">
      <c r="A906" t="s">
        <v>178</v>
      </c>
      <c r="B906" t="s">
        <v>995</v>
      </c>
      <c r="C906" t="s">
        <v>1415</v>
      </c>
      <c r="D906">
        <f t="shared" si="14"/>
        <v>1</v>
      </c>
      <c r="E906" t="s">
        <v>19</v>
      </c>
      <c r="F906" t="s">
        <v>2448</v>
      </c>
      <c r="G906" t="s">
        <v>326</v>
      </c>
      <c r="N906" s="107"/>
    </row>
    <row r="907" spans="1:14" x14ac:dyDescent="0.3">
      <c r="A907" t="s">
        <v>178</v>
      </c>
      <c r="B907" t="s">
        <v>998</v>
      </c>
      <c r="C907" t="s">
        <v>1415</v>
      </c>
      <c r="D907">
        <f t="shared" si="14"/>
        <v>1</v>
      </c>
      <c r="E907" t="s">
        <v>19</v>
      </c>
      <c r="F907" t="s">
        <v>2453</v>
      </c>
      <c r="G907" t="s">
        <v>326</v>
      </c>
      <c r="N907" s="107"/>
    </row>
    <row r="908" spans="1:14" x14ac:dyDescent="0.3">
      <c r="A908" t="s">
        <v>178</v>
      </c>
      <c r="B908" t="s">
        <v>800</v>
      </c>
      <c r="C908" t="s">
        <v>1415</v>
      </c>
      <c r="D908">
        <f t="shared" si="14"/>
        <v>1</v>
      </c>
      <c r="E908" t="s">
        <v>19</v>
      </c>
      <c r="F908" t="s">
        <v>2454</v>
      </c>
      <c r="G908" t="s">
        <v>326</v>
      </c>
      <c r="N908" s="107"/>
    </row>
    <row r="909" spans="1:14" x14ac:dyDescent="0.3">
      <c r="A909" t="s">
        <v>178</v>
      </c>
      <c r="B909" t="s">
        <v>999</v>
      </c>
      <c r="C909" t="s">
        <v>1415</v>
      </c>
      <c r="D909">
        <f t="shared" si="14"/>
        <v>1</v>
      </c>
      <c r="E909" t="s">
        <v>19</v>
      </c>
      <c r="F909" t="s">
        <v>2455</v>
      </c>
      <c r="G909" t="s">
        <v>326</v>
      </c>
      <c r="N909" s="107"/>
    </row>
    <row r="910" spans="1:14" x14ac:dyDescent="0.3">
      <c r="A910" t="s">
        <v>178</v>
      </c>
      <c r="B910" t="s">
        <v>509</v>
      </c>
      <c r="C910" t="s">
        <v>1415</v>
      </c>
      <c r="D910">
        <f t="shared" si="14"/>
        <v>1</v>
      </c>
      <c r="E910" t="s">
        <v>19</v>
      </c>
      <c r="F910" t="s">
        <v>2457</v>
      </c>
      <c r="G910" t="s">
        <v>326</v>
      </c>
      <c r="N910" s="107"/>
    </row>
    <row r="911" spans="1:14" x14ac:dyDescent="0.3">
      <c r="A911" t="s">
        <v>178</v>
      </c>
      <c r="B911" t="s">
        <v>1004</v>
      </c>
      <c r="C911" t="s">
        <v>1415</v>
      </c>
      <c r="D911">
        <f t="shared" si="14"/>
        <v>1</v>
      </c>
      <c r="E911" t="s">
        <v>19</v>
      </c>
      <c r="F911" t="s">
        <v>2467</v>
      </c>
      <c r="G911" t="s">
        <v>326</v>
      </c>
      <c r="N911" s="107"/>
    </row>
    <row r="912" spans="1:14" x14ac:dyDescent="0.3">
      <c r="A912" t="s">
        <v>178</v>
      </c>
      <c r="B912" t="s">
        <v>180</v>
      </c>
      <c r="C912" t="s">
        <v>1418</v>
      </c>
      <c r="D912">
        <f t="shared" si="14"/>
        <v>1</v>
      </c>
      <c r="E912" t="s">
        <v>19</v>
      </c>
      <c r="F912" t="s">
        <v>2478</v>
      </c>
      <c r="G912" t="s">
        <v>326</v>
      </c>
      <c r="N912" s="107"/>
    </row>
    <row r="913" spans="1:14" x14ac:dyDescent="0.3">
      <c r="A913" t="s">
        <v>178</v>
      </c>
      <c r="B913" t="s">
        <v>689</v>
      </c>
      <c r="C913" t="s">
        <v>1418</v>
      </c>
      <c r="D913">
        <f t="shared" si="14"/>
        <v>1</v>
      </c>
      <c r="E913" t="s">
        <v>19</v>
      </c>
      <c r="F913" t="s">
        <v>2482</v>
      </c>
      <c r="G913" t="s">
        <v>326</v>
      </c>
      <c r="N913" s="107"/>
    </row>
    <row r="914" spans="1:14" x14ac:dyDescent="0.3">
      <c r="A914" t="s">
        <v>178</v>
      </c>
      <c r="B914" t="s">
        <v>1010</v>
      </c>
      <c r="C914" t="s">
        <v>1418</v>
      </c>
      <c r="D914">
        <f t="shared" si="14"/>
        <v>1</v>
      </c>
      <c r="E914" t="s">
        <v>19</v>
      </c>
      <c r="F914" t="s">
        <v>2487</v>
      </c>
      <c r="G914" t="s">
        <v>326</v>
      </c>
      <c r="N914" s="107"/>
    </row>
    <row r="915" spans="1:14" x14ac:dyDescent="0.3">
      <c r="A915" t="s">
        <v>178</v>
      </c>
      <c r="B915" t="s">
        <v>510</v>
      </c>
      <c r="C915" t="s">
        <v>1418</v>
      </c>
      <c r="D915">
        <f t="shared" si="14"/>
        <v>1</v>
      </c>
      <c r="E915" t="s">
        <v>19</v>
      </c>
      <c r="F915" t="s">
        <v>2488</v>
      </c>
      <c r="G915" t="s">
        <v>326</v>
      </c>
      <c r="N915" s="107"/>
    </row>
    <row r="916" spans="1:14" x14ac:dyDescent="0.3">
      <c r="A916" t="s">
        <v>178</v>
      </c>
      <c r="B916" t="s">
        <v>510</v>
      </c>
      <c r="C916" t="s">
        <v>1418</v>
      </c>
      <c r="D916">
        <f t="shared" si="14"/>
        <v>1</v>
      </c>
      <c r="E916" t="s">
        <v>19</v>
      </c>
      <c r="F916" t="s">
        <v>2489</v>
      </c>
      <c r="G916" t="s">
        <v>326</v>
      </c>
      <c r="N916" s="107"/>
    </row>
    <row r="917" spans="1:14" x14ac:dyDescent="0.3">
      <c r="A917" t="s">
        <v>178</v>
      </c>
      <c r="B917" t="s">
        <v>542</v>
      </c>
      <c r="C917" t="s">
        <v>1418</v>
      </c>
      <c r="D917">
        <f t="shared" si="14"/>
        <v>1</v>
      </c>
      <c r="E917" t="s">
        <v>19</v>
      </c>
      <c r="F917" t="s">
        <v>2490</v>
      </c>
      <c r="G917" t="s">
        <v>326</v>
      </c>
      <c r="N917" s="107"/>
    </row>
    <row r="918" spans="1:14" x14ac:dyDescent="0.3">
      <c r="A918" t="s">
        <v>178</v>
      </c>
      <c r="B918" t="s">
        <v>1012</v>
      </c>
      <c r="C918" t="s">
        <v>1418</v>
      </c>
      <c r="D918">
        <f t="shared" si="14"/>
        <v>1</v>
      </c>
      <c r="E918" t="s">
        <v>19</v>
      </c>
      <c r="F918" t="s">
        <v>2492</v>
      </c>
      <c r="G918" t="s">
        <v>326</v>
      </c>
      <c r="N918" s="107"/>
    </row>
    <row r="919" spans="1:14" x14ac:dyDescent="0.3">
      <c r="A919" t="s">
        <v>178</v>
      </c>
      <c r="B919" t="s">
        <v>656</v>
      </c>
      <c r="C919" t="s">
        <v>1418</v>
      </c>
      <c r="D919">
        <f t="shared" si="14"/>
        <v>1</v>
      </c>
      <c r="E919" t="s">
        <v>19</v>
      </c>
      <c r="F919" t="s">
        <v>2497</v>
      </c>
      <c r="G919" t="s">
        <v>326</v>
      </c>
      <c r="N919" s="107"/>
    </row>
    <row r="920" spans="1:14" x14ac:dyDescent="0.3">
      <c r="A920" t="s">
        <v>178</v>
      </c>
      <c r="B920" t="s">
        <v>1014</v>
      </c>
      <c r="C920" t="s">
        <v>1418</v>
      </c>
      <c r="D920">
        <f t="shared" si="14"/>
        <v>1</v>
      </c>
      <c r="E920" t="s">
        <v>19</v>
      </c>
      <c r="F920" t="s">
        <v>2503</v>
      </c>
      <c r="G920" t="s">
        <v>326</v>
      </c>
      <c r="N920" s="107"/>
    </row>
    <row r="921" spans="1:14" x14ac:dyDescent="0.3">
      <c r="A921" t="s">
        <v>178</v>
      </c>
      <c r="B921" t="s">
        <v>510</v>
      </c>
      <c r="C921" t="s">
        <v>1465</v>
      </c>
      <c r="D921">
        <f t="shared" si="14"/>
        <v>1</v>
      </c>
      <c r="E921" t="s">
        <v>19</v>
      </c>
      <c r="F921" t="s">
        <v>2655</v>
      </c>
      <c r="G921" t="s">
        <v>326</v>
      </c>
      <c r="N921" s="107"/>
    </row>
    <row r="922" spans="1:14" x14ac:dyDescent="0.3">
      <c r="A922" t="s">
        <v>178</v>
      </c>
      <c r="B922" t="s">
        <v>690</v>
      </c>
      <c r="C922" t="s">
        <v>1467</v>
      </c>
      <c r="D922">
        <f t="shared" si="14"/>
        <v>1</v>
      </c>
      <c r="E922" t="s">
        <v>19</v>
      </c>
      <c r="F922" t="s">
        <v>2682</v>
      </c>
      <c r="G922" t="s">
        <v>326</v>
      </c>
      <c r="N922" s="107"/>
    </row>
    <row r="923" spans="1:14" x14ac:dyDescent="0.3">
      <c r="A923" t="s">
        <v>178</v>
      </c>
      <c r="B923" t="s">
        <v>710</v>
      </c>
      <c r="C923" t="s">
        <v>1467</v>
      </c>
      <c r="D923">
        <f t="shared" si="14"/>
        <v>1</v>
      </c>
      <c r="E923" t="s">
        <v>19</v>
      </c>
      <c r="F923" t="s">
        <v>2683</v>
      </c>
      <c r="G923" t="s">
        <v>326</v>
      </c>
      <c r="N923" s="107"/>
    </row>
    <row r="924" spans="1:14" x14ac:dyDescent="0.3">
      <c r="A924" t="s">
        <v>178</v>
      </c>
      <c r="B924" t="s">
        <v>1115</v>
      </c>
      <c r="C924" t="s">
        <v>1513</v>
      </c>
      <c r="D924">
        <f t="shared" si="14"/>
        <v>1</v>
      </c>
      <c r="E924" t="s">
        <v>19</v>
      </c>
      <c r="F924" t="s">
        <v>2782</v>
      </c>
      <c r="G924" t="s">
        <v>326</v>
      </c>
      <c r="N924" s="107"/>
    </row>
    <row r="925" spans="1:14" x14ac:dyDescent="0.3">
      <c r="A925" t="s">
        <v>178</v>
      </c>
      <c r="B925" t="s">
        <v>1123</v>
      </c>
      <c r="C925" t="s">
        <v>1517</v>
      </c>
      <c r="D925">
        <f t="shared" si="14"/>
        <v>1</v>
      </c>
      <c r="E925" t="s">
        <v>19</v>
      </c>
      <c r="F925" t="s">
        <v>2815</v>
      </c>
      <c r="G925" t="s">
        <v>326</v>
      </c>
      <c r="N925" s="107"/>
    </row>
    <row r="926" spans="1:14" x14ac:dyDescent="0.3">
      <c r="A926" t="s">
        <v>179</v>
      </c>
      <c r="B926" t="s">
        <v>579</v>
      </c>
      <c r="C926" t="s">
        <v>1177</v>
      </c>
      <c r="D926">
        <f t="shared" si="14"/>
        <v>1</v>
      </c>
      <c r="E926" t="s">
        <v>19</v>
      </c>
      <c r="F926" t="s">
        <v>1177</v>
      </c>
      <c r="G926" t="s">
        <v>326</v>
      </c>
      <c r="N926" s="107"/>
    </row>
    <row r="927" spans="1:14" x14ac:dyDescent="0.3">
      <c r="A927" t="s">
        <v>179</v>
      </c>
      <c r="B927" t="s">
        <v>585</v>
      </c>
      <c r="C927" t="s">
        <v>1176</v>
      </c>
      <c r="D927">
        <f t="shared" si="14"/>
        <v>1</v>
      </c>
      <c r="E927" t="s">
        <v>19</v>
      </c>
      <c r="F927" t="s">
        <v>1772</v>
      </c>
      <c r="G927" t="s">
        <v>326</v>
      </c>
      <c r="N927" s="107"/>
    </row>
    <row r="928" spans="1:14" x14ac:dyDescent="0.3">
      <c r="A928" t="s">
        <v>179</v>
      </c>
      <c r="B928" t="s">
        <v>579</v>
      </c>
      <c r="C928" t="s">
        <v>1179</v>
      </c>
      <c r="D928">
        <f t="shared" si="14"/>
        <v>1</v>
      </c>
      <c r="E928" t="s">
        <v>19</v>
      </c>
      <c r="F928" t="s">
        <v>1796</v>
      </c>
      <c r="G928" t="s">
        <v>326</v>
      </c>
      <c r="N928" s="107"/>
    </row>
    <row r="929" spans="1:14" x14ac:dyDescent="0.3">
      <c r="A929" t="s">
        <v>179</v>
      </c>
      <c r="B929" t="s">
        <v>579</v>
      </c>
      <c r="C929" t="s">
        <v>1179</v>
      </c>
      <c r="D929">
        <f t="shared" si="14"/>
        <v>1</v>
      </c>
      <c r="E929" t="s">
        <v>19</v>
      </c>
      <c r="F929" t="s">
        <v>1797</v>
      </c>
      <c r="G929" t="s">
        <v>326</v>
      </c>
      <c r="N929" s="107"/>
    </row>
    <row r="930" spans="1:14" x14ac:dyDescent="0.3">
      <c r="A930" t="s">
        <v>179</v>
      </c>
      <c r="B930" t="s">
        <v>603</v>
      </c>
      <c r="C930" t="s">
        <v>1179</v>
      </c>
      <c r="D930">
        <f t="shared" si="14"/>
        <v>1</v>
      </c>
      <c r="E930" t="s">
        <v>19</v>
      </c>
      <c r="F930" t="s">
        <v>1798</v>
      </c>
      <c r="G930" t="s">
        <v>326</v>
      </c>
      <c r="N930" s="107"/>
    </row>
    <row r="931" spans="1:14" x14ac:dyDescent="0.3">
      <c r="A931" t="s">
        <v>179</v>
      </c>
      <c r="B931" t="s">
        <v>603</v>
      </c>
      <c r="C931" t="s">
        <v>1179</v>
      </c>
      <c r="D931">
        <f t="shared" si="14"/>
        <v>1</v>
      </c>
      <c r="E931" t="s">
        <v>19</v>
      </c>
      <c r="F931" t="s">
        <v>1799</v>
      </c>
      <c r="G931" t="s">
        <v>326</v>
      </c>
      <c r="N931" s="107"/>
    </row>
    <row r="932" spans="1:14" x14ac:dyDescent="0.3">
      <c r="A932" t="s">
        <v>179</v>
      </c>
      <c r="B932" t="s">
        <v>511</v>
      </c>
      <c r="C932" t="s">
        <v>1255</v>
      </c>
      <c r="D932">
        <f t="shared" si="14"/>
        <v>1</v>
      </c>
      <c r="E932" t="s">
        <v>19</v>
      </c>
      <c r="F932" t="s">
        <v>2034</v>
      </c>
      <c r="G932" t="s">
        <v>326</v>
      </c>
      <c r="N932" s="107"/>
    </row>
    <row r="933" spans="1:14" x14ac:dyDescent="0.3">
      <c r="A933" t="s">
        <v>179</v>
      </c>
      <c r="B933" t="s">
        <v>758</v>
      </c>
      <c r="C933" t="s">
        <v>1255</v>
      </c>
      <c r="D933">
        <f t="shared" si="14"/>
        <v>1</v>
      </c>
      <c r="E933" t="s">
        <v>19</v>
      </c>
      <c r="F933" t="s">
        <v>2044</v>
      </c>
      <c r="G933" t="s">
        <v>326</v>
      </c>
      <c r="N933" s="107"/>
    </row>
    <row r="934" spans="1:14" x14ac:dyDescent="0.3">
      <c r="A934" t="s">
        <v>179</v>
      </c>
      <c r="B934" t="s">
        <v>763</v>
      </c>
      <c r="C934" t="s">
        <v>1255</v>
      </c>
      <c r="D934">
        <f t="shared" si="14"/>
        <v>1</v>
      </c>
      <c r="E934" t="s">
        <v>19</v>
      </c>
      <c r="F934" t="s">
        <v>2051</v>
      </c>
      <c r="G934" t="s">
        <v>326</v>
      </c>
      <c r="N934" s="107"/>
    </row>
    <row r="935" spans="1:14" x14ac:dyDescent="0.3">
      <c r="A935" t="s">
        <v>179</v>
      </c>
      <c r="B935" t="s">
        <v>768</v>
      </c>
      <c r="C935" t="s">
        <v>1255</v>
      </c>
      <c r="D935">
        <f t="shared" si="14"/>
        <v>1</v>
      </c>
      <c r="E935" t="s">
        <v>19</v>
      </c>
      <c r="F935" t="s">
        <v>2061</v>
      </c>
      <c r="G935" t="s">
        <v>326</v>
      </c>
      <c r="N935" s="107"/>
    </row>
    <row r="936" spans="1:14" x14ac:dyDescent="0.3">
      <c r="A936" t="s">
        <v>179</v>
      </c>
      <c r="B936" t="s">
        <v>787</v>
      </c>
      <c r="C936" t="s">
        <v>1271</v>
      </c>
      <c r="D936">
        <f t="shared" si="14"/>
        <v>1</v>
      </c>
      <c r="E936" t="s">
        <v>19</v>
      </c>
      <c r="F936" t="s">
        <v>1271</v>
      </c>
      <c r="G936" t="s">
        <v>326</v>
      </c>
      <c r="N936" s="107"/>
    </row>
    <row r="937" spans="1:14" x14ac:dyDescent="0.3">
      <c r="A937" t="s">
        <v>179</v>
      </c>
      <c r="B937" t="s">
        <v>941</v>
      </c>
      <c r="C937" t="s">
        <v>1381</v>
      </c>
      <c r="D937">
        <f t="shared" si="14"/>
        <v>1</v>
      </c>
      <c r="E937" t="s">
        <v>19</v>
      </c>
      <c r="F937" t="s">
        <v>1381</v>
      </c>
      <c r="G937" t="s">
        <v>326</v>
      </c>
      <c r="N937" s="107"/>
    </row>
    <row r="938" spans="1:14" x14ac:dyDescent="0.3">
      <c r="A938" t="s">
        <v>179</v>
      </c>
      <c r="B938" t="s">
        <v>512</v>
      </c>
      <c r="C938" t="s">
        <v>1408</v>
      </c>
      <c r="D938">
        <f t="shared" si="14"/>
        <v>1</v>
      </c>
      <c r="E938" t="s">
        <v>19</v>
      </c>
      <c r="F938" t="s">
        <v>2414</v>
      </c>
      <c r="G938" t="s">
        <v>326</v>
      </c>
      <c r="N938" s="107"/>
    </row>
    <row r="939" spans="1:14" x14ac:dyDescent="0.3">
      <c r="A939" t="s">
        <v>179</v>
      </c>
      <c r="B939" t="s">
        <v>974</v>
      </c>
      <c r="C939" t="s">
        <v>1408</v>
      </c>
      <c r="D939">
        <f t="shared" si="14"/>
        <v>1</v>
      </c>
      <c r="E939" t="s">
        <v>19</v>
      </c>
      <c r="F939" t="s">
        <v>2416</v>
      </c>
      <c r="G939" t="s">
        <v>326</v>
      </c>
      <c r="N939" s="107"/>
    </row>
    <row r="940" spans="1:14" x14ac:dyDescent="0.3">
      <c r="A940" t="s">
        <v>179</v>
      </c>
      <c r="B940" t="s">
        <v>978</v>
      </c>
      <c r="C940" t="s">
        <v>1408</v>
      </c>
      <c r="D940">
        <f t="shared" si="14"/>
        <v>1</v>
      </c>
      <c r="E940" t="s">
        <v>19</v>
      </c>
      <c r="F940" t="s">
        <v>2421</v>
      </c>
      <c r="G940" t="s">
        <v>326</v>
      </c>
      <c r="N940" s="107"/>
    </row>
    <row r="941" spans="1:14" x14ac:dyDescent="0.3">
      <c r="A941" t="s">
        <v>179</v>
      </c>
      <c r="B941" t="s">
        <v>511</v>
      </c>
      <c r="C941" t="s">
        <v>1408</v>
      </c>
      <c r="D941">
        <f t="shared" si="14"/>
        <v>1</v>
      </c>
      <c r="E941" t="s">
        <v>19</v>
      </c>
      <c r="F941" t="s">
        <v>2423</v>
      </c>
      <c r="G941" t="s">
        <v>326</v>
      </c>
      <c r="N941" s="107"/>
    </row>
    <row r="942" spans="1:14" x14ac:dyDescent="0.3">
      <c r="A942" t="s">
        <v>179</v>
      </c>
      <c r="B942" t="s">
        <v>579</v>
      </c>
      <c r="C942" t="s">
        <v>1447</v>
      </c>
      <c r="D942">
        <f t="shared" si="14"/>
        <v>1</v>
      </c>
      <c r="E942" t="s">
        <v>19</v>
      </c>
      <c r="F942" t="s">
        <v>2601</v>
      </c>
      <c r="G942" t="s">
        <v>326</v>
      </c>
      <c r="N942" s="107"/>
    </row>
    <row r="943" spans="1:14" x14ac:dyDescent="0.3">
      <c r="A943" t="s">
        <v>179</v>
      </c>
      <c r="B943" t="s">
        <v>511</v>
      </c>
      <c r="C943" t="s">
        <v>1466</v>
      </c>
      <c r="D943">
        <f t="shared" si="14"/>
        <v>1</v>
      </c>
      <c r="E943" t="s">
        <v>19</v>
      </c>
      <c r="F943" t="s">
        <v>2676</v>
      </c>
      <c r="G943" t="s">
        <v>326</v>
      </c>
      <c r="N943" s="107"/>
    </row>
    <row r="944" spans="1:14" x14ac:dyDescent="0.3">
      <c r="A944" t="s">
        <v>179</v>
      </c>
      <c r="B944" t="s">
        <v>512</v>
      </c>
      <c r="C944" t="s">
        <v>1474</v>
      </c>
      <c r="D944">
        <f t="shared" si="14"/>
        <v>1</v>
      </c>
      <c r="E944" t="s">
        <v>19</v>
      </c>
      <c r="F944" t="s">
        <v>2688</v>
      </c>
      <c r="G944" t="s">
        <v>326</v>
      </c>
      <c r="N944" s="107"/>
    </row>
    <row r="945" spans="1:14" x14ac:dyDescent="0.3">
      <c r="A945" t="s">
        <v>179</v>
      </c>
      <c r="B945" t="s">
        <v>511</v>
      </c>
      <c r="C945" t="s">
        <v>1513</v>
      </c>
      <c r="D945">
        <f t="shared" si="14"/>
        <v>1</v>
      </c>
      <c r="E945" t="s">
        <v>19</v>
      </c>
      <c r="F945" t="s">
        <v>2783</v>
      </c>
      <c r="G945" t="s">
        <v>326</v>
      </c>
      <c r="N945" s="107"/>
    </row>
    <row r="946" spans="1:14" x14ac:dyDescent="0.3">
      <c r="A946" t="s">
        <v>179</v>
      </c>
      <c r="B946" t="s">
        <v>511</v>
      </c>
      <c r="C946" t="s">
        <v>1517</v>
      </c>
      <c r="D946">
        <f t="shared" si="14"/>
        <v>1</v>
      </c>
      <c r="E946" t="s">
        <v>19</v>
      </c>
      <c r="F946" t="s">
        <v>2818</v>
      </c>
      <c r="G946" t="s">
        <v>326</v>
      </c>
      <c r="N946" s="107"/>
    </row>
    <row r="947" spans="1:14" x14ac:dyDescent="0.3">
      <c r="A947" t="s">
        <v>180</v>
      </c>
      <c r="B947" t="s">
        <v>514</v>
      </c>
      <c r="C947" t="s">
        <v>1148</v>
      </c>
      <c r="D947">
        <f t="shared" si="14"/>
        <v>1</v>
      </c>
      <c r="E947" t="s">
        <v>19</v>
      </c>
      <c r="F947" t="s">
        <v>1148</v>
      </c>
      <c r="G947" t="s">
        <v>326</v>
      </c>
      <c r="N947" s="107"/>
    </row>
    <row r="948" spans="1:14" x14ac:dyDescent="0.3">
      <c r="A948" t="s">
        <v>180</v>
      </c>
      <c r="B948" t="s">
        <v>514</v>
      </c>
      <c r="C948" t="s">
        <v>1189</v>
      </c>
      <c r="D948">
        <f t="shared" si="14"/>
        <v>1</v>
      </c>
      <c r="E948" t="s">
        <v>19</v>
      </c>
      <c r="F948" t="s">
        <v>1849</v>
      </c>
      <c r="G948" t="s">
        <v>326</v>
      </c>
      <c r="N948" s="107"/>
    </row>
    <row r="949" spans="1:14" x14ac:dyDescent="0.3">
      <c r="A949" t="s">
        <v>180</v>
      </c>
      <c r="B949" t="s">
        <v>514</v>
      </c>
      <c r="C949" t="s">
        <v>1255</v>
      </c>
      <c r="D949">
        <f t="shared" si="14"/>
        <v>1</v>
      </c>
      <c r="E949" t="s">
        <v>19</v>
      </c>
      <c r="F949" t="s">
        <v>2046</v>
      </c>
      <c r="G949" t="s">
        <v>326</v>
      </c>
      <c r="N949" s="107"/>
    </row>
    <row r="950" spans="1:14" x14ac:dyDescent="0.3">
      <c r="A950" t="s">
        <v>180</v>
      </c>
      <c r="B950" t="s">
        <v>514</v>
      </c>
      <c r="C950" t="s">
        <v>1256</v>
      </c>
      <c r="D950">
        <f t="shared" si="14"/>
        <v>1</v>
      </c>
      <c r="E950" t="s">
        <v>19</v>
      </c>
      <c r="F950" t="s">
        <v>2052</v>
      </c>
      <c r="G950" t="s">
        <v>326</v>
      </c>
      <c r="N950" s="107"/>
    </row>
    <row r="951" spans="1:14" x14ac:dyDescent="0.3">
      <c r="A951" t="s">
        <v>180</v>
      </c>
      <c r="B951" t="s">
        <v>897</v>
      </c>
      <c r="C951" t="s">
        <v>1333</v>
      </c>
      <c r="D951">
        <f t="shared" si="14"/>
        <v>1</v>
      </c>
      <c r="E951" t="s">
        <v>19</v>
      </c>
      <c r="F951" t="s">
        <v>2255</v>
      </c>
      <c r="G951" t="s">
        <v>326</v>
      </c>
      <c r="N951" s="107"/>
    </row>
    <row r="952" spans="1:14" x14ac:dyDescent="0.3">
      <c r="A952" t="s">
        <v>180</v>
      </c>
      <c r="B952" t="s">
        <v>514</v>
      </c>
      <c r="C952" t="s">
        <v>1345</v>
      </c>
      <c r="D952">
        <f t="shared" si="14"/>
        <v>1</v>
      </c>
      <c r="E952" t="s">
        <v>19</v>
      </c>
      <c r="F952" t="s">
        <v>1345</v>
      </c>
      <c r="G952" t="s">
        <v>326</v>
      </c>
      <c r="N952" s="107"/>
    </row>
    <row r="953" spans="1:14" x14ac:dyDescent="0.3">
      <c r="A953" t="s">
        <v>180</v>
      </c>
      <c r="B953" t="s">
        <v>513</v>
      </c>
      <c r="C953" t="s">
        <v>1382</v>
      </c>
      <c r="D953">
        <f t="shared" si="14"/>
        <v>1</v>
      </c>
      <c r="E953" t="s">
        <v>19</v>
      </c>
      <c r="F953" t="s">
        <v>2323</v>
      </c>
      <c r="G953" t="s">
        <v>326</v>
      </c>
      <c r="N953" s="107"/>
    </row>
    <row r="954" spans="1:14" x14ac:dyDescent="0.3">
      <c r="A954" t="s">
        <v>180</v>
      </c>
      <c r="B954" t="s">
        <v>514</v>
      </c>
      <c r="C954" t="s">
        <v>1392</v>
      </c>
      <c r="D954">
        <f t="shared" si="14"/>
        <v>1</v>
      </c>
      <c r="E954" t="s">
        <v>19</v>
      </c>
      <c r="F954" t="s">
        <v>1392</v>
      </c>
      <c r="G954" t="s">
        <v>326</v>
      </c>
      <c r="N954" s="107"/>
    </row>
    <row r="955" spans="1:14" x14ac:dyDescent="0.3">
      <c r="A955" t="s">
        <v>180</v>
      </c>
      <c r="B955" t="s">
        <v>514</v>
      </c>
      <c r="C955" t="s">
        <v>1427</v>
      </c>
      <c r="D955">
        <f t="shared" si="14"/>
        <v>1</v>
      </c>
      <c r="E955" t="s">
        <v>19</v>
      </c>
      <c r="F955" t="s">
        <v>1427</v>
      </c>
      <c r="G955" t="s">
        <v>326</v>
      </c>
      <c r="N955" s="107"/>
    </row>
    <row r="956" spans="1:14" x14ac:dyDescent="0.3">
      <c r="A956" t="s">
        <v>180</v>
      </c>
      <c r="B956" t="s">
        <v>514</v>
      </c>
      <c r="C956" t="s">
        <v>1447</v>
      </c>
      <c r="D956">
        <f t="shared" si="14"/>
        <v>1</v>
      </c>
      <c r="E956" t="s">
        <v>19</v>
      </c>
      <c r="F956" t="s">
        <v>2580</v>
      </c>
      <c r="G956" t="s">
        <v>326</v>
      </c>
      <c r="N956" s="107"/>
    </row>
    <row r="957" spans="1:14" x14ac:dyDescent="0.3">
      <c r="A957" t="s">
        <v>180</v>
      </c>
      <c r="B957" t="s">
        <v>514</v>
      </c>
      <c r="C957" t="s">
        <v>1482</v>
      </c>
      <c r="D957">
        <f t="shared" si="14"/>
        <v>1</v>
      </c>
      <c r="E957" t="s">
        <v>19</v>
      </c>
      <c r="F957" t="s">
        <v>2691</v>
      </c>
      <c r="G957" t="s">
        <v>326</v>
      </c>
      <c r="N957" s="107"/>
    </row>
    <row r="958" spans="1:14" x14ac:dyDescent="0.3">
      <c r="A958" t="s">
        <v>180</v>
      </c>
      <c r="B958" t="s">
        <v>1108</v>
      </c>
      <c r="C958" t="s">
        <v>1509</v>
      </c>
      <c r="D958">
        <f t="shared" si="14"/>
        <v>1</v>
      </c>
      <c r="E958" t="s">
        <v>19</v>
      </c>
      <c r="F958" t="s">
        <v>2756</v>
      </c>
      <c r="G958" t="s">
        <v>326</v>
      </c>
      <c r="N958" s="107"/>
    </row>
    <row r="959" spans="1:14" x14ac:dyDescent="0.3">
      <c r="A959" t="s">
        <v>180</v>
      </c>
      <c r="B959" t="s">
        <v>514</v>
      </c>
      <c r="C959" t="s">
        <v>1517</v>
      </c>
      <c r="D959">
        <f t="shared" si="14"/>
        <v>1</v>
      </c>
      <c r="E959" t="s">
        <v>19</v>
      </c>
      <c r="F959" t="s">
        <v>2814</v>
      </c>
      <c r="G959" t="s">
        <v>326</v>
      </c>
      <c r="N959" s="107"/>
    </row>
    <row r="960" spans="1:14" x14ac:dyDescent="0.3">
      <c r="A960" t="s">
        <v>180</v>
      </c>
      <c r="B960" t="s">
        <v>514</v>
      </c>
      <c r="C960" t="s">
        <v>1544</v>
      </c>
      <c r="D960">
        <f t="shared" si="14"/>
        <v>1</v>
      </c>
      <c r="E960" t="s">
        <v>19</v>
      </c>
      <c r="F960" t="s">
        <v>1544</v>
      </c>
      <c r="G960" t="s">
        <v>326</v>
      </c>
      <c r="N960" s="107"/>
    </row>
    <row r="961" spans="1:14" x14ac:dyDescent="0.3">
      <c r="A961" t="s">
        <v>181</v>
      </c>
      <c r="B961" t="s">
        <v>543</v>
      </c>
      <c r="C961" t="s">
        <v>1140</v>
      </c>
      <c r="D961">
        <f t="shared" si="14"/>
        <v>1</v>
      </c>
      <c r="E961" t="s">
        <v>19</v>
      </c>
      <c r="F961" t="s">
        <v>1733</v>
      </c>
      <c r="G961" t="s">
        <v>326</v>
      </c>
      <c r="N961" s="107"/>
    </row>
    <row r="962" spans="1:14" x14ac:dyDescent="0.3">
      <c r="A962" t="s">
        <v>181</v>
      </c>
      <c r="B962" t="s">
        <v>515</v>
      </c>
      <c r="C962" t="s">
        <v>1187</v>
      </c>
      <c r="D962">
        <f t="shared" ref="D962:D1025" si="15">SIGN(SUBTOTAL(3,E962))</f>
        <v>1</v>
      </c>
      <c r="E962" t="s">
        <v>19</v>
      </c>
      <c r="F962" t="s">
        <v>1187</v>
      </c>
      <c r="G962" t="s">
        <v>326</v>
      </c>
      <c r="N962" s="107"/>
    </row>
    <row r="963" spans="1:14" x14ac:dyDescent="0.3">
      <c r="A963" t="s">
        <v>181</v>
      </c>
      <c r="B963" t="s">
        <v>634</v>
      </c>
      <c r="C963" t="s">
        <v>1188</v>
      </c>
      <c r="D963">
        <f t="shared" si="15"/>
        <v>1</v>
      </c>
      <c r="E963" t="s">
        <v>19</v>
      </c>
      <c r="F963" t="s">
        <v>1837</v>
      </c>
      <c r="G963" t="s">
        <v>326</v>
      </c>
      <c r="N963" s="107"/>
    </row>
    <row r="964" spans="1:14" x14ac:dyDescent="0.3">
      <c r="A964" t="s">
        <v>181</v>
      </c>
      <c r="B964" t="s">
        <v>635</v>
      </c>
      <c r="C964" t="s">
        <v>1188</v>
      </c>
      <c r="D964">
        <f t="shared" si="15"/>
        <v>1</v>
      </c>
      <c r="E964" t="s">
        <v>19</v>
      </c>
      <c r="F964" t="s">
        <v>1838</v>
      </c>
      <c r="G964" t="s">
        <v>326</v>
      </c>
      <c r="N964" s="107"/>
    </row>
    <row r="965" spans="1:14" x14ac:dyDescent="0.3">
      <c r="A965" t="s">
        <v>181</v>
      </c>
      <c r="B965" t="s">
        <v>636</v>
      </c>
      <c r="C965" t="s">
        <v>1188</v>
      </c>
      <c r="D965">
        <f t="shared" si="15"/>
        <v>1</v>
      </c>
      <c r="E965" t="s">
        <v>19</v>
      </c>
      <c r="F965" t="s">
        <v>1839</v>
      </c>
      <c r="G965" t="s">
        <v>326</v>
      </c>
      <c r="N965" s="107"/>
    </row>
    <row r="966" spans="1:14" x14ac:dyDescent="0.3">
      <c r="A966" t="s">
        <v>181</v>
      </c>
      <c r="B966" t="s">
        <v>637</v>
      </c>
      <c r="C966" t="s">
        <v>1188</v>
      </c>
      <c r="D966">
        <f t="shared" si="15"/>
        <v>1</v>
      </c>
      <c r="E966" t="s">
        <v>19</v>
      </c>
      <c r="F966" t="s">
        <v>1840</v>
      </c>
      <c r="G966" t="s">
        <v>326</v>
      </c>
      <c r="N966" s="107"/>
    </row>
    <row r="967" spans="1:14" x14ac:dyDescent="0.3">
      <c r="A967" t="s">
        <v>181</v>
      </c>
      <c r="B967" t="s">
        <v>518</v>
      </c>
      <c r="C967" t="s">
        <v>1188</v>
      </c>
      <c r="D967">
        <f t="shared" si="15"/>
        <v>1</v>
      </c>
      <c r="E967" t="s">
        <v>19</v>
      </c>
      <c r="F967" t="s">
        <v>1841</v>
      </c>
      <c r="G967" t="s">
        <v>326</v>
      </c>
      <c r="N967" s="107"/>
    </row>
    <row r="968" spans="1:14" x14ac:dyDescent="0.3">
      <c r="A968" t="s">
        <v>181</v>
      </c>
      <c r="B968" t="s">
        <v>638</v>
      </c>
      <c r="C968" t="s">
        <v>1188</v>
      </c>
      <c r="D968">
        <f t="shared" si="15"/>
        <v>1</v>
      </c>
      <c r="E968" t="s">
        <v>19</v>
      </c>
      <c r="F968" t="s">
        <v>1842</v>
      </c>
      <c r="G968" t="s">
        <v>326</v>
      </c>
      <c r="N968" s="107"/>
    </row>
    <row r="969" spans="1:14" x14ac:dyDescent="0.3">
      <c r="A969" t="s">
        <v>181</v>
      </c>
      <c r="B969" t="s">
        <v>639</v>
      </c>
      <c r="C969" t="s">
        <v>1188</v>
      </c>
      <c r="D969">
        <f t="shared" si="15"/>
        <v>1</v>
      </c>
      <c r="E969" t="s">
        <v>19</v>
      </c>
      <c r="F969" t="s">
        <v>1843</v>
      </c>
      <c r="G969" t="s">
        <v>326</v>
      </c>
      <c r="N969" s="107"/>
    </row>
    <row r="970" spans="1:14" x14ac:dyDescent="0.3">
      <c r="A970" t="s">
        <v>181</v>
      </c>
      <c r="B970" t="s">
        <v>640</v>
      </c>
      <c r="C970" t="s">
        <v>1188</v>
      </c>
      <c r="D970">
        <f t="shared" si="15"/>
        <v>1</v>
      </c>
      <c r="E970" t="s">
        <v>19</v>
      </c>
      <c r="F970" t="s">
        <v>1844</v>
      </c>
      <c r="G970" t="s">
        <v>326</v>
      </c>
      <c r="N970" s="107"/>
    </row>
    <row r="971" spans="1:14" x14ac:dyDescent="0.3">
      <c r="A971" t="s">
        <v>181</v>
      </c>
      <c r="B971" t="s">
        <v>641</v>
      </c>
      <c r="C971" t="s">
        <v>1188</v>
      </c>
      <c r="D971">
        <f t="shared" si="15"/>
        <v>1</v>
      </c>
      <c r="E971" t="s">
        <v>19</v>
      </c>
      <c r="F971" t="s">
        <v>1845</v>
      </c>
      <c r="G971" t="s">
        <v>326</v>
      </c>
      <c r="N971" s="107"/>
    </row>
    <row r="972" spans="1:14" x14ac:dyDescent="0.3">
      <c r="A972" t="s">
        <v>181</v>
      </c>
      <c r="B972" t="s">
        <v>642</v>
      </c>
      <c r="C972" t="s">
        <v>1188</v>
      </c>
      <c r="D972">
        <f t="shared" si="15"/>
        <v>1</v>
      </c>
      <c r="E972" t="s">
        <v>19</v>
      </c>
      <c r="F972" t="s">
        <v>1846</v>
      </c>
      <c r="G972" t="s">
        <v>326</v>
      </c>
      <c r="N972" s="107"/>
    </row>
    <row r="973" spans="1:14" x14ac:dyDescent="0.3">
      <c r="A973" t="s">
        <v>181</v>
      </c>
      <c r="B973" t="s">
        <v>518</v>
      </c>
      <c r="C973" t="s">
        <v>1188</v>
      </c>
      <c r="D973">
        <f t="shared" si="15"/>
        <v>1</v>
      </c>
      <c r="E973" t="s">
        <v>19</v>
      </c>
      <c r="F973" t="s">
        <v>1847</v>
      </c>
      <c r="G973" t="s">
        <v>326</v>
      </c>
      <c r="N973" s="107"/>
    </row>
    <row r="974" spans="1:14" x14ac:dyDescent="0.3">
      <c r="A974" t="s">
        <v>181</v>
      </c>
      <c r="B974" t="s">
        <v>692</v>
      </c>
      <c r="C974" t="s">
        <v>1231</v>
      </c>
      <c r="D974">
        <f t="shared" si="15"/>
        <v>1</v>
      </c>
      <c r="E974" t="s">
        <v>19</v>
      </c>
      <c r="F974" t="s">
        <v>1916</v>
      </c>
      <c r="G974" t="s">
        <v>326</v>
      </c>
      <c r="N974" s="107"/>
    </row>
    <row r="975" spans="1:14" x14ac:dyDescent="0.3">
      <c r="A975" t="s">
        <v>181</v>
      </c>
      <c r="B975" t="s">
        <v>693</v>
      </c>
      <c r="C975" t="s">
        <v>1231</v>
      </c>
      <c r="D975">
        <f t="shared" si="15"/>
        <v>1</v>
      </c>
      <c r="E975" t="s">
        <v>19</v>
      </c>
      <c r="F975" t="s">
        <v>1917</v>
      </c>
      <c r="G975" t="s">
        <v>326</v>
      </c>
      <c r="N975" s="107"/>
    </row>
    <row r="976" spans="1:14" x14ac:dyDescent="0.3">
      <c r="A976" t="s">
        <v>181</v>
      </c>
      <c r="B976" t="s">
        <v>708</v>
      </c>
      <c r="C976" t="s">
        <v>1231</v>
      </c>
      <c r="D976">
        <f t="shared" si="15"/>
        <v>1</v>
      </c>
      <c r="E976" t="s">
        <v>19</v>
      </c>
      <c r="F976" t="s">
        <v>1941</v>
      </c>
      <c r="G976" t="s">
        <v>326</v>
      </c>
      <c r="N976" s="107"/>
    </row>
    <row r="977" spans="1:14" x14ac:dyDescent="0.3">
      <c r="A977" t="s">
        <v>181</v>
      </c>
      <c r="B977" t="s">
        <v>635</v>
      </c>
      <c r="C977" t="s">
        <v>1231</v>
      </c>
      <c r="D977">
        <f t="shared" si="15"/>
        <v>1</v>
      </c>
      <c r="E977" t="s">
        <v>19</v>
      </c>
      <c r="F977" t="s">
        <v>1944</v>
      </c>
      <c r="G977" t="s">
        <v>326</v>
      </c>
      <c r="N977" s="107"/>
    </row>
    <row r="978" spans="1:14" x14ac:dyDescent="0.3">
      <c r="A978" t="s">
        <v>181</v>
      </c>
      <c r="B978" t="s">
        <v>724</v>
      </c>
      <c r="C978" t="s">
        <v>1231</v>
      </c>
      <c r="D978">
        <f t="shared" si="15"/>
        <v>1</v>
      </c>
      <c r="E978" t="s">
        <v>19</v>
      </c>
      <c r="F978" t="s">
        <v>1985</v>
      </c>
      <c r="G978" t="s">
        <v>326</v>
      </c>
      <c r="N978" s="107"/>
    </row>
    <row r="979" spans="1:14" x14ac:dyDescent="0.3">
      <c r="A979" t="s">
        <v>181</v>
      </c>
      <c r="B979" t="s">
        <v>728</v>
      </c>
      <c r="C979" t="s">
        <v>1231</v>
      </c>
      <c r="D979">
        <f t="shared" si="15"/>
        <v>1</v>
      </c>
      <c r="E979" t="s">
        <v>19</v>
      </c>
      <c r="F979" t="s">
        <v>1993</v>
      </c>
      <c r="G979" t="s">
        <v>326</v>
      </c>
      <c r="N979" s="107"/>
    </row>
    <row r="980" spans="1:14" x14ac:dyDescent="0.3">
      <c r="A980" t="s">
        <v>181</v>
      </c>
      <c r="B980" t="s">
        <v>729</v>
      </c>
      <c r="C980" t="s">
        <v>1231</v>
      </c>
      <c r="D980">
        <f t="shared" si="15"/>
        <v>1</v>
      </c>
      <c r="E980" t="s">
        <v>19</v>
      </c>
      <c r="F980" t="s">
        <v>1994</v>
      </c>
      <c r="G980" t="s">
        <v>326</v>
      </c>
      <c r="N980" s="107"/>
    </row>
    <row r="981" spans="1:14" x14ac:dyDescent="0.3">
      <c r="A981" t="s">
        <v>181</v>
      </c>
      <c r="B981" t="s">
        <v>730</v>
      </c>
      <c r="C981" t="s">
        <v>1232</v>
      </c>
      <c r="D981">
        <f t="shared" si="15"/>
        <v>1</v>
      </c>
      <c r="E981" t="s">
        <v>19</v>
      </c>
      <c r="F981" t="s">
        <v>1232</v>
      </c>
      <c r="G981" t="s">
        <v>326</v>
      </c>
      <c r="N981" s="107"/>
    </row>
    <row r="982" spans="1:14" x14ac:dyDescent="0.3">
      <c r="A982" t="s">
        <v>181</v>
      </c>
      <c r="B982" t="s">
        <v>749</v>
      </c>
      <c r="C982" t="s">
        <v>1247</v>
      </c>
      <c r="D982">
        <f t="shared" si="15"/>
        <v>1</v>
      </c>
      <c r="E982" t="s">
        <v>19</v>
      </c>
      <c r="F982" t="s">
        <v>2028</v>
      </c>
      <c r="G982" t="s">
        <v>326</v>
      </c>
      <c r="N982" s="107"/>
    </row>
    <row r="983" spans="1:14" x14ac:dyDescent="0.3">
      <c r="A983" t="s">
        <v>181</v>
      </c>
      <c r="B983" t="s">
        <v>517</v>
      </c>
      <c r="C983" t="s">
        <v>1272</v>
      </c>
      <c r="D983">
        <f t="shared" si="15"/>
        <v>1</v>
      </c>
      <c r="E983" t="s">
        <v>19</v>
      </c>
      <c r="F983" t="s">
        <v>2086</v>
      </c>
      <c r="G983" t="s">
        <v>326</v>
      </c>
      <c r="N983" s="107"/>
    </row>
    <row r="984" spans="1:14" x14ac:dyDescent="0.3">
      <c r="A984" t="s">
        <v>181</v>
      </c>
      <c r="B984" t="s">
        <v>630</v>
      </c>
      <c r="C984" t="s">
        <v>1272</v>
      </c>
      <c r="D984">
        <f t="shared" si="15"/>
        <v>1</v>
      </c>
      <c r="E984" t="s">
        <v>19</v>
      </c>
      <c r="F984" t="s">
        <v>2087</v>
      </c>
      <c r="G984" t="s">
        <v>326</v>
      </c>
      <c r="N984" s="107"/>
    </row>
    <row r="985" spans="1:14" x14ac:dyDescent="0.3">
      <c r="A985" t="s">
        <v>181</v>
      </c>
      <c r="B985" t="s">
        <v>517</v>
      </c>
      <c r="C985" t="s">
        <v>1276</v>
      </c>
      <c r="D985">
        <f t="shared" si="15"/>
        <v>1</v>
      </c>
      <c r="E985" t="s">
        <v>19</v>
      </c>
      <c r="F985" t="s">
        <v>2089</v>
      </c>
      <c r="G985" t="s">
        <v>326</v>
      </c>
      <c r="N985" s="107"/>
    </row>
    <row r="986" spans="1:14" x14ac:dyDescent="0.3">
      <c r="A986" t="s">
        <v>181</v>
      </c>
      <c r="B986" t="s">
        <v>517</v>
      </c>
      <c r="C986" t="s">
        <v>1276</v>
      </c>
      <c r="D986">
        <f t="shared" si="15"/>
        <v>1</v>
      </c>
      <c r="E986" t="s">
        <v>19</v>
      </c>
      <c r="F986" t="s">
        <v>2090</v>
      </c>
      <c r="G986" t="s">
        <v>326</v>
      </c>
      <c r="N986" s="107"/>
    </row>
    <row r="987" spans="1:14" x14ac:dyDescent="0.3">
      <c r="A987" t="s">
        <v>181</v>
      </c>
      <c r="B987" t="s">
        <v>517</v>
      </c>
      <c r="C987" t="s">
        <v>1285</v>
      </c>
      <c r="D987">
        <f t="shared" si="15"/>
        <v>1</v>
      </c>
      <c r="E987" t="s">
        <v>19</v>
      </c>
      <c r="F987" t="s">
        <v>1285</v>
      </c>
      <c r="G987" t="s">
        <v>326</v>
      </c>
      <c r="N987" s="107"/>
    </row>
    <row r="988" spans="1:14" x14ac:dyDescent="0.3">
      <c r="A988" t="s">
        <v>181</v>
      </c>
      <c r="B988" t="s">
        <v>634</v>
      </c>
      <c r="C988" t="s">
        <v>1289</v>
      </c>
      <c r="D988">
        <f t="shared" si="15"/>
        <v>1</v>
      </c>
      <c r="E988" t="s">
        <v>19</v>
      </c>
      <c r="F988" t="s">
        <v>2104</v>
      </c>
      <c r="G988" t="s">
        <v>326</v>
      </c>
      <c r="N988" s="107"/>
    </row>
    <row r="989" spans="1:14" x14ac:dyDescent="0.3">
      <c r="A989" t="s">
        <v>181</v>
      </c>
      <c r="B989" t="s">
        <v>638</v>
      </c>
      <c r="C989" t="s">
        <v>1289</v>
      </c>
      <c r="D989">
        <f t="shared" si="15"/>
        <v>1</v>
      </c>
      <c r="E989" t="s">
        <v>19</v>
      </c>
      <c r="F989" t="s">
        <v>2105</v>
      </c>
      <c r="G989" t="s">
        <v>326</v>
      </c>
      <c r="N989" s="107"/>
    </row>
    <row r="990" spans="1:14" x14ac:dyDescent="0.3">
      <c r="A990" t="s">
        <v>181</v>
      </c>
      <c r="B990" t="s">
        <v>518</v>
      </c>
      <c r="C990" t="s">
        <v>1289</v>
      </c>
      <c r="D990">
        <f t="shared" si="15"/>
        <v>1</v>
      </c>
      <c r="E990" t="s">
        <v>19</v>
      </c>
      <c r="F990" t="s">
        <v>2106</v>
      </c>
      <c r="G990" t="s">
        <v>326</v>
      </c>
      <c r="N990" s="107"/>
    </row>
    <row r="991" spans="1:14" x14ac:dyDescent="0.3">
      <c r="A991" t="s">
        <v>181</v>
      </c>
      <c r="B991" t="s">
        <v>641</v>
      </c>
      <c r="C991" t="s">
        <v>1289</v>
      </c>
      <c r="D991">
        <f t="shared" si="15"/>
        <v>1</v>
      </c>
      <c r="E991" t="s">
        <v>19</v>
      </c>
      <c r="F991" t="s">
        <v>2111</v>
      </c>
      <c r="G991" t="s">
        <v>326</v>
      </c>
      <c r="N991" s="107"/>
    </row>
    <row r="992" spans="1:14" x14ac:dyDescent="0.3">
      <c r="A992" t="s">
        <v>181</v>
      </c>
      <c r="B992" t="s">
        <v>640</v>
      </c>
      <c r="C992" t="s">
        <v>1289</v>
      </c>
      <c r="D992">
        <f t="shared" si="15"/>
        <v>1</v>
      </c>
      <c r="E992" t="s">
        <v>19</v>
      </c>
      <c r="F992" t="s">
        <v>2114</v>
      </c>
      <c r="G992" t="s">
        <v>326</v>
      </c>
      <c r="N992" s="107"/>
    </row>
    <row r="993" spans="1:14" x14ac:dyDescent="0.3">
      <c r="A993" t="s">
        <v>181</v>
      </c>
      <c r="B993" t="s">
        <v>642</v>
      </c>
      <c r="C993" t="s">
        <v>1289</v>
      </c>
      <c r="D993">
        <f t="shared" si="15"/>
        <v>1</v>
      </c>
      <c r="E993" t="s">
        <v>19</v>
      </c>
      <c r="F993" t="s">
        <v>2117</v>
      </c>
      <c r="G993" t="s">
        <v>326</v>
      </c>
      <c r="N993" s="107"/>
    </row>
    <row r="994" spans="1:14" x14ac:dyDescent="0.3">
      <c r="A994" t="s">
        <v>181</v>
      </c>
      <c r="B994" t="s">
        <v>803</v>
      </c>
      <c r="C994" t="s">
        <v>1289</v>
      </c>
      <c r="D994">
        <f t="shared" si="15"/>
        <v>1</v>
      </c>
      <c r="E994" t="s">
        <v>19</v>
      </c>
      <c r="F994" t="s">
        <v>2118</v>
      </c>
      <c r="G994" t="s">
        <v>326</v>
      </c>
      <c r="N994" s="107"/>
    </row>
    <row r="995" spans="1:14" x14ac:dyDescent="0.3">
      <c r="A995" t="s">
        <v>181</v>
      </c>
      <c r="B995" t="s">
        <v>806</v>
      </c>
      <c r="C995" t="s">
        <v>1289</v>
      </c>
      <c r="D995">
        <f t="shared" si="15"/>
        <v>1</v>
      </c>
      <c r="E995" t="s">
        <v>19</v>
      </c>
      <c r="F995" t="s">
        <v>2123</v>
      </c>
      <c r="G995" t="s">
        <v>326</v>
      </c>
      <c r="N995" s="107"/>
    </row>
    <row r="996" spans="1:14" x14ac:dyDescent="0.3">
      <c r="A996" t="s">
        <v>181</v>
      </c>
      <c r="B996" t="s">
        <v>639</v>
      </c>
      <c r="C996" t="s">
        <v>1289</v>
      </c>
      <c r="D996">
        <f t="shared" si="15"/>
        <v>1</v>
      </c>
      <c r="E996" t="s">
        <v>19</v>
      </c>
      <c r="F996" t="s">
        <v>2129</v>
      </c>
      <c r="G996" t="s">
        <v>326</v>
      </c>
      <c r="N996" s="107"/>
    </row>
    <row r="997" spans="1:14" x14ac:dyDescent="0.3">
      <c r="A997" t="s">
        <v>181</v>
      </c>
      <c r="B997" t="s">
        <v>692</v>
      </c>
      <c r="C997" t="s">
        <v>1289</v>
      </c>
      <c r="D997">
        <f t="shared" si="15"/>
        <v>1</v>
      </c>
      <c r="E997" t="s">
        <v>19</v>
      </c>
      <c r="F997" t="s">
        <v>2131</v>
      </c>
      <c r="G997" t="s">
        <v>326</v>
      </c>
      <c r="N997" s="107"/>
    </row>
    <row r="998" spans="1:14" x14ac:dyDescent="0.3">
      <c r="A998" t="s">
        <v>181</v>
      </c>
      <c r="B998" t="s">
        <v>812</v>
      </c>
      <c r="C998" t="s">
        <v>1289</v>
      </c>
      <c r="D998">
        <f t="shared" si="15"/>
        <v>1</v>
      </c>
      <c r="E998" t="s">
        <v>19</v>
      </c>
      <c r="F998" t="s">
        <v>2134</v>
      </c>
      <c r="G998" t="s">
        <v>326</v>
      </c>
      <c r="N998" s="107"/>
    </row>
    <row r="999" spans="1:14" x14ac:dyDescent="0.3">
      <c r="A999" t="s">
        <v>181</v>
      </c>
      <c r="B999" t="s">
        <v>814</v>
      </c>
      <c r="C999" t="s">
        <v>1289</v>
      </c>
      <c r="D999">
        <f t="shared" si="15"/>
        <v>1</v>
      </c>
      <c r="E999" t="s">
        <v>19</v>
      </c>
      <c r="F999" t="s">
        <v>2137</v>
      </c>
      <c r="G999" t="s">
        <v>326</v>
      </c>
      <c r="N999" s="107"/>
    </row>
    <row r="1000" spans="1:14" x14ac:dyDescent="0.3">
      <c r="A1000" t="s">
        <v>181</v>
      </c>
      <c r="B1000" t="s">
        <v>634</v>
      </c>
      <c r="C1000" t="s">
        <v>1297</v>
      </c>
      <c r="D1000">
        <f t="shared" si="15"/>
        <v>1</v>
      </c>
      <c r="E1000" t="s">
        <v>19</v>
      </c>
      <c r="F1000" t="s">
        <v>2153</v>
      </c>
      <c r="G1000" t="s">
        <v>326</v>
      </c>
      <c r="N1000" s="107"/>
    </row>
    <row r="1001" spans="1:14" x14ac:dyDescent="0.3">
      <c r="A1001" t="s">
        <v>181</v>
      </c>
      <c r="B1001" t="s">
        <v>820</v>
      </c>
      <c r="C1001" t="s">
        <v>1297</v>
      </c>
      <c r="D1001">
        <f t="shared" si="15"/>
        <v>1</v>
      </c>
      <c r="E1001" t="s">
        <v>19</v>
      </c>
      <c r="F1001" t="s">
        <v>2159</v>
      </c>
      <c r="G1001" t="s">
        <v>326</v>
      </c>
      <c r="N1001" s="107"/>
    </row>
    <row r="1002" spans="1:14" x14ac:dyDescent="0.3">
      <c r="A1002" t="s">
        <v>181</v>
      </c>
      <c r="B1002" t="s">
        <v>638</v>
      </c>
      <c r="C1002" t="s">
        <v>1297</v>
      </c>
      <c r="D1002">
        <f t="shared" si="15"/>
        <v>1</v>
      </c>
      <c r="E1002" t="s">
        <v>19</v>
      </c>
      <c r="F1002" t="s">
        <v>2160</v>
      </c>
      <c r="G1002" t="s">
        <v>326</v>
      </c>
      <c r="N1002" s="107"/>
    </row>
    <row r="1003" spans="1:14" x14ac:dyDescent="0.3">
      <c r="A1003" t="s">
        <v>181</v>
      </c>
      <c r="B1003" t="s">
        <v>729</v>
      </c>
      <c r="C1003" t="s">
        <v>1297</v>
      </c>
      <c r="D1003">
        <f t="shared" si="15"/>
        <v>1</v>
      </c>
      <c r="E1003" t="s">
        <v>19</v>
      </c>
      <c r="F1003" t="s">
        <v>2161</v>
      </c>
      <c r="G1003" t="s">
        <v>326</v>
      </c>
      <c r="N1003" s="107"/>
    </row>
    <row r="1004" spans="1:14" x14ac:dyDescent="0.3">
      <c r="A1004" t="s">
        <v>181</v>
      </c>
      <c r="B1004" t="s">
        <v>822</v>
      </c>
      <c r="C1004" t="s">
        <v>1297</v>
      </c>
      <c r="D1004">
        <f t="shared" si="15"/>
        <v>1</v>
      </c>
      <c r="E1004" t="s">
        <v>19</v>
      </c>
      <c r="F1004" t="s">
        <v>2163</v>
      </c>
      <c r="G1004" t="s">
        <v>326</v>
      </c>
      <c r="N1004" s="107"/>
    </row>
    <row r="1005" spans="1:14" x14ac:dyDescent="0.3">
      <c r="A1005" t="s">
        <v>181</v>
      </c>
      <c r="B1005" t="s">
        <v>840</v>
      </c>
      <c r="C1005" t="s">
        <v>1306</v>
      </c>
      <c r="D1005">
        <f t="shared" si="15"/>
        <v>1</v>
      </c>
      <c r="E1005" t="s">
        <v>19</v>
      </c>
      <c r="F1005" t="s">
        <v>2184</v>
      </c>
      <c r="G1005" t="s">
        <v>326</v>
      </c>
      <c r="N1005" s="107"/>
    </row>
    <row r="1006" spans="1:14" x14ac:dyDescent="0.3">
      <c r="A1006" t="s">
        <v>181</v>
      </c>
      <c r="B1006" t="s">
        <v>708</v>
      </c>
      <c r="C1006" t="s">
        <v>1306</v>
      </c>
      <c r="D1006">
        <f t="shared" si="15"/>
        <v>1</v>
      </c>
      <c r="E1006" t="s">
        <v>19</v>
      </c>
      <c r="F1006" t="s">
        <v>2185</v>
      </c>
      <c r="G1006" t="s">
        <v>326</v>
      </c>
      <c r="N1006" s="107"/>
    </row>
    <row r="1007" spans="1:14" x14ac:dyDescent="0.3">
      <c r="A1007" t="s">
        <v>181</v>
      </c>
      <c r="B1007" t="s">
        <v>728</v>
      </c>
      <c r="C1007" t="s">
        <v>1333</v>
      </c>
      <c r="D1007">
        <f t="shared" si="15"/>
        <v>1</v>
      </c>
      <c r="E1007" t="s">
        <v>19</v>
      </c>
      <c r="F1007" t="s">
        <v>2246</v>
      </c>
      <c r="G1007" t="s">
        <v>326</v>
      </c>
      <c r="N1007" s="107"/>
    </row>
    <row r="1008" spans="1:14" x14ac:dyDescent="0.3">
      <c r="A1008" t="s">
        <v>181</v>
      </c>
      <c r="B1008" t="s">
        <v>899</v>
      </c>
      <c r="C1008" t="s">
        <v>1336</v>
      </c>
      <c r="D1008">
        <f t="shared" si="15"/>
        <v>1</v>
      </c>
      <c r="E1008" t="s">
        <v>19</v>
      </c>
      <c r="F1008" t="s">
        <v>2258</v>
      </c>
      <c r="G1008" t="s">
        <v>326</v>
      </c>
      <c r="N1008" s="107"/>
    </row>
    <row r="1009" spans="1:14" x14ac:dyDescent="0.3">
      <c r="A1009" t="s">
        <v>181</v>
      </c>
      <c r="B1009" t="s">
        <v>517</v>
      </c>
      <c r="C1009" t="s">
        <v>1341</v>
      </c>
      <c r="D1009">
        <f t="shared" si="15"/>
        <v>1</v>
      </c>
      <c r="E1009" t="s">
        <v>19</v>
      </c>
      <c r="F1009" t="s">
        <v>1341</v>
      </c>
      <c r="G1009" t="s">
        <v>326</v>
      </c>
      <c r="N1009" s="107"/>
    </row>
    <row r="1010" spans="1:14" x14ac:dyDescent="0.3">
      <c r="A1010" t="s">
        <v>181</v>
      </c>
      <c r="B1010" t="s">
        <v>517</v>
      </c>
      <c r="C1010" t="s">
        <v>1386</v>
      </c>
      <c r="D1010">
        <f t="shared" si="15"/>
        <v>1</v>
      </c>
      <c r="E1010" t="s">
        <v>19</v>
      </c>
      <c r="F1010" t="s">
        <v>2339</v>
      </c>
      <c r="G1010" t="s">
        <v>326</v>
      </c>
      <c r="N1010" s="107"/>
    </row>
    <row r="1011" spans="1:14" x14ac:dyDescent="0.3">
      <c r="A1011" t="s">
        <v>181</v>
      </c>
      <c r="B1011" t="s">
        <v>985</v>
      </c>
      <c r="C1011" t="s">
        <v>1415</v>
      </c>
      <c r="D1011">
        <f t="shared" si="15"/>
        <v>1</v>
      </c>
      <c r="E1011" t="s">
        <v>19</v>
      </c>
      <c r="F1011" t="s">
        <v>2452</v>
      </c>
      <c r="G1011" t="s">
        <v>326</v>
      </c>
      <c r="N1011" s="107"/>
    </row>
    <row r="1012" spans="1:14" x14ac:dyDescent="0.3">
      <c r="A1012" t="s">
        <v>181</v>
      </c>
      <c r="B1012" t="s">
        <v>1001</v>
      </c>
      <c r="C1012" t="s">
        <v>1415</v>
      </c>
      <c r="D1012">
        <f t="shared" si="15"/>
        <v>1</v>
      </c>
      <c r="E1012" t="s">
        <v>19</v>
      </c>
      <c r="F1012" t="s">
        <v>2459</v>
      </c>
      <c r="G1012" t="s">
        <v>326</v>
      </c>
      <c r="N1012" s="107"/>
    </row>
    <row r="1013" spans="1:14" x14ac:dyDescent="0.3">
      <c r="A1013" t="s">
        <v>181</v>
      </c>
      <c r="B1013" t="s">
        <v>1099</v>
      </c>
      <c r="C1013" t="s">
        <v>1496</v>
      </c>
      <c r="D1013">
        <f t="shared" si="15"/>
        <v>1</v>
      </c>
      <c r="E1013" t="s">
        <v>19</v>
      </c>
      <c r="F1013" t="s">
        <v>1496</v>
      </c>
      <c r="G1013" t="s">
        <v>326</v>
      </c>
      <c r="N1013" s="107"/>
    </row>
    <row r="1014" spans="1:14" x14ac:dyDescent="0.3">
      <c r="A1014" t="s">
        <v>181</v>
      </c>
      <c r="B1014" t="s">
        <v>640</v>
      </c>
      <c r="C1014" t="s">
        <v>1518</v>
      </c>
      <c r="D1014">
        <f t="shared" si="15"/>
        <v>1</v>
      </c>
      <c r="E1014" t="s">
        <v>19</v>
      </c>
      <c r="F1014" t="s">
        <v>1518</v>
      </c>
      <c r="G1014" t="s">
        <v>326</v>
      </c>
      <c r="N1014" s="107"/>
    </row>
    <row r="1015" spans="1:14" x14ac:dyDescent="0.3">
      <c r="A1015" t="s">
        <v>181</v>
      </c>
      <c r="B1015" t="s">
        <v>1125</v>
      </c>
      <c r="C1015" t="s">
        <v>1520</v>
      </c>
      <c r="D1015">
        <f t="shared" si="15"/>
        <v>1</v>
      </c>
      <c r="E1015" t="s">
        <v>19</v>
      </c>
      <c r="F1015" t="s">
        <v>2821</v>
      </c>
      <c r="G1015" t="s">
        <v>326</v>
      </c>
      <c r="N1015" s="107"/>
    </row>
    <row r="1016" spans="1:14" x14ac:dyDescent="0.3">
      <c r="A1016" t="s">
        <v>181</v>
      </c>
      <c r="B1016" t="s">
        <v>1131</v>
      </c>
      <c r="C1016" t="s">
        <v>1533</v>
      </c>
      <c r="D1016">
        <f t="shared" si="15"/>
        <v>1</v>
      </c>
      <c r="E1016" t="s">
        <v>19</v>
      </c>
      <c r="F1016" t="s">
        <v>1533</v>
      </c>
      <c r="G1016" t="s">
        <v>326</v>
      </c>
      <c r="N1016" s="107"/>
    </row>
    <row r="1017" spans="1:14" x14ac:dyDescent="0.3">
      <c r="A1017" t="s">
        <v>182</v>
      </c>
      <c r="B1017" t="s">
        <v>519</v>
      </c>
      <c r="C1017" t="s">
        <v>1221</v>
      </c>
      <c r="D1017">
        <f t="shared" si="15"/>
        <v>1</v>
      </c>
      <c r="E1017" t="s">
        <v>19</v>
      </c>
      <c r="F1017" t="s">
        <v>1221</v>
      </c>
      <c r="G1017" t="s">
        <v>326</v>
      </c>
      <c r="N1017" s="107"/>
    </row>
    <row r="1018" spans="1:14" x14ac:dyDescent="0.3">
      <c r="A1018" t="s">
        <v>182</v>
      </c>
      <c r="B1018" t="s">
        <v>874</v>
      </c>
      <c r="C1018" t="s">
        <v>1321</v>
      </c>
      <c r="D1018">
        <f t="shared" si="15"/>
        <v>1</v>
      </c>
      <c r="E1018" t="s">
        <v>19</v>
      </c>
      <c r="F1018" t="s">
        <v>2224</v>
      </c>
      <c r="G1018" t="s">
        <v>326</v>
      </c>
      <c r="N1018" s="107"/>
    </row>
    <row r="1019" spans="1:14" x14ac:dyDescent="0.3">
      <c r="A1019" t="s">
        <v>182</v>
      </c>
      <c r="B1019" t="s">
        <v>519</v>
      </c>
      <c r="C1019" t="s">
        <v>1346</v>
      </c>
      <c r="D1019">
        <f t="shared" si="15"/>
        <v>1</v>
      </c>
      <c r="E1019" t="s">
        <v>19</v>
      </c>
      <c r="F1019" t="s">
        <v>2279</v>
      </c>
      <c r="G1019" t="s">
        <v>326</v>
      </c>
      <c r="N1019" s="107"/>
    </row>
    <row r="1020" spans="1:14" x14ac:dyDescent="0.3">
      <c r="A1020" t="s">
        <v>182</v>
      </c>
      <c r="B1020" t="s">
        <v>874</v>
      </c>
      <c r="C1020" t="s">
        <v>1346</v>
      </c>
      <c r="D1020">
        <f t="shared" si="15"/>
        <v>1</v>
      </c>
      <c r="E1020" t="s">
        <v>19</v>
      </c>
      <c r="F1020" t="s">
        <v>2284</v>
      </c>
      <c r="G1020" t="s">
        <v>326</v>
      </c>
      <c r="N1020" s="107"/>
    </row>
    <row r="1021" spans="1:14" x14ac:dyDescent="0.3">
      <c r="A1021" t="s">
        <v>182</v>
      </c>
      <c r="B1021" t="s">
        <v>519</v>
      </c>
      <c r="C1021" t="s">
        <v>1356</v>
      </c>
      <c r="D1021">
        <f t="shared" si="15"/>
        <v>1</v>
      </c>
      <c r="E1021" t="s">
        <v>19</v>
      </c>
      <c r="F1021" t="s">
        <v>1356</v>
      </c>
      <c r="G1021" t="s">
        <v>326</v>
      </c>
      <c r="N1021" s="107"/>
    </row>
    <row r="1022" spans="1:14" x14ac:dyDescent="0.3">
      <c r="A1022" t="s">
        <v>182</v>
      </c>
      <c r="B1022" t="s">
        <v>519</v>
      </c>
      <c r="C1022" t="s">
        <v>1357</v>
      </c>
      <c r="D1022">
        <f t="shared" si="15"/>
        <v>1</v>
      </c>
      <c r="E1022" t="s">
        <v>19</v>
      </c>
      <c r="F1022" t="s">
        <v>1357</v>
      </c>
      <c r="G1022" t="s">
        <v>326</v>
      </c>
      <c r="N1022" s="107"/>
    </row>
    <row r="1023" spans="1:14" x14ac:dyDescent="0.3">
      <c r="A1023" t="s">
        <v>182</v>
      </c>
      <c r="B1023" t="s">
        <v>519</v>
      </c>
      <c r="C1023" t="s">
        <v>1483</v>
      </c>
      <c r="D1023">
        <f t="shared" si="15"/>
        <v>1</v>
      </c>
      <c r="E1023" t="s">
        <v>19</v>
      </c>
      <c r="F1023" t="s">
        <v>2708</v>
      </c>
      <c r="G1023" t="s">
        <v>326</v>
      </c>
      <c r="N1023" s="107"/>
    </row>
    <row r="1024" spans="1:14" x14ac:dyDescent="0.3">
      <c r="A1024" t="s">
        <v>182</v>
      </c>
      <c r="B1024" t="s">
        <v>1090</v>
      </c>
      <c r="C1024" t="s">
        <v>1485</v>
      </c>
      <c r="D1024">
        <f t="shared" si="15"/>
        <v>1</v>
      </c>
      <c r="E1024" t="s">
        <v>19</v>
      </c>
      <c r="F1024" t="s">
        <v>1485</v>
      </c>
      <c r="G1024" t="s">
        <v>326</v>
      </c>
      <c r="N1024" s="107"/>
    </row>
    <row r="1025" spans="1:14" x14ac:dyDescent="0.3">
      <c r="A1025" t="s">
        <v>183</v>
      </c>
      <c r="B1025" t="s">
        <v>521</v>
      </c>
      <c r="C1025" t="s">
        <v>1164</v>
      </c>
      <c r="D1025">
        <f t="shared" si="15"/>
        <v>1</v>
      </c>
      <c r="E1025" t="s">
        <v>19</v>
      </c>
      <c r="F1025" t="s">
        <v>1164</v>
      </c>
      <c r="G1025" t="s">
        <v>326</v>
      </c>
      <c r="N1025" s="107"/>
    </row>
    <row r="1026" spans="1:14" x14ac:dyDescent="0.3">
      <c r="A1026" t="s">
        <v>183</v>
      </c>
      <c r="B1026" t="s">
        <v>653</v>
      </c>
      <c r="C1026" t="s">
        <v>1206</v>
      </c>
      <c r="D1026">
        <f t="shared" ref="D1026:D1089" si="16">SIGN(SUBTOTAL(3,E1026))</f>
        <v>1</v>
      </c>
      <c r="E1026" t="s">
        <v>19</v>
      </c>
      <c r="F1026" t="s">
        <v>1206</v>
      </c>
      <c r="G1026" t="s">
        <v>326</v>
      </c>
      <c r="N1026" s="107"/>
    </row>
    <row r="1027" spans="1:14" x14ac:dyDescent="0.3">
      <c r="A1027" t="s">
        <v>183</v>
      </c>
      <c r="B1027" t="s">
        <v>665</v>
      </c>
      <c r="C1027" t="s">
        <v>1212</v>
      </c>
      <c r="D1027">
        <f t="shared" si="16"/>
        <v>1</v>
      </c>
      <c r="E1027" t="s">
        <v>19</v>
      </c>
      <c r="F1027" t="s">
        <v>1883</v>
      </c>
      <c r="G1027" t="s">
        <v>326</v>
      </c>
      <c r="N1027" s="107"/>
    </row>
    <row r="1028" spans="1:14" x14ac:dyDescent="0.3">
      <c r="A1028" t="s">
        <v>183</v>
      </c>
      <c r="B1028" t="s">
        <v>665</v>
      </c>
      <c r="C1028" t="s">
        <v>1212</v>
      </c>
      <c r="D1028">
        <f t="shared" si="16"/>
        <v>1</v>
      </c>
      <c r="E1028" t="s">
        <v>19</v>
      </c>
      <c r="F1028" t="s">
        <v>1884</v>
      </c>
      <c r="G1028" t="s">
        <v>326</v>
      </c>
      <c r="N1028" s="107"/>
    </row>
    <row r="1029" spans="1:14" x14ac:dyDescent="0.3">
      <c r="A1029" t="s">
        <v>183</v>
      </c>
      <c r="B1029" t="s">
        <v>666</v>
      </c>
      <c r="C1029" t="s">
        <v>1212</v>
      </c>
      <c r="D1029">
        <f t="shared" si="16"/>
        <v>1</v>
      </c>
      <c r="E1029" t="s">
        <v>19</v>
      </c>
      <c r="F1029" t="s">
        <v>1885</v>
      </c>
      <c r="G1029" t="s">
        <v>326</v>
      </c>
      <c r="N1029" s="107"/>
    </row>
    <row r="1030" spans="1:14" x14ac:dyDescent="0.3">
      <c r="A1030" t="s">
        <v>183</v>
      </c>
      <c r="B1030" t="s">
        <v>666</v>
      </c>
      <c r="C1030" t="s">
        <v>1212</v>
      </c>
      <c r="D1030">
        <f t="shared" si="16"/>
        <v>1</v>
      </c>
      <c r="E1030" t="s">
        <v>19</v>
      </c>
      <c r="F1030" t="s">
        <v>1886</v>
      </c>
      <c r="G1030" t="s">
        <v>326</v>
      </c>
      <c r="N1030" s="107"/>
    </row>
    <row r="1031" spans="1:14" x14ac:dyDescent="0.3">
      <c r="A1031" t="s">
        <v>183</v>
      </c>
      <c r="B1031" t="s">
        <v>665</v>
      </c>
      <c r="C1031" t="s">
        <v>1231</v>
      </c>
      <c r="D1031">
        <f t="shared" si="16"/>
        <v>1</v>
      </c>
      <c r="E1031" t="s">
        <v>19</v>
      </c>
      <c r="F1031" t="s">
        <v>1956</v>
      </c>
      <c r="G1031" t="s">
        <v>326</v>
      </c>
      <c r="N1031" s="107"/>
    </row>
    <row r="1032" spans="1:14" x14ac:dyDescent="0.3">
      <c r="A1032" t="s">
        <v>183</v>
      </c>
      <c r="B1032" t="s">
        <v>714</v>
      </c>
      <c r="C1032" t="s">
        <v>1231</v>
      </c>
      <c r="D1032">
        <f t="shared" si="16"/>
        <v>1</v>
      </c>
      <c r="E1032" t="s">
        <v>19</v>
      </c>
      <c r="F1032" t="s">
        <v>1957</v>
      </c>
      <c r="G1032" t="s">
        <v>326</v>
      </c>
      <c r="N1032" s="107"/>
    </row>
    <row r="1033" spans="1:14" x14ac:dyDescent="0.3">
      <c r="A1033" t="s">
        <v>183</v>
      </c>
      <c r="B1033" t="s">
        <v>666</v>
      </c>
      <c r="C1033" t="s">
        <v>1231</v>
      </c>
      <c r="D1033">
        <f t="shared" si="16"/>
        <v>1</v>
      </c>
      <c r="E1033" t="s">
        <v>19</v>
      </c>
      <c r="F1033" t="s">
        <v>1963</v>
      </c>
      <c r="G1033" t="s">
        <v>326</v>
      </c>
      <c r="N1033" s="107"/>
    </row>
    <row r="1034" spans="1:14" x14ac:dyDescent="0.3">
      <c r="A1034" t="s">
        <v>183</v>
      </c>
      <c r="B1034" t="s">
        <v>521</v>
      </c>
      <c r="C1034" t="s">
        <v>1231</v>
      </c>
      <c r="D1034">
        <f t="shared" si="16"/>
        <v>1</v>
      </c>
      <c r="E1034" t="s">
        <v>19</v>
      </c>
      <c r="F1034" t="s">
        <v>1973</v>
      </c>
      <c r="G1034" t="s">
        <v>326</v>
      </c>
      <c r="N1034" s="107"/>
    </row>
    <row r="1035" spans="1:14" x14ac:dyDescent="0.3">
      <c r="A1035" t="s">
        <v>183</v>
      </c>
      <c r="B1035" t="s">
        <v>750</v>
      </c>
      <c r="C1035" t="s">
        <v>1247</v>
      </c>
      <c r="D1035">
        <f t="shared" si="16"/>
        <v>1</v>
      </c>
      <c r="E1035" t="s">
        <v>19</v>
      </c>
      <c r="F1035" t="s">
        <v>2029</v>
      </c>
      <c r="G1035" t="s">
        <v>326</v>
      </c>
      <c r="N1035" s="107"/>
    </row>
    <row r="1036" spans="1:14" x14ac:dyDescent="0.3">
      <c r="A1036" t="s">
        <v>183</v>
      </c>
      <c r="B1036" t="s">
        <v>673</v>
      </c>
      <c r="C1036" t="s">
        <v>1305</v>
      </c>
      <c r="D1036">
        <f t="shared" si="16"/>
        <v>1</v>
      </c>
      <c r="E1036" t="s">
        <v>19</v>
      </c>
      <c r="F1036" t="s">
        <v>2175</v>
      </c>
      <c r="G1036" t="s">
        <v>326</v>
      </c>
      <c r="N1036" s="107"/>
    </row>
    <row r="1037" spans="1:14" x14ac:dyDescent="0.3">
      <c r="A1037" t="s">
        <v>183</v>
      </c>
      <c r="B1037" t="s">
        <v>837</v>
      </c>
      <c r="C1037" t="s">
        <v>1305</v>
      </c>
      <c r="D1037">
        <f t="shared" si="16"/>
        <v>1</v>
      </c>
      <c r="E1037" t="s">
        <v>19</v>
      </c>
      <c r="F1037" t="s">
        <v>2180</v>
      </c>
      <c r="G1037" t="s">
        <v>326</v>
      </c>
      <c r="N1037" s="107"/>
    </row>
    <row r="1038" spans="1:14" x14ac:dyDescent="0.3">
      <c r="A1038" t="s">
        <v>183</v>
      </c>
      <c r="B1038" t="s">
        <v>521</v>
      </c>
      <c r="C1038" t="s">
        <v>1397</v>
      </c>
      <c r="D1038">
        <f t="shared" si="16"/>
        <v>1</v>
      </c>
      <c r="E1038" t="s">
        <v>19</v>
      </c>
      <c r="F1038" t="s">
        <v>2368</v>
      </c>
      <c r="G1038" t="s">
        <v>326</v>
      </c>
      <c r="N1038" s="107"/>
    </row>
    <row r="1039" spans="1:14" x14ac:dyDescent="0.3">
      <c r="A1039" t="s">
        <v>183</v>
      </c>
      <c r="B1039" t="s">
        <v>666</v>
      </c>
      <c r="C1039" t="s">
        <v>1396</v>
      </c>
      <c r="D1039">
        <f t="shared" si="16"/>
        <v>1</v>
      </c>
      <c r="E1039" t="s">
        <v>19</v>
      </c>
      <c r="F1039" t="s">
        <v>2379</v>
      </c>
      <c r="G1039" t="s">
        <v>326</v>
      </c>
      <c r="N1039" s="107"/>
    </row>
    <row r="1040" spans="1:14" x14ac:dyDescent="0.3">
      <c r="A1040" t="s">
        <v>183</v>
      </c>
      <c r="B1040" t="s">
        <v>666</v>
      </c>
      <c r="C1040" t="s">
        <v>1396</v>
      </c>
      <c r="D1040">
        <f t="shared" si="16"/>
        <v>1</v>
      </c>
      <c r="E1040" t="s">
        <v>19</v>
      </c>
      <c r="F1040" t="s">
        <v>2380</v>
      </c>
      <c r="G1040" t="s">
        <v>326</v>
      </c>
      <c r="N1040" s="107"/>
    </row>
    <row r="1041" spans="1:14" x14ac:dyDescent="0.3">
      <c r="A1041" t="s">
        <v>183</v>
      </c>
      <c r="B1041" t="s">
        <v>665</v>
      </c>
      <c r="C1041" t="s">
        <v>1395</v>
      </c>
      <c r="D1041">
        <f t="shared" si="16"/>
        <v>1</v>
      </c>
      <c r="E1041" t="s">
        <v>19</v>
      </c>
      <c r="F1041" t="s">
        <v>2381</v>
      </c>
      <c r="G1041" t="s">
        <v>326</v>
      </c>
      <c r="N1041" s="107"/>
    </row>
    <row r="1042" spans="1:14" x14ac:dyDescent="0.3">
      <c r="A1042" t="s">
        <v>183</v>
      </c>
      <c r="B1042" t="s">
        <v>958</v>
      </c>
      <c r="C1042" t="s">
        <v>1389</v>
      </c>
      <c r="D1042">
        <f t="shared" si="16"/>
        <v>1</v>
      </c>
      <c r="E1042" t="s">
        <v>19</v>
      </c>
      <c r="F1042" t="s">
        <v>2387</v>
      </c>
      <c r="G1042" t="s">
        <v>326</v>
      </c>
      <c r="N1042" s="107"/>
    </row>
    <row r="1043" spans="1:14" x14ac:dyDescent="0.3">
      <c r="A1043" t="s">
        <v>183</v>
      </c>
      <c r="B1043" t="s">
        <v>714</v>
      </c>
      <c r="C1043" t="s">
        <v>1418</v>
      </c>
      <c r="D1043">
        <f t="shared" si="16"/>
        <v>1</v>
      </c>
      <c r="E1043" t="s">
        <v>19</v>
      </c>
      <c r="F1043" t="s">
        <v>2499</v>
      </c>
      <c r="G1043" t="s">
        <v>326</v>
      </c>
      <c r="N1043" s="107"/>
    </row>
    <row r="1044" spans="1:14" x14ac:dyDescent="0.3">
      <c r="A1044" t="s">
        <v>183</v>
      </c>
      <c r="B1044" t="s">
        <v>665</v>
      </c>
      <c r="C1044" t="s">
        <v>1466</v>
      </c>
      <c r="D1044">
        <f t="shared" si="16"/>
        <v>1</v>
      </c>
      <c r="E1044" t="s">
        <v>19</v>
      </c>
      <c r="F1044" t="s">
        <v>2661</v>
      </c>
      <c r="G1044" t="s">
        <v>326</v>
      </c>
      <c r="N1044" s="107"/>
    </row>
    <row r="1045" spans="1:14" x14ac:dyDescent="0.3">
      <c r="A1045" t="s">
        <v>183</v>
      </c>
      <c r="B1045" t="s">
        <v>665</v>
      </c>
      <c r="C1045" t="s">
        <v>1487</v>
      </c>
      <c r="D1045">
        <f t="shared" si="16"/>
        <v>1</v>
      </c>
      <c r="E1045" t="s">
        <v>19</v>
      </c>
      <c r="F1045" t="s">
        <v>2726</v>
      </c>
      <c r="G1045" t="s">
        <v>326</v>
      </c>
      <c r="N1045" s="107"/>
    </row>
    <row r="1046" spans="1:14" x14ac:dyDescent="0.3">
      <c r="A1046" t="s">
        <v>183</v>
      </c>
      <c r="B1046" t="s">
        <v>1105</v>
      </c>
      <c r="C1046" t="s">
        <v>1505</v>
      </c>
      <c r="D1046">
        <f t="shared" si="16"/>
        <v>1</v>
      </c>
      <c r="E1046" t="s">
        <v>19</v>
      </c>
      <c r="F1046" t="s">
        <v>2750</v>
      </c>
      <c r="G1046" t="s">
        <v>326</v>
      </c>
      <c r="N1046" s="107"/>
    </row>
    <row r="1047" spans="1:14" x14ac:dyDescent="0.3">
      <c r="A1047" t="s">
        <v>183</v>
      </c>
      <c r="B1047" t="s">
        <v>665</v>
      </c>
      <c r="C1047" t="s">
        <v>1513</v>
      </c>
      <c r="D1047">
        <f t="shared" si="16"/>
        <v>1</v>
      </c>
      <c r="E1047" t="s">
        <v>19</v>
      </c>
      <c r="F1047" t="s">
        <v>2784</v>
      </c>
      <c r="G1047" t="s">
        <v>326</v>
      </c>
      <c r="N1047" s="107"/>
    </row>
    <row r="1048" spans="1:14" x14ac:dyDescent="0.3">
      <c r="A1048" t="s">
        <v>184</v>
      </c>
      <c r="B1048" t="s">
        <v>937</v>
      </c>
      <c r="C1048" t="s">
        <v>1375</v>
      </c>
      <c r="D1048">
        <f t="shared" si="16"/>
        <v>1</v>
      </c>
      <c r="E1048" t="s">
        <v>19</v>
      </c>
      <c r="F1048" t="s">
        <v>2318</v>
      </c>
      <c r="G1048" t="s">
        <v>326</v>
      </c>
      <c r="N1048" s="107"/>
    </row>
    <row r="1049" spans="1:14" x14ac:dyDescent="0.3">
      <c r="A1049" t="s">
        <v>184</v>
      </c>
      <c r="B1049" t="s">
        <v>969</v>
      </c>
      <c r="C1049" t="s">
        <v>1408</v>
      </c>
      <c r="D1049">
        <f t="shared" si="16"/>
        <v>1</v>
      </c>
      <c r="E1049" t="s">
        <v>19</v>
      </c>
      <c r="F1049" t="s">
        <v>2409</v>
      </c>
      <c r="G1049" t="s">
        <v>326</v>
      </c>
      <c r="N1049" s="107"/>
    </row>
    <row r="1050" spans="1:14" x14ac:dyDescent="0.3">
      <c r="A1050" t="s">
        <v>184</v>
      </c>
      <c r="B1050" t="s">
        <v>972</v>
      </c>
      <c r="C1050" t="s">
        <v>1408</v>
      </c>
      <c r="D1050">
        <f t="shared" si="16"/>
        <v>1</v>
      </c>
      <c r="E1050" t="s">
        <v>19</v>
      </c>
      <c r="F1050" t="s">
        <v>2412</v>
      </c>
      <c r="G1050" t="s">
        <v>326</v>
      </c>
      <c r="N1050" s="107"/>
    </row>
    <row r="1051" spans="1:14" x14ac:dyDescent="0.3">
      <c r="A1051" t="s">
        <v>184</v>
      </c>
      <c r="B1051" t="s">
        <v>992</v>
      </c>
      <c r="C1051" t="s">
        <v>1408</v>
      </c>
      <c r="D1051">
        <f t="shared" si="16"/>
        <v>1</v>
      </c>
      <c r="E1051" t="s">
        <v>19</v>
      </c>
      <c r="F1051" t="s">
        <v>2441</v>
      </c>
      <c r="G1051" t="s">
        <v>326</v>
      </c>
      <c r="N1051" s="107"/>
    </row>
    <row r="1052" spans="1:14" x14ac:dyDescent="0.3">
      <c r="A1052" t="s">
        <v>184</v>
      </c>
      <c r="B1052" t="s">
        <v>1047</v>
      </c>
      <c r="C1052" t="s">
        <v>1447</v>
      </c>
      <c r="D1052">
        <f t="shared" si="16"/>
        <v>1</v>
      </c>
      <c r="E1052" t="s">
        <v>19</v>
      </c>
      <c r="F1052" t="s">
        <v>2591</v>
      </c>
      <c r="G1052" t="s">
        <v>326</v>
      </c>
      <c r="N1052" s="107"/>
    </row>
    <row r="1053" spans="1:14" x14ac:dyDescent="0.3">
      <c r="A1053" t="s">
        <v>184</v>
      </c>
      <c r="B1053" t="s">
        <v>1048</v>
      </c>
      <c r="C1053" t="s">
        <v>1447</v>
      </c>
      <c r="D1053">
        <f t="shared" si="16"/>
        <v>1</v>
      </c>
      <c r="E1053" t="s">
        <v>19</v>
      </c>
      <c r="F1053" t="s">
        <v>2593</v>
      </c>
      <c r="G1053" t="s">
        <v>326</v>
      </c>
      <c r="N1053" s="107"/>
    </row>
    <row r="1054" spans="1:14" x14ac:dyDescent="0.3">
      <c r="A1054" t="s">
        <v>184</v>
      </c>
      <c r="B1054" t="s">
        <v>863</v>
      </c>
      <c r="C1054" t="s">
        <v>1447</v>
      </c>
      <c r="D1054">
        <f t="shared" si="16"/>
        <v>1</v>
      </c>
      <c r="E1054" t="s">
        <v>19</v>
      </c>
      <c r="F1054" t="s">
        <v>2594</v>
      </c>
      <c r="G1054" t="s">
        <v>326</v>
      </c>
      <c r="N1054" s="107"/>
    </row>
    <row r="1055" spans="1:14" x14ac:dyDescent="0.3">
      <c r="A1055" t="s">
        <v>184</v>
      </c>
      <c r="B1055" t="s">
        <v>969</v>
      </c>
      <c r="C1055" t="s">
        <v>1447</v>
      </c>
      <c r="D1055">
        <f t="shared" si="16"/>
        <v>1</v>
      </c>
      <c r="E1055" t="s">
        <v>19</v>
      </c>
      <c r="F1055" t="s">
        <v>2596</v>
      </c>
      <c r="G1055" t="s">
        <v>326</v>
      </c>
      <c r="N1055" s="107"/>
    </row>
    <row r="1056" spans="1:14" x14ac:dyDescent="0.3">
      <c r="A1056" t="s">
        <v>184</v>
      </c>
      <c r="B1056" t="s">
        <v>1057</v>
      </c>
      <c r="C1056" t="s">
        <v>1447</v>
      </c>
      <c r="D1056">
        <f t="shared" si="16"/>
        <v>1</v>
      </c>
      <c r="E1056" t="s">
        <v>19</v>
      </c>
      <c r="F1056" t="s">
        <v>2618</v>
      </c>
      <c r="G1056" t="s">
        <v>326</v>
      </c>
      <c r="N1056" s="107"/>
    </row>
    <row r="1057" spans="1:14" x14ac:dyDescent="0.3">
      <c r="A1057" t="s">
        <v>185</v>
      </c>
      <c r="B1057" t="s">
        <v>525</v>
      </c>
      <c r="C1057" t="s">
        <v>1168</v>
      </c>
      <c r="D1057">
        <f t="shared" si="16"/>
        <v>1</v>
      </c>
      <c r="E1057" t="s">
        <v>19</v>
      </c>
      <c r="F1057" t="s">
        <v>1746</v>
      </c>
      <c r="G1057" t="s">
        <v>326</v>
      </c>
      <c r="N1057" s="107"/>
    </row>
    <row r="1058" spans="1:14" x14ac:dyDescent="0.3">
      <c r="A1058" t="s">
        <v>185</v>
      </c>
      <c r="B1058" t="s">
        <v>525</v>
      </c>
      <c r="C1058" t="s">
        <v>1175</v>
      </c>
      <c r="D1058">
        <f t="shared" si="16"/>
        <v>1</v>
      </c>
      <c r="E1058" t="s">
        <v>19</v>
      </c>
      <c r="F1058" t="s">
        <v>1758</v>
      </c>
      <c r="G1058" t="s">
        <v>326</v>
      </c>
      <c r="N1058" s="107"/>
    </row>
    <row r="1059" spans="1:14" x14ac:dyDescent="0.3">
      <c r="A1059" t="s">
        <v>185</v>
      </c>
      <c r="B1059" t="s">
        <v>524</v>
      </c>
      <c r="C1059" t="s">
        <v>1175</v>
      </c>
      <c r="D1059">
        <f t="shared" si="16"/>
        <v>1</v>
      </c>
      <c r="E1059" t="s">
        <v>19</v>
      </c>
      <c r="F1059" t="s">
        <v>1759</v>
      </c>
      <c r="G1059" t="s">
        <v>326</v>
      </c>
      <c r="N1059" s="107"/>
    </row>
    <row r="1060" spans="1:14" x14ac:dyDescent="0.3">
      <c r="A1060" t="s">
        <v>185</v>
      </c>
      <c r="B1060" t="s">
        <v>587</v>
      </c>
      <c r="C1060" t="s">
        <v>1176</v>
      </c>
      <c r="D1060">
        <f t="shared" si="16"/>
        <v>1</v>
      </c>
      <c r="E1060" t="s">
        <v>19</v>
      </c>
      <c r="F1060" t="s">
        <v>1774</v>
      </c>
      <c r="G1060" t="s">
        <v>326</v>
      </c>
      <c r="N1060" s="107"/>
    </row>
    <row r="1061" spans="1:14" x14ac:dyDescent="0.3">
      <c r="A1061" t="s">
        <v>185</v>
      </c>
      <c r="B1061" t="s">
        <v>525</v>
      </c>
      <c r="C1061" t="s">
        <v>1179</v>
      </c>
      <c r="D1061">
        <f t="shared" si="16"/>
        <v>1</v>
      </c>
      <c r="E1061" t="s">
        <v>19</v>
      </c>
      <c r="F1061" t="s">
        <v>1789</v>
      </c>
      <c r="G1061" t="s">
        <v>326</v>
      </c>
      <c r="N1061" s="107"/>
    </row>
    <row r="1062" spans="1:14" x14ac:dyDescent="0.3">
      <c r="A1062" t="s">
        <v>185</v>
      </c>
      <c r="B1062" t="s">
        <v>727</v>
      </c>
      <c r="C1062" t="s">
        <v>1231</v>
      </c>
      <c r="D1062">
        <f t="shared" si="16"/>
        <v>1</v>
      </c>
      <c r="E1062" t="s">
        <v>19</v>
      </c>
      <c r="F1062" t="s">
        <v>1992</v>
      </c>
      <c r="G1062" t="s">
        <v>326</v>
      </c>
      <c r="N1062" s="107"/>
    </row>
    <row r="1063" spans="1:14" x14ac:dyDescent="0.3">
      <c r="A1063" t="s">
        <v>185</v>
      </c>
      <c r="B1063" t="s">
        <v>524</v>
      </c>
      <c r="C1063" t="s">
        <v>1237</v>
      </c>
      <c r="D1063">
        <f t="shared" si="16"/>
        <v>1</v>
      </c>
      <c r="E1063" t="s">
        <v>19</v>
      </c>
      <c r="F1063" t="s">
        <v>1998</v>
      </c>
      <c r="G1063" t="s">
        <v>326</v>
      </c>
      <c r="N1063" s="107"/>
    </row>
    <row r="1064" spans="1:14" x14ac:dyDescent="0.3">
      <c r="A1064" t="s">
        <v>185</v>
      </c>
      <c r="B1064" t="s">
        <v>524</v>
      </c>
      <c r="C1064" t="s">
        <v>1237</v>
      </c>
      <c r="D1064">
        <f t="shared" si="16"/>
        <v>1</v>
      </c>
      <c r="E1064" t="s">
        <v>19</v>
      </c>
      <c r="F1064" t="s">
        <v>1999</v>
      </c>
      <c r="G1064" t="s">
        <v>326</v>
      </c>
      <c r="N1064" s="107"/>
    </row>
    <row r="1065" spans="1:14" x14ac:dyDescent="0.3">
      <c r="A1065" t="s">
        <v>185</v>
      </c>
      <c r="B1065" t="s">
        <v>526</v>
      </c>
      <c r="C1065" t="s">
        <v>1237</v>
      </c>
      <c r="D1065">
        <f t="shared" si="16"/>
        <v>1</v>
      </c>
      <c r="E1065" t="s">
        <v>19</v>
      </c>
      <c r="F1065" t="s">
        <v>2000</v>
      </c>
      <c r="G1065" t="s">
        <v>326</v>
      </c>
      <c r="N1065" s="107"/>
    </row>
    <row r="1066" spans="1:14" x14ac:dyDescent="0.3">
      <c r="A1066" t="s">
        <v>185</v>
      </c>
      <c r="B1066" t="s">
        <v>526</v>
      </c>
      <c r="C1066" t="s">
        <v>1238</v>
      </c>
      <c r="D1066">
        <f t="shared" si="16"/>
        <v>1</v>
      </c>
      <c r="E1066" t="s">
        <v>19</v>
      </c>
      <c r="F1066" t="s">
        <v>1238</v>
      </c>
      <c r="G1066" t="s">
        <v>326</v>
      </c>
      <c r="N1066" s="107"/>
    </row>
    <row r="1067" spans="1:14" x14ac:dyDescent="0.3">
      <c r="A1067" t="s">
        <v>185</v>
      </c>
      <c r="B1067" t="s">
        <v>733</v>
      </c>
      <c r="C1067" t="s">
        <v>1237</v>
      </c>
      <c r="D1067">
        <f t="shared" si="16"/>
        <v>1</v>
      </c>
      <c r="E1067" t="s">
        <v>19</v>
      </c>
      <c r="F1067" t="s">
        <v>2001</v>
      </c>
      <c r="G1067" t="s">
        <v>326</v>
      </c>
      <c r="N1067" s="107"/>
    </row>
    <row r="1068" spans="1:14" x14ac:dyDescent="0.3">
      <c r="A1068" t="s">
        <v>185</v>
      </c>
      <c r="B1068" t="s">
        <v>733</v>
      </c>
      <c r="C1068" t="s">
        <v>1237</v>
      </c>
      <c r="D1068">
        <f t="shared" si="16"/>
        <v>1</v>
      </c>
      <c r="E1068" t="s">
        <v>19</v>
      </c>
      <c r="F1068" t="s">
        <v>2002</v>
      </c>
      <c r="G1068" t="s">
        <v>326</v>
      </c>
      <c r="N1068" s="107"/>
    </row>
    <row r="1069" spans="1:14" x14ac:dyDescent="0.3">
      <c r="A1069" t="s">
        <v>185</v>
      </c>
      <c r="B1069" t="s">
        <v>733</v>
      </c>
      <c r="C1069" t="s">
        <v>1250</v>
      </c>
      <c r="D1069">
        <f t="shared" si="16"/>
        <v>1</v>
      </c>
      <c r="E1069" t="s">
        <v>19</v>
      </c>
      <c r="F1069" t="s">
        <v>1250</v>
      </c>
      <c r="G1069" t="s">
        <v>326</v>
      </c>
      <c r="N1069" s="107"/>
    </row>
    <row r="1070" spans="1:14" x14ac:dyDescent="0.3">
      <c r="A1070" t="s">
        <v>185</v>
      </c>
      <c r="B1070" t="s">
        <v>524</v>
      </c>
      <c r="C1070" t="s">
        <v>1266</v>
      </c>
      <c r="D1070">
        <f t="shared" si="16"/>
        <v>1</v>
      </c>
      <c r="E1070" t="s">
        <v>19</v>
      </c>
      <c r="F1070" t="s">
        <v>1266</v>
      </c>
      <c r="G1070" t="s">
        <v>326</v>
      </c>
      <c r="N1070" s="107"/>
    </row>
    <row r="1071" spans="1:14" x14ac:dyDescent="0.3">
      <c r="A1071" t="s">
        <v>185</v>
      </c>
      <c r="B1071" t="s">
        <v>524</v>
      </c>
      <c r="C1071" t="s">
        <v>1268</v>
      </c>
      <c r="D1071">
        <f t="shared" si="16"/>
        <v>1</v>
      </c>
      <c r="E1071" t="s">
        <v>19</v>
      </c>
      <c r="F1071" t="s">
        <v>2080</v>
      </c>
      <c r="G1071" t="s">
        <v>326</v>
      </c>
      <c r="N1071" s="107"/>
    </row>
    <row r="1072" spans="1:14" x14ac:dyDescent="0.3">
      <c r="A1072" t="s">
        <v>185</v>
      </c>
      <c r="B1072" t="s">
        <v>525</v>
      </c>
      <c r="C1072" t="s">
        <v>1268</v>
      </c>
      <c r="D1072">
        <f t="shared" si="16"/>
        <v>1</v>
      </c>
      <c r="E1072" t="s">
        <v>19</v>
      </c>
      <c r="F1072" t="s">
        <v>2081</v>
      </c>
      <c r="G1072" t="s">
        <v>326</v>
      </c>
      <c r="N1072" s="107"/>
    </row>
    <row r="1073" spans="1:14" x14ac:dyDescent="0.3">
      <c r="A1073" t="s">
        <v>185</v>
      </c>
      <c r="B1073" t="s">
        <v>526</v>
      </c>
      <c r="C1073" t="s">
        <v>1276</v>
      </c>
      <c r="D1073">
        <f t="shared" si="16"/>
        <v>1</v>
      </c>
      <c r="E1073" t="s">
        <v>19</v>
      </c>
      <c r="F1073" t="s">
        <v>2092</v>
      </c>
      <c r="G1073" t="s">
        <v>326</v>
      </c>
      <c r="N1073" s="107"/>
    </row>
    <row r="1074" spans="1:14" x14ac:dyDescent="0.3">
      <c r="A1074" t="s">
        <v>185</v>
      </c>
      <c r="B1074" t="s">
        <v>526</v>
      </c>
      <c r="C1074" t="s">
        <v>1276</v>
      </c>
      <c r="D1074">
        <f t="shared" si="16"/>
        <v>1</v>
      </c>
      <c r="E1074" t="s">
        <v>19</v>
      </c>
      <c r="F1074" t="s">
        <v>2093</v>
      </c>
      <c r="G1074" t="s">
        <v>326</v>
      </c>
      <c r="N1074" s="107"/>
    </row>
    <row r="1075" spans="1:14" x14ac:dyDescent="0.3">
      <c r="A1075" t="s">
        <v>185</v>
      </c>
      <c r="B1075" t="s">
        <v>524</v>
      </c>
      <c r="C1075" t="s">
        <v>1318</v>
      </c>
      <c r="D1075">
        <f t="shared" si="16"/>
        <v>1</v>
      </c>
      <c r="E1075" t="s">
        <v>19</v>
      </c>
      <c r="F1075" t="s">
        <v>2219</v>
      </c>
      <c r="G1075" t="s">
        <v>326</v>
      </c>
      <c r="N1075" s="107"/>
    </row>
    <row r="1076" spans="1:14" x14ac:dyDescent="0.3">
      <c r="A1076" t="s">
        <v>185</v>
      </c>
      <c r="B1076" t="s">
        <v>525</v>
      </c>
      <c r="C1076" t="s">
        <v>1321</v>
      </c>
      <c r="D1076">
        <f t="shared" si="16"/>
        <v>1</v>
      </c>
      <c r="E1076" t="s">
        <v>19</v>
      </c>
      <c r="F1076" t="s">
        <v>2228</v>
      </c>
      <c r="G1076" t="s">
        <v>326</v>
      </c>
      <c r="N1076" s="107"/>
    </row>
    <row r="1077" spans="1:14" x14ac:dyDescent="0.3">
      <c r="A1077" t="s">
        <v>185</v>
      </c>
      <c r="B1077" t="s">
        <v>733</v>
      </c>
      <c r="C1077" t="s">
        <v>1396</v>
      </c>
      <c r="D1077">
        <f t="shared" si="16"/>
        <v>1</v>
      </c>
      <c r="E1077" t="s">
        <v>19</v>
      </c>
      <c r="F1077" t="s">
        <v>2369</v>
      </c>
      <c r="G1077" t="s">
        <v>326</v>
      </c>
      <c r="N1077" s="107"/>
    </row>
    <row r="1078" spans="1:14" x14ac:dyDescent="0.3">
      <c r="A1078" t="s">
        <v>185</v>
      </c>
      <c r="B1078" t="s">
        <v>526</v>
      </c>
      <c r="C1078" t="s">
        <v>1396</v>
      </c>
      <c r="D1078">
        <f t="shared" si="16"/>
        <v>1</v>
      </c>
      <c r="E1078" t="s">
        <v>19</v>
      </c>
      <c r="F1078" t="s">
        <v>2382</v>
      </c>
      <c r="G1078" t="s">
        <v>326</v>
      </c>
      <c r="N1078" s="107"/>
    </row>
    <row r="1079" spans="1:14" x14ac:dyDescent="0.3">
      <c r="A1079" t="s">
        <v>185</v>
      </c>
      <c r="B1079" t="s">
        <v>996</v>
      </c>
      <c r="C1079" t="s">
        <v>1415</v>
      </c>
      <c r="D1079">
        <f t="shared" si="16"/>
        <v>1</v>
      </c>
      <c r="E1079" t="s">
        <v>19</v>
      </c>
      <c r="F1079" t="s">
        <v>2449</v>
      </c>
      <c r="G1079" t="s">
        <v>326</v>
      </c>
      <c r="N1079" s="107"/>
    </row>
    <row r="1080" spans="1:14" x14ac:dyDescent="0.3">
      <c r="A1080" t="s">
        <v>185</v>
      </c>
      <c r="B1080" t="s">
        <v>526</v>
      </c>
      <c r="C1080" t="s">
        <v>1415</v>
      </c>
      <c r="D1080">
        <f t="shared" si="16"/>
        <v>1</v>
      </c>
      <c r="E1080" t="s">
        <v>19</v>
      </c>
      <c r="F1080" t="s">
        <v>2462</v>
      </c>
      <c r="G1080" t="s">
        <v>326</v>
      </c>
      <c r="N1080" s="107"/>
    </row>
    <row r="1081" spans="1:14" x14ac:dyDescent="0.3">
      <c r="A1081" t="s">
        <v>185</v>
      </c>
      <c r="B1081" t="s">
        <v>524</v>
      </c>
      <c r="C1081" t="s">
        <v>1415</v>
      </c>
      <c r="D1081">
        <f t="shared" si="16"/>
        <v>1</v>
      </c>
      <c r="E1081" t="s">
        <v>19</v>
      </c>
      <c r="F1081" t="s">
        <v>2465</v>
      </c>
      <c r="G1081" t="s">
        <v>326</v>
      </c>
      <c r="N1081" s="107"/>
    </row>
    <row r="1082" spans="1:14" x14ac:dyDescent="0.3">
      <c r="A1082" t="s">
        <v>185</v>
      </c>
      <c r="B1082" t="s">
        <v>526</v>
      </c>
      <c r="C1082" t="s">
        <v>1418</v>
      </c>
      <c r="D1082">
        <f t="shared" si="16"/>
        <v>1</v>
      </c>
      <c r="E1082" t="s">
        <v>19</v>
      </c>
      <c r="F1082" t="s">
        <v>2498</v>
      </c>
      <c r="G1082" t="s">
        <v>326</v>
      </c>
      <c r="N1082" s="107"/>
    </row>
    <row r="1083" spans="1:14" x14ac:dyDescent="0.3">
      <c r="A1083" t="s">
        <v>185</v>
      </c>
      <c r="B1083" t="s">
        <v>524</v>
      </c>
      <c r="C1083" t="s">
        <v>1418</v>
      </c>
      <c r="D1083">
        <f t="shared" si="16"/>
        <v>1</v>
      </c>
      <c r="E1083" t="s">
        <v>19</v>
      </c>
      <c r="F1083" t="s">
        <v>2511</v>
      </c>
      <c r="G1083" t="s">
        <v>326</v>
      </c>
      <c r="N1083" s="107"/>
    </row>
    <row r="1084" spans="1:14" x14ac:dyDescent="0.3">
      <c r="A1084" t="s">
        <v>185</v>
      </c>
      <c r="B1084" t="s">
        <v>524</v>
      </c>
      <c r="C1084" t="s">
        <v>1418</v>
      </c>
      <c r="D1084">
        <f t="shared" si="16"/>
        <v>1</v>
      </c>
      <c r="E1084" t="s">
        <v>19</v>
      </c>
      <c r="F1084" t="s">
        <v>2517</v>
      </c>
      <c r="G1084" t="s">
        <v>326</v>
      </c>
      <c r="N1084" s="107"/>
    </row>
    <row r="1085" spans="1:14" x14ac:dyDescent="0.3">
      <c r="A1085" t="s">
        <v>185</v>
      </c>
      <c r="B1085" t="s">
        <v>733</v>
      </c>
      <c r="C1085" t="s">
        <v>1425</v>
      </c>
      <c r="D1085">
        <f t="shared" si="16"/>
        <v>1</v>
      </c>
      <c r="E1085" t="s">
        <v>19</v>
      </c>
      <c r="F1085" t="s">
        <v>1425</v>
      </c>
      <c r="G1085" t="s">
        <v>326</v>
      </c>
      <c r="N1085" s="107"/>
    </row>
    <row r="1086" spans="1:14" x14ac:dyDescent="0.3">
      <c r="A1086" t="s">
        <v>185</v>
      </c>
      <c r="B1086" t="s">
        <v>526</v>
      </c>
      <c r="C1086" t="s">
        <v>1466</v>
      </c>
      <c r="D1086">
        <f t="shared" si="16"/>
        <v>1</v>
      </c>
      <c r="E1086" t="s">
        <v>19</v>
      </c>
      <c r="F1086" t="s">
        <v>2673</v>
      </c>
      <c r="G1086" t="s">
        <v>326</v>
      </c>
      <c r="N1086" s="107"/>
    </row>
    <row r="1087" spans="1:14" x14ac:dyDescent="0.3">
      <c r="A1087" t="s">
        <v>185</v>
      </c>
      <c r="B1087" t="s">
        <v>733</v>
      </c>
      <c r="C1087" t="s">
        <v>1466</v>
      </c>
      <c r="D1087">
        <f t="shared" si="16"/>
        <v>1</v>
      </c>
      <c r="E1087" t="s">
        <v>19</v>
      </c>
      <c r="F1087" t="s">
        <v>2678</v>
      </c>
      <c r="G1087" t="s">
        <v>326</v>
      </c>
      <c r="N1087" s="107"/>
    </row>
    <row r="1088" spans="1:14" x14ac:dyDescent="0.3">
      <c r="A1088" t="s">
        <v>185</v>
      </c>
      <c r="B1088" t="s">
        <v>524</v>
      </c>
      <c r="C1088" t="s">
        <v>1466</v>
      </c>
      <c r="D1088">
        <f t="shared" si="16"/>
        <v>1</v>
      </c>
      <c r="E1088" t="s">
        <v>19</v>
      </c>
      <c r="F1088" t="s">
        <v>2679</v>
      </c>
      <c r="G1088" t="s">
        <v>326</v>
      </c>
      <c r="N1088" s="107"/>
    </row>
    <row r="1089" spans="1:14" x14ac:dyDescent="0.3">
      <c r="A1089" t="s">
        <v>185</v>
      </c>
      <c r="B1089" t="s">
        <v>526</v>
      </c>
      <c r="C1089" t="s">
        <v>1483</v>
      </c>
      <c r="D1089">
        <f t="shared" si="16"/>
        <v>1</v>
      </c>
      <c r="E1089" t="s">
        <v>19</v>
      </c>
      <c r="F1089" t="s">
        <v>2704</v>
      </c>
      <c r="G1089" t="s">
        <v>326</v>
      </c>
      <c r="N1089" s="107"/>
    </row>
    <row r="1090" spans="1:14" x14ac:dyDescent="0.3">
      <c r="A1090" t="s">
        <v>185</v>
      </c>
      <c r="B1090" t="s">
        <v>524</v>
      </c>
      <c r="C1090" t="s">
        <v>1483</v>
      </c>
      <c r="D1090">
        <f t="shared" ref="D1090:D1153" si="17">SIGN(SUBTOTAL(3,E1090))</f>
        <v>1</v>
      </c>
      <c r="E1090" t="s">
        <v>19</v>
      </c>
      <c r="F1090" t="s">
        <v>2706</v>
      </c>
      <c r="G1090" t="s">
        <v>326</v>
      </c>
      <c r="N1090" s="107"/>
    </row>
    <row r="1091" spans="1:14" x14ac:dyDescent="0.3">
      <c r="A1091" t="s">
        <v>185</v>
      </c>
      <c r="B1091" t="s">
        <v>525</v>
      </c>
      <c r="C1091" t="s">
        <v>1517</v>
      </c>
      <c r="D1091">
        <f t="shared" si="17"/>
        <v>1</v>
      </c>
      <c r="E1091" t="s">
        <v>19</v>
      </c>
      <c r="F1091" t="s">
        <v>2816</v>
      </c>
      <c r="G1091" t="s">
        <v>326</v>
      </c>
      <c r="N1091" s="107"/>
    </row>
    <row r="1092" spans="1:14" x14ac:dyDescent="0.3">
      <c r="A1092" t="s">
        <v>186</v>
      </c>
      <c r="B1092" t="s">
        <v>546</v>
      </c>
      <c r="C1092" t="s">
        <v>1142</v>
      </c>
      <c r="D1092">
        <f t="shared" si="17"/>
        <v>1</v>
      </c>
      <c r="E1092" t="s">
        <v>19</v>
      </c>
      <c r="F1092" t="s">
        <v>1142</v>
      </c>
      <c r="G1092" t="s">
        <v>326</v>
      </c>
      <c r="N1092" s="107"/>
    </row>
    <row r="1093" spans="1:14" x14ac:dyDescent="0.3">
      <c r="A1093" t="s">
        <v>186</v>
      </c>
      <c r="B1093" t="s">
        <v>547</v>
      </c>
      <c r="C1093" t="s">
        <v>1143</v>
      </c>
      <c r="D1093">
        <f t="shared" si="17"/>
        <v>1</v>
      </c>
      <c r="E1093" t="s">
        <v>19</v>
      </c>
      <c r="F1093" t="s">
        <v>1143</v>
      </c>
      <c r="G1093" t="s">
        <v>326</v>
      </c>
      <c r="N1093" s="107"/>
    </row>
    <row r="1094" spans="1:14" x14ac:dyDescent="0.3">
      <c r="A1094" t="s">
        <v>186</v>
      </c>
      <c r="B1094" t="s">
        <v>576</v>
      </c>
      <c r="C1094" t="s">
        <v>1175</v>
      </c>
      <c r="D1094">
        <f t="shared" si="17"/>
        <v>1</v>
      </c>
      <c r="E1094" t="s">
        <v>19</v>
      </c>
      <c r="F1094" t="s">
        <v>1762</v>
      </c>
      <c r="G1094" t="s">
        <v>326</v>
      </c>
      <c r="N1094" s="107"/>
    </row>
    <row r="1095" spans="1:14" x14ac:dyDescent="0.3">
      <c r="A1095" t="s">
        <v>186</v>
      </c>
      <c r="B1095" t="s">
        <v>577</v>
      </c>
      <c r="C1095" t="s">
        <v>1175</v>
      </c>
      <c r="D1095">
        <f t="shared" si="17"/>
        <v>1</v>
      </c>
      <c r="E1095" t="s">
        <v>19</v>
      </c>
      <c r="F1095" t="s">
        <v>1763</v>
      </c>
      <c r="G1095" t="s">
        <v>326</v>
      </c>
      <c r="N1095" s="107"/>
    </row>
    <row r="1096" spans="1:14" x14ac:dyDescent="0.3">
      <c r="A1096" t="s">
        <v>186</v>
      </c>
      <c r="B1096" t="s">
        <v>528</v>
      </c>
      <c r="C1096" t="s">
        <v>1176</v>
      </c>
      <c r="D1096">
        <f t="shared" si="17"/>
        <v>1</v>
      </c>
      <c r="E1096" t="s">
        <v>19</v>
      </c>
      <c r="F1096" t="s">
        <v>1765</v>
      </c>
      <c r="G1096" t="s">
        <v>326</v>
      </c>
      <c r="N1096" s="107"/>
    </row>
    <row r="1097" spans="1:14" x14ac:dyDescent="0.3">
      <c r="A1097" t="s">
        <v>186</v>
      </c>
      <c r="B1097" t="s">
        <v>582</v>
      </c>
      <c r="C1097" t="s">
        <v>1176</v>
      </c>
      <c r="D1097">
        <f t="shared" si="17"/>
        <v>1</v>
      </c>
      <c r="E1097" t="s">
        <v>19</v>
      </c>
      <c r="F1097" t="s">
        <v>1768</v>
      </c>
      <c r="G1097" t="s">
        <v>326</v>
      </c>
      <c r="N1097" s="107"/>
    </row>
    <row r="1098" spans="1:14" x14ac:dyDescent="0.3">
      <c r="A1098" t="s">
        <v>186</v>
      </c>
      <c r="B1098" t="s">
        <v>589</v>
      </c>
      <c r="C1098" t="s">
        <v>1176</v>
      </c>
      <c r="D1098">
        <f t="shared" si="17"/>
        <v>1</v>
      </c>
      <c r="E1098" t="s">
        <v>19</v>
      </c>
      <c r="F1098" t="s">
        <v>1776</v>
      </c>
      <c r="G1098" t="s">
        <v>326</v>
      </c>
      <c r="N1098" s="107"/>
    </row>
    <row r="1099" spans="1:14" x14ac:dyDescent="0.3">
      <c r="A1099" t="s">
        <v>186</v>
      </c>
      <c r="B1099" t="s">
        <v>591</v>
      </c>
      <c r="C1099" t="s">
        <v>1175</v>
      </c>
      <c r="D1099">
        <f t="shared" si="17"/>
        <v>1</v>
      </c>
      <c r="E1099" t="s">
        <v>19</v>
      </c>
      <c r="F1099" t="s">
        <v>1779</v>
      </c>
      <c r="G1099" t="s">
        <v>326</v>
      </c>
      <c r="N1099" s="107"/>
    </row>
    <row r="1100" spans="1:14" x14ac:dyDescent="0.3">
      <c r="A1100" t="s">
        <v>186</v>
      </c>
      <c r="B1100" t="s">
        <v>592</v>
      </c>
      <c r="C1100" t="s">
        <v>1175</v>
      </c>
      <c r="D1100">
        <f t="shared" si="17"/>
        <v>1</v>
      </c>
      <c r="E1100" t="s">
        <v>19</v>
      </c>
      <c r="F1100" t="s">
        <v>1780</v>
      </c>
      <c r="G1100" t="s">
        <v>326</v>
      </c>
      <c r="N1100" s="107"/>
    </row>
    <row r="1101" spans="1:14" x14ac:dyDescent="0.3">
      <c r="A1101" t="s">
        <v>186</v>
      </c>
      <c r="B1101" t="s">
        <v>608</v>
      </c>
      <c r="C1101" t="s">
        <v>1182</v>
      </c>
      <c r="D1101">
        <f t="shared" si="17"/>
        <v>1</v>
      </c>
      <c r="E1101" t="s">
        <v>19</v>
      </c>
      <c r="F1101" t="s">
        <v>1805</v>
      </c>
      <c r="G1101" t="s">
        <v>326</v>
      </c>
      <c r="N1101" s="107"/>
    </row>
    <row r="1102" spans="1:14" x14ac:dyDescent="0.3">
      <c r="A1102" t="s">
        <v>186</v>
      </c>
      <c r="B1102" t="s">
        <v>528</v>
      </c>
      <c r="C1102" t="s">
        <v>1182</v>
      </c>
      <c r="D1102">
        <f t="shared" si="17"/>
        <v>1</v>
      </c>
      <c r="E1102" t="s">
        <v>19</v>
      </c>
      <c r="F1102" t="s">
        <v>1806</v>
      </c>
      <c r="G1102" t="s">
        <v>326</v>
      </c>
      <c r="N1102" s="107"/>
    </row>
    <row r="1103" spans="1:14" x14ac:dyDescent="0.3">
      <c r="A1103" t="s">
        <v>186</v>
      </c>
      <c r="B1103" t="s">
        <v>609</v>
      </c>
      <c r="C1103" t="s">
        <v>1182</v>
      </c>
      <c r="D1103">
        <f t="shared" si="17"/>
        <v>1</v>
      </c>
      <c r="E1103" t="s">
        <v>19</v>
      </c>
      <c r="F1103" t="s">
        <v>1807</v>
      </c>
      <c r="G1103" t="s">
        <v>326</v>
      </c>
      <c r="N1103" s="107"/>
    </row>
    <row r="1104" spans="1:14" x14ac:dyDescent="0.3">
      <c r="A1104" t="s">
        <v>186</v>
      </c>
      <c r="B1104" t="s">
        <v>610</v>
      </c>
      <c r="C1104" t="s">
        <v>1182</v>
      </c>
      <c r="D1104">
        <f t="shared" si="17"/>
        <v>1</v>
      </c>
      <c r="E1104" t="s">
        <v>19</v>
      </c>
      <c r="F1104" t="s">
        <v>1808</v>
      </c>
      <c r="G1104" t="s">
        <v>326</v>
      </c>
      <c r="N1104" s="107"/>
    </row>
    <row r="1105" spans="1:14" x14ac:dyDescent="0.3">
      <c r="A1105" t="s">
        <v>186</v>
      </c>
      <c r="B1105" t="s">
        <v>533</v>
      </c>
      <c r="C1105" t="s">
        <v>1182</v>
      </c>
      <c r="D1105">
        <f t="shared" si="17"/>
        <v>1</v>
      </c>
      <c r="E1105" t="s">
        <v>19</v>
      </c>
      <c r="F1105" t="s">
        <v>1809</v>
      </c>
      <c r="G1105" t="s">
        <v>326</v>
      </c>
      <c r="N1105" s="107"/>
    </row>
    <row r="1106" spans="1:14" x14ac:dyDescent="0.3">
      <c r="A1106" t="s">
        <v>186</v>
      </c>
      <c r="B1106" t="s">
        <v>620</v>
      </c>
      <c r="C1106" t="s">
        <v>1182</v>
      </c>
      <c r="D1106">
        <f t="shared" si="17"/>
        <v>1</v>
      </c>
      <c r="E1106" t="s">
        <v>19</v>
      </c>
      <c r="F1106" t="s">
        <v>1820</v>
      </c>
      <c r="G1106" t="s">
        <v>326</v>
      </c>
      <c r="N1106" s="107"/>
    </row>
    <row r="1107" spans="1:14" x14ac:dyDescent="0.3">
      <c r="A1107" t="s">
        <v>186</v>
      </c>
      <c r="B1107" t="s">
        <v>533</v>
      </c>
      <c r="C1107" t="s">
        <v>1182</v>
      </c>
      <c r="D1107">
        <f t="shared" si="17"/>
        <v>1</v>
      </c>
      <c r="E1107" t="s">
        <v>19</v>
      </c>
      <c r="F1107" t="s">
        <v>1821</v>
      </c>
      <c r="G1107" t="s">
        <v>326</v>
      </c>
      <c r="N1107" s="107"/>
    </row>
    <row r="1108" spans="1:14" x14ac:dyDescent="0.3">
      <c r="A1108" t="s">
        <v>186</v>
      </c>
      <c r="B1108" t="s">
        <v>622</v>
      </c>
      <c r="C1108" t="s">
        <v>1182</v>
      </c>
      <c r="D1108">
        <f t="shared" si="17"/>
        <v>1</v>
      </c>
      <c r="E1108" t="s">
        <v>19</v>
      </c>
      <c r="F1108" t="s">
        <v>1823</v>
      </c>
      <c r="G1108" t="s">
        <v>326</v>
      </c>
      <c r="N1108" s="107"/>
    </row>
    <row r="1109" spans="1:14" x14ac:dyDescent="0.3">
      <c r="A1109" t="s">
        <v>186</v>
      </c>
      <c r="B1109" t="s">
        <v>623</v>
      </c>
      <c r="C1109" t="s">
        <v>1182</v>
      </c>
      <c r="D1109">
        <f t="shared" si="17"/>
        <v>1</v>
      </c>
      <c r="E1109" t="s">
        <v>19</v>
      </c>
      <c r="F1109" t="s">
        <v>1824</v>
      </c>
      <c r="G1109" t="s">
        <v>326</v>
      </c>
      <c r="N1109" s="107"/>
    </row>
    <row r="1110" spans="1:14" x14ac:dyDescent="0.3">
      <c r="A1110" t="s">
        <v>186</v>
      </c>
      <c r="B1110" t="s">
        <v>592</v>
      </c>
      <c r="C1110" t="s">
        <v>1193</v>
      </c>
      <c r="D1110">
        <f t="shared" si="17"/>
        <v>1</v>
      </c>
      <c r="E1110" t="s">
        <v>19</v>
      </c>
      <c r="F1110" t="s">
        <v>1853</v>
      </c>
      <c r="G1110" t="s">
        <v>326</v>
      </c>
      <c r="N1110" s="107"/>
    </row>
    <row r="1111" spans="1:14" x14ac:dyDescent="0.3">
      <c r="A1111" t="s">
        <v>186</v>
      </c>
      <c r="B1111" t="s">
        <v>662</v>
      </c>
      <c r="C1111" t="s">
        <v>1212</v>
      </c>
      <c r="D1111">
        <f t="shared" si="17"/>
        <v>1</v>
      </c>
      <c r="E1111" t="s">
        <v>19</v>
      </c>
      <c r="F1111" t="s">
        <v>1872</v>
      </c>
      <c r="G1111" t="s">
        <v>326</v>
      </c>
      <c r="N1111" s="107"/>
    </row>
    <row r="1112" spans="1:14" x14ac:dyDescent="0.3">
      <c r="A1112" t="s">
        <v>186</v>
      </c>
      <c r="B1112" t="s">
        <v>527</v>
      </c>
      <c r="C1112" t="s">
        <v>1212</v>
      </c>
      <c r="D1112">
        <f t="shared" si="17"/>
        <v>1</v>
      </c>
      <c r="E1112" t="s">
        <v>19</v>
      </c>
      <c r="F1112" t="s">
        <v>1873</v>
      </c>
      <c r="G1112" t="s">
        <v>326</v>
      </c>
      <c r="N1112" s="107"/>
    </row>
    <row r="1113" spans="1:14" x14ac:dyDescent="0.3">
      <c r="A1113" t="s">
        <v>186</v>
      </c>
      <c r="B1113" t="s">
        <v>532</v>
      </c>
      <c r="C1113" t="s">
        <v>1212</v>
      </c>
      <c r="D1113">
        <f t="shared" si="17"/>
        <v>1</v>
      </c>
      <c r="E1113" t="s">
        <v>19</v>
      </c>
      <c r="F1113" t="s">
        <v>1875</v>
      </c>
      <c r="G1113" t="s">
        <v>326</v>
      </c>
      <c r="N1113" s="107"/>
    </row>
    <row r="1114" spans="1:14" x14ac:dyDescent="0.3">
      <c r="A1114" t="s">
        <v>186</v>
      </c>
      <c r="B1114" t="s">
        <v>527</v>
      </c>
      <c r="C1114" t="s">
        <v>1212</v>
      </c>
      <c r="D1114">
        <f t="shared" si="17"/>
        <v>1</v>
      </c>
      <c r="E1114" t="s">
        <v>19</v>
      </c>
      <c r="F1114" t="s">
        <v>1881</v>
      </c>
      <c r="G1114" t="s">
        <v>326</v>
      </c>
      <c r="N1114" s="107"/>
    </row>
    <row r="1115" spans="1:14" x14ac:dyDescent="0.3">
      <c r="A1115" t="s">
        <v>186</v>
      </c>
      <c r="B1115" t="s">
        <v>664</v>
      </c>
      <c r="C1115" t="s">
        <v>1212</v>
      </c>
      <c r="D1115">
        <f t="shared" si="17"/>
        <v>1</v>
      </c>
      <c r="E1115" t="s">
        <v>19</v>
      </c>
      <c r="F1115" t="s">
        <v>1882</v>
      </c>
      <c r="G1115" t="s">
        <v>326</v>
      </c>
      <c r="N1115" s="107"/>
    </row>
    <row r="1116" spans="1:14" x14ac:dyDescent="0.3">
      <c r="A1116" t="s">
        <v>186</v>
      </c>
      <c r="B1116" t="s">
        <v>670</v>
      </c>
      <c r="C1116" t="s">
        <v>1214</v>
      </c>
      <c r="D1116">
        <f t="shared" si="17"/>
        <v>1</v>
      </c>
      <c r="E1116" t="s">
        <v>19</v>
      </c>
      <c r="F1116" t="s">
        <v>1890</v>
      </c>
      <c r="G1116" t="s">
        <v>326</v>
      </c>
      <c r="N1116" s="107"/>
    </row>
    <row r="1117" spans="1:14" x14ac:dyDescent="0.3">
      <c r="A1117" t="s">
        <v>186</v>
      </c>
      <c r="B1117" t="s">
        <v>622</v>
      </c>
      <c r="C1117" t="s">
        <v>1217</v>
      </c>
      <c r="D1117">
        <f t="shared" si="17"/>
        <v>1</v>
      </c>
      <c r="E1117" t="s">
        <v>19</v>
      </c>
      <c r="F1117" t="s">
        <v>1895</v>
      </c>
      <c r="G1117" t="s">
        <v>326</v>
      </c>
      <c r="N1117" s="107"/>
    </row>
    <row r="1118" spans="1:14" x14ac:dyDescent="0.3">
      <c r="A1118" t="s">
        <v>186</v>
      </c>
      <c r="B1118" t="s">
        <v>674</v>
      </c>
      <c r="C1118" t="s">
        <v>1217</v>
      </c>
      <c r="D1118">
        <f t="shared" si="17"/>
        <v>1</v>
      </c>
      <c r="E1118" t="s">
        <v>19</v>
      </c>
      <c r="F1118" t="s">
        <v>1896</v>
      </c>
      <c r="G1118" t="s">
        <v>326</v>
      </c>
      <c r="N1118" s="107"/>
    </row>
    <row r="1119" spans="1:14" x14ac:dyDescent="0.3">
      <c r="A1119" t="s">
        <v>186</v>
      </c>
      <c r="B1119" t="s">
        <v>546</v>
      </c>
      <c r="C1119" t="s">
        <v>1222</v>
      </c>
      <c r="D1119">
        <f t="shared" si="17"/>
        <v>1</v>
      </c>
      <c r="E1119" t="s">
        <v>19</v>
      </c>
      <c r="F1119" t="s">
        <v>1222</v>
      </c>
      <c r="G1119" t="s">
        <v>326</v>
      </c>
      <c r="N1119" s="107"/>
    </row>
    <row r="1120" spans="1:14" x14ac:dyDescent="0.3">
      <c r="A1120" t="s">
        <v>186</v>
      </c>
      <c r="B1120" t="s">
        <v>546</v>
      </c>
      <c r="C1120" t="s">
        <v>1223</v>
      </c>
      <c r="D1120">
        <f t="shared" si="17"/>
        <v>1</v>
      </c>
      <c r="E1120" t="s">
        <v>19</v>
      </c>
      <c r="F1120" t="s">
        <v>1223</v>
      </c>
      <c r="G1120" t="s">
        <v>326</v>
      </c>
      <c r="N1120" s="107"/>
    </row>
    <row r="1121" spans="1:14" x14ac:dyDescent="0.3">
      <c r="A1121" t="s">
        <v>186</v>
      </c>
      <c r="B1121" t="s">
        <v>681</v>
      </c>
      <c r="C1121" t="s">
        <v>1228</v>
      </c>
      <c r="D1121">
        <f t="shared" si="17"/>
        <v>1</v>
      </c>
      <c r="E1121" t="s">
        <v>19</v>
      </c>
      <c r="F1121" t="s">
        <v>1228</v>
      </c>
      <c r="G1121" t="s">
        <v>326</v>
      </c>
      <c r="N1121" s="107"/>
    </row>
    <row r="1122" spans="1:14" x14ac:dyDescent="0.3">
      <c r="A1122" t="s">
        <v>186</v>
      </c>
      <c r="B1122" t="s">
        <v>589</v>
      </c>
      <c r="C1122" t="s">
        <v>1236</v>
      </c>
      <c r="D1122">
        <f t="shared" si="17"/>
        <v>1</v>
      </c>
      <c r="E1122" t="s">
        <v>19</v>
      </c>
      <c r="F1122" t="s">
        <v>1236</v>
      </c>
      <c r="G1122" t="s">
        <v>326</v>
      </c>
      <c r="N1122" s="107"/>
    </row>
    <row r="1123" spans="1:14" x14ac:dyDescent="0.3">
      <c r="A1123" t="s">
        <v>186</v>
      </c>
      <c r="B1123" t="s">
        <v>747</v>
      </c>
      <c r="C1123" t="s">
        <v>1245</v>
      </c>
      <c r="D1123">
        <f t="shared" si="17"/>
        <v>1</v>
      </c>
      <c r="E1123" t="s">
        <v>19</v>
      </c>
      <c r="F1123" t="s">
        <v>1245</v>
      </c>
      <c r="G1123" t="s">
        <v>326</v>
      </c>
      <c r="N1123" s="107"/>
    </row>
    <row r="1124" spans="1:14" x14ac:dyDescent="0.3">
      <c r="A1124" t="s">
        <v>186</v>
      </c>
      <c r="B1124" t="s">
        <v>625</v>
      </c>
      <c r="C1124" t="s">
        <v>1256</v>
      </c>
      <c r="D1124">
        <f t="shared" si="17"/>
        <v>1</v>
      </c>
      <c r="E1124" t="s">
        <v>19</v>
      </c>
      <c r="F1124" t="s">
        <v>2056</v>
      </c>
      <c r="G1124" t="s">
        <v>326</v>
      </c>
      <c r="N1124" s="107"/>
    </row>
    <row r="1125" spans="1:14" x14ac:dyDescent="0.3">
      <c r="A1125" t="s">
        <v>186</v>
      </c>
      <c r="B1125" t="s">
        <v>592</v>
      </c>
      <c r="C1125" t="s">
        <v>1255</v>
      </c>
      <c r="D1125">
        <f t="shared" si="17"/>
        <v>1</v>
      </c>
      <c r="E1125" t="s">
        <v>19</v>
      </c>
      <c r="F1125" t="s">
        <v>2062</v>
      </c>
      <c r="G1125" t="s">
        <v>326</v>
      </c>
      <c r="N1125" s="107"/>
    </row>
    <row r="1126" spans="1:14" x14ac:dyDescent="0.3">
      <c r="A1126" t="s">
        <v>186</v>
      </c>
      <c r="B1126" t="s">
        <v>770</v>
      </c>
      <c r="C1126" t="s">
        <v>1258</v>
      </c>
      <c r="D1126">
        <f t="shared" si="17"/>
        <v>1</v>
      </c>
      <c r="E1126" t="s">
        <v>19</v>
      </c>
      <c r="F1126" t="s">
        <v>2066</v>
      </c>
      <c r="G1126" t="s">
        <v>326</v>
      </c>
      <c r="N1126" s="107"/>
    </row>
    <row r="1127" spans="1:14" x14ac:dyDescent="0.3">
      <c r="A1127" t="s">
        <v>186</v>
      </c>
      <c r="B1127" t="s">
        <v>747</v>
      </c>
      <c r="C1127" t="s">
        <v>1258</v>
      </c>
      <c r="D1127">
        <f t="shared" si="17"/>
        <v>1</v>
      </c>
      <c r="E1127" t="s">
        <v>19</v>
      </c>
      <c r="F1127" t="s">
        <v>2069</v>
      </c>
      <c r="G1127" t="s">
        <v>326</v>
      </c>
      <c r="N1127" s="107"/>
    </row>
    <row r="1128" spans="1:14" x14ac:dyDescent="0.3">
      <c r="A1128" t="s">
        <v>186</v>
      </c>
      <c r="B1128" t="s">
        <v>532</v>
      </c>
      <c r="C1128" t="s">
        <v>1261</v>
      </c>
      <c r="D1128">
        <f t="shared" si="17"/>
        <v>1</v>
      </c>
      <c r="E1128" t="s">
        <v>19</v>
      </c>
      <c r="F1128" t="s">
        <v>2072</v>
      </c>
      <c r="G1128" t="s">
        <v>326</v>
      </c>
      <c r="N1128" s="107"/>
    </row>
    <row r="1129" spans="1:14" x14ac:dyDescent="0.3">
      <c r="A1129" t="s">
        <v>186</v>
      </c>
      <c r="B1129" t="s">
        <v>777</v>
      </c>
      <c r="C1129" t="s">
        <v>1262</v>
      </c>
      <c r="D1129">
        <f t="shared" si="17"/>
        <v>1</v>
      </c>
      <c r="E1129" t="s">
        <v>19</v>
      </c>
      <c r="F1129" t="s">
        <v>1262</v>
      </c>
      <c r="G1129" t="s">
        <v>326</v>
      </c>
      <c r="N1129" s="107"/>
    </row>
    <row r="1130" spans="1:14" x14ac:dyDescent="0.3">
      <c r="A1130" t="s">
        <v>186</v>
      </c>
      <c r="B1130" t="s">
        <v>784</v>
      </c>
      <c r="C1130" t="s">
        <v>1269</v>
      </c>
      <c r="D1130">
        <f t="shared" si="17"/>
        <v>1</v>
      </c>
      <c r="E1130" t="s">
        <v>19</v>
      </c>
      <c r="F1130" t="s">
        <v>1269</v>
      </c>
      <c r="G1130" t="s">
        <v>326</v>
      </c>
      <c r="N1130" s="107"/>
    </row>
    <row r="1131" spans="1:14" x14ac:dyDescent="0.3">
      <c r="A1131" t="s">
        <v>186</v>
      </c>
      <c r="B1131" t="s">
        <v>785</v>
      </c>
      <c r="C1131" t="s">
        <v>1270</v>
      </c>
      <c r="D1131">
        <f t="shared" si="17"/>
        <v>1</v>
      </c>
      <c r="E1131" t="s">
        <v>19</v>
      </c>
      <c r="F1131" t="s">
        <v>2082</v>
      </c>
      <c r="G1131" t="s">
        <v>326</v>
      </c>
      <c r="N1131" s="107"/>
    </row>
    <row r="1132" spans="1:14" x14ac:dyDescent="0.3">
      <c r="A1132" t="s">
        <v>186</v>
      </c>
      <c r="B1132" t="s">
        <v>786</v>
      </c>
      <c r="C1132" t="s">
        <v>1270</v>
      </c>
      <c r="D1132">
        <f t="shared" si="17"/>
        <v>1</v>
      </c>
      <c r="E1132" t="s">
        <v>19</v>
      </c>
      <c r="F1132" t="s">
        <v>2083</v>
      </c>
      <c r="G1132" t="s">
        <v>326</v>
      </c>
      <c r="N1132" s="107"/>
    </row>
    <row r="1133" spans="1:14" x14ac:dyDescent="0.3">
      <c r="A1133" t="s">
        <v>186</v>
      </c>
      <c r="B1133" t="s">
        <v>576</v>
      </c>
      <c r="C1133" t="s">
        <v>1270</v>
      </c>
      <c r="D1133">
        <f t="shared" si="17"/>
        <v>1</v>
      </c>
      <c r="E1133" t="s">
        <v>19</v>
      </c>
      <c r="F1133" t="s">
        <v>2085</v>
      </c>
      <c r="G1133" t="s">
        <v>326</v>
      </c>
      <c r="N1133" s="107"/>
    </row>
    <row r="1134" spans="1:14" x14ac:dyDescent="0.3">
      <c r="A1134" t="s">
        <v>186</v>
      </c>
      <c r="B1134" t="s">
        <v>792</v>
      </c>
      <c r="C1134" t="s">
        <v>1281</v>
      </c>
      <c r="D1134">
        <f t="shared" si="17"/>
        <v>1</v>
      </c>
      <c r="E1134" t="s">
        <v>19</v>
      </c>
      <c r="F1134" t="s">
        <v>2095</v>
      </c>
      <c r="G1134" t="s">
        <v>326</v>
      </c>
      <c r="N1134" s="107"/>
    </row>
    <row r="1135" spans="1:14" x14ac:dyDescent="0.3">
      <c r="A1135" t="s">
        <v>186</v>
      </c>
      <c r="B1135" t="s">
        <v>625</v>
      </c>
      <c r="C1135" t="s">
        <v>1281</v>
      </c>
      <c r="D1135">
        <f t="shared" si="17"/>
        <v>1</v>
      </c>
      <c r="E1135" t="s">
        <v>19</v>
      </c>
      <c r="F1135" t="s">
        <v>2096</v>
      </c>
      <c r="G1135" t="s">
        <v>326</v>
      </c>
      <c r="N1135" s="107"/>
    </row>
    <row r="1136" spans="1:14" x14ac:dyDescent="0.3">
      <c r="A1136" t="s">
        <v>186</v>
      </c>
      <c r="B1136" t="s">
        <v>794</v>
      </c>
      <c r="C1136" t="s">
        <v>1283</v>
      </c>
      <c r="D1136">
        <f t="shared" si="17"/>
        <v>1</v>
      </c>
      <c r="E1136" t="s">
        <v>19</v>
      </c>
      <c r="F1136" t="s">
        <v>1283</v>
      </c>
      <c r="G1136" t="s">
        <v>326</v>
      </c>
      <c r="N1136" s="107"/>
    </row>
    <row r="1137" spans="1:14" x14ac:dyDescent="0.3">
      <c r="A1137" t="s">
        <v>186</v>
      </c>
      <c r="B1137" t="s">
        <v>798</v>
      </c>
      <c r="C1137" t="s">
        <v>1287</v>
      </c>
      <c r="D1137">
        <f t="shared" si="17"/>
        <v>1</v>
      </c>
      <c r="E1137" t="s">
        <v>19</v>
      </c>
      <c r="F1137" t="s">
        <v>1287</v>
      </c>
      <c r="G1137" t="s">
        <v>326</v>
      </c>
      <c r="N1137" s="107"/>
    </row>
    <row r="1138" spans="1:14" x14ac:dyDescent="0.3">
      <c r="A1138" t="s">
        <v>186</v>
      </c>
      <c r="B1138" t="s">
        <v>777</v>
      </c>
      <c r="C1138" t="s">
        <v>1289</v>
      </c>
      <c r="D1138">
        <f t="shared" si="17"/>
        <v>1</v>
      </c>
      <c r="E1138" t="s">
        <v>19</v>
      </c>
      <c r="F1138" t="s">
        <v>2100</v>
      </c>
      <c r="G1138" t="s">
        <v>326</v>
      </c>
      <c r="N1138" s="107"/>
    </row>
    <row r="1139" spans="1:14" x14ac:dyDescent="0.3">
      <c r="A1139" t="s">
        <v>186</v>
      </c>
      <c r="B1139" t="s">
        <v>804</v>
      </c>
      <c r="C1139" t="s">
        <v>1289</v>
      </c>
      <c r="D1139">
        <f t="shared" si="17"/>
        <v>1</v>
      </c>
      <c r="E1139" t="s">
        <v>19</v>
      </c>
      <c r="F1139" t="s">
        <v>2120</v>
      </c>
      <c r="G1139" t="s">
        <v>326</v>
      </c>
      <c r="N1139" s="107"/>
    </row>
    <row r="1140" spans="1:14" x14ac:dyDescent="0.3">
      <c r="A1140" t="s">
        <v>186</v>
      </c>
      <c r="B1140" t="s">
        <v>674</v>
      </c>
      <c r="C1140" t="s">
        <v>1289</v>
      </c>
      <c r="D1140">
        <f t="shared" si="17"/>
        <v>1</v>
      </c>
      <c r="E1140" t="s">
        <v>19</v>
      </c>
      <c r="F1140" t="s">
        <v>2121</v>
      </c>
      <c r="G1140" t="s">
        <v>326</v>
      </c>
      <c r="N1140" s="107"/>
    </row>
    <row r="1141" spans="1:14" x14ac:dyDescent="0.3">
      <c r="A1141" t="s">
        <v>186</v>
      </c>
      <c r="B1141" t="s">
        <v>805</v>
      </c>
      <c r="C1141" t="s">
        <v>1289</v>
      </c>
      <c r="D1141">
        <f t="shared" si="17"/>
        <v>1</v>
      </c>
      <c r="E1141" t="s">
        <v>19</v>
      </c>
      <c r="F1141" t="s">
        <v>2122</v>
      </c>
      <c r="G1141" t="s">
        <v>326</v>
      </c>
      <c r="N1141" s="107"/>
    </row>
    <row r="1142" spans="1:14" x14ac:dyDescent="0.3">
      <c r="A1142" t="s">
        <v>186</v>
      </c>
      <c r="B1142" t="s">
        <v>670</v>
      </c>
      <c r="C1142" t="s">
        <v>1289</v>
      </c>
      <c r="D1142">
        <f t="shared" si="17"/>
        <v>1</v>
      </c>
      <c r="E1142" t="s">
        <v>19</v>
      </c>
      <c r="F1142" t="s">
        <v>2125</v>
      </c>
      <c r="G1142" t="s">
        <v>326</v>
      </c>
      <c r="N1142" s="107"/>
    </row>
    <row r="1143" spans="1:14" x14ac:dyDescent="0.3">
      <c r="A1143" t="s">
        <v>186</v>
      </c>
      <c r="B1143" t="s">
        <v>777</v>
      </c>
      <c r="C1143" t="s">
        <v>1290</v>
      </c>
      <c r="D1143">
        <f t="shared" si="17"/>
        <v>1</v>
      </c>
      <c r="E1143" t="s">
        <v>19</v>
      </c>
      <c r="F1143" t="s">
        <v>1290</v>
      </c>
      <c r="G1143" t="s">
        <v>326</v>
      </c>
      <c r="N1143" s="107"/>
    </row>
    <row r="1144" spans="1:14" x14ac:dyDescent="0.3">
      <c r="A1144" t="s">
        <v>186</v>
      </c>
      <c r="B1144" t="s">
        <v>816</v>
      </c>
      <c r="C1144" t="s">
        <v>1291</v>
      </c>
      <c r="D1144">
        <f t="shared" si="17"/>
        <v>1</v>
      </c>
      <c r="E1144" t="s">
        <v>19</v>
      </c>
      <c r="F1144" t="s">
        <v>2142</v>
      </c>
      <c r="G1144" t="s">
        <v>326</v>
      </c>
      <c r="N1144" s="107"/>
    </row>
    <row r="1145" spans="1:14" x14ac:dyDescent="0.3">
      <c r="A1145" t="s">
        <v>186</v>
      </c>
      <c r="B1145" t="s">
        <v>608</v>
      </c>
      <c r="C1145" t="s">
        <v>1291</v>
      </c>
      <c r="D1145">
        <f t="shared" si="17"/>
        <v>1</v>
      </c>
      <c r="E1145" t="s">
        <v>19</v>
      </c>
      <c r="F1145" t="s">
        <v>2144</v>
      </c>
      <c r="G1145" t="s">
        <v>326</v>
      </c>
      <c r="N1145" s="107"/>
    </row>
    <row r="1146" spans="1:14" x14ac:dyDescent="0.3">
      <c r="A1146" t="s">
        <v>186</v>
      </c>
      <c r="B1146" t="s">
        <v>546</v>
      </c>
      <c r="C1146" t="s">
        <v>1291</v>
      </c>
      <c r="D1146">
        <f t="shared" si="17"/>
        <v>1</v>
      </c>
      <c r="E1146" t="s">
        <v>19</v>
      </c>
      <c r="F1146" t="s">
        <v>2152</v>
      </c>
      <c r="G1146" t="s">
        <v>326</v>
      </c>
      <c r="N1146" s="107"/>
    </row>
    <row r="1147" spans="1:14" x14ac:dyDescent="0.3">
      <c r="A1147" t="s">
        <v>186</v>
      </c>
      <c r="B1147" t="s">
        <v>532</v>
      </c>
      <c r="C1147" t="s">
        <v>1293</v>
      </c>
      <c r="D1147">
        <f t="shared" si="17"/>
        <v>1</v>
      </c>
      <c r="E1147" t="s">
        <v>19</v>
      </c>
      <c r="F1147" t="s">
        <v>1293</v>
      </c>
      <c r="G1147" t="s">
        <v>326</v>
      </c>
      <c r="N1147" s="107"/>
    </row>
    <row r="1148" spans="1:14" x14ac:dyDescent="0.3">
      <c r="A1148" t="s">
        <v>186</v>
      </c>
      <c r="B1148" t="s">
        <v>777</v>
      </c>
      <c r="C1148" t="s">
        <v>1294</v>
      </c>
      <c r="D1148">
        <f t="shared" si="17"/>
        <v>1</v>
      </c>
      <c r="E1148" t="s">
        <v>19</v>
      </c>
      <c r="F1148" t="s">
        <v>1294</v>
      </c>
      <c r="G1148" t="s">
        <v>326</v>
      </c>
      <c r="N1148" s="107"/>
    </row>
    <row r="1149" spans="1:14" x14ac:dyDescent="0.3">
      <c r="A1149" t="s">
        <v>186</v>
      </c>
      <c r="B1149" t="s">
        <v>818</v>
      </c>
      <c r="C1149" t="s">
        <v>1295</v>
      </c>
      <c r="D1149">
        <f t="shared" si="17"/>
        <v>1</v>
      </c>
      <c r="E1149" t="s">
        <v>19</v>
      </c>
      <c r="F1149" t="s">
        <v>1295</v>
      </c>
      <c r="G1149" t="s">
        <v>326</v>
      </c>
      <c r="N1149" s="107"/>
    </row>
    <row r="1150" spans="1:14" x14ac:dyDescent="0.3">
      <c r="A1150" t="s">
        <v>186</v>
      </c>
      <c r="B1150" t="s">
        <v>824</v>
      </c>
      <c r="C1150" t="s">
        <v>1299</v>
      </c>
      <c r="D1150">
        <f t="shared" si="17"/>
        <v>1</v>
      </c>
      <c r="E1150" t="s">
        <v>19</v>
      </c>
      <c r="F1150" t="s">
        <v>1299</v>
      </c>
      <c r="G1150" t="s">
        <v>326</v>
      </c>
      <c r="N1150" s="107"/>
    </row>
    <row r="1151" spans="1:14" x14ac:dyDescent="0.3">
      <c r="A1151" t="s">
        <v>186</v>
      </c>
      <c r="B1151" t="s">
        <v>532</v>
      </c>
      <c r="C1151" t="s">
        <v>1301</v>
      </c>
      <c r="D1151">
        <f t="shared" si="17"/>
        <v>1</v>
      </c>
      <c r="E1151" t="s">
        <v>19</v>
      </c>
      <c r="F1151" t="s">
        <v>1301</v>
      </c>
      <c r="G1151" t="s">
        <v>326</v>
      </c>
      <c r="N1151" s="107"/>
    </row>
    <row r="1152" spans="1:14" x14ac:dyDescent="0.3">
      <c r="A1152" t="s">
        <v>186</v>
      </c>
      <c r="B1152" t="s">
        <v>832</v>
      </c>
      <c r="C1152" t="s">
        <v>1302</v>
      </c>
      <c r="D1152">
        <f t="shared" si="17"/>
        <v>1</v>
      </c>
      <c r="E1152" t="s">
        <v>19</v>
      </c>
      <c r="F1152" t="s">
        <v>2172</v>
      </c>
      <c r="G1152" t="s">
        <v>326</v>
      </c>
      <c r="N1152" s="107"/>
    </row>
    <row r="1153" spans="1:14" x14ac:dyDescent="0.3">
      <c r="A1153" t="s">
        <v>186</v>
      </c>
      <c r="B1153" t="s">
        <v>818</v>
      </c>
      <c r="C1153" t="s">
        <v>1304</v>
      </c>
      <c r="D1153">
        <f t="shared" si="17"/>
        <v>1</v>
      </c>
      <c r="E1153" t="s">
        <v>19</v>
      </c>
      <c r="F1153" t="s">
        <v>1304</v>
      </c>
      <c r="G1153" t="s">
        <v>326</v>
      </c>
      <c r="N1153" s="107"/>
    </row>
    <row r="1154" spans="1:14" x14ac:dyDescent="0.3">
      <c r="A1154" t="s">
        <v>186</v>
      </c>
      <c r="B1154" t="s">
        <v>846</v>
      </c>
      <c r="C1154" t="s">
        <v>1306</v>
      </c>
      <c r="D1154">
        <f t="shared" ref="D1154:D1217" si="18">SIGN(SUBTOTAL(3,E1154))</f>
        <v>1</v>
      </c>
      <c r="E1154" t="s">
        <v>19</v>
      </c>
      <c r="F1154" t="s">
        <v>2191</v>
      </c>
      <c r="G1154" t="s">
        <v>326</v>
      </c>
      <c r="N1154" s="107"/>
    </row>
    <row r="1155" spans="1:14" x14ac:dyDescent="0.3">
      <c r="A1155" t="s">
        <v>186</v>
      </c>
      <c r="B1155" t="s">
        <v>859</v>
      </c>
      <c r="C1155" t="s">
        <v>1309</v>
      </c>
      <c r="D1155">
        <f t="shared" si="18"/>
        <v>1</v>
      </c>
      <c r="E1155" t="s">
        <v>19</v>
      </c>
      <c r="F1155" t="s">
        <v>1309</v>
      </c>
      <c r="G1155" t="s">
        <v>326</v>
      </c>
      <c r="N1155" s="107"/>
    </row>
    <row r="1156" spans="1:14" x14ac:dyDescent="0.3">
      <c r="A1156" t="s">
        <v>186</v>
      </c>
      <c r="B1156" t="s">
        <v>532</v>
      </c>
      <c r="C1156" t="s">
        <v>1310</v>
      </c>
      <c r="D1156">
        <f t="shared" si="18"/>
        <v>1</v>
      </c>
      <c r="E1156" t="s">
        <v>19</v>
      </c>
      <c r="F1156" t="s">
        <v>2203</v>
      </c>
      <c r="G1156" t="s">
        <v>326</v>
      </c>
      <c r="N1156" s="107"/>
    </row>
    <row r="1157" spans="1:14" x14ac:dyDescent="0.3">
      <c r="A1157" t="s">
        <v>186</v>
      </c>
      <c r="B1157" t="s">
        <v>860</v>
      </c>
      <c r="C1157" t="s">
        <v>1310</v>
      </c>
      <c r="D1157">
        <f t="shared" si="18"/>
        <v>1</v>
      </c>
      <c r="E1157" t="s">
        <v>19</v>
      </c>
      <c r="F1157" t="s">
        <v>2204</v>
      </c>
      <c r="G1157" t="s">
        <v>326</v>
      </c>
      <c r="N1157" s="107"/>
    </row>
    <row r="1158" spans="1:14" x14ac:dyDescent="0.3">
      <c r="A1158" t="s">
        <v>186</v>
      </c>
      <c r="B1158" t="s">
        <v>589</v>
      </c>
      <c r="C1158" t="s">
        <v>1310</v>
      </c>
      <c r="D1158">
        <f t="shared" si="18"/>
        <v>1</v>
      </c>
      <c r="E1158" t="s">
        <v>19</v>
      </c>
      <c r="F1158" t="s">
        <v>2205</v>
      </c>
      <c r="G1158" t="s">
        <v>326</v>
      </c>
      <c r="N1158" s="107"/>
    </row>
    <row r="1159" spans="1:14" x14ac:dyDescent="0.3">
      <c r="A1159" t="s">
        <v>186</v>
      </c>
      <c r="B1159" t="s">
        <v>792</v>
      </c>
      <c r="C1159" t="s">
        <v>1310</v>
      </c>
      <c r="D1159">
        <f t="shared" si="18"/>
        <v>1</v>
      </c>
      <c r="E1159" t="s">
        <v>19</v>
      </c>
      <c r="F1159" t="s">
        <v>2206</v>
      </c>
      <c r="G1159" t="s">
        <v>326</v>
      </c>
      <c r="N1159" s="107"/>
    </row>
    <row r="1160" spans="1:14" x14ac:dyDescent="0.3">
      <c r="A1160" t="s">
        <v>186</v>
      </c>
      <c r="B1160" t="s">
        <v>862</v>
      </c>
      <c r="C1160" t="s">
        <v>1311</v>
      </c>
      <c r="D1160">
        <f t="shared" si="18"/>
        <v>1</v>
      </c>
      <c r="E1160" t="s">
        <v>19</v>
      </c>
      <c r="F1160" t="s">
        <v>2208</v>
      </c>
      <c r="G1160" t="s">
        <v>326</v>
      </c>
      <c r="N1160" s="107"/>
    </row>
    <row r="1161" spans="1:14" x14ac:dyDescent="0.3">
      <c r="A1161" t="s">
        <v>186</v>
      </c>
      <c r="B1161" t="s">
        <v>532</v>
      </c>
      <c r="C1161" t="s">
        <v>1311</v>
      </c>
      <c r="D1161">
        <f t="shared" si="18"/>
        <v>1</v>
      </c>
      <c r="E1161" t="s">
        <v>19</v>
      </c>
      <c r="F1161" t="s">
        <v>2213</v>
      </c>
      <c r="G1161" t="s">
        <v>326</v>
      </c>
      <c r="N1161" s="107"/>
    </row>
    <row r="1162" spans="1:14" x14ac:dyDescent="0.3">
      <c r="A1162" t="s">
        <v>186</v>
      </c>
      <c r="B1162" t="s">
        <v>868</v>
      </c>
      <c r="C1162" t="s">
        <v>1311</v>
      </c>
      <c r="D1162">
        <f t="shared" si="18"/>
        <v>1</v>
      </c>
      <c r="E1162" t="s">
        <v>19</v>
      </c>
      <c r="F1162" t="s">
        <v>2215</v>
      </c>
      <c r="G1162" t="s">
        <v>326</v>
      </c>
      <c r="N1162" s="107"/>
    </row>
    <row r="1163" spans="1:14" x14ac:dyDescent="0.3">
      <c r="A1163" t="s">
        <v>186</v>
      </c>
      <c r="B1163" t="s">
        <v>670</v>
      </c>
      <c r="C1163" t="s">
        <v>1312</v>
      </c>
      <c r="D1163">
        <f t="shared" si="18"/>
        <v>1</v>
      </c>
      <c r="E1163" t="s">
        <v>19</v>
      </c>
      <c r="F1163" t="s">
        <v>1312</v>
      </c>
      <c r="G1163" t="s">
        <v>326</v>
      </c>
      <c r="N1163" s="107"/>
    </row>
    <row r="1164" spans="1:14" x14ac:dyDescent="0.3">
      <c r="A1164" t="s">
        <v>186</v>
      </c>
      <c r="B1164" t="s">
        <v>533</v>
      </c>
      <c r="C1164" t="s">
        <v>1318</v>
      </c>
      <c r="D1164">
        <f t="shared" si="18"/>
        <v>1</v>
      </c>
      <c r="E1164" t="s">
        <v>19</v>
      </c>
      <c r="F1164" t="s">
        <v>2221</v>
      </c>
      <c r="G1164" t="s">
        <v>326</v>
      </c>
      <c r="N1164" s="107"/>
    </row>
    <row r="1165" spans="1:14" x14ac:dyDescent="0.3">
      <c r="A1165" t="s">
        <v>186</v>
      </c>
      <c r="B1165" t="s">
        <v>670</v>
      </c>
      <c r="C1165" t="s">
        <v>1318</v>
      </c>
      <c r="D1165">
        <f t="shared" si="18"/>
        <v>1</v>
      </c>
      <c r="E1165" t="s">
        <v>19</v>
      </c>
      <c r="F1165" t="s">
        <v>2222</v>
      </c>
      <c r="G1165" t="s">
        <v>326</v>
      </c>
      <c r="N1165" s="107"/>
    </row>
    <row r="1166" spans="1:14" x14ac:dyDescent="0.3">
      <c r="A1166" t="s">
        <v>186</v>
      </c>
      <c r="B1166" t="s">
        <v>532</v>
      </c>
      <c r="C1166" t="s">
        <v>1322</v>
      </c>
      <c r="D1166">
        <f t="shared" si="18"/>
        <v>1</v>
      </c>
      <c r="E1166" t="s">
        <v>19</v>
      </c>
      <c r="F1166" t="s">
        <v>1322</v>
      </c>
      <c r="G1166" t="s">
        <v>326</v>
      </c>
      <c r="N1166" s="107"/>
    </row>
    <row r="1167" spans="1:14" x14ac:dyDescent="0.3">
      <c r="A1167" t="s">
        <v>186</v>
      </c>
      <c r="B1167" t="s">
        <v>532</v>
      </c>
      <c r="C1167" t="s">
        <v>1321</v>
      </c>
      <c r="D1167">
        <f t="shared" si="18"/>
        <v>1</v>
      </c>
      <c r="E1167" t="s">
        <v>19</v>
      </c>
      <c r="F1167" t="s">
        <v>2225</v>
      </c>
      <c r="G1167" t="s">
        <v>326</v>
      </c>
      <c r="N1167" s="107"/>
    </row>
    <row r="1168" spans="1:14" x14ac:dyDescent="0.3">
      <c r="A1168" t="s">
        <v>186</v>
      </c>
      <c r="B1168" t="s">
        <v>875</v>
      </c>
      <c r="C1168" t="s">
        <v>1321</v>
      </c>
      <c r="D1168">
        <f t="shared" si="18"/>
        <v>1</v>
      </c>
      <c r="E1168" t="s">
        <v>19</v>
      </c>
      <c r="F1168" t="s">
        <v>2226</v>
      </c>
      <c r="G1168" t="s">
        <v>326</v>
      </c>
      <c r="N1168" s="107"/>
    </row>
    <row r="1169" spans="1:14" x14ac:dyDescent="0.3">
      <c r="A1169" t="s">
        <v>186</v>
      </c>
      <c r="B1169" t="s">
        <v>876</v>
      </c>
      <c r="C1169" t="s">
        <v>1323</v>
      </c>
      <c r="D1169">
        <f t="shared" si="18"/>
        <v>1</v>
      </c>
      <c r="E1169" t="s">
        <v>19</v>
      </c>
      <c r="F1169" t="s">
        <v>2229</v>
      </c>
      <c r="G1169" t="s">
        <v>326</v>
      </c>
      <c r="N1169" s="107"/>
    </row>
    <row r="1170" spans="1:14" x14ac:dyDescent="0.3">
      <c r="A1170" t="s">
        <v>186</v>
      </c>
      <c r="B1170" t="s">
        <v>868</v>
      </c>
      <c r="C1170" t="s">
        <v>1324</v>
      </c>
      <c r="D1170">
        <f t="shared" si="18"/>
        <v>1</v>
      </c>
      <c r="E1170" t="s">
        <v>19</v>
      </c>
      <c r="F1170" t="s">
        <v>1324</v>
      </c>
      <c r="G1170" t="s">
        <v>326</v>
      </c>
      <c r="N1170" s="107"/>
    </row>
    <row r="1171" spans="1:14" x14ac:dyDescent="0.3">
      <c r="A1171" t="s">
        <v>186</v>
      </c>
      <c r="B1171" t="s">
        <v>610</v>
      </c>
      <c r="C1171" t="s">
        <v>1327</v>
      </c>
      <c r="D1171">
        <f t="shared" si="18"/>
        <v>1</v>
      </c>
      <c r="E1171" t="s">
        <v>19</v>
      </c>
      <c r="F1171" t="s">
        <v>1327</v>
      </c>
      <c r="G1171" t="s">
        <v>326</v>
      </c>
      <c r="N1171" s="107"/>
    </row>
    <row r="1172" spans="1:14" x14ac:dyDescent="0.3">
      <c r="A1172" t="s">
        <v>186</v>
      </c>
      <c r="B1172" t="s">
        <v>532</v>
      </c>
      <c r="C1172" t="s">
        <v>1330</v>
      </c>
      <c r="D1172">
        <f t="shared" si="18"/>
        <v>1</v>
      </c>
      <c r="E1172" t="s">
        <v>19</v>
      </c>
      <c r="F1172" t="s">
        <v>1330</v>
      </c>
      <c r="G1172" t="s">
        <v>326</v>
      </c>
      <c r="N1172" s="107"/>
    </row>
    <row r="1173" spans="1:14" x14ac:dyDescent="0.3">
      <c r="A1173" t="s">
        <v>186</v>
      </c>
      <c r="B1173" t="s">
        <v>862</v>
      </c>
      <c r="C1173" t="s">
        <v>1348</v>
      </c>
      <c r="D1173">
        <f t="shared" si="18"/>
        <v>1</v>
      </c>
      <c r="E1173" t="s">
        <v>19</v>
      </c>
      <c r="F1173" t="s">
        <v>1348</v>
      </c>
      <c r="G1173" t="s">
        <v>326</v>
      </c>
      <c r="N1173" s="107"/>
    </row>
    <row r="1174" spans="1:14" x14ac:dyDescent="0.3">
      <c r="A1174" t="s">
        <v>186</v>
      </c>
      <c r="B1174" t="s">
        <v>589</v>
      </c>
      <c r="C1174" t="s">
        <v>1349</v>
      </c>
      <c r="D1174">
        <f t="shared" si="18"/>
        <v>1</v>
      </c>
      <c r="E1174" t="s">
        <v>19</v>
      </c>
      <c r="F1174" t="s">
        <v>1349</v>
      </c>
      <c r="G1174" t="s">
        <v>326</v>
      </c>
      <c r="N1174" s="107"/>
    </row>
    <row r="1175" spans="1:14" x14ac:dyDescent="0.3">
      <c r="A1175" t="s">
        <v>186</v>
      </c>
      <c r="B1175" t="s">
        <v>862</v>
      </c>
      <c r="C1175" t="s">
        <v>1350</v>
      </c>
      <c r="D1175">
        <f t="shared" si="18"/>
        <v>1</v>
      </c>
      <c r="E1175" t="s">
        <v>19</v>
      </c>
      <c r="F1175" t="s">
        <v>1350</v>
      </c>
      <c r="G1175" t="s">
        <v>326</v>
      </c>
      <c r="N1175" s="107"/>
    </row>
    <row r="1176" spans="1:14" x14ac:dyDescent="0.3">
      <c r="A1176" t="s">
        <v>186</v>
      </c>
      <c r="B1176" t="s">
        <v>531</v>
      </c>
      <c r="C1176" t="s">
        <v>1353</v>
      </c>
      <c r="D1176">
        <f t="shared" si="18"/>
        <v>1</v>
      </c>
      <c r="E1176" t="s">
        <v>19</v>
      </c>
      <c r="F1176" t="s">
        <v>2293</v>
      </c>
      <c r="G1176" t="s">
        <v>326</v>
      </c>
      <c r="N1176" s="107"/>
    </row>
    <row r="1177" spans="1:14" x14ac:dyDescent="0.3">
      <c r="A1177" t="s">
        <v>186</v>
      </c>
      <c r="B1177" t="s">
        <v>916</v>
      </c>
      <c r="C1177" t="s">
        <v>1353</v>
      </c>
      <c r="D1177">
        <f t="shared" si="18"/>
        <v>1</v>
      </c>
      <c r="E1177" t="s">
        <v>19</v>
      </c>
      <c r="F1177" t="s">
        <v>2295</v>
      </c>
      <c r="G1177" t="s">
        <v>326</v>
      </c>
      <c r="N1177" s="107"/>
    </row>
    <row r="1178" spans="1:14" x14ac:dyDescent="0.3">
      <c r="A1178" t="s">
        <v>186</v>
      </c>
      <c r="B1178" t="s">
        <v>785</v>
      </c>
      <c r="C1178" t="s">
        <v>1353</v>
      </c>
      <c r="D1178">
        <f t="shared" si="18"/>
        <v>1</v>
      </c>
      <c r="E1178" t="s">
        <v>19</v>
      </c>
      <c r="F1178" t="s">
        <v>2296</v>
      </c>
      <c r="G1178" t="s">
        <v>326</v>
      </c>
      <c r="N1178" s="107"/>
    </row>
    <row r="1179" spans="1:14" x14ac:dyDescent="0.3">
      <c r="A1179" t="s">
        <v>186</v>
      </c>
      <c r="B1179" t="s">
        <v>920</v>
      </c>
      <c r="C1179" t="s">
        <v>1353</v>
      </c>
      <c r="D1179">
        <f t="shared" si="18"/>
        <v>1</v>
      </c>
      <c r="E1179" t="s">
        <v>19</v>
      </c>
      <c r="F1179" t="s">
        <v>2301</v>
      </c>
      <c r="G1179" t="s">
        <v>326</v>
      </c>
      <c r="N1179" s="107"/>
    </row>
    <row r="1180" spans="1:14" x14ac:dyDescent="0.3">
      <c r="A1180" t="s">
        <v>186</v>
      </c>
      <c r="B1180" t="s">
        <v>927</v>
      </c>
      <c r="C1180" t="s">
        <v>1365</v>
      </c>
      <c r="D1180">
        <f t="shared" si="18"/>
        <v>1</v>
      </c>
      <c r="E1180" t="s">
        <v>19</v>
      </c>
      <c r="F1180" t="s">
        <v>1365</v>
      </c>
      <c r="G1180" t="s">
        <v>326</v>
      </c>
      <c r="N1180" s="107"/>
    </row>
    <row r="1181" spans="1:14" x14ac:dyDescent="0.3">
      <c r="A1181" t="s">
        <v>186</v>
      </c>
      <c r="B1181" t="s">
        <v>928</v>
      </c>
      <c r="C1181" t="s">
        <v>1366</v>
      </c>
      <c r="D1181">
        <f t="shared" si="18"/>
        <v>1</v>
      </c>
      <c r="E1181" t="s">
        <v>19</v>
      </c>
      <c r="F1181" t="s">
        <v>1366</v>
      </c>
      <c r="G1181" t="s">
        <v>326</v>
      </c>
      <c r="N1181" s="107"/>
    </row>
    <row r="1182" spans="1:14" x14ac:dyDescent="0.3">
      <c r="A1182" t="s">
        <v>186</v>
      </c>
      <c r="B1182" t="s">
        <v>929</v>
      </c>
      <c r="C1182" t="s">
        <v>1367</v>
      </c>
      <c r="D1182">
        <f t="shared" si="18"/>
        <v>1</v>
      </c>
      <c r="E1182" t="s">
        <v>19</v>
      </c>
      <c r="F1182" t="s">
        <v>1367</v>
      </c>
      <c r="G1182" t="s">
        <v>326</v>
      </c>
      <c r="N1182" s="107"/>
    </row>
    <row r="1183" spans="1:14" x14ac:dyDescent="0.3">
      <c r="A1183" t="s">
        <v>186</v>
      </c>
      <c r="B1183" t="s">
        <v>610</v>
      </c>
      <c r="C1183" t="s">
        <v>1375</v>
      </c>
      <c r="D1183">
        <f t="shared" si="18"/>
        <v>1</v>
      </c>
      <c r="E1183" t="s">
        <v>19</v>
      </c>
      <c r="F1183" t="s">
        <v>2319</v>
      </c>
      <c r="G1183" t="s">
        <v>326</v>
      </c>
      <c r="N1183" s="107"/>
    </row>
    <row r="1184" spans="1:14" x14ac:dyDescent="0.3">
      <c r="A1184" t="s">
        <v>186</v>
      </c>
      <c r="B1184" t="s">
        <v>940</v>
      </c>
      <c r="C1184" t="s">
        <v>1380</v>
      </c>
      <c r="D1184">
        <f t="shared" si="18"/>
        <v>1</v>
      </c>
      <c r="E1184" t="s">
        <v>19</v>
      </c>
      <c r="F1184" t="s">
        <v>1380</v>
      </c>
      <c r="G1184" t="s">
        <v>326</v>
      </c>
      <c r="N1184" s="107"/>
    </row>
    <row r="1185" spans="1:14" x14ac:dyDescent="0.3">
      <c r="A1185" t="s">
        <v>186</v>
      </c>
      <c r="B1185" t="s">
        <v>928</v>
      </c>
      <c r="C1185" t="s">
        <v>1385</v>
      </c>
      <c r="D1185">
        <f t="shared" si="18"/>
        <v>1</v>
      </c>
      <c r="E1185" t="s">
        <v>19</v>
      </c>
      <c r="F1185" t="s">
        <v>1385</v>
      </c>
      <c r="G1185" t="s">
        <v>326</v>
      </c>
      <c r="N1185" s="107"/>
    </row>
    <row r="1186" spans="1:14" x14ac:dyDescent="0.3">
      <c r="A1186" t="s">
        <v>186</v>
      </c>
      <c r="B1186" t="s">
        <v>547</v>
      </c>
      <c r="C1186" t="s">
        <v>1391</v>
      </c>
      <c r="D1186">
        <f t="shared" si="18"/>
        <v>1</v>
      </c>
      <c r="E1186" t="s">
        <v>19</v>
      </c>
      <c r="F1186" t="s">
        <v>2341</v>
      </c>
      <c r="G1186" t="s">
        <v>326</v>
      </c>
      <c r="N1186" s="107"/>
    </row>
    <row r="1187" spans="1:14" x14ac:dyDescent="0.3">
      <c r="A1187" t="s">
        <v>186</v>
      </c>
      <c r="B1187" t="s">
        <v>928</v>
      </c>
      <c r="C1187" t="s">
        <v>1391</v>
      </c>
      <c r="D1187">
        <f t="shared" si="18"/>
        <v>1</v>
      </c>
      <c r="E1187" t="s">
        <v>19</v>
      </c>
      <c r="F1187" t="s">
        <v>2342</v>
      </c>
      <c r="G1187" t="s">
        <v>326</v>
      </c>
      <c r="N1187" s="107"/>
    </row>
    <row r="1188" spans="1:14" x14ac:dyDescent="0.3">
      <c r="A1188" t="s">
        <v>186</v>
      </c>
      <c r="B1188" t="s">
        <v>608</v>
      </c>
      <c r="C1188" t="s">
        <v>1389</v>
      </c>
      <c r="D1188">
        <f t="shared" si="18"/>
        <v>1</v>
      </c>
      <c r="E1188" t="s">
        <v>19</v>
      </c>
      <c r="F1188" t="s">
        <v>2388</v>
      </c>
      <c r="G1188" t="s">
        <v>326</v>
      </c>
      <c r="N1188" s="107"/>
    </row>
    <row r="1189" spans="1:14" x14ac:dyDescent="0.3">
      <c r="A1189" t="s">
        <v>186</v>
      </c>
      <c r="B1189" t="s">
        <v>929</v>
      </c>
      <c r="C1189" t="s">
        <v>1398</v>
      </c>
      <c r="D1189">
        <f t="shared" si="18"/>
        <v>1</v>
      </c>
      <c r="E1189" t="s">
        <v>19</v>
      </c>
      <c r="F1189" t="s">
        <v>1398</v>
      </c>
      <c r="G1189" t="s">
        <v>326</v>
      </c>
      <c r="N1189" s="107"/>
    </row>
    <row r="1190" spans="1:14" x14ac:dyDescent="0.3">
      <c r="A1190" t="s">
        <v>186</v>
      </c>
      <c r="B1190" t="s">
        <v>547</v>
      </c>
      <c r="C1190" t="s">
        <v>1401</v>
      </c>
      <c r="D1190">
        <f t="shared" si="18"/>
        <v>1</v>
      </c>
      <c r="E1190" t="s">
        <v>19</v>
      </c>
      <c r="F1190" t="s">
        <v>1401</v>
      </c>
      <c r="G1190" t="s">
        <v>326</v>
      </c>
      <c r="N1190" s="107"/>
    </row>
    <row r="1191" spans="1:14" x14ac:dyDescent="0.3">
      <c r="A1191" t="s">
        <v>186</v>
      </c>
      <c r="B1191" t="s">
        <v>532</v>
      </c>
      <c r="C1191" t="s">
        <v>1403</v>
      </c>
      <c r="D1191">
        <f t="shared" si="18"/>
        <v>1</v>
      </c>
      <c r="E1191" t="s">
        <v>19</v>
      </c>
      <c r="F1191" t="s">
        <v>1403</v>
      </c>
      <c r="G1191" t="s">
        <v>326</v>
      </c>
      <c r="N1191" s="107"/>
    </row>
    <row r="1192" spans="1:14" x14ac:dyDescent="0.3">
      <c r="A1192" t="s">
        <v>186</v>
      </c>
      <c r="B1192" t="s">
        <v>928</v>
      </c>
      <c r="C1192" t="s">
        <v>1406</v>
      </c>
      <c r="D1192">
        <f t="shared" si="18"/>
        <v>1</v>
      </c>
      <c r="E1192" t="s">
        <v>19</v>
      </c>
      <c r="F1192" t="s">
        <v>1406</v>
      </c>
      <c r="G1192" t="s">
        <v>326</v>
      </c>
      <c r="N1192" s="107"/>
    </row>
    <row r="1193" spans="1:14" x14ac:dyDescent="0.3">
      <c r="A1193" t="s">
        <v>186</v>
      </c>
      <c r="B1193" t="s">
        <v>975</v>
      </c>
      <c r="C1193" t="s">
        <v>1408</v>
      </c>
      <c r="D1193">
        <f t="shared" si="18"/>
        <v>1</v>
      </c>
      <c r="E1193" t="s">
        <v>19</v>
      </c>
      <c r="F1193" t="s">
        <v>2417</v>
      </c>
      <c r="G1193" t="s">
        <v>326</v>
      </c>
      <c r="N1193" s="107"/>
    </row>
    <row r="1194" spans="1:14" x14ac:dyDescent="0.3">
      <c r="A1194" t="s">
        <v>186</v>
      </c>
      <c r="B1194" t="s">
        <v>532</v>
      </c>
      <c r="C1194" t="s">
        <v>1409</v>
      </c>
      <c r="D1194">
        <f t="shared" si="18"/>
        <v>1</v>
      </c>
      <c r="E1194" t="s">
        <v>19</v>
      </c>
      <c r="F1194" t="s">
        <v>2430</v>
      </c>
      <c r="G1194" t="s">
        <v>326</v>
      </c>
      <c r="N1194" s="107"/>
    </row>
    <row r="1195" spans="1:14" x14ac:dyDescent="0.3">
      <c r="A1195" t="s">
        <v>186</v>
      </c>
      <c r="B1195" t="s">
        <v>984</v>
      </c>
      <c r="C1195" t="s">
        <v>1409</v>
      </c>
      <c r="D1195">
        <f t="shared" si="18"/>
        <v>1</v>
      </c>
      <c r="E1195" t="s">
        <v>19</v>
      </c>
      <c r="F1195" t="s">
        <v>2431</v>
      </c>
      <c r="G1195" t="s">
        <v>326</v>
      </c>
      <c r="N1195" s="107"/>
    </row>
    <row r="1196" spans="1:14" x14ac:dyDescent="0.3">
      <c r="A1196" t="s">
        <v>186</v>
      </c>
      <c r="B1196" t="s">
        <v>985</v>
      </c>
      <c r="C1196" t="s">
        <v>1410</v>
      </c>
      <c r="D1196">
        <f t="shared" si="18"/>
        <v>1</v>
      </c>
      <c r="E1196" t="s">
        <v>19</v>
      </c>
      <c r="F1196" t="s">
        <v>1410</v>
      </c>
      <c r="G1196" t="s">
        <v>326</v>
      </c>
      <c r="N1196" s="107"/>
    </row>
    <row r="1197" spans="1:14" x14ac:dyDescent="0.3">
      <c r="A1197" t="s">
        <v>186</v>
      </c>
      <c r="B1197" t="s">
        <v>529</v>
      </c>
      <c r="C1197" t="s">
        <v>1408</v>
      </c>
      <c r="D1197">
        <f t="shared" si="18"/>
        <v>1</v>
      </c>
      <c r="E1197" t="s">
        <v>19</v>
      </c>
      <c r="F1197" t="s">
        <v>2433</v>
      </c>
      <c r="G1197" t="s">
        <v>326</v>
      </c>
      <c r="N1197" s="107"/>
    </row>
    <row r="1198" spans="1:14" x14ac:dyDescent="0.3">
      <c r="A1198" t="s">
        <v>186</v>
      </c>
      <c r="B1198" t="s">
        <v>988</v>
      </c>
      <c r="C1198" t="s">
        <v>1408</v>
      </c>
      <c r="D1198">
        <f t="shared" si="18"/>
        <v>1</v>
      </c>
      <c r="E1198" t="s">
        <v>19</v>
      </c>
      <c r="F1198" t="s">
        <v>2435</v>
      </c>
      <c r="G1198" t="s">
        <v>326</v>
      </c>
      <c r="N1198" s="107"/>
    </row>
    <row r="1199" spans="1:14" x14ac:dyDescent="0.3">
      <c r="A1199" t="s">
        <v>186</v>
      </c>
      <c r="B1199" t="s">
        <v>531</v>
      </c>
      <c r="C1199" t="s">
        <v>1408</v>
      </c>
      <c r="D1199">
        <f t="shared" si="18"/>
        <v>1</v>
      </c>
      <c r="E1199" t="s">
        <v>19</v>
      </c>
      <c r="F1199" t="s">
        <v>2437</v>
      </c>
      <c r="G1199" t="s">
        <v>326</v>
      </c>
      <c r="N1199" s="107"/>
    </row>
    <row r="1200" spans="1:14" x14ac:dyDescent="0.3">
      <c r="A1200" t="s">
        <v>186</v>
      </c>
      <c r="B1200" t="s">
        <v>990</v>
      </c>
      <c r="C1200" t="s">
        <v>1408</v>
      </c>
      <c r="D1200">
        <f t="shared" si="18"/>
        <v>1</v>
      </c>
      <c r="E1200" t="s">
        <v>19</v>
      </c>
      <c r="F1200" t="s">
        <v>2438</v>
      </c>
      <c r="G1200" t="s">
        <v>326</v>
      </c>
      <c r="N1200" s="107"/>
    </row>
    <row r="1201" spans="1:14" x14ac:dyDescent="0.3">
      <c r="A1201" t="s">
        <v>186</v>
      </c>
      <c r="B1201" t="s">
        <v>547</v>
      </c>
      <c r="C1201" t="s">
        <v>1412</v>
      </c>
      <c r="D1201">
        <f t="shared" si="18"/>
        <v>1</v>
      </c>
      <c r="E1201" t="s">
        <v>19</v>
      </c>
      <c r="F1201" t="s">
        <v>1412</v>
      </c>
      <c r="G1201" t="s">
        <v>326</v>
      </c>
      <c r="N1201" s="107"/>
    </row>
    <row r="1202" spans="1:14" x14ac:dyDescent="0.3">
      <c r="A1202" t="s">
        <v>186</v>
      </c>
      <c r="B1202" t="s">
        <v>589</v>
      </c>
      <c r="C1202" t="s">
        <v>1413</v>
      </c>
      <c r="D1202">
        <f t="shared" si="18"/>
        <v>1</v>
      </c>
      <c r="E1202" t="s">
        <v>19</v>
      </c>
      <c r="F1202" t="s">
        <v>1413</v>
      </c>
      <c r="G1202" t="s">
        <v>326</v>
      </c>
      <c r="N1202" s="107"/>
    </row>
    <row r="1203" spans="1:14" x14ac:dyDescent="0.3">
      <c r="A1203" t="s">
        <v>186</v>
      </c>
      <c r="B1203" t="s">
        <v>531</v>
      </c>
      <c r="C1203" t="s">
        <v>1420</v>
      </c>
      <c r="D1203">
        <f t="shared" si="18"/>
        <v>1</v>
      </c>
      <c r="E1203" t="s">
        <v>19</v>
      </c>
      <c r="F1203" t="s">
        <v>2536</v>
      </c>
      <c r="G1203" t="s">
        <v>326</v>
      </c>
      <c r="N1203" s="107"/>
    </row>
    <row r="1204" spans="1:14" x14ac:dyDescent="0.3">
      <c r="A1204" t="s">
        <v>186</v>
      </c>
      <c r="B1204" t="s">
        <v>860</v>
      </c>
      <c r="C1204" t="s">
        <v>1421</v>
      </c>
      <c r="D1204">
        <f t="shared" si="18"/>
        <v>1</v>
      </c>
      <c r="E1204" t="s">
        <v>19</v>
      </c>
      <c r="F1204" t="s">
        <v>1421</v>
      </c>
      <c r="G1204" t="s">
        <v>326</v>
      </c>
      <c r="N1204" s="107"/>
    </row>
    <row r="1205" spans="1:14" x14ac:dyDescent="0.3">
      <c r="A1205" t="s">
        <v>186</v>
      </c>
      <c r="B1205" t="s">
        <v>670</v>
      </c>
      <c r="C1205" t="s">
        <v>1422</v>
      </c>
      <c r="D1205">
        <f t="shared" si="18"/>
        <v>1</v>
      </c>
      <c r="E1205" t="s">
        <v>19</v>
      </c>
      <c r="F1205" t="s">
        <v>2543</v>
      </c>
      <c r="G1205" t="s">
        <v>326</v>
      </c>
      <c r="N1205" s="107"/>
    </row>
    <row r="1206" spans="1:14" x14ac:dyDescent="0.3">
      <c r="A1206" t="s">
        <v>186</v>
      </c>
      <c r="B1206" t="s">
        <v>670</v>
      </c>
      <c r="C1206" t="s">
        <v>1422</v>
      </c>
      <c r="D1206">
        <f t="shared" si="18"/>
        <v>1</v>
      </c>
      <c r="E1206" t="s">
        <v>19</v>
      </c>
      <c r="F1206" t="s">
        <v>2544</v>
      </c>
      <c r="G1206" t="s">
        <v>326</v>
      </c>
      <c r="N1206" s="107"/>
    </row>
    <row r="1207" spans="1:14" x14ac:dyDescent="0.3">
      <c r="A1207" t="s">
        <v>186</v>
      </c>
      <c r="B1207" t="s">
        <v>824</v>
      </c>
      <c r="C1207" t="s">
        <v>1423</v>
      </c>
      <c r="D1207">
        <f t="shared" si="18"/>
        <v>1</v>
      </c>
      <c r="E1207" t="s">
        <v>19</v>
      </c>
      <c r="F1207" t="s">
        <v>2549</v>
      </c>
      <c r="G1207" t="s">
        <v>326</v>
      </c>
      <c r="N1207" s="107"/>
    </row>
    <row r="1208" spans="1:14" x14ac:dyDescent="0.3">
      <c r="A1208" t="s">
        <v>186</v>
      </c>
      <c r="B1208" t="s">
        <v>1023</v>
      </c>
      <c r="C1208" t="s">
        <v>1423</v>
      </c>
      <c r="D1208">
        <f t="shared" si="18"/>
        <v>1</v>
      </c>
      <c r="E1208" t="s">
        <v>19</v>
      </c>
      <c r="F1208" t="s">
        <v>2550</v>
      </c>
      <c r="G1208" t="s">
        <v>326</v>
      </c>
      <c r="N1208" s="107"/>
    </row>
    <row r="1209" spans="1:14" x14ac:dyDescent="0.3">
      <c r="A1209" t="s">
        <v>186</v>
      </c>
      <c r="B1209" t="s">
        <v>862</v>
      </c>
      <c r="C1209" t="s">
        <v>1423</v>
      </c>
      <c r="D1209">
        <f t="shared" si="18"/>
        <v>1</v>
      </c>
      <c r="E1209" t="s">
        <v>19</v>
      </c>
      <c r="F1209" t="s">
        <v>2554</v>
      </c>
      <c r="G1209" t="s">
        <v>326</v>
      </c>
      <c r="N1209" s="107"/>
    </row>
    <row r="1210" spans="1:14" x14ac:dyDescent="0.3">
      <c r="A1210" t="s">
        <v>186</v>
      </c>
      <c r="B1210" t="s">
        <v>798</v>
      </c>
      <c r="C1210" t="s">
        <v>1432</v>
      </c>
      <c r="D1210">
        <f t="shared" si="18"/>
        <v>1</v>
      </c>
      <c r="E1210" t="s">
        <v>19</v>
      </c>
      <c r="F1210" t="s">
        <v>1432</v>
      </c>
      <c r="G1210" t="s">
        <v>326</v>
      </c>
      <c r="N1210" s="107"/>
    </row>
    <row r="1211" spans="1:14" x14ac:dyDescent="0.3">
      <c r="A1211" t="s">
        <v>186</v>
      </c>
      <c r="B1211" t="s">
        <v>546</v>
      </c>
      <c r="C1211" t="s">
        <v>1434</v>
      </c>
      <c r="D1211">
        <f t="shared" si="18"/>
        <v>1</v>
      </c>
      <c r="E1211" t="s">
        <v>19</v>
      </c>
      <c r="F1211" t="s">
        <v>1434</v>
      </c>
      <c r="G1211" t="s">
        <v>326</v>
      </c>
      <c r="N1211" s="107"/>
    </row>
    <row r="1212" spans="1:14" x14ac:dyDescent="0.3">
      <c r="A1212" t="s">
        <v>186</v>
      </c>
      <c r="B1212" t="s">
        <v>546</v>
      </c>
      <c r="C1212" t="s">
        <v>1435</v>
      </c>
      <c r="D1212">
        <f t="shared" si="18"/>
        <v>1</v>
      </c>
      <c r="E1212" t="s">
        <v>19</v>
      </c>
      <c r="F1212" t="s">
        <v>1435</v>
      </c>
      <c r="G1212" t="s">
        <v>326</v>
      </c>
      <c r="N1212" s="107"/>
    </row>
    <row r="1213" spans="1:14" x14ac:dyDescent="0.3">
      <c r="A1213" t="s">
        <v>186</v>
      </c>
      <c r="B1213" t="s">
        <v>527</v>
      </c>
      <c r="C1213" t="s">
        <v>1438</v>
      </c>
      <c r="D1213">
        <f t="shared" si="18"/>
        <v>1</v>
      </c>
      <c r="E1213" t="s">
        <v>19</v>
      </c>
      <c r="F1213" t="s">
        <v>2563</v>
      </c>
      <c r="G1213" t="s">
        <v>326</v>
      </c>
      <c r="N1213" s="107"/>
    </row>
    <row r="1214" spans="1:14" x14ac:dyDescent="0.3">
      <c r="A1214" t="s">
        <v>186</v>
      </c>
      <c r="B1214" t="s">
        <v>527</v>
      </c>
      <c r="C1214" t="s">
        <v>1438</v>
      </c>
      <c r="D1214">
        <f t="shared" si="18"/>
        <v>1</v>
      </c>
      <c r="E1214" t="s">
        <v>19</v>
      </c>
      <c r="F1214" t="s">
        <v>2564</v>
      </c>
      <c r="G1214" t="s">
        <v>326</v>
      </c>
      <c r="N1214" s="107"/>
    </row>
    <row r="1215" spans="1:14" x14ac:dyDescent="0.3">
      <c r="A1215" t="s">
        <v>186</v>
      </c>
      <c r="B1215" t="s">
        <v>1032</v>
      </c>
      <c r="C1215" t="s">
        <v>1439</v>
      </c>
      <c r="D1215">
        <f t="shared" si="18"/>
        <v>1</v>
      </c>
      <c r="E1215" t="s">
        <v>19</v>
      </c>
      <c r="F1215" t="s">
        <v>1439</v>
      </c>
      <c r="G1215" t="s">
        <v>326</v>
      </c>
      <c r="N1215" s="107"/>
    </row>
    <row r="1216" spans="1:14" x14ac:dyDescent="0.3">
      <c r="A1216" t="s">
        <v>186</v>
      </c>
      <c r="B1216" t="s">
        <v>1038</v>
      </c>
      <c r="C1216" t="s">
        <v>1447</v>
      </c>
      <c r="D1216">
        <f t="shared" si="18"/>
        <v>1</v>
      </c>
      <c r="E1216" t="s">
        <v>19</v>
      </c>
      <c r="F1216" t="s">
        <v>2574</v>
      </c>
      <c r="G1216" t="s">
        <v>326</v>
      </c>
      <c r="N1216" s="107"/>
    </row>
    <row r="1217" spans="1:14" x14ac:dyDescent="0.3">
      <c r="A1217" t="s">
        <v>186</v>
      </c>
      <c r="B1217" t="s">
        <v>531</v>
      </c>
      <c r="C1217" t="s">
        <v>1447</v>
      </c>
      <c r="D1217">
        <f t="shared" si="18"/>
        <v>1</v>
      </c>
      <c r="E1217" t="s">
        <v>19</v>
      </c>
      <c r="F1217" t="s">
        <v>2577</v>
      </c>
      <c r="G1217" t="s">
        <v>326</v>
      </c>
      <c r="N1217" s="107"/>
    </row>
    <row r="1218" spans="1:14" x14ac:dyDescent="0.3">
      <c r="A1218" t="s">
        <v>186</v>
      </c>
      <c r="B1218" t="s">
        <v>1050</v>
      </c>
      <c r="C1218" t="s">
        <v>1447</v>
      </c>
      <c r="D1218">
        <f t="shared" ref="D1218:D1281" si="19">SIGN(SUBTOTAL(3,E1218))</f>
        <v>1</v>
      </c>
      <c r="E1218" t="s">
        <v>19</v>
      </c>
      <c r="F1218" t="s">
        <v>2599</v>
      </c>
      <c r="G1218" t="s">
        <v>326</v>
      </c>
      <c r="N1218" s="107"/>
    </row>
    <row r="1219" spans="1:14" x14ac:dyDescent="0.3">
      <c r="A1219" t="s">
        <v>186</v>
      </c>
      <c r="B1219" t="s">
        <v>770</v>
      </c>
      <c r="C1219" t="s">
        <v>1447</v>
      </c>
      <c r="D1219">
        <f t="shared" si="19"/>
        <v>1</v>
      </c>
      <c r="E1219" t="s">
        <v>19</v>
      </c>
      <c r="F1219" t="s">
        <v>2600</v>
      </c>
      <c r="G1219" t="s">
        <v>326</v>
      </c>
      <c r="N1219" s="107"/>
    </row>
    <row r="1220" spans="1:14" x14ac:dyDescent="0.3">
      <c r="A1220" t="s">
        <v>186</v>
      </c>
      <c r="B1220" t="s">
        <v>589</v>
      </c>
      <c r="C1220" t="s">
        <v>1447</v>
      </c>
      <c r="D1220">
        <f t="shared" si="19"/>
        <v>1</v>
      </c>
      <c r="E1220" t="s">
        <v>19</v>
      </c>
      <c r="F1220" t="s">
        <v>2602</v>
      </c>
      <c r="G1220" t="s">
        <v>326</v>
      </c>
      <c r="N1220" s="107"/>
    </row>
    <row r="1221" spans="1:14" x14ac:dyDescent="0.3">
      <c r="A1221" t="s">
        <v>186</v>
      </c>
      <c r="B1221" t="s">
        <v>1051</v>
      </c>
      <c r="C1221" t="s">
        <v>1447</v>
      </c>
      <c r="D1221">
        <f t="shared" si="19"/>
        <v>1</v>
      </c>
      <c r="E1221" t="s">
        <v>19</v>
      </c>
      <c r="F1221" t="s">
        <v>2603</v>
      </c>
      <c r="G1221" t="s">
        <v>326</v>
      </c>
      <c r="N1221" s="107"/>
    </row>
    <row r="1222" spans="1:14" x14ac:dyDescent="0.3">
      <c r="A1222" t="s">
        <v>186</v>
      </c>
      <c r="B1222" t="s">
        <v>940</v>
      </c>
      <c r="C1222" t="s">
        <v>1447</v>
      </c>
      <c r="D1222">
        <f t="shared" si="19"/>
        <v>1</v>
      </c>
      <c r="E1222" t="s">
        <v>19</v>
      </c>
      <c r="F1222" t="s">
        <v>2605</v>
      </c>
      <c r="G1222" t="s">
        <v>326</v>
      </c>
      <c r="N1222" s="107"/>
    </row>
    <row r="1223" spans="1:14" x14ac:dyDescent="0.3">
      <c r="A1223" t="s">
        <v>186</v>
      </c>
      <c r="B1223" t="s">
        <v>532</v>
      </c>
      <c r="C1223" t="s">
        <v>1447</v>
      </c>
      <c r="D1223">
        <f t="shared" si="19"/>
        <v>1</v>
      </c>
      <c r="E1223" t="s">
        <v>19</v>
      </c>
      <c r="F1223" t="s">
        <v>2606</v>
      </c>
      <c r="G1223" t="s">
        <v>326</v>
      </c>
      <c r="N1223" s="107"/>
    </row>
    <row r="1224" spans="1:14" x14ac:dyDescent="0.3">
      <c r="A1224" t="s">
        <v>186</v>
      </c>
      <c r="B1224" t="s">
        <v>1052</v>
      </c>
      <c r="C1224" t="s">
        <v>1447</v>
      </c>
      <c r="D1224">
        <f t="shared" si="19"/>
        <v>1</v>
      </c>
      <c r="E1224" t="s">
        <v>19</v>
      </c>
      <c r="F1224" t="s">
        <v>2607</v>
      </c>
      <c r="G1224" t="s">
        <v>326</v>
      </c>
      <c r="N1224" s="107"/>
    </row>
    <row r="1225" spans="1:14" x14ac:dyDescent="0.3">
      <c r="A1225" t="s">
        <v>186</v>
      </c>
      <c r="B1225" t="s">
        <v>533</v>
      </c>
      <c r="C1225" t="s">
        <v>1447</v>
      </c>
      <c r="D1225">
        <f t="shared" si="19"/>
        <v>1</v>
      </c>
      <c r="E1225" t="s">
        <v>19</v>
      </c>
      <c r="F1225" t="s">
        <v>2612</v>
      </c>
      <c r="G1225" t="s">
        <v>326</v>
      </c>
      <c r="N1225" s="107"/>
    </row>
    <row r="1226" spans="1:14" x14ac:dyDescent="0.3">
      <c r="A1226" t="s">
        <v>186</v>
      </c>
      <c r="B1226" t="s">
        <v>533</v>
      </c>
      <c r="C1226" t="s">
        <v>1447</v>
      </c>
      <c r="D1226">
        <f t="shared" si="19"/>
        <v>1</v>
      </c>
      <c r="E1226" t="s">
        <v>19</v>
      </c>
      <c r="F1226" t="s">
        <v>2613</v>
      </c>
      <c r="G1226" t="s">
        <v>326</v>
      </c>
      <c r="N1226" s="107"/>
    </row>
    <row r="1227" spans="1:14" x14ac:dyDescent="0.3">
      <c r="A1227" t="s">
        <v>186</v>
      </c>
      <c r="B1227" t="s">
        <v>589</v>
      </c>
      <c r="C1227" t="s">
        <v>1447</v>
      </c>
      <c r="D1227">
        <f t="shared" si="19"/>
        <v>1</v>
      </c>
      <c r="E1227" t="s">
        <v>19</v>
      </c>
      <c r="F1227" t="s">
        <v>2619</v>
      </c>
      <c r="G1227" t="s">
        <v>326</v>
      </c>
      <c r="N1227" s="107"/>
    </row>
    <row r="1228" spans="1:14" x14ac:dyDescent="0.3">
      <c r="A1228" t="s">
        <v>186</v>
      </c>
      <c r="B1228" t="s">
        <v>818</v>
      </c>
      <c r="C1228" t="s">
        <v>1451</v>
      </c>
      <c r="D1228">
        <f t="shared" si="19"/>
        <v>1</v>
      </c>
      <c r="E1228" t="s">
        <v>19</v>
      </c>
      <c r="F1228" t="s">
        <v>2624</v>
      </c>
      <c r="G1228" t="s">
        <v>326</v>
      </c>
      <c r="N1228" s="107"/>
    </row>
    <row r="1229" spans="1:14" x14ac:dyDescent="0.3">
      <c r="A1229" t="s">
        <v>186</v>
      </c>
      <c r="B1229" t="s">
        <v>546</v>
      </c>
      <c r="C1229" t="s">
        <v>1466</v>
      </c>
      <c r="D1229">
        <f t="shared" si="19"/>
        <v>1</v>
      </c>
      <c r="E1229" t="s">
        <v>19</v>
      </c>
      <c r="F1229" t="s">
        <v>2665</v>
      </c>
      <c r="G1229" t="s">
        <v>326</v>
      </c>
      <c r="N1229" s="107"/>
    </row>
    <row r="1230" spans="1:14" x14ac:dyDescent="0.3">
      <c r="A1230" t="s">
        <v>186</v>
      </c>
      <c r="B1230" t="s">
        <v>1076</v>
      </c>
      <c r="C1230" t="s">
        <v>1466</v>
      </c>
      <c r="D1230">
        <f t="shared" si="19"/>
        <v>1</v>
      </c>
      <c r="E1230" t="s">
        <v>19</v>
      </c>
      <c r="F1230" t="s">
        <v>2667</v>
      </c>
      <c r="G1230" t="s">
        <v>326</v>
      </c>
      <c r="N1230" s="107"/>
    </row>
    <row r="1231" spans="1:14" x14ac:dyDescent="0.3">
      <c r="A1231" t="s">
        <v>186</v>
      </c>
      <c r="B1231" t="s">
        <v>533</v>
      </c>
      <c r="C1231" t="s">
        <v>1466</v>
      </c>
      <c r="D1231">
        <f t="shared" si="19"/>
        <v>1</v>
      </c>
      <c r="E1231" t="s">
        <v>19</v>
      </c>
      <c r="F1231" t="s">
        <v>2672</v>
      </c>
      <c r="G1231" t="s">
        <v>326</v>
      </c>
      <c r="N1231" s="107"/>
    </row>
    <row r="1232" spans="1:14" x14ac:dyDescent="0.3">
      <c r="A1232" t="s">
        <v>186</v>
      </c>
      <c r="B1232" t="s">
        <v>589</v>
      </c>
      <c r="C1232" t="s">
        <v>1465</v>
      </c>
      <c r="D1232">
        <f t="shared" si="19"/>
        <v>1</v>
      </c>
      <c r="E1232" t="s">
        <v>19</v>
      </c>
      <c r="F1232" t="s">
        <v>2677</v>
      </c>
      <c r="G1232" t="s">
        <v>326</v>
      </c>
      <c r="N1232" s="107"/>
    </row>
    <row r="1233" spans="1:14" x14ac:dyDescent="0.3">
      <c r="A1233" t="s">
        <v>186</v>
      </c>
      <c r="B1233" t="s">
        <v>532</v>
      </c>
      <c r="C1233" t="s">
        <v>1468</v>
      </c>
      <c r="D1233">
        <f t="shared" si="19"/>
        <v>1</v>
      </c>
      <c r="E1233" t="s">
        <v>19</v>
      </c>
      <c r="F1233" t="s">
        <v>1468</v>
      </c>
      <c r="G1233" t="s">
        <v>326</v>
      </c>
      <c r="N1233" s="107"/>
    </row>
    <row r="1234" spans="1:14" x14ac:dyDescent="0.3">
      <c r="A1234" t="s">
        <v>186</v>
      </c>
      <c r="B1234" t="s">
        <v>1079</v>
      </c>
      <c r="C1234" t="s">
        <v>1470</v>
      </c>
      <c r="D1234">
        <f t="shared" si="19"/>
        <v>1</v>
      </c>
      <c r="E1234" t="s">
        <v>19</v>
      </c>
      <c r="F1234" t="s">
        <v>1470</v>
      </c>
      <c r="G1234" t="s">
        <v>326</v>
      </c>
      <c r="N1234" s="107"/>
    </row>
    <row r="1235" spans="1:14" x14ac:dyDescent="0.3">
      <c r="A1235" t="s">
        <v>186</v>
      </c>
      <c r="B1235" t="s">
        <v>876</v>
      </c>
      <c r="C1235" t="s">
        <v>1471</v>
      </c>
      <c r="D1235">
        <f t="shared" si="19"/>
        <v>1</v>
      </c>
      <c r="E1235" t="s">
        <v>19</v>
      </c>
      <c r="F1235" t="s">
        <v>1471</v>
      </c>
      <c r="G1235" t="s">
        <v>326</v>
      </c>
      <c r="N1235" s="107"/>
    </row>
    <row r="1236" spans="1:14" x14ac:dyDescent="0.3">
      <c r="A1236" t="s">
        <v>186</v>
      </c>
      <c r="B1236" t="s">
        <v>589</v>
      </c>
      <c r="C1236" t="s">
        <v>1472</v>
      </c>
      <c r="D1236">
        <f t="shared" si="19"/>
        <v>1</v>
      </c>
      <c r="E1236" t="s">
        <v>19</v>
      </c>
      <c r="F1236" t="s">
        <v>1472</v>
      </c>
      <c r="G1236" t="s">
        <v>326</v>
      </c>
      <c r="N1236" s="107"/>
    </row>
    <row r="1237" spans="1:14" x14ac:dyDescent="0.3">
      <c r="A1237" t="s">
        <v>186</v>
      </c>
      <c r="B1237" t="s">
        <v>1085</v>
      </c>
      <c r="C1237" t="s">
        <v>1477</v>
      </c>
      <c r="D1237">
        <f t="shared" si="19"/>
        <v>1</v>
      </c>
      <c r="E1237" t="s">
        <v>19</v>
      </c>
      <c r="F1237" t="s">
        <v>1477</v>
      </c>
      <c r="G1237" t="s">
        <v>326</v>
      </c>
      <c r="N1237" s="107"/>
    </row>
    <row r="1238" spans="1:14" x14ac:dyDescent="0.3">
      <c r="A1238" t="s">
        <v>186</v>
      </c>
      <c r="B1238" t="s">
        <v>547</v>
      </c>
      <c r="C1238" t="s">
        <v>1483</v>
      </c>
      <c r="D1238">
        <f t="shared" si="19"/>
        <v>1</v>
      </c>
      <c r="E1238" t="s">
        <v>19</v>
      </c>
      <c r="F1238" t="s">
        <v>2698</v>
      </c>
      <c r="G1238" t="s">
        <v>326</v>
      </c>
      <c r="N1238" s="107"/>
    </row>
    <row r="1239" spans="1:14" x14ac:dyDescent="0.3">
      <c r="A1239" t="s">
        <v>186</v>
      </c>
      <c r="B1239" t="s">
        <v>529</v>
      </c>
      <c r="C1239" t="s">
        <v>1487</v>
      </c>
      <c r="D1239">
        <f t="shared" si="19"/>
        <v>1</v>
      </c>
      <c r="E1239" t="s">
        <v>19</v>
      </c>
      <c r="F1239" t="s">
        <v>2714</v>
      </c>
      <c r="G1239" t="s">
        <v>326</v>
      </c>
      <c r="N1239" s="107"/>
    </row>
    <row r="1240" spans="1:14" x14ac:dyDescent="0.3">
      <c r="A1240" t="s">
        <v>186</v>
      </c>
      <c r="B1240" t="s">
        <v>527</v>
      </c>
      <c r="C1240" t="s">
        <v>1487</v>
      </c>
      <c r="D1240">
        <f t="shared" si="19"/>
        <v>1</v>
      </c>
      <c r="E1240" t="s">
        <v>19</v>
      </c>
      <c r="F1240" t="s">
        <v>2715</v>
      </c>
      <c r="G1240" t="s">
        <v>326</v>
      </c>
      <c r="N1240" s="107"/>
    </row>
    <row r="1241" spans="1:14" x14ac:dyDescent="0.3">
      <c r="A1241" t="s">
        <v>186</v>
      </c>
      <c r="B1241" t="s">
        <v>928</v>
      </c>
      <c r="C1241" t="s">
        <v>1487</v>
      </c>
      <c r="D1241">
        <f t="shared" si="19"/>
        <v>1</v>
      </c>
      <c r="E1241" t="s">
        <v>19</v>
      </c>
      <c r="F1241" t="s">
        <v>2716</v>
      </c>
      <c r="G1241" t="s">
        <v>326</v>
      </c>
      <c r="N1241" s="107"/>
    </row>
    <row r="1242" spans="1:14" x14ac:dyDescent="0.3">
      <c r="A1242" t="s">
        <v>186</v>
      </c>
      <c r="B1242" t="s">
        <v>674</v>
      </c>
      <c r="C1242" t="s">
        <v>1487</v>
      </c>
      <c r="D1242">
        <f t="shared" si="19"/>
        <v>1</v>
      </c>
      <c r="E1242" t="s">
        <v>19</v>
      </c>
      <c r="F1242" t="s">
        <v>2728</v>
      </c>
      <c r="G1242" t="s">
        <v>326</v>
      </c>
      <c r="N1242" s="107"/>
    </row>
    <row r="1243" spans="1:14" x14ac:dyDescent="0.3">
      <c r="A1243" t="s">
        <v>186</v>
      </c>
      <c r="B1243" t="s">
        <v>533</v>
      </c>
      <c r="C1243" t="s">
        <v>1487</v>
      </c>
      <c r="D1243">
        <f t="shared" si="19"/>
        <v>1</v>
      </c>
      <c r="E1243" t="s">
        <v>19</v>
      </c>
      <c r="F1243" t="s">
        <v>2729</v>
      </c>
      <c r="G1243" t="s">
        <v>326</v>
      </c>
      <c r="N1243" s="107"/>
    </row>
    <row r="1244" spans="1:14" x14ac:dyDescent="0.3">
      <c r="A1244" t="s">
        <v>186</v>
      </c>
      <c r="B1244" t="s">
        <v>610</v>
      </c>
      <c r="C1244" t="s">
        <v>1487</v>
      </c>
      <c r="D1244">
        <f t="shared" si="19"/>
        <v>1</v>
      </c>
      <c r="E1244" t="s">
        <v>19</v>
      </c>
      <c r="F1244" t="s">
        <v>2730</v>
      </c>
      <c r="G1244" t="s">
        <v>326</v>
      </c>
      <c r="N1244" s="107"/>
    </row>
    <row r="1245" spans="1:14" x14ac:dyDescent="0.3">
      <c r="A1245" t="s">
        <v>186</v>
      </c>
      <c r="B1245" t="s">
        <v>670</v>
      </c>
      <c r="C1245" t="s">
        <v>1487</v>
      </c>
      <c r="D1245">
        <f t="shared" si="19"/>
        <v>1</v>
      </c>
      <c r="E1245" t="s">
        <v>19</v>
      </c>
      <c r="F1245" t="s">
        <v>2733</v>
      </c>
      <c r="G1245" t="s">
        <v>326</v>
      </c>
      <c r="N1245" s="107"/>
    </row>
    <row r="1246" spans="1:14" x14ac:dyDescent="0.3">
      <c r="A1246" t="s">
        <v>186</v>
      </c>
      <c r="B1246" t="s">
        <v>1092</v>
      </c>
      <c r="C1246" t="s">
        <v>1488</v>
      </c>
      <c r="D1246">
        <f t="shared" si="19"/>
        <v>1</v>
      </c>
      <c r="E1246" t="s">
        <v>19</v>
      </c>
      <c r="F1246" t="s">
        <v>1488</v>
      </c>
      <c r="G1246" t="s">
        <v>326</v>
      </c>
      <c r="N1246" s="107"/>
    </row>
    <row r="1247" spans="1:14" x14ac:dyDescent="0.3">
      <c r="A1247" t="s">
        <v>186</v>
      </c>
      <c r="B1247" t="s">
        <v>532</v>
      </c>
      <c r="C1247" t="s">
        <v>1498</v>
      </c>
      <c r="D1247">
        <f t="shared" si="19"/>
        <v>1</v>
      </c>
      <c r="E1247" t="s">
        <v>19</v>
      </c>
      <c r="F1247" t="s">
        <v>1498</v>
      </c>
      <c r="G1247" t="s">
        <v>326</v>
      </c>
      <c r="N1247" s="107"/>
    </row>
    <row r="1248" spans="1:14" x14ac:dyDescent="0.3">
      <c r="A1248" t="s">
        <v>186</v>
      </c>
      <c r="B1248" t="s">
        <v>818</v>
      </c>
      <c r="C1248" t="s">
        <v>1504</v>
      </c>
      <c r="D1248">
        <f t="shared" si="19"/>
        <v>1</v>
      </c>
      <c r="E1248" t="s">
        <v>19</v>
      </c>
      <c r="F1248" t="s">
        <v>2746</v>
      </c>
      <c r="G1248" t="s">
        <v>326</v>
      </c>
      <c r="N1248" s="107"/>
    </row>
    <row r="1249" spans="1:14" x14ac:dyDescent="0.3">
      <c r="A1249" t="s">
        <v>186</v>
      </c>
      <c r="B1249" t="s">
        <v>547</v>
      </c>
      <c r="C1249" t="s">
        <v>1504</v>
      </c>
      <c r="D1249">
        <f t="shared" si="19"/>
        <v>1</v>
      </c>
      <c r="E1249" t="s">
        <v>19</v>
      </c>
      <c r="F1249" t="s">
        <v>2749</v>
      </c>
      <c r="G1249" t="s">
        <v>326</v>
      </c>
      <c r="N1249" s="107"/>
    </row>
    <row r="1250" spans="1:14" x14ac:dyDescent="0.3">
      <c r="A1250" t="s">
        <v>186</v>
      </c>
      <c r="B1250" t="s">
        <v>589</v>
      </c>
      <c r="C1250" t="s">
        <v>1506</v>
      </c>
      <c r="D1250">
        <f t="shared" si="19"/>
        <v>1</v>
      </c>
      <c r="E1250" t="s">
        <v>19</v>
      </c>
      <c r="F1250" t="s">
        <v>2752</v>
      </c>
      <c r="G1250" t="s">
        <v>326</v>
      </c>
      <c r="N1250" s="107"/>
    </row>
    <row r="1251" spans="1:14" x14ac:dyDescent="0.3">
      <c r="A1251" t="s">
        <v>186</v>
      </c>
      <c r="B1251" t="s">
        <v>532</v>
      </c>
      <c r="C1251" t="s">
        <v>1506</v>
      </c>
      <c r="D1251">
        <f t="shared" si="19"/>
        <v>1</v>
      </c>
      <c r="E1251" t="s">
        <v>19</v>
      </c>
      <c r="F1251" t="s">
        <v>2753</v>
      </c>
      <c r="G1251" t="s">
        <v>326</v>
      </c>
      <c r="N1251" s="107"/>
    </row>
    <row r="1252" spans="1:14" x14ac:dyDescent="0.3">
      <c r="A1252" t="s">
        <v>186</v>
      </c>
      <c r="B1252" t="s">
        <v>927</v>
      </c>
      <c r="C1252" t="s">
        <v>1507</v>
      </c>
      <c r="D1252">
        <f t="shared" si="19"/>
        <v>1</v>
      </c>
      <c r="E1252" t="s">
        <v>19</v>
      </c>
      <c r="F1252" t="s">
        <v>1507</v>
      </c>
      <c r="G1252" t="s">
        <v>326</v>
      </c>
      <c r="N1252" s="107"/>
    </row>
    <row r="1253" spans="1:14" x14ac:dyDescent="0.3">
      <c r="A1253" t="s">
        <v>186</v>
      </c>
      <c r="B1253" t="s">
        <v>940</v>
      </c>
      <c r="C1253" t="s">
        <v>1511</v>
      </c>
      <c r="D1253">
        <f t="shared" si="19"/>
        <v>1</v>
      </c>
      <c r="E1253" t="s">
        <v>19</v>
      </c>
      <c r="F1253" t="s">
        <v>2758</v>
      </c>
      <c r="G1253" t="s">
        <v>326</v>
      </c>
      <c r="N1253" s="107"/>
    </row>
    <row r="1254" spans="1:14" x14ac:dyDescent="0.3">
      <c r="A1254" t="s">
        <v>186</v>
      </c>
      <c r="B1254" t="s">
        <v>940</v>
      </c>
      <c r="C1254" t="s">
        <v>1511</v>
      </c>
      <c r="D1254">
        <f t="shared" si="19"/>
        <v>1</v>
      </c>
      <c r="E1254" t="s">
        <v>19</v>
      </c>
      <c r="F1254" t="s">
        <v>2759</v>
      </c>
      <c r="G1254" t="s">
        <v>326</v>
      </c>
      <c r="N1254" s="107"/>
    </row>
    <row r="1255" spans="1:14" x14ac:dyDescent="0.3">
      <c r="A1255" t="s">
        <v>186</v>
      </c>
      <c r="B1255" t="s">
        <v>862</v>
      </c>
      <c r="C1255" t="s">
        <v>1512</v>
      </c>
      <c r="D1255">
        <f t="shared" si="19"/>
        <v>1</v>
      </c>
      <c r="E1255" t="s">
        <v>19</v>
      </c>
      <c r="F1255" t="s">
        <v>1512</v>
      </c>
      <c r="G1255" t="s">
        <v>326</v>
      </c>
      <c r="N1255" s="107"/>
    </row>
    <row r="1256" spans="1:14" x14ac:dyDescent="0.3">
      <c r="A1256" t="s">
        <v>186</v>
      </c>
      <c r="B1256" t="s">
        <v>546</v>
      </c>
      <c r="C1256" t="s">
        <v>1513</v>
      </c>
      <c r="D1256">
        <f t="shared" si="19"/>
        <v>1</v>
      </c>
      <c r="E1256" t="s">
        <v>19</v>
      </c>
      <c r="F1256" t="s">
        <v>2786</v>
      </c>
      <c r="G1256" t="s">
        <v>326</v>
      </c>
      <c r="N1256" s="107"/>
    </row>
    <row r="1257" spans="1:14" x14ac:dyDescent="0.3">
      <c r="A1257" t="s">
        <v>186</v>
      </c>
      <c r="B1257" t="s">
        <v>546</v>
      </c>
      <c r="C1257" t="s">
        <v>1513</v>
      </c>
      <c r="D1257">
        <f t="shared" si="19"/>
        <v>1</v>
      </c>
      <c r="E1257" t="s">
        <v>19</v>
      </c>
      <c r="F1257" t="s">
        <v>2787</v>
      </c>
      <c r="G1257" t="s">
        <v>326</v>
      </c>
      <c r="N1257" s="107"/>
    </row>
    <row r="1258" spans="1:14" x14ac:dyDescent="0.3">
      <c r="A1258" t="s">
        <v>186</v>
      </c>
      <c r="B1258" t="s">
        <v>546</v>
      </c>
      <c r="C1258" t="s">
        <v>1513</v>
      </c>
      <c r="D1258">
        <f t="shared" si="19"/>
        <v>1</v>
      </c>
      <c r="E1258" t="s">
        <v>19</v>
      </c>
      <c r="F1258" t="s">
        <v>2788</v>
      </c>
      <c r="G1258" t="s">
        <v>326</v>
      </c>
      <c r="N1258" s="107"/>
    </row>
    <row r="1259" spans="1:14" x14ac:dyDescent="0.3">
      <c r="A1259" t="s">
        <v>186</v>
      </c>
      <c r="B1259" t="s">
        <v>546</v>
      </c>
      <c r="C1259" t="s">
        <v>1513</v>
      </c>
      <c r="D1259">
        <f t="shared" si="19"/>
        <v>1</v>
      </c>
      <c r="E1259" t="s">
        <v>19</v>
      </c>
      <c r="F1259" t="s">
        <v>2789</v>
      </c>
      <c r="G1259" t="s">
        <v>326</v>
      </c>
      <c r="N1259" s="107"/>
    </row>
    <row r="1260" spans="1:14" x14ac:dyDescent="0.3">
      <c r="A1260" t="s">
        <v>186</v>
      </c>
      <c r="B1260" t="s">
        <v>546</v>
      </c>
      <c r="C1260" t="s">
        <v>1513</v>
      </c>
      <c r="D1260">
        <f t="shared" si="19"/>
        <v>1</v>
      </c>
      <c r="E1260" t="s">
        <v>19</v>
      </c>
      <c r="F1260" t="s">
        <v>2794</v>
      </c>
      <c r="G1260" t="s">
        <v>326</v>
      </c>
      <c r="N1260" s="107"/>
    </row>
    <row r="1261" spans="1:14" x14ac:dyDescent="0.3">
      <c r="A1261" t="s">
        <v>186</v>
      </c>
      <c r="B1261" t="s">
        <v>875</v>
      </c>
      <c r="C1261" t="s">
        <v>1517</v>
      </c>
      <c r="D1261">
        <f t="shared" si="19"/>
        <v>1</v>
      </c>
      <c r="E1261" t="s">
        <v>19</v>
      </c>
      <c r="F1261" t="s">
        <v>2811</v>
      </c>
      <c r="G1261" t="s">
        <v>326</v>
      </c>
      <c r="N1261" s="107"/>
    </row>
    <row r="1262" spans="1:14" x14ac:dyDescent="0.3">
      <c r="A1262" t="s">
        <v>186</v>
      </c>
      <c r="B1262" t="s">
        <v>927</v>
      </c>
      <c r="C1262" t="s">
        <v>1525</v>
      </c>
      <c r="D1262">
        <f t="shared" si="19"/>
        <v>1</v>
      </c>
      <c r="E1262" t="s">
        <v>19</v>
      </c>
      <c r="F1262" t="s">
        <v>2825</v>
      </c>
      <c r="G1262" t="s">
        <v>326</v>
      </c>
      <c r="N1262" s="107"/>
    </row>
    <row r="1263" spans="1:14" x14ac:dyDescent="0.3">
      <c r="A1263" t="s">
        <v>186</v>
      </c>
      <c r="B1263" t="s">
        <v>532</v>
      </c>
      <c r="C1263" t="s">
        <v>1536</v>
      </c>
      <c r="D1263">
        <f t="shared" si="19"/>
        <v>1</v>
      </c>
      <c r="E1263" t="s">
        <v>19</v>
      </c>
      <c r="F1263" t="s">
        <v>2828</v>
      </c>
      <c r="G1263" t="s">
        <v>326</v>
      </c>
      <c r="N1263" s="107"/>
    </row>
    <row r="1264" spans="1:14" x14ac:dyDescent="0.3">
      <c r="A1264" t="s">
        <v>186</v>
      </c>
      <c r="B1264" t="s">
        <v>532</v>
      </c>
      <c r="C1264" t="s">
        <v>1536</v>
      </c>
      <c r="D1264">
        <f t="shared" si="19"/>
        <v>1</v>
      </c>
      <c r="E1264" t="s">
        <v>19</v>
      </c>
      <c r="F1264" t="s">
        <v>2829</v>
      </c>
      <c r="G1264" t="s">
        <v>326</v>
      </c>
      <c r="N1264" s="107"/>
    </row>
    <row r="1265" spans="1:14" x14ac:dyDescent="0.3">
      <c r="A1265" t="s">
        <v>186</v>
      </c>
      <c r="B1265" t="s">
        <v>860</v>
      </c>
      <c r="C1265" t="s">
        <v>1537</v>
      </c>
      <c r="D1265">
        <f t="shared" si="19"/>
        <v>1</v>
      </c>
      <c r="E1265" t="s">
        <v>19</v>
      </c>
      <c r="F1265" t="s">
        <v>1537</v>
      </c>
      <c r="G1265" t="s">
        <v>326</v>
      </c>
      <c r="N1265" s="107"/>
    </row>
    <row r="1266" spans="1:14" x14ac:dyDescent="0.3">
      <c r="A1266" t="s">
        <v>187</v>
      </c>
      <c r="B1266" t="s">
        <v>772</v>
      </c>
      <c r="C1266" t="s">
        <v>1258</v>
      </c>
      <c r="D1266">
        <f t="shared" si="19"/>
        <v>1</v>
      </c>
      <c r="E1266" t="s">
        <v>19</v>
      </c>
      <c r="F1266" t="s">
        <v>2068</v>
      </c>
      <c r="G1266" t="s">
        <v>326</v>
      </c>
      <c r="N1266" s="107"/>
    </row>
    <row r="1267" spans="1:14" x14ac:dyDescent="0.3">
      <c r="A1267" t="s">
        <v>187</v>
      </c>
      <c r="B1267" t="s">
        <v>781</v>
      </c>
      <c r="C1267" t="s">
        <v>1265</v>
      </c>
      <c r="D1267">
        <f t="shared" si="19"/>
        <v>1</v>
      </c>
      <c r="E1267" t="s">
        <v>19</v>
      </c>
      <c r="F1267" t="s">
        <v>1265</v>
      </c>
      <c r="G1267" t="s">
        <v>326</v>
      </c>
      <c r="N1267" s="107"/>
    </row>
    <row r="1268" spans="1:14" x14ac:dyDescent="0.3">
      <c r="A1268" t="s">
        <v>187</v>
      </c>
      <c r="B1268" t="s">
        <v>905</v>
      </c>
      <c r="C1268" t="s">
        <v>1340</v>
      </c>
      <c r="D1268">
        <f t="shared" si="19"/>
        <v>1</v>
      </c>
      <c r="E1268" t="s">
        <v>19</v>
      </c>
      <c r="F1268" t="s">
        <v>2270</v>
      </c>
      <c r="G1268" t="s">
        <v>326</v>
      </c>
      <c r="N1268" s="107"/>
    </row>
    <row r="1269" spans="1:14" x14ac:dyDescent="0.3">
      <c r="A1269" t="s">
        <v>187</v>
      </c>
      <c r="B1269" t="s">
        <v>772</v>
      </c>
      <c r="C1269" t="s">
        <v>1363</v>
      </c>
      <c r="D1269">
        <f t="shared" si="19"/>
        <v>1</v>
      </c>
      <c r="E1269" t="s">
        <v>19</v>
      </c>
      <c r="F1269" t="s">
        <v>2308</v>
      </c>
      <c r="G1269" t="s">
        <v>326</v>
      </c>
      <c r="N1269" s="107"/>
    </row>
    <row r="1270" spans="1:14" x14ac:dyDescent="0.3">
      <c r="A1270" t="s">
        <v>187</v>
      </c>
      <c r="B1270" t="s">
        <v>926</v>
      </c>
      <c r="C1270" t="s">
        <v>1363</v>
      </c>
      <c r="D1270">
        <f t="shared" si="19"/>
        <v>1</v>
      </c>
      <c r="E1270" t="s">
        <v>19</v>
      </c>
      <c r="F1270" t="s">
        <v>2309</v>
      </c>
      <c r="G1270" t="s">
        <v>326</v>
      </c>
      <c r="N1270" s="107"/>
    </row>
    <row r="1271" spans="1:14" x14ac:dyDescent="0.3">
      <c r="A1271" t="s">
        <v>187</v>
      </c>
      <c r="B1271" t="s">
        <v>1031</v>
      </c>
      <c r="C1271" t="s">
        <v>1436</v>
      </c>
      <c r="D1271">
        <f t="shared" si="19"/>
        <v>1</v>
      </c>
      <c r="E1271" t="s">
        <v>19</v>
      </c>
      <c r="F1271" t="s">
        <v>1436</v>
      </c>
      <c r="G1271" t="s">
        <v>326</v>
      </c>
      <c r="N1271" s="107"/>
    </row>
    <row r="1272" spans="1:14" x14ac:dyDescent="0.3">
      <c r="A1272" t="s">
        <v>187</v>
      </c>
      <c r="B1272" t="s">
        <v>1035</v>
      </c>
      <c r="C1272" t="s">
        <v>1444</v>
      </c>
      <c r="D1272">
        <f t="shared" si="19"/>
        <v>1</v>
      </c>
      <c r="E1272" t="s">
        <v>19</v>
      </c>
      <c r="F1272" t="s">
        <v>1444</v>
      </c>
      <c r="G1272" t="s">
        <v>326</v>
      </c>
      <c r="N1272" s="107"/>
    </row>
    <row r="1273" spans="1:14" x14ac:dyDescent="0.3">
      <c r="A1273" t="s">
        <v>188</v>
      </c>
      <c r="B1273" t="s">
        <v>892</v>
      </c>
      <c r="C1273" t="s">
        <v>1333</v>
      </c>
      <c r="D1273">
        <f t="shared" si="19"/>
        <v>1</v>
      </c>
      <c r="E1273" t="s">
        <v>19</v>
      </c>
      <c r="F1273" t="s">
        <v>2245</v>
      </c>
      <c r="G1273" t="s">
        <v>326</v>
      </c>
      <c r="N1273" s="107"/>
    </row>
    <row r="1274" spans="1:14" x14ac:dyDescent="0.3">
      <c r="A1274" t="s">
        <v>189</v>
      </c>
      <c r="B1274" t="s">
        <v>565</v>
      </c>
      <c r="C1274" t="s">
        <v>1168</v>
      </c>
      <c r="D1274">
        <f t="shared" si="19"/>
        <v>1</v>
      </c>
      <c r="E1274" t="s">
        <v>19</v>
      </c>
      <c r="F1274" t="s">
        <v>1743</v>
      </c>
      <c r="G1274" t="s">
        <v>326</v>
      </c>
      <c r="N1274" s="107"/>
    </row>
    <row r="1275" spans="1:14" x14ac:dyDescent="0.3">
      <c r="A1275" t="s">
        <v>189</v>
      </c>
      <c r="B1275" t="s">
        <v>599</v>
      </c>
      <c r="C1275" t="s">
        <v>1179</v>
      </c>
      <c r="D1275">
        <f t="shared" si="19"/>
        <v>1</v>
      </c>
      <c r="E1275" t="s">
        <v>19</v>
      </c>
      <c r="F1275" t="s">
        <v>1790</v>
      </c>
      <c r="G1275" t="s">
        <v>326</v>
      </c>
      <c r="N1275" s="107"/>
    </row>
    <row r="1276" spans="1:14" x14ac:dyDescent="0.3">
      <c r="A1276" t="s">
        <v>189</v>
      </c>
      <c r="B1276" t="s">
        <v>601</v>
      </c>
      <c r="C1276" t="s">
        <v>1179</v>
      </c>
      <c r="D1276">
        <f t="shared" si="19"/>
        <v>1</v>
      </c>
      <c r="E1276" t="s">
        <v>19</v>
      </c>
      <c r="F1276" t="s">
        <v>1792</v>
      </c>
      <c r="G1276" t="s">
        <v>326</v>
      </c>
      <c r="N1276" s="107"/>
    </row>
    <row r="1277" spans="1:14" x14ac:dyDescent="0.3">
      <c r="A1277" t="s">
        <v>189</v>
      </c>
      <c r="B1277" t="s">
        <v>650</v>
      </c>
      <c r="C1277" t="s">
        <v>1200</v>
      </c>
      <c r="D1277">
        <f t="shared" si="19"/>
        <v>1</v>
      </c>
      <c r="E1277" t="s">
        <v>19</v>
      </c>
      <c r="F1277" t="s">
        <v>1200</v>
      </c>
      <c r="G1277" t="s">
        <v>326</v>
      </c>
      <c r="N1277" s="107"/>
    </row>
    <row r="1278" spans="1:14" x14ac:dyDescent="0.3">
      <c r="A1278" t="s">
        <v>189</v>
      </c>
      <c r="B1278" t="s">
        <v>652</v>
      </c>
      <c r="C1278" t="s">
        <v>1205</v>
      </c>
      <c r="D1278">
        <f t="shared" si="19"/>
        <v>1</v>
      </c>
      <c r="E1278" t="s">
        <v>19</v>
      </c>
      <c r="F1278" t="s">
        <v>1205</v>
      </c>
      <c r="G1278" t="s">
        <v>326</v>
      </c>
      <c r="N1278" s="107"/>
    </row>
    <row r="1279" spans="1:14" x14ac:dyDescent="0.3">
      <c r="A1279" t="s">
        <v>189</v>
      </c>
      <c r="B1279" t="s">
        <v>654</v>
      </c>
      <c r="C1279" t="s">
        <v>1207</v>
      </c>
      <c r="D1279">
        <f t="shared" si="19"/>
        <v>1</v>
      </c>
      <c r="E1279" t="s">
        <v>19</v>
      </c>
      <c r="F1279" t="s">
        <v>1207</v>
      </c>
      <c r="G1279" t="s">
        <v>326</v>
      </c>
      <c r="N1279" s="107"/>
    </row>
    <row r="1280" spans="1:14" x14ac:dyDescent="0.3">
      <c r="A1280" t="s">
        <v>189</v>
      </c>
      <c r="B1280" t="s">
        <v>712</v>
      </c>
      <c r="C1280" t="s">
        <v>1231</v>
      </c>
      <c r="D1280">
        <f t="shared" si="19"/>
        <v>1</v>
      </c>
      <c r="E1280" t="s">
        <v>19</v>
      </c>
      <c r="F1280" t="s">
        <v>1952</v>
      </c>
      <c r="G1280" t="s">
        <v>326</v>
      </c>
      <c r="N1280" s="107"/>
    </row>
    <row r="1281" spans="1:14" x14ac:dyDescent="0.3">
      <c r="A1281" t="s">
        <v>189</v>
      </c>
      <c r="B1281" t="s">
        <v>558</v>
      </c>
      <c r="C1281" t="s">
        <v>1231</v>
      </c>
      <c r="D1281">
        <f t="shared" si="19"/>
        <v>1</v>
      </c>
      <c r="E1281" t="s">
        <v>19</v>
      </c>
      <c r="F1281" t="s">
        <v>1954</v>
      </c>
      <c r="G1281" t="s">
        <v>326</v>
      </c>
      <c r="N1281" s="107"/>
    </row>
    <row r="1282" spans="1:14" x14ac:dyDescent="0.3">
      <c r="A1282" t="s">
        <v>189</v>
      </c>
      <c r="B1282" t="s">
        <v>565</v>
      </c>
      <c r="C1282" t="s">
        <v>1231</v>
      </c>
      <c r="D1282">
        <f t="shared" ref="D1282:D1345" si="20">SIGN(SUBTOTAL(3,E1282))</f>
        <v>1</v>
      </c>
      <c r="E1282" t="s">
        <v>19</v>
      </c>
      <c r="F1282" t="s">
        <v>1971</v>
      </c>
      <c r="G1282" t="s">
        <v>326</v>
      </c>
      <c r="N1282" s="107"/>
    </row>
    <row r="1283" spans="1:14" x14ac:dyDescent="0.3">
      <c r="A1283" t="s">
        <v>189</v>
      </c>
      <c r="B1283" t="s">
        <v>558</v>
      </c>
      <c r="C1283" t="s">
        <v>1237</v>
      </c>
      <c r="D1283">
        <f t="shared" si="20"/>
        <v>1</v>
      </c>
      <c r="E1283" t="s">
        <v>19</v>
      </c>
      <c r="F1283" t="s">
        <v>1997</v>
      </c>
      <c r="G1283" t="s">
        <v>326</v>
      </c>
      <c r="N1283" s="107"/>
    </row>
    <row r="1284" spans="1:14" x14ac:dyDescent="0.3">
      <c r="A1284" t="s">
        <v>189</v>
      </c>
      <c r="B1284" t="s">
        <v>652</v>
      </c>
      <c r="C1284" t="s">
        <v>1237</v>
      </c>
      <c r="D1284">
        <f t="shared" si="20"/>
        <v>1</v>
      </c>
      <c r="E1284" t="s">
        <v>19</v>
      </c>
      <c r="F1284" t="s">
        <v>2011</v>
      </c>
      <c r="G1284" t="s">
        <v>326</v>
      </c>
      <c r="N1284" s="107"/>
    </row>
    <row r="1285" spans="1:14" x14ac:dyDescent="0.3">
      <c r="A1285" t="s">
        <v>189</v>
      </c>
      <c r="B1285" t="s">
        <v>753</v>
      </c>
      <c r="C1285" t="s">
        <v>1249</v>
      </c>
      <c r="D1285">
        <f t="shared" si="20"/>
        <v>1</v>
      </c>
      <c r="E1285" t="s">
        <v>19</v>
      </c>
      <c r="F1285" t="s">
        <v>2032</v>
      </c>
      <c r="G1285" t="s">
        <v>326</v>
      </c>
      <c r="N1285" s="107"/>
    </row>
    <row r="1286" spans="1:14" x14ac:dyDescent="0.3">
      <c r="A1286" t="s">
        <v>189</v>
      </c>
      <c r="B1286" t="s">
        <v>811</v>
      </c>
      <c r="C1286" t="s">
        <v>1289</v>
      </c>
      <c r="D1286">
        <f t="shared" si="20"/>
        <v>1</v>
      </c>
      <c r="E1286" t="s">
        <v>19</v>
      </c>
      <c r="F1286" t="s">
        <v>2132</v>
      </c>
      <c r="G1286" t="s">
        <v>326</v>
      </c>
      <c r="N1286" s="107"/>
    </row>
    <row r="1287" spans="1:14" x14ac:dyDescent="0.3">
      <c r="A1287" t="s">
        <v>189</v>
      </c>
      <c r="B1287" t="s">
        <v>817</v>
      </c>
      <c r="C1287" t="s">
        <v>1291</v>
      </c>
      <c r="D1287">
        <f t="shared" si="20"/>
        <v>1</v>
      </c>
      <c r="E1287" t="s">
        <v>19</v>
      </c>
      <c r="F1287" t="s">
        <v>2151</v>
      </c>
      <c r="G1287" t="s">
        <v>326</v>
      </c>
      <c r="N1287" s="107"/>
    </row>
    <row r="1288" spans="1:14" x14ac:dyDescent="0.3">
      <c r="A1288" t="s">
        <v>189</v>
      </c>
      <c r="B1288" t="s">
        <v>535</v>
      </c>
      <c r="C1288" t="s">
        <v>1297</v>
      </c>
      <c r="D1288">
        <f t="shared" si="20"/>
        <v>1</v>
      </c>
      <c r="E1288" t="s">
        <v>19</v>
      </c>
      <c r="F1288" t="s">
        <v>2156</v>
      </c>
      <c r="G1288" t="s">
        <v>326</v>
      </c>
      <c r="N1288" s="107"/>
    </row>
    <row r="1289" spans="1:14" x14ac:dyDescent="0.3">
      <c r="A1289" t="s">
        <v>189</v>
      </c>
      <c r="B1289" t="s">
        <v>565</v>
      </c>
      <c r="C1289" t="s">
        <v>1370</v>
      </c>
      <c r="D1289">
        <f t="shared" si="20"/>
        <v>1</v>
      </c>
      <c r="E1289" t="s">
        <v>19</v>
      </c>
      <c r="F1289" t="s">
        <v>2311</v>
      </c>
      <c r="G1289" t="s">
        <v>326</v>
      </c>
      <c r="N1289" s="107"/>
    </row>
    <row r="1290" spans="1:14" x14ac:dyDescent="0.3">
      <c r="A1290" t="s">
        <v>189</v>
      </c>
      <c r="B1290" t="s">
        <v>558</v>
      </c>
      <c r="C1290" t="s">
        <v>1370</v>
      </c>
      <c r="D1290">
        <f t="shared" si="20"/>
        <v>1</v>
      </c>
      <c r="E1290" t="s">
        <v>19</v>
      </c>
      <c r="F1290" t="s">
        <v>2312</v>
      </c>
      <c r="G1290" t="s">
        <v>326</v>
      </c>
      <c r="N1290" s="107"/>
    </row>
    <row r="1291" spans="1:14" x14ac:dyDescent="0.3">
      <c r="A1291" t="s">
        <v>189</v>
      </c>
      <c r="B1291" t="s">
        <v>558</v>
      </c>
      <c r="C1291" t="s">
        <v>1383</v>
      </c>
      <c r="D1291">
        <f t="shared" si="20"/>
        <v>1</v>
      </c>
      <c r="E1291" t="s">
        <v>19</v>
      </c>
      <c r="F1291" t="s">
        <v>2337</v>
      </c>
      <c r="G1291" t="s">
        <v>326</v>
      </c>
      <c r="N1291" s="107"/>
    </row>
    <row r="1292" spans="1:14" x14ac:dyDescent="0.3">
      <c r="A1292" t="s">
        <v>189</v>
      </c>
      <c r="B1292" t="s">
        <v>565</v>
      </c>
      <c r="C1292" t="s">
        <v>1395</v>
      </c>
      <c r="D1292">
        <f t="shared" si="20"/>
        <v>1</v>
      </c>
      <c r="E1292" t="s">
        <v>19</v>
      </c>
      <c r="F1292" t="s">
        <v>2360</v>
      </c>
      <c r="G1292" t="s">
        <v>326</v>
      </c>
      <c r="N1292" s="107"/>
    </row>
    <row r="1293" spans="1:14" x14ac:dyDescent="0.3">
      <c r="A1293" t="s">
        <v>189</v>
      </c>
      <c r="B1293" t="s">
        <v>676</v>
      </c>
      <c r="C1293" t="s">
        <v>1396</v>
      </c>
      <c r="D1293">
        <f t="shared" si="20"/>
        <v>1</v>
      </c>
      <c r="E1293" t="s">
        <v>19</v>
      </c>
      <c r="F1293" t="s">
        <v>2361</v>
      </c>
      <c r="G1293" t="s">
        <v>326</v>
      </c>
      <c r="N1293" s="107"/>
    </row>
    <row r="1294" spans="1:14" x14ac:dyDescent="0.3">
      <c r="A1294" t="s">
        <v>189</v>
      </c>
      <c r="B1294" t="s">
        <v>558</v>
      </c>
      <c r="C1294" t="s">
        <v>1396</v>
      </c>
      <c r="D1294">
        <f t="shared" si="20"/>
        <v>1</v>
      </c>
      <c r="E1294" t="s">
        <v>19</v>
      </c>
      <c r="F1294" t="s">
        <v>2363</v>
      </c>
      <c r="G1294" t="s">
        <v>326</v>
      </c>
      <c r="N1294" s="107"/>
    </row>
    <row r="1295" spans="1:14" x14ac:dyDescent="0.3">
      <c r="A1295" t="s">
        <v>189</v>
      </c>
      <c r="B1295" t="s">
        <v>558</v>
      </c>
      <c r="C1295" t="s">
        <v>1396</v>
      </c>
      <c r="D1295">
        <f t="shared" si="20"/>
        <v>1</v>
      </c>
      <c r="E1295" t="s">
        <v>19</v>
      </c>
      <c r="F1295" t="s">
        <v>2364</v>
      </c>
      <c r="G1295" t="s">
        <v>326</v>
      </c>
      <c r="N1295" s="107"/>
    </row>
    <row r="1296" spans="1:14" x14ac:dyDescent="0.3">
      <c r="A1296" t="s">
        <v>189</v>
      </c>
      <c r="B1296" t="s">
        <v>652</v>
      </c>
      <c r="C1296" t="s">
        <v>1396</v>
      </c>
      <c r="D1296">
        <f t="shared" si="20"/>
        <v>1</v>
      </c>
      <c r="E1296" t="s">
        <v>19</v>
      </c>
      <c r="F1296" t="s">
        <v>2370</v>
      </c>
      <c r="G1296" t="s">
        <v>326</v>
      </c>
      <c r="N1296" s="107"/>
    </row>
    <row r="1297" spans="1:14" x14ac:dyDescent="0.3">
      <c r="A1297" t="s">
        <v>189</v>
      </c>
      <c r="B1297" t="s">
        <v>652</v>
      </c>
      <c r="C1297" t="s">
        <v>1396</v>
      </c>
      <c r="D1297">
        <f t="shared" si="20"/>
        <v>1</v>
      </c>
      <c r="E1297" t="s">
        <v>19</v>
      </c>
      <c r="F1297" t="s">
        <v>2371</v>
      </c>
      <c r="G1297" t="s">
        <v>326</v>
      </c>
      <c r="N1297" s="107"/>
    </row>
    <row r="1298" spans="1:14" x14ac:dyDescent="0.3">
      <c r="A1298" t="s">
        <v>189</v>
      </c>
      <c r="B1298" t="s">
        <v>956</v>
      </c>
      <c r="C1298" t="s">
        <v>1396</v>
      </c>
      <c r="D1298">
        <f t="shared" si="20"/>
        <v>1</v>
      </c>
      <c r="E1298" t="s">
        <v>19</v>
      </c>
      <c r="F1298" t="s">
        <v>2385</v>
      </c>
      <c r="G1298" t="s">
        <v>326</v>
      </c>
      <c r="N1298" s="107"/>
    </row>
    <row r="1299" spans="1:14" x14ac:dyDescent="0.3">
      <c r="A1299" t="s">
        <v>189</v>
      </c>
      <c r="B1299" t="s">
        <v>565</v>
      </c>
      <c r="C1299" t="s">
        <v>1399</v>
      </c>
      <c r="D1299">
        <f t="shared" si="20"/>
        <v>1</v>
      </c>
      <c r="E1299" t="s">
        <v>19</v>
      </c>
      <c r="F1299" t="s">
        <v>1399</v>
      </c>
      <c r="G1299" t="s">
        <v>326</v>
      </c>
      <c r="N1299" s="107"/>
    </row>
    <row r="1300" spans="1:14" x14ac:dyDescent="0.3">
      <c r="A1300" t="s">
        <v>189</v>
      </c>
      <c r="B1300" t="s">
        <v>565</v>
      </c>
      <c r="C1300" t="s">
        <v>1442</v>
      </c>
      <c r="D1300">
        <f t="shared" si="20"/>
        <v>1</v>
      </c>
      <c r="E1300" t="s">
        <v>19</v>
      </c>
      <c r="F1300" t="s">
        <v>1442</v>
      </c>
      <c r="G1300" t="s">
        <v>326</v>
      </c>
      <c r="N1300" s="107"/>
    </row>
    <row r="1301" spans="1:14" x14ac:dyDescent="0.3">
      <c r="A1301" t="s">
        <v>189</v>
      </c>
      <c r="B1301" t="s">
        <v>558</v>
      </c>
      <c r="C1301" t="s">
        <v>1456</v>
      </c>
      <c r="D1301">
        <f t="shared" si="20"/>
        <v>1</v>
      </c>
      <c r="E1301" t="s">
        <v>19</v>
      </c>
      <c r="F1301" t="s">
        <v>1456</v>
      </c>
      <c r="G1301" t="s">
        <v>326</v>
      </c>
      <c r="N1301" s="107"/>
    </row>
    <row r="1302" spans="1:14" x14ac:dyDescent="0.3">
      <c r="A1302" t="s">
        <v>189</v>
      </c>
      <c r="B1302" t="s">
        <v>565</v>
      </c>
      <c r="C1302" t="s">
        <v>1465</v>
      </c>
      <c r="D1302">
        <f t="shared" si="20"/>
        <v>1</v>
      </c>
      <c r="E1302" t="s">
        <v>19</v>
      </c>
      <c r="F1302" t="s">
        <v>2650</v>
      </c>
      <c r="G1302" t="s">
        <v>326</v>
      </c>
      <c r="N1302" s="107"/>
    </row>
    <row r="1303" spans="1:14" x14ac:dyDescent="0.3">
      <c r="A1303" t="s">
        <v>189</v>
      </c>
      <c r="B1303" t="s">
        <v>712</v>
      </c>
      <c r="C1303" t="s">
        <v>1465</v>
      </c>
      <c r="D1303">
        <f t="shared" si="20"/>
        <v>1</v>
      </c>
      <c r="E1303" t="s">
        <v>19</v>
      </c>
      <c r="F1303" t="s">
        <v>2651</v>
      </c>
      <c r="G1303" t="s">
        <v>326</v>
      </c>
      <c r="N1303" s="107"/>
    </row>
    <row r="1304" spans="1:14" x14ac:dyDescent="0.3">
      <c r="A1304" t="s">
        <v>189</v>
      </c>
      <c r="B1304" t="s">
        <v>558</v>
      </c>
      <c r="C1304" t="s">
        <v>1465</v>
      </c>
      <c r="D1304">
        <f t="shared" si="20"/>
        <v>1</v>
      </c>
      <c r="E1304" t="s">
        <v>19</v>
      </c>
      <c r="F1304" t="s">
        <v>2652</v>
      </c>
      <c r="G1304" t="s">
        <v>326</v>
      </c>
      <c r="N1304" s="107"/>
    </row>
    <row r="1305" spans="1:14" x14ac:dyDescent="0.3">
      <c r="A1305" t="s">
        <v>189</v>
      </c>
      <c r="B1305" t="s">
        <v>1080</v>
      </c>
      <c r="C1305" t="s">
        <v>1473</v>
      </c>
      <c r="D1305">
        <f t="shared" si="20"/>
        <v>1</v>
      </c>
      <c r="E1305" t="s">
        <v>19</v>
      </c>
      <c r="F1305" t="s">
        <v>1473</v>
      </c>
      <c r="G1305" t="s">
        <v>326</v>
      </c>
      <c r="N1305" s="107"/>
    </row>
    <row r="1306" spans="1:14" x14ac:dyDescent="0.3">
      <c r="A1306" t="s">
        <v>189</v>
      </c>
      <c r="B1306" t="s">
        <v>712</v>
      </c>
      <c r="C1306" t="s">
        <v>1487</v>
      </c>
      <c r="D1306">
        <f t="shared" si="20"/>
        <v>1</v>
      </c>
      <c r="E1306" t="s">
        <v>19</v>
      </c>
      <c r="F1306" t="s">
        <v>2718</v>
      </c>
      <c r="G1306" t="s">
        <v>326</v>
      </c>
      <c r="N1306" s="107"/>
    </row>
    <row r="1307" spans="1:14" x14ac:dyDescent="0.3">
      <c r="A1307" t="s">
        <v>189</v>
      </c>
      <c r="B1307" t="s">
        <v>558</v>
      </c>
      <c r="C1307" t="s">
        <v>1487</v>
      </c>
      <c r="D1307">
        <f t="shared" si="20"/>
        <v>1</v>
      </c>
      <c r="E1307" t="s">
        <v>19</v>
      </c>
      <c r="F1307" t="s">
        <v>2725</v>
      </c>
      <c r="G1307" t="s">
        <v>326</v>
      </c>
      <c r="N1307" s="107"/>
    </row>
    <row r="1308" spans="1:14" x14ac:dyDescent="0.3">
      <c r="A1308" t="s">
        <v>189</v>
      </c>
      <c r="B1308" t="s">
        <v>535</v>
      </c>
      <c r="C1308" t="s">
        <v>1513</v>
      </c>
      <c r="D1308">
        <f t="shared" si="20"/>
        <v>1</v>
      </c>
      <c r="E1308" t="s">
        <v>19</v>
      </c>
      <c r="F1308" t="s">
        <v>2790</v>
      </c>
      <c r="G1308" t="s">
        <v>326</v>
      </c>
      <c r="N1308" s="107"/>
    </row>
    <row r="1309" spans="1:14" x14ac:dyDescent="0.3">
      <c r="A1309" t="s">
        <v>189</v>
      </c>
      <c r="B1309" t="s">
        <v>1117</v>
      </c>
      <c r="C1309" t="s">
        <v>1513</v>
      </c>
      <c r="D1309">
        <f t="shared" si="20"/>
        <v>1</v>
      </c>
      <c r="E1309" t="s">
        <v>19</v>
      </c>
      <c r="F1309" t="s">
        <v>2791</v>
      </c>
      <c r="G1309" t="s">
        <v>326</v>
      </c>
      <c r="N1309" s="107"/>
    </row>
    <row r="1310" spans="1:14" x14ac:dyDescent="0.3">
      <c r="A1310" t="s">
        <v>189</v>
      </c>
      <c r="B1310" t="s">
        <v>1117</v>
      </c>
      <c r="C1310" t="s">
        <v>1513</v>
      </c>
      <c r="D1310">
        <f t="shared" si="20"/>
        <v>1</v>
      </c>
      <c r="E1310" t="s">
        <v>19</v>
      </c>
      <c r="F1310" t="s">
        <v>2792</v>
      </c>
      <c r="G1310" t="s">
        <v>326</v>
      </c>
      <c r="N1310" s="107"/>
    </row>
    <row r="1311" spans="1:14" x14ac:dyDescent="0.3">
      <c r="A1311" t="s">
        <v>189</v>
      </c>
      <c r="B1311" t="s">
        <v>558</v>
      </c>
      <c r="C1311" t="s">
        <v>1513</v>
      </c>
      <c r="D1311">
        <f t="shared" si="20"/>
        <v>1</v>
      </c>
      <c r="E1311" t="s">
        <v>19</v>
      </c>
      <c r="F1311" t="s">
        <v>2793</v>
      </c>
      <c r="G1311" t="s">
        <v>326</v>
      </c>
      <c r="N1311" s="107"/>
    </row>
    <row r="1312" spans="1:14" x14ac:dyDescent="0.3">
      <c r="A1312" t="s">
        <v>189</v>
      </c>
      <c r="B1312" t="s">
        <v>712</v>
      </c>
      <c r="C1312" t="s">
        <v>1513</v>
      </c>
      <c r="D1312">
        <f t="shared" si="20"/>
        <v>1</v>
      </c>
      <c r="E1312" t="s">
        <v>19</v>
      </c>
      <c r="F1312" t="s">
        <v>2797</v>
      </c>
      <c r="G1312" t="s">
        <v>326</v>
      </c>
      <c r="N1312" s="107"/>
    </row>
    <row r="1313" spans="1:14" x14ac:dyDescent="0.3">
      <c r="A1313" t="s">
        <v>189</v>
      </c>
      <c r="B1313" t="s">
        <v>558</v>
      </c>
      <c r="C1313" t="s">
        <v>1513</v>
      </c>
      <c r="D1313">
        <f t="shared" si="20"/>
        <v>1</v>
      </c>
      <c r="E1313" t="s">
        <v>19</v>
      </c>
      <c r="F1313" t="s">
        <v>2798</v>
      </c>
      <c r="G1313" t="s">
        <v>326</v>
      </c>
      <c r="N1313" s="107"/>
    </row>
    <row r="1314" spans="1:14" x14ac:dyDescent="0.3">
      <c r="A1314" t="s">
        <v>189</v>
      </c>
      <c r="B1314" t="s">
        <v>599</v>
      </c>
      <c r="C1314" t="s">
        <v>1542</v>
      </c>
      <c r="D1314">
        <f t="shared" si="20"/>
        <v>1</v>
      </c>
      <c r="E1314" t="s">
        <v>19</v>
      </c>
      <c r="F1314" t="s">
        <v>1542</v>
      </c>
      <c r="G1314" t="s">
        <v>326</v>
      </c>
      <c r="N1314" s="107"/>
    </row>
    <row r="1315" spans="1:14" x14ac:dyDescent="0.3">
      <c r="A1315" t="s">
        <v>190</v>
      </c>
      <c r="B1315" t="s">
        <v>560</v>
      </c>
      <c r="C1315" t="s">
        <v>1165</v>
      </c>
      <c r="D1315">
        <f t="shared" si="20"/>
        <v>1</v>
      </c>
      <c r="E1315" t="s">
        <v>19</v>
      </c>
      <c r="F1315" t="s">
        <v>1165</v>
      </c>
      <c r="G1315" t="s">
        <v>326</v>
      </c>
      <c r="N1315" s="107"/>
    </row>
    <row r="1316" spans="1:14" x14ac:dyDescent="0.3">
      <c r="A1316" t="s">
        <v>190</v>
      </c>
      <c r="B1316" t="s">
        <v>595</v>
      </c>
      <c r="C1316" t="s">
        <v>1175</v>
      </c>
      <c r="D1316">
        <f t="shared" si="20"/>
        <v>1</v>
      </c>
      <c r="E1316" t="s">
        <v>19</v>
      </c>
      <c r="F1316" t="s">
        <v>1783</v>
      </c>
      <c r="G1316" t="s">
        <v>326</v>
      </c>
      <c r="N1316" s="107"/>
    </row>
    <row r="1317" spans="1:14" x14ac:dyDescent="0.3">
      <c r="A1317" t="s">
        <v>190</v>
      </c>
      <c r="B1317" t="s">
        <v>536</v>
      </c>
      <c r="C1317" t="s">
        <v>1178</v>
      </c>
      <c r="D1317">
        <f t="shared" si="20"/>
        <v>1</v>
      </c>
      <c r="E1317" t="s">
        <v>19</v>
      </c>
      <c r="F1317" t="s">
        <v>1178</v>
      </c>
      <c r="G1317" t="s">
        <v>326</v>
      </c>
      <c r="N1317" s="107"/>
    </row>
    <row r="1318" spans="1:14" x14ac:dyDescent="0.3">
      <c r="A1318" t="s">
        <v>190</v>
      </c>
      <c r="B1318" t="s">
        <v>536</v>
      </c>
      <c r="C1318" t="s">
        <v>1175</v>
      </c>
      <c r="D1318">
        <f t="shared" si="20"/>
        <v>1</v>
      </c>
      <c r="E1318" t="s">
        <v>19</v>
      </c>
      <c r="F1318" t="s">
        <v>1784</v>
      </c>
      <c r="G1318" t="s">
        <v>326</v>
      </c>
      <c r="N1318" s="107"/>
    </row>
    <row r="1319" spans="1:14" x14ac:dyDescent="0.3">
      <c r="A1319" t="s">
        <v>190</v>
      </c>
      <c r="B1319" t="s">
        <v>538</v>
      </c>
      <c r="C1319" t="s">
        <v>1189</v>
      </c>
      <c r="D1319">
        <f t="shared" si="20"/>
        <v>1</v>
      </c>
      <c r="E1319" t="s">
        <v>19</v>
      </c>
      <c r="F1319" t="s">
        <v>1848</v>
      </c>
      <c r="G1319" t="s">
        <v>326</v>
      </c>
      <c r="N1319" s="107"/>
    </row>
    <row r="1320" spans="1:14" x14ac:dyDescent="0.3">
      <c r="A1320" t="s">
        <v>190</v>
      </c>
      <c r="B1320" t="s">
        <v>643</v>
      </c>
      <c r="C1320" t="s">
        <v>1190</v>
      </c>
      <c r="D1320">
        <f t="shared" si="20"/>
        <v>1</v>
      </c>
      <c r="E1320" t="s">
        <v>19</v>
      </c>
      <c r="F1320" t="s">
        <v>1190</v>
      </c>
      <c r="G1320" t="s">
        <v>326</v>
      </c>
      <c r="N1320" s="107"/>
    </row>
    <row r="1321" spans="1:14" x14ac:dyDescent="0.3">
      <c r="A1321" t="s">
        <v>190</v>
      </c>
      <c r="B1321" t="s">
        <v>536</v>
      </c>
      <c r="C1321" t="s">
        <v>1255</v>
      </c>
      <c r="D1321">
        <f t="shared" si="20"/>
        <v>1</v>
      </c>
      <c r="E1321" t="s">
        <v>19</v>
      </c>
      <c r="F1321" t="s">
        <v>2035</v>
      </c>
      <c r="G1321" t="s">
        <v>326</v>
      </c>
      <c r="N1321" s="107"/>
    </row>
    <row r="1322" spans="1:14" x14ac:dyDescent="0.3">
      <c r="A1322" t="s">
        <v>190</v>
      </c>
      <c r="B1322" t="s">
        <v>643</v>
      </c>
      <c r="C1322" t="s">
        <v>1255</v>
      </c>
      <c r="D1322">
        <f t="shared" si="20"/>
        <v>1</v>
      </c>
      <c r="E1322" t="s">
        <v>19</v>
      </c>
      <c r="F1322" t="s">
        <v>2058</v>
      </c>
      <c r="G1322" t="s">
        <v>326</v>
      </c>
      <c r="N1322" s="107"/>
    </row>
    <row r="1323" spans="1:14" x14ac:dyDescent="0.3">
      <c r="A1323" t="s">
        <v>190</v>
      </c>
      <c r="B1323" t="s">
        <v>766</v>
      </c>
      <c r="C1323" t="s">
        <v>1255</v>
      </c>
      <c r="D1323">
        <f t="shared" si="20"/>
        <v>1</v>
      </c>
      <c r="E1323" t="s">
        <v>19</v>
      </c>
      <c r="F1323" t="s">
        <v>2059</v>
      </c>
      <c r="G1323" t="s">
        <v>326</v>
      </c>
      <c r="N1323" s="107"/>
    </row>
    <row r="1324" spans="1:14" x14ac:dyDescent="0.3">
      <c r="A1324" t="s">
        <v>190</v>
      </c>
      <c r="B1324" t="s">
        <v>536</v>
      </c>
      <c r="C1324" t="s">
        <v>1353</v>
      </c>
      <c r="D1324">
        <f t="shared" si="20"/>
        <v>1</v>
      </c>
      <c r="E1324" t="s">
        <v>19</v>
      </c>
      <c r="F1324" t="s">
        <v>2292</v>
      </c>
      <c r="G1324" t="s">
        <v>326</v>
      </c>
      <c r="N1324" s="107"/>
    </row>
    <row r="1325" spans="1:14" x14ac:dyDescent="0.3">
      <c r="A1325" t="s">
        <v>190</v>
      </c>
      <c r="B1325" t="s">
        <v>538</v>
      </c>
      <c r="C1325" t="s">
        <v>1387</v>
      </c>
      <c r="D1325">
        <f t="shared" si="20"/>
        <v>1</v>
      </c>
      <c r="E1325" t="s">
        <v>19</v>
      </c>
      <c r="F1325" t="s">
        <v>1387</v>
      </c>
      <c r="G1325" t="s">
        <v>326</v>
      </c>
      <c r="N1325" s="107"/>
    </row>
    <row r="1326" spans="1:14" x14ac:dyDescent="0.3">
      <c r="A1326" t="s">
        <v>190</v>
      </c>
      <c r="B1326" t="s">
        <v>1015</v>
      </c>
      <c r="C1326" t="s">
        <v>1419</v>
      </c>
      <c r="D1326">
        <f t="shared" si="20"/>
        <v>1</v>
      </c>
      <c r="E1326" t="s">
        <v>19</v>
      </c>
      <c r="F1326" t="s">
        <v>2520</v>
      </c>
      <c r="G1326" t="s">
        <v>326</v>
      </c>
      <c r="N1326" s="107"/>
    </row>
    <row r="1327" spans="1:14" x14ac:dyDescent="0.3">
      <c r="A1327" t="s">
        <v>190</v>
      </c>
      <c r="B1327" t="s">
        <v>1016</v>
      </c>
      <c r="C1327" t="s">
        <v>1420</v>
      </c>
      <c r="D1327">
        <f t="shared" si="20"/>
        <v>1</v>
      </c>
      <c r="E1327" t="s">
        <v>19</v>
      </c>
      <c r="F1327" t="s">
        <v>2524</v>
      </c>
      <c r="G1327" t="s">
        <v>326</v>
      </c>
      <c r="N1327" s="107"/>
    </row>
    <row r="1328" spans="1:14" x14ac:dyDescent="0.3">
      <c r="A1328" t="s">
        <v>190</v>
      </c>
      <c r="B1328" t="s">
        <v>595</v>
      </c>
      <c r="C1328" t="s">
        <v>1420</v>
      </c>
      <c r="D1328">
        <f t="shared" si="20"/>
        <v>1</v>
      </c>
      <c r="E1328" t="s">
        <v>19</v>
      </c>
      <c r="F1328" t="s">
        <v>2532</v>
      </c>
      <c r="G1328" t="s">
        <v>326</v>
      </c>
      <c r="N1328" s="107"/>
    </row>
    <row r="1329" spans="1:14" x14ac:dyDescent="0.3">
      <c r="A1329" t="s">
        <v>190</v>
      </c>
      <c r="B1329" t="s">
        <v>643</v>
      </c>
      <c r="C1329" t="s">
        <v>1447</v>
      </c>
      <c r="D1329">
        <f t="shared" si="20"/>
        <v>1</v>
      </c>
      <c r="E1329" t="s">
        <v>19</v>
      </c>
      <c r="F1329" t="s">
        <v>2615</v>
      </c>
      <c r="G1329" t="s">
        <v>326</v>
      </c>
      <c r="N1329" s="107"/>
    </row>
    <row r="1330" spans="1:14" x14ac:dyDescent="0.3">
      <c r="A1330" t="s">
        <v>190</v>
      </c>
      <c r="B1330" t="s">
        <v>1016</v>
      </c>
      <c r="C1330" t="s">
        <v>1447</v>
      </c>
      <c r="D1330">
        <f t="shared" si="20"/>
        <v>1</v>
      </c>
      <c r="E1330" t="s">
        <v>19</v>
      </c>
      <c r="F1330" t="s">
        <v>2616</v>
      </c>
      <c r="G1330" t="s">
        <v>326</v>
      </c>
      <c r="N1330" s="107"/>
    </row>
    <row r="1331" spans="1:14" x14ac:dyDescent="0.3">
      <c r="A1331" t="s">
        <v>190</v>
      </c>
      <c r="B1331" t="s">
        <v>1068</v>
      </c>
      <c r="C1331" t="s">
        <v>1455</v>
      </c>
      <c r="D1331">
        <f t="shared" si="20"/>
        <v>1</v>
      </c>
      <c r="E1331" t="s">
        <v>19</v>
      </c>
      <c r="F1331" t="s">
        <v>2638</v>
      </c>
      <c r="G1331" t="s">
        <v>326</v>
      </c>
      <c r="N1331" s="107"/>
    </row>
    <row r="1332" spans="1:14" x14ac:dyDescent="0.3">
      <c r="A1332" t="s">
        <v>190</v>
      </c>
      <c r="B1332" t="s">
        <v>536</v>
      </c>
      <c r="C1332" t="s">
        <v>1455</v>
      </c>
      <c r="D1332">
        <f t="shared" si="20"/>
        <v>1</v>
      </c>
      <c r="E1332" t="s">
        <v>19</v>
      </c>
      <c r="F1332" t="s">
        <v>2639</v>
      </c>
      <c r="G1332" t="s">
        <v>326</v>
      </c>
      <c r="N1332" s="107"/>
    </row>
    <row r="1333" spans="1:14" x14ac:dyDescent="0.3">
      <c r="A1333" t="s">
        <v>190</v>
      </c>
      <c r="B1333" t="s">
        <v>1072</v>
      </c>
      <c r="C1333" t="s">
        <v>1464</v>
      </c>
      <c r="D1333">
        <f t="shared" si="20"/>
        <v>1</v>
      </c>
      <c r="E1333" t="s">
        <v>19</v>
      </c>
      <c r="F1333" t="s">
        <v>1464</v>
      </c>
      <c r="G1333" t="s">
        <v>326</v>
      </c>
      <c r="N1333" s="107"/>
    </row>
    <row r="1334" spans="1:14" x14ac:dyDescent="0.3">
      <c r="A1334" t="s">
        <v>190</v>
      </c>
      <c r="B1334" t="s">
        <v>538</v>
      </c>
      <c r="C1334" t="s">
        <v>1482</v>
      </c>
      <c r="D1334">
        <f t="shared" si="20"/>
        <v>1</v>
      </c>
      <c r="E1334" t="s">
        <v>19</v>
      </c>
      <c r="F1334" t="s">
        <v>2701</v>
      </c>
      <c r="G1334" t="s">
        <v>326</v>
      </c>
      <c r="N1334" s="107"/>
    </row>
    <row r="1335" spans="1:14" x14ac:dyDescent="0.3">
      <c r="A1335" t="s">
        <v>190</v>
      </c>
      <c r="B1335" t="s">
        <v>595</v>
      </c>
      <c r="C1335" t="s">
        <v>1509</v>
      </c>
      <c r="D1335">
        <f t="shared" si="20"/>
        <v>1</v>
      </c>
      <c r="E1335" t="s">
        <v>19</v>
      </c>
      <c r="F1335" t="s">
        <v>2755</v>
      </c>
      <c r="G1335" t="s">
        <v>326</v>
      </c>
      <c r="N1335" s="107"/>
    </row>
    <row r="1336" spans="1:14" x14ac:dyDescent="0.3">
      <c r="A1336" t="s">
        <v>190</v>
      </c>
      <c r="B1336" t="s">
        <v>1016</v>
      </c>
      <c r="C1336" t="s">
        <v>1509</v>
      </c>
      <c r="D1336">
        <f t="shared" si="20"/>
        <v>1</v>
      </c>
      <c r="E1336" t="s">
        <v>19</v>
      </c>
      <c r="F1336" t="s">
        <v>2757</v>
      </c>
      <c r="G1336" t="s">
        <v>326</v>
      </c>
      <c r="N1336" s="107"/>
    </row>
    <row r="1337" spans="1:14" x14ac:dyDescent="0.3">
      <c r="A1337" t="s">
        <v>191</v>
      </c>
      <c r="B1337" t="s">
        <v>571</v>
      </c>
      <c r="C1337" t="s">
        <v>1168</v>
      </c>
      <c r="D1337">
        <f t="shared" si="20"/>
        <v>1</v>
      </c>
      <c r="E1337" t="s">
        <v>19</v>
      </c>
      <c r="F1337" t="s">
        <v>1752</v>
      </c>
      <c r="G1337" t="s">
        <v>326</v>
      </c>
      <c r="N1337" s="107"/>
    </row>
    <row r="1338" spans="1:14" x14ac:dyDescent="0.3">
      <c r="A1338" t="s">
        <v>191</v>
      </c>
      <c r="B1338" t="s">
        <v>575</v>
      </c>
      <c r="C1338" t="s">
        <v>1174</v>
      </c>
      <c r="D1338">
        <f t="shared" si="20"/>
        <v>1</v>
      </c>
      <c r="E1338" t="s">
        <v>19</v>
      </c>
      <c r="F1338" t="s">
        <v>1174</v>
      </c>
      <c r="G1338" t="s">
        <v>326</v>
      </c>
      <c r="N1338" s="107"/>
    </row>
    <row r="1339" spans="1:14" x14ac:dyDescent="0.3">
      <c r="A1339" t="s">
        <v>191</v>
      </c>
      <c r="B1339" t="s">
        <v>651</v>
      </c>
      <c r="C1339" t="s">
        <v>1202</v>
      </c>
      <c r="D1339">
        <f t="shared" si="20"/>
        <v>1</v>
      </c>
      <c r="E1339" t="s">
        <v>19</v>
      </c>
      <c r="F1339" t="s">
        <v>1202</v>
      </c>
      <c r="G1339" t="s">
        <v>326</v>
      </c>
      <c r="N1339" s="107"/>
    </row>
    <row r="1340" spans="1:14" x14ac:dyDescent="0.3">
      <c r="A1340" t="s">
        <v>191</v>
      </c>
      <c r="B1340" t="s">
        <v>823</v>
      </c>
      <c r="C1340" t="s">
        <v>1297</v>
      </c>
      <c r="D1340">
        <f t="shared" si="20"/>
        <v>1</v>
      </c>
      <c r="E1340" t="s">
        <v>19</v>
      </c>
      <c r="F1340" t="s">
        <v>2164</v>
      </c>
      <c r="G1340" t="s">
        <v>326</v>
      </c>
      <c r="N1340" s="107"/>
    </row>
    <row r="1341" spans="1:14" x14ac:dyDescent="0.3">
      <c r="A1341" t="s">
        <v>191</v>
      </c>
      <c r="B1341" t="s">
        <v>898</v>
      </c>
      <c r="C1341" t="s">
        <v>1334</v>
      </c>
      <c r="D1341">
        <f t="shared" si="20"/>
        <v>1</v>
      </c>
      <c r="E1341" t="s">
        <v>19</v>
      </c>
      <c r="F1341" t="s">
        <v>2256</v>
      </c>
      <c r="G1341" t="s">
        <v>326</v>
      </c>
      <c r="N1341" s="107"/>
    </row>
    <row r="1342" spans="1:14" x14ac:dyDescent="0.3">
      <c r="A1342" t="s">
        <v>191</v>
      </c>
      <c r="B1342" t="s">
        <v>782</v>
      </c>
      <c r="C1342" t="s">
        <v>1334</v>
      </c>
      <c r="D1342">
        <f t="shared" si="20"/>
        <v>1</v>
      </c>
      <c r="E1342" t="s">
        <v>19</v>
      </c>
      <c r="F1342" t="s">
        <v>2257</v>
      </c>
      <c r="G1342" t="s">
        <v>326</v>
      </c>
      <c r="N1342" s="107"/>
    </row>
    <row r="1343" spans="1:14" x14ac:dyDescent="0.3">
      <c r="A1343" t="s">
        <v>191</v>
      </c>
      <c r="B1343" t="s">
        <v>521</v>
      </c>
      <c r="C1343" t="s">
        <v>1418</v>
      </c>
      <c r="D1343">
        <f t="shared" si="20"/>
        <v>1</v>
      </c>
      <c r="E1343" t="s">
        <v>19</v>
      </c>
      <c r="F1343" t="s">
        <v>2500</v>
      </c>
      <c r="G1343" t="s">
        <v>326</v>
      </c>
      <c r="N1343" s="107"/>
    </row>
    <row r="1344" spans="1:14" x14ac:dyDescent="0.3">
      <c r="A1344" t="s">
        <v>191</v>
      </c>
      <c r="B1344" t="s">
        <v>1087</v>
      </c>
      <c r="C1344" t="s">
        <v>1483</v>
      </c>
      <c r="D1344">
        <f t="shared" si="20"/>
        <v>1</v>
      </c>
      <c r="E1344" t="s">
        <v>19</v>
      </c>
      <c r="F1344" t="s">
        <v>2699</v>
      </c>
      <c r="G1344" t="s">
        <v>326</v>
      </c>
      <c r="N1344" s="107"/>
    </row>
    <row r="1345" spans="1:14" x14ac:dyDescent="0.3">
      <c r="A1345" t="s">
        <v>192</v>
      </c>
      <c r="B1345" t="s">
        <v>605</v>
      </c>
      <c r="C1345" t="s">
        <v>1182</v>
      </c>
      <c r="D1345">
        <f t="shared" si="20"/>
        <v>1</v>
      </c>
      <c r="E1345" t="s">
        <v>19</v>
      </c>
      <c r="F1345" t="s">
        <v>1801</v>
      </c>
      <c r="G1345" t="s">
        <v>326</v>
      </c>
      <c r="N1345" s="107"/>
    </row>
    <row r="1346" spans="1:14" x14ac:dyDescent="0.3">
      <c r="A1346" t="s">
        <v>192</v>
      </c>
      <c r="B1346" t="s">
        <v>539</v>
      </c>
      <c r="C1346" t="s">
        <v>1182</v>
      </c>
      <c r="D1346">
        <f t="shared" ref="D1346:D1385" si="21">SIGN(SUBTOTAL(3,E1346))</f>
        <v>1</v>
      </c>
      <c r="E1346" t="s">
        <v>19</v>
      </c>
      <c r="F1346" t="s">
        <v>1802</v>
      </c>
      <c r="G1346" t="s">
        <v>326</v>
      </c>
      <c r="N1346" s="107"/>
    </row>
    <row r="1347" spans="1:14" x14ac:dyDescent="0.3">
      <c r="A1347" t="s">
        <v>192</v>
      </c>
      <c r="B1347" t="s">
        <v>606</v>
      </c>
      <c r="C1347" t="s">
        <v>1182</v>
      </c>
      <c r="D1347">
        <f t="shared" si="21"/>
        <v>1</v>
      </c>
      <c r="E1347" t="s">
        <v>19</v>
      </c>
      <c r="F1347" t="s">
        <v>1803</v>
      </c>
      <c r="G1347" t="s">
        <v>326</v>
      </c>
      <c r="N1347" s="107"/>
    </row>
    <row r="1348" spans="1:14" x14ac:dyDescent="0.3">
      <c r="A1348" t="s">
        <v>192</v>
      </c>
      <c r="B1348" t="s">
        <v>607</v>
      </c>
      <c r="C1348" t="s">
        <v>1182</v>
      </c>
      <c r="D1348">
        <f t="shared" si="21"/>
        <v>1</v>
      </c>
      <c r="E1348" t="s">
        <v>19</v>
      </c>
      <c r="F1348" t="s">
        <v>1804</v>
      </c>
      <c r="G1348" t="s">
        <v>326</v>
      </c>
      <c r="N1348" s="107"/>
    </row>
    <row r="1349" spans="1:14" x14ac:dyDescent="0.3">
      <c r="A1349" t="s">
        <v>192</v>
      </c>
      <c r="B1349" t="s">
        <v>618</v>
      </c>
      <c r="C1349" t="s">
        <v>1183</v>
      </c>
      <c r="D1349">
        <f t="shared" si="21"/>
        <v>1</v>
      </c>
      <c r="E1349" t="s">
        <v>19</v>
      </c>
      <c r="F1349" t="s">
        <v>1818</v>
      </c>
      <c r="G1349" t="s">
        <v>326</v>
      </c>
      <c r="N1349" s="107"/>
    </row>
    <row r="1350" spans="1:14" x14ac:dyDescent="0.3">
      <c r="A1350" t="s">
        <v>192</v>
      </c>
      <c r="B1350" t="s">
        <v>619</v>
      </c>
      <c r="C1350" t="s">
        <v>1183</v>
      </c>
      <c r="D1350">
        <f t="shared" si="21"/>
        <v>1</v>
      </c>
      <c r="E1350" t="s">
        <v>19</v>
      </c>
      <c r="F1350" t="s">
        <v>1819</v>
      </c>
      <c r="G1350" t="s">
        <v>326</v>
      </c>
      <c r="N1350" s="107"/>
    </row>
    <row r="1351" spans="1:14" x14ac:dyDescent="0.3">
      <c r="A1351" t="s">
        <v>192</v>
      </c>
      <c r="B1351" t="s">
        <v>540</v>
      </c>
      <c r="C1351" t="s">
        <v>1212</v>
      </c>
      <c r="D1351">
        <f t="shared" si="21"/>
        <v>1</v>
      </c>
      <c r="E1351" t="s">
        <v>19</v>
      </c>
      <c r="F1351" t="s">
        <v>1859</v>
      </c>
      <c r="G1351" t="s">
        <v>326</v>
      </c>
      <c r="N1351" s="107"/>
    </row>
    <row r="1352" spans="1:14" x14ac:dyDescent="0.3">
      <c r="A1352" t="s">
        <v>192</v>
      </c>
      <c r="B1352" t="s">
        <v>539</v>
      </c>
      <c r="C1352" t="s">
        <v>1212</v>
      </c>
      <c r="D1352">
        <f t="shared" si="21"/>
        <v>1</v>
      </c>
      <c r="E1352" t="s">
        <v>19</v>
      </c>
      <c r="F1352" t="s">
        <v>1860</v>
      </c>
      <c r="G1352" t="s">
        <v>326</v>
      </c>
      <c r="N1352" s="107"/>
    </row>
    <row r="1353" spans="1:14" x14ac:dyDescent="0.3">
      <c r="A1353" t="s">
        <v>192</v>
      </c>
      <c r="B1353" t="s">
        <v>539</v>
      </c>
      <c r="C1353" t="s">
        <v>1212</v>
      </c>
      <c r="D1353">
        <f t="shared" si="21"/>
        <v>1</v>
      </c>
      <c r="E1353" t="s">
        <v>19</v>
      </c>
      <c r="F1353" t="s">
        <v>1861</v>
      </c>
      <c r="G1353" t="s">
        <v>326</v>
      </c>
      <c r="N1353" s="107"/>
    </row>
    <row r="1354" spans="1:14" x14ac:dyDescent="0.3">
      <c r="A1354" t="s">
        <v>192</v>
      </c>
      <c r="B1354" t="s">
        <v>539</v>
      </c>
      <c r="C1354" t="s">
        <v>1212</v>
      </c>
      <c r="D1354">
        <f t="shared" si="21"/>
        <v>1</v>
      </c>
      <c r="E1354" t="s">
        <v>19</v>
      </c>
      <c r="F1354" t="s">
        <v>1862</v>
      </c>
      <c r="G1354" t="s">
        <v>326</v>
      </c>
      <c r="N1354" s="107"/>
    </row>
    <row r="1355" spans="1:14" x14ac:dyDescent="0.3">
      <c r="A1355" t="s">
        <v>192</v>
      </c>
      <c r="B1355" t="s">
        <v>659</v>
      </c>
      <c r="C1355" t="s">
        <v>1212</v>
      </c>
      <c r="D1355">
        <f t="shared" si="21"/>
        <v>1</v>
      </c>
      <c r="E1355" t="s">
        <v>19</v>
      </c>
      <c r="F1355" t="s">
        <v>1863</v>
      </c>
      <c r="G1355" t="s">
        <v>326</v>
      </c>
      <c r="N1355" s="107"/>
    </row>
    <row r="1356" spans="1:14" x14ac:dyDescent="0.3">
      <c r="A1356" t="s">
        <v>192</v>
      </c>
      <c r="B1356" t="s">
        <v>618</v>
      </c>
      <c r="C1356" t="s">
        <v>1212</v>
      </c>
      <c r="D1356">
        <f t="shared" si="21"/>
        <v>1</v>
      </c>
      <c r="E1356" t="s">
        <v>19</v>
      </c>
      <c r="F1356" t="s">
        <v>1864</v>
      </c>
      <c r="G1356" t="s">
        <v>326</v>
      </c>
      <c r="N1356" s="107"/>
    </row>
    <row r="1357" spans="1:14" x14ac:dyDescent="0.3">
      <c r="A1357" t="s">
        <v>192</v>
      </c>
      <c r="B1357" t="s">
        <v>618</v>
      </c>
      <c r="C1357" t="s">
        <v>1212</v>
      </c>
      <c r="D1357">
        <f t="shared" si="21"/>
        <v>1</v>
      </c>
      <c r="E1357" t="s">
        <v>19</v>
      </c>
      <c r="F1357" t="s">
        <v>1865</v>
      </c>
      <c r="G1357" t="s">
        <v>326</v>
      </c>
      <c r="N1357" s="107"/>
    </row>
    <row r="1358" spans="1:14" x14ac:dyDescent="0.3">
      <c r="A1358" t="s">
        <v>192</v>
      </c>
      <c r="B1358" t="s">
        <v>540</v>
      </c>
      <c r="C1358" t="s">
        <v>1212</v>
      </c>
      <c r="D1358">
        <f t="shared" si="21"/>
        <v>1</v>
      </c>
      <c r="E1358" t="s">
        <v>19</v>
      </c>
      <c r="F1358" t="s">
        <v>1866</v>
      </c>
      <c r="G1358" t="s">
        <v>326</v>
      </c>
      <c r="N1358" s="107"/>
    </row>
    <row r="1359" spans="1:14" x14ac:dyDescent="0.3">
      <c r="A1359" t="s">
        <v>192</v>
      </c>
      <c r="B1359" t="s">
        <v>618</v>
      </c>
      <c r="C1359" t="s">
        <v>1212</v>
      </c>
      <c r="D1359">
        <f t="shared" si="21"/>
        <v>1</v>
      </c>
      <c r="E1359" t="s">
        <v>19</v>
      </c>
      <c r="F1359" t="s">
        <v>1868</v>
      </c>
      <c r="G1359" t="s">
        <v>326</v>
      </c>
      <c r="N1359" s="107"/>
    </row>
    <row r="1360" spans="1:14" x14ac:dyDescent="0.3">
      <c r="A1360" t="s">
        <v>192</v>
      </c>
      <c r="B1360" t="s">
        <v>540</v>
      </c>
      <c r="C1360" t="s">
        <v>1212</v>
      </c>
      <c r="D1360">
        <f t="shared" si="21"/>
        <v>1</v>
      </c>
      <c r="E1360" t="s">
        <v>19</v>
      </c>
      <c r="F1360" t="s">
        <v>1869</v>
      </c>
      <c r="G1360" t="s">
        <v>326</v>
      </c>
      <c r="N1360" s="107"/>
    </row>
    <row r="1361" spans="1:14" x14ac:dyDescent="0.3">
      <c r="A1361" t="s">
        <v>192</v>
      </c>
      <c r="B1361" t="s">
        <v>539</v>
      </c>
      <c r="C1361" t="s">
        <v>1212</v>
      </c>
      <c r="D1361">
        <f t="shared" si="21"/>
        <v>1</v>
      </c>
      <c r="E1361" t="s">
        <v>19</v>
      </c>
      <c r="F1361" t="s">
        <v>1870</v>
      </c>
      <c r="G1361" t="s">
        <v>326</v>
      </c>
      <c r="N1361" s="107"/>
    </row>
    <row r="1362" spans="1:14" x14ac:dyDescent="0.3">
      <c r="A1362" t="s">
        <v>192</v>
      </c>
      <c r="B1362" t="s">
        <v>618</v>
      </c>
      <c r="C1362" t="s">
        <v>1212</v>
      </c>
      <c r="D1362">
        <f t="shared" si="21"/>
        <v>1</v>
      </c>
      <c r="E1362" t="s">
        <v>19</v>
      </c>
      <c r="F1362" t="s">
        <v>1874</v>
      </c>
      <c r="G1362" t="s">
        <v>326</v>
      </c>
      <c r="N1362" s="107"/>
    </row>
    <row r="1363" spans="1:14" x14ac:dyDescent="0.3">
      <c r="A1363" t="s">
        <v>192</v>
      </c>
      <c r="B1363" t="s">
        <v>539</v>
      </c>
      <c r="C1363" t="s">
        <v>1212</v>
      </c>
      <c r="D1363">
        <f t="shared" si="21"/>
        <v>1</v>
      </c>
      <c r="E1363" t="s">
        <v>19</v>
      </c>
      <c r="F1363" t="s">
        <v>1877</v>
      </c>
      <c r="G1363" t="s">
        <v>326</v>
      </c>
      <c r="N1363" s="107"/>
    </row>
    <row r="1364" spans="1:14" x14ac:dyDescent="0.3">
      <c r="A1364" t="s">
        <v>192</v>
      </c>
      <c r="B1364" t="s">
        <v>618</v>
      </c>
      <c r="C1364" t="s">
        <v>1212</v>
      </c>
      <c r="D1364">
        <f t="shared" si="21"/>
        <v>1</v>
      </c>
      <c r="E1364" t="s">
        <v>19</v>
      </c>
      <c r="F1364" t="s">
        <v>1879</v>
      </c>
      <c r="G1364" t="s">
        <v>326</v>
      </c>
      <c r="N1364" s="107"/>
    </row>
    <row r="1365" spans="1:14" x14ac:dyDescent="0.3">
      <c r="A1365" t="s">
        <v>192</v>
      </c>
      <c r="B1365" t="s">
        <v>618</v>
      </c>
      <c r="C1365" t="s">
        <v>1212</v>
      </c>
      <c r="D1365">
        <f t="shared" si="21"/>
        <v>1</v>
      </c>
      <c r="E1365" t="s">
        <v>19</v>
      </c>
      <c r="F1365" t="s">
        <v>1880</v>
      </c>
      <c r="G1365" t="s">
        <v>326</v>
      </c>
      <c r="N1365" s="107"/>
    </row>
    <row r="1366" spans="1:14" x14ac:dyDescent="0.3">
      <c r="A1366" t="s">
        <v>192</v>
      </c>
      <c r="B1366" t="s">
        <v>539</v>
      </c>
      <c r="C1366" t="s">
        <v>1231</v>
      </c>
      <c r="D1366">
        <f t="shared" si="21"/>
        <v>1</v>
      </c>
      <c r="E1366" t="s">
        <v>19</v>
      </c>
      <c r="F1366" t="s">
        <v>1945</v>
      </c>
      <c r="G1366" t="s">
        <v>326</v>
      </c>
      <c r="N1366" s="107"/>
    </row>
    <row r="1367" spans="1:14" x14ac:dyDescent="0.3">
      <c r="A1367" t="s">
        <v>192</v>
      </c>
      <c r="B1367" t="s">
        <v>606</v>
      </c>
      <c r="C1367" t="s">
        <v>1242</v>
      </c>
      <c r="D1367">
        <f t="shared" si="21"/>
        <v>1</v>
      </c>
      <c r="E1367" t="s">
        <v>19</v>
      </c>
      <c r="F1367" t="s">
        <v>2018</v>
      </c>
      <c r="G1367" t="s">
        <v>326</v>
      </c>
      <c r="N1367" s="107"/>
    </row>
    <row r="1368" spans="1:14" x14ac:dyDescent="0.3">
      <c r="A1368" t="s">
        <v>192</v>
      </c>
      <c r="B1368" t="s">
        <v>659</v>
      </c>
      <c r="C1368" t="s">
        <v>1242</v>
      </c>
      <c r="D1368">
        <f t="shared" si="21"/>
        <v>1</v>
      </c>
      <c r="E1368" t="s">
        <v>19</v>
      </c>
      <c r="F1368" t="s">
        <v>2019</v>
      </c>
      <c r="G1368" t="s">
        <v>326</v>
      </c>
      <c r="N1368" s="107"/>
    </row>
    <row r="1369" spans="1:14" x14ac:dyDescent="0.3">
      <c r="A1369" t="s">
        <v>192</v>
      </c>
      <c r="B1369" t="s">
        <v>745</v>
      </c>
      <c r="C1369" t="s">
        <v>1244</v>
      </c>
      <c r="D1369">
        <f t="shared" si="21"/>
        <v>1</v>
      </c>
      <c r="E1369" t="s">
        <v>19</v>
      </c>
      <c r="F1369" t="s">
        <v>2026</v>
      </c>
      <c r="G1369" t="s">
        <v>326</v>
      </c>
      <c r="N1369" s="107"/>
    </row>
    <row r="1370" spans="1:14" x14ac:dyDescent="0.3">
      <c r="A1370" t="s">
        <v>192</v>
      </c>
      <c r="B1370" t="s">
        <v>746</v>
      </c>
      <c r="C1370" t="s">
        <v>1244</v>
      </c>
      <c r="D1370">
        <f t="shared" si="21"/>
        <v>1</v>
      </c>
      <c r="E1370" t="s">
        <v>19</v>
      </c>
      <c r="F1370" t="s">
        <v>2027</v>
      </c>
      <c r="G1370" t="s">
        <v>326</v>
      </c>
      <c r="N1370" s="107"/>
    </row>
    <row r="1371" spans="1:14" x14ac:dyDescent="0.3">
      <c r="A1371" t="s">
        <v>192</v>
      </c>
      <c r="B1371" t="s">
        <v>606</v>
      </c>
      <c r="C1371" t="s">
        <v>1297</v>
      </c>
      <c r="D1371">
        <f t="shared" si="21"/>
        <v>1</v>
      </c>
      <c r="E1371" t="s">
        <v>19</v>
      </c>
      <c r="F1371" t="s">
        <v>2157</v>
      </c>
      <c r="G1371" t="s">
        <v>326</v>
      </c>
      <c r="N1371" s="107"/>
    </row>
    <row r="1372" spans="1:14" x14ac:dyDescent="0.3">
      <c r="A1372" t="s">
        <v>192</v>
      </c>
      <c r="B1372" t="s">
        <v>852</v>
      </c>
      <c r="C1372" t="s">
        <v>1306</v>
      </c>
      <c r="D1372">
        <f t="shared" si="21"/>
        <v>1</v>
      </c>
      <c r="E1372" t="s">
        <v>19</v>
      </c>
      <c r="F1372" t="s">
        <v>2195</v>
      </c>
      <c r="G1372" t="s">
        <v>326</v>
      </c>
      <c r="N1372" s="107"/>
    </row>
    <row r="1373" spans="1:14" x14ac:dyDescent="0.3">
      <c r="A1373" t="s">
        <v>192</v>
      </c>
      <c r="B1373" t="s">
        <v>852</v>
      </c>
      <c r="C1373" t="s">
        <v>1443</v>
      </c>
      <c r="D1373">
        <f t="shared" si="21"/>
        <v>1</v>
      </c>
      <c r="E1373" t="s">
        <v>19</v>
      </c>
      <c r="F1373" t="s">
        <v>2570</v>
      </c>
      <c r="G1373" t="s">
        <v>326</v>
      </c>
      <c r="N1373" s="107"/>
    </row>
    <row r="1374" spans="1:14" x14ac:dyDescent="0.3">
      <c r="A1374" t="s">
        <v>192</v>
      </c>
      <c r="B1374" t="s">
        <v>1070</v>
      </c>
      <c r="C1374" t="s">
        <v>1462</v>
      </c>
      <c r="D1374">
        <f t="shared" si="21"/>
        <v>1</v>
      </c>
      <c r="E1374" t="s">
        <v>19</v>
      </c>
      <c r="F1374" t="s">
        <v>1462</v>
      </c>
      <c r="G1374" t="s">
        <v>326</v>
      </c>
      <c r="N1374" s="107"/>
    </row>
    <row r="1375" spans="1:14" x14ac:dyDescent="0.3">
      <c r="A1375" t="s">
        <v>192</v>
      </c>
      <c r="B1375" t="s">
        <v>539</v>
      </c>
      <c r="C1375" t="s">
        <v>1465</v>
      </c>
      <c r="D1375">
        <f t="shared" si="21"/>
        <v>1</v>
      </c>
      <c r="E1375" t="s">
        <v>19</v>
      </c>
      <c r="F1375" t="s">
        <v>2646</v>
      </c>
      <c r="G1375" t="s">
        <v>326</v>
      </c>
      <c r="N1375" s="107"/>
    </row>
    <row r="1376" spans="1:14" x14ac:dyDescent="0.3">
      <c r="A1376" t="s">
        <v>192</v>
      </c>
      <c r="B1376" t="s">
        <v>540</v>
      </c>
      <c r="C1376" t="s">
        <v>1465</v>
      </c>
      <c r="D1376">
        <f t="shared" si="21"/>
        <v>1</v>
      </c>
      <c r="E1376" t="s">
        <v>19</v>
      </c>
      <c r="F1376" t="s">
        <v>2659</v>
      </c>
      <c r="G1376" t="s">
        <v>326</v>
      </c>
      <c r="N1376" s="107"/>
    </row>
    <row r="1377" spans="1:14" x14ac:dyDescent="0.3">
      <c r="A1377" t="s">
        <v>193</v>
      </c>
      <c r="B1377" t="s">
        <v>593</v>
      </c>
      <c r="C1377" t="s">
        <v>1175</v>
      </c>
      <c r="D1377">
        <f t="shared" si="21"/>
        <v>1</v>
      </c>
      <c r="E1377" t="s">
        <v>19</v>
      </c>
      <c r="F1377" t="s">
        <v>1781</v>
      </c>
      <c r="G1377" t="s">
        <v>326</v>
      </c>
      <c r="N1377" s="107"/>
    </row>
    <row r="1378" spans="1:14" x14ac:dyDescent="0.3">
      <c r="A1378" t="s">
        <v>193</v>
      </c>
      <c r="B1378" t="s">
        <v>658</v>
      </c>
      <c r="C1378" t="s">
        <v>1211</v>
      </c>
      <c r="D1378">
        <f t="shared" si="21"/>
        <v>1</v>
      </c>
      <c r="E1378" t="s">
        <v>19</v>
      </c>
      <c r="F1378" t="s">
        <v>1211</v>
      </c>
      <c r="G1378" t="s">
        <v>326</v>
      </c>
      <c r="N1378" s="107"/>
    </row>
    <row r="1379" spans="1:14" x14ac:dyDescent="0.3">
      <c r="A1379" t="s">
        <v>193</v>
      </c>
      <c r="B1379" t="s">
        <v>755</v>
      </c>
      <c r="C1379" t="s">
        <v>1255</v>
      </c>
      <c r="D1379">
        <f t="shared" si="21"/>
        <v>1</v>
      </c>
      <c r="E1379" t="s">
        <v>19</v>
      </c>
      <c r="F1379" t="s">
        <v>2038</v>
      </c>
      <c r="G1379" t="s">
        <v>326</v>
      </c>
      <c r="N1379" s="107"/>
    </row>
    <row r="1380" spans="1:14" x14ac:dyDescent="0.3">
      <c r="A1380" t="s">
        <v>193</v>
      </c>
      <c r="B1380" t="s">
        <v>757</v>
      </c>
      <c r="C1380" t="s">
        <v>1255</v>
      </c>
      <c r="D1380">
        <f t="shared" si="21"/>
        <v>1</v>
      </c>
      <c r="E1380" t="s">
        <v>19</v>
      </c>
      <c r="F1380" t="s">
        <v>2043</v>
      </c>
      <c r="G1380" t="s">
        <v>326</v>
      </c>
      <c r="N1380" s="107"/>
    </row>
    <row r="1381" spans="1:14" x14ac:dyDescent="0.3">
      <c r="A1381" t="s">
        <v>193</v>
      </c>
      <c r="B1381" t="s">
        <v>774</v>
      </c>
      <c r="C1381" t="s">
        <v>1258</v>
      </c>
      <c r="D1381">
        <f t="shared" si="21"/>
        <v>1</v>
      </c>
      <c r="E1381" t="s">
        <v>19</v>
      </c>
      <c r="F1381" t="s">
        <v>2070</v>
      </c>
      <c r="G1381" t="s">
        <v>326</v>
      </c>
      <c r="N1381" s="107"/>
    </row>
    <row r="1382" spans="1:14" x14ac:dyDescent="0.3">
      <c r="A1382" t="s">
        <v>193</v>
      </c>
      <c r="B1382" t="s">
        <v>658</v>
      </c>
      <c r="C1382" t="s">
        <v>1339</v>
      </c>
      <c r="D1382">
        <f t="shared" si="21"/>
        <v>1</v>
      </c>
      <c r="E1382" t="s">
        <v>19</v>
      </c>
      <c r="F1382" t="s">
        <v>2266</v>
      </c>
      <c r="G1382" t="s">
        <v>326</v>
      </c>
      <c r="N1382" s="107"/>
    </row>
    <row r="1383" spans="1:14" x14ac:dyDescent="0.3">
      <c r="A1383" t="s">
        <v>193</v>
      </c>
      <c r="B1383" t="s">
        <v>903</v>
      </c>
      <c r="C1383" t="s">
        <v>1339</v>
      </c>
      <c r="D1383">
        <f t="shared" si="21"/>
        <v>1</v>
      </c>
      <c r="E1383" t="s">
        <v>19</v>
      </c>
      <c r="F1383" t="s">
        <v>2267</v>
      </c>
      <c r="G1383" t="s">
        <v>326</v>
      </c>
      <c r="N1383" s="107"/>
    </row>
    <row r="1384" spans="1:14" x14ac:dyDescent="0.3">
      <c r="A1384" t="s">
        <v>193</v>
      </c>
      <c r="B1384" t="s">
        <v>593</v>
      </c>
      <c r="C1384" t="s">
        <v>1375</v>
      </c>
      <c r="D1384">
        <f t="shared" si="21"/>
        <v>1</v>
      </c>
      <c r="E1384" t="s">
        <v>19</v>
      </c>
      <c r="F1384" t="s">
        <v>2320</v>
      </c>
      <c r="G1384" t="s">
        <v>326</v>
      </c>
      <c r="N1384" s="107"/>
    </row>
    <row r="1385" spans="1:14" x14ac:dyDescent="0.3">
      <c r="A1385" t="s">
        <v>193</v>
      </c>
      <c r="B1385" t="s">
        <v>593</v>
      </c>
      <c r="C1385" t="s">
        <v>1408</v>
      </c>
      <c r="D1385">
        <f t="shared" si="21"/>
        <v>1</v>
      </c>
      <c r="E1385" t="s">
        <v>19</v>
      </c>
      <c r="F1385" t="s">
        <v>2440</v>
      </c>
      <c r="G1385" t="s">
        <v>326</v>
      </c>
      <c r="N1385" s="107"/>
    </row>
    <row r="1386" spans="1:14" x14ac:dyDescent="0.3">
      <c r="N1386" s="107"/>
    </row>
    <row r="1387" spans="1:14" x14ac:dyDescent="0.3">
      <c r="N1387" s="107"/>
    </row>
    <row r="1388" spans="1:14" x14ac:dyDescent="0.3">
      <c r="N1388" s="107"/>
    </row>
    <row r="1389" spans="1:14" x14ac:dyDescent="0.3">
      <c r="N1389" s="107"/>
    </row>
    <row r="1390" spans="1:14" x14ac:dyDescent="0.3">
      <c r="N1390" s="107"/>
    </row>
    <row r="1391" spans="1:14" x14ac:dyDescent="0.3">
      <c r="N1391" s="107"/>
    </row>
    <row r="1392" spans="1:14" x14ac:dyDescent="0.3">
      <c r="N1392" s="107"/>
    </row>
    <row r="1393" spans="14:14" x14ac:dyDescent="0.3">
      <c r="N1393" s="107"/>
    </row>
    <row r="1394" spans="14:14" x14ac:dyDescent="0.3">
      <c r="N1394" s="107"/>
    </row>
    <row r="1395" spans="14:14" x14ac:dyDescent="0.3">
      <c r="N1395" s="107"/>
    </row>
    <row r="1396" spans="14:14" x14ac:dyDescent="0.3">
      <c r="N1396" s="107"/>
    </row>
    <row r="1397" spans="14:14" x14ac:dyDescent="0.3">
      <c r="N1397" s="107"/>
    </row>
    <row r="1398" spans="14:14" x14ac:dyDescent="0.3">
      <c r="N1398" s="107"/>
    </row>
    <row r="1399" spans="14:14" x14ac:dyDescent="0.3">
      <c r="N1399" s="107"/>
    </row>
    <row r="1400" spans="14:14" x14ac:dyDescent="0.3">
      <c r="N1400" s="107"/>
    </row>
    <row r="1401" spans="14:14" x14ac:dyDescent="0.3">
      <c r="N1401" s="107"/>
    </row>
    <row r="1402" spans="14:14" x14ac:dyDescent="0.3">
      <c r="N1402" s="107"/>
    </row>
    <row r="1403" spans="14:14" x14ac:dyDescent="0.3">
      <c r="N1403" s="107"/>
    </row>
    <row r="1404" spans="14:14" x14ac:dyDescent="0.3">
      <c r="N1404" s="107"/>
    </row>
    <row r="1405" spans="14:14" x14ac:dyDescent="0.3">
      <c r="N1405" s="107"/>
    </row>
    <row r="1406" spans="14:14" x14ac:dyDescent="0.3">
      <c r="N1406" s="107"/>
    </row>
    <row r="1407" spans="14:14" x14ac:dyDescent="0.3">
      <c r="N1407" s="107"/>
    </row>
    <row r="1408" spans="14:14" x14ac:dyDescent="0.3">
      <c r="N1408" s="107"/>
    </row>
    <row r="1409" spans="14:14" x14ac:dyDescent="0.3">
      <c r="N1409" s="107"/>
    </row>
    <row r="1410" spans="14:14" x14ac:dyDescent="0.3">
      <c r="N1410" s="107"/>
    </row>
    <row r="1411" spans="14:14" x14ac:dyDescent="0.3">
      <c r="N1411" s="107"/>
    </row>
    <row r="1412" spans="14:14" x14ac:dyDescent="0.3">
      <c r="N1412" s="107"/>
    </row>
    <row r="1413" spans="14:14" x14ac:dyDescent="0.3">
      <c r="N1413" s="107"/>
    </row>
    <row r="1414" spans="14:14" x14ac:dyDescent="0.3">
      <c r="N1414" s="107"/>
    </row>
    <row r="1415" spans="14:14" x14ac:dyDescent="0.3">
      <c r="N1415" s="107"/>
    </row>
    <row r="1416" spans="14:14" x14ac:dyDescent="0.3">
      <c r="N1416" s="107"/>
    </row>
    <row r="1417" spans="14:14" x14ac:dyDescent="0.3">
      <c r="N1417" s="107"/>
    </row>
    <row r="1418" spans="14:14" x14ac:dyDescent="0.3">
      <c r="N1418" s="107"/>
    </row>
    <row r="1419" spans="14:14" x14ac:dyDescent="0.3">
      <c r="N1419" s="107"/>
    </row>
    <row r="1420" spans="14:14" x14ac:dyDescent="0.3">
      <c r="N1420" s="107"/>
    </row>
    <row r="1421" spans="14:14" x14ac:dyDescent="0.3">
      <c r="N1421" s="107"/>
    </row>
    <row r="1422" spans="14:14" x14ac:dyDescent="0.3">
      <c r="N1422" s="107"/>
    </row>
    <row r="1423" spans="14:14" x14ac:dyDescent="0.3">
      <c r="N1423" s="107"/>
    </row>
    <row r="1424" spans="14:14" x14ac:dyDescent="0.3">
      <c r="N1424" s="107"/>
    </row>
    <row r="1425" spans="14:14" x14ac:dyDescent="0.3">
      <c r="N1425" s="107"/>
    </row>
    <row r="1426" spans="14:14" x14ac:dyDescent="0.3">
      <c r="N1426" s="107"/>
    </row>
    <row r="1427" spans="14:14" x14ac:dyDescent="0.3">
      <c r="N1427" s="107"/>
    </row>
    <row r="1428" spans="14:14" x14ac:dyDescent="0.3">
      <c r="N1428" s="107"/>
    </row>
    <row r="1429" spans="14:14" x14ac:dyDescent="0.3">
      <c r="N1429" s="107"/>
    </row>
    <row r="1430" spans="14:14" x14ac:dyDescent="0.3">
      <c r="N1430" s="107"/>
    </row>
    <row r="1431" spans="14:14" x14ac:dyDescent="0.3">
      <c r="N1431" s="107"/>
    </row>
    <row r="1432" spans="14:14" x14ac:dyDescent="0.3">
      <c r="N1432" s="107"/>
    </row>
    <row r="1433" spans="14:14" x14ac:dyDescent="0.3">
      <c r="N1433" s="107"/>
    </row>
    <row r="1434" spans="14:14" x14ac:dyDescent="0.3">
      <c r="N1434" s="107"/>
    </row>
    <row r="1435" spans="14:14" x14ac:dyDescent="0.3">
      <c r="N1435" s="107"/>
    </row>
    <row r="1436" spans="14:14" x14ac:dyDescent="0.3">
      <c r="N1436" s="107"/>
    </row>
    <row r="1437" spans="14:14" x14ac:dyDescent="0.3">
      <c r="N1437" s="107"/>
    </row>
    <row r="1438" spans="14:14" x14ac:dyDescent="0.3">
      <c r="N1438" s="107"/>
    </row>
    <row r="1439" spans="14:14" x14ac:dyDescent="0.3">
      <c r="N1439" s="107"/>
    </row>
    <row r="1440" spans="14:14" x14ac:dyDescent="0.3">
      <c r="N1440" s="107"/>
    </row>
    <row r="1441" spans="14:14" x14ac:dyDescent="0.3">
      <c r="N1441" s="107"/>
    </row>
    <row r="1442" spans="14:14" x14ac:dyDescent="0.3">
      <c r="N1442" s="107"/>
    </row>
    <row r="1443" spans="14:14" x14ac:dyDescent="0.3">
      <c r="N1443" s="107"/>
    </row>
    <row r="1444" spans="14:14" x14ac:dyDescent="0.3">
      <c r="N1444" s="107"/>
    </row>
    <row r="1445" spans="14:14" x14ac:dyDescent="0.3">
      <c r="N1445" s="107"/>
    </row>
    <row r="1446" spans="14:14" x14ac:dyDescent="0.3">
      <c r="N1446" s="107"/>
    </row>
    <row r="1447" spans="14:14" x14ac:dyDescent="0.3">
      <c r="N1447" s="107"/>
    </row>
    <row r="1448" spans="14:14" x14ac:dyDescent="0.3">
      <c r="N1448" s="107"/>
    </row>
    <row r="1449" spans="14:14" x14ac:dyDescent="0.3">
      <c r="N1449" s="107"/>
    </row>
    <row r="1450" spans="14:14" x14ac:dyDescent="0.3">
      <c r="N1450" s="107"/>
    </row>
    <row r="1451" spans="14:14" x14ac:dyDescent="0.3">
      <c r="N1451" s="107"/>
    </row>
    <row r="1452" spans="14:14" x14ac:dyDescent="0.3">
      <c r="N1452" s="107"/>
    </row>
    <row r="1453" spans="14:14" x14ac:dyDescent="0.3">
      <c r="N1453" s="107"/>
    </row>
    <row r="1454" spans="14:14" x14ac:dyDescent="0.3">
      <c r="N1454" s="107"/>
    </row>
    <row r="1455" spans="14:14" x14ac:dyDescent="0.3">
      <c r="N1455" s="107"/>
    </row>
    <row r="1456" spans="14:14" x14ac:dyDescent="0.3">
      <c r="N1456" s="107"/>
    </row>
    <row r="1457" spans="14:14" x14ac:dyDescent="0.3">
      <c r="N1457" s="107"/>
    </row>
    <row r="1458" spans="14:14" x14ac:dyDescent="0.3">
      <c r="N1458" s="107"/>
    </row>
    <row r="1459" spans="14:14" x14ac:dyDescent="0.3">
      <c r="N1459" s="107"/>
    </row>
    <row r="1460" spans="14:14" x14ac:dyDescent="0.3">
      <c r="N1460" s="107"/>
    </row>
    <row r="1461" spans="14:14" x14ac:dyDescent="0.3">
      <c r="N1461" s="107"/>
    </row>
    <row r="1462" spans="14:14" x14ac:dyDescent="0.3">
      <c r="N1462" s="107"/>
    </row>
    <row r="1463" spans="14:14" x14ac:dyDescent="0.3">
      <c r="N1463" s="107"/>
    </row>
    <row r="1464" spans="14:14" x14ac:dyDescent="0.3">
      <c r="N1464"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145</v>
      </c>
      <c r="B1" s="124" t="s">
        <v>440</v>
      </c>
      <c r="C1" s="124" t="s">
        <v>438</v>
      </c>
      <c r="D1" s="124" t="s">
        <v>439</v>
      </c>
      <c r="E1" s="125" t="s">
        <v>321</v>
      </c>
      <c r="F1" s="110" t="s">
        <v>25</v>
      </c>
      <c r="G1" s="110" t="s">
        <v>35</v>
      </c>
      <c r="H1" s="110" t="s">
        <v>31</v>
      </c>
      <c r="I1" s="100" t="s">
        <v>24</v>
      </c>
      <c r="J1" s="100" t="s">
        <v>36</v>
      </c>
      <c r="K1" s="100" t="s">
        <v>44</v>
      </c>
      <c r="L1" s="100" t="s">
        <v>196</v>
      </c>
      <c r="M1" s="100" t="s">
        <v>45</v>
      </c>
    </row>
    <row r="2" spans="1:76" x14ac:dyDescent="0.3">
      <c r="A2" t="s">
        <v>146</v>
      </c>
      <c r="B2" t="s">
        <v>441</v>
      </c>
      <c r="C2" t="s">
        <v>328</v>
      </c>
      <c r="D2" t="s">
        <v>1615</v>
      </c>
      <c r="E2" s="82">
        <f t="shared" ref="E2:E32" si="0">SIGN(SUBTOTAL(3,F2))</f>
        <v>1</v>
      </c>
      <c r="F2" t="s">
        <v>18</v>
      </c>
      <c r="G2" t="s">
        <v>328</v>
      </c>
      <c r="H2" t="s">
        <v>325</v>
      </c>
      <c r="I2">
        <v>20000000</v>
      </c>
      <c r="J2" t="s">
        <v>42</v>
      </c>
      <c r="AC2" t="s">
        <v>1620</v>
      </c>
      <c r="AF2" t="s">
        <v>1619</v>
      </c>
      <c r="BX2" t="s">
        <v>1618</v>
      </c>
    </row>
    <row r="3" spans="1:76" x14ac:dyDescent="0.3">
      <c r="A3" t="s">
        <v>146</v>
      </c>
      <c r="B3" t="s">
        <v>442</v>
      </c>
      <c r="C3" t="s">
        <v>329</v>
      </c>
      <c r="D3" t="s">
        <v>1615</v>
      </c>
      <c r="E3" s="82">
        <f t="shared" si="0"/>
        <v>1</v>
      </c>
      <c r="F3" t="s">
        <v>18</v>
      </c>
      <c r="G3" t="s">
        <v>329</v>
      </c>
      <c r="H3" t="s">
        <v>325</v>
      </c>
      <c r="I3">
        <v>16000000</v>
      </c>
      <c r="J3" t="s">
        <v>42</v>
      </c>
    </row>
    <row r="4" spans="1:76" x14ac:dyDescent="0.3">
      <c r="A4" t="s">
        <v>1689</v>
      </c>
      <c r="B4" t="s">
        <v>1680</v>
      </c>
      <c r="C4" t="s">
        <v>1692</v>
      </c>
      <c r="D4" t="s">
        <v>1616</v>
      </c>
      <c r="E4" s="82">
        <f t="shared" si="0"/>
        <v>1</v>
      </c>
      <c r="F4" t="s">
        <v>18</v>
      </c>
      <c r="G4" t="s">
        <v>1692</v>
      </c>
      <c r="H4" t="s">
        <v>325</v>
      </c>
      <c r="I4">
        <v>847000000</v>
      </c>
      <c r="J4" t="s">
        <v>42</v>
      </c>
    </row>
    <row r="5" spans="1:76" x14ac:dyDescent="0.3">
      <c r="A5" t="s">
        <v>1689</v>
      </c>
      <c r="B5" t="s">
        <v>1681</v>
      </c>
      <c r="C5" t="s">
        <v>1693</v>
      </c>
      <c r="D5" t="s">
        <v>1623</v>
      </c>
      <c r="E5" s="82">
        <f t="shared" si="0"/>
        <v>1</v>
      </c>
      <c r="F5" t="s">
        <v>18</v>
      </c>
      <c r="G5" t="s">
        <v>1693</v>
      </c>
      <c r="H5" t="s">
        <v>325</v>
      </c>
      <c r="I5">
        <v>4000000</v>
      </c>
      <c r="J5" t="s">
        <v>42</v>
      </c>
    </row>
    <row r="6" spans="1:76" x14ac:dyDescent="0.3">
      <c r="A6" t="s">
        <v>147</v>
      </c>
      <c r="B6" t="s">
        <v>443</v>
      </c>
      <c r="C6" t="s">
        <v>330</v>
      </c>
      <c r="D6" t="s">
        <v>1617</v>
      </c>
      <c r="E6" s="82">
        <f t="shared" si="0"/>
        <v>1</v>
      </c>
      <c r="F6" t="s">
        <v>18</v>
      </c>
      <c r="G6" t="s">
        <v>330</v>
      </c>
      <c r="H6" t="s">
        <v>325</v>
      </c>
      <c r="I6">
        <v>462000000</v>
      </c>
      <c r="J6" t="s">
        <v>42</v>
      </c>
    </row>
    <row r="7" spans="1:76" x14ac:dyDescent="0.3">
      <c r="A7" t="s">
        <v>147</v>
      </c>
      <c r="B7" t="s">
        <v>444</v>
      </c>
      <c r="C7" t="s">
        <v>331</v>
      </c>
      <c r="D7" t="s">
        <v>1615</v>
      </c>
      <c r="E7" s="82">
        <f t="shared" si="0"/>
        <v>1</v>
      </c>
      <c r="F7" t="s">
        <v>18</v>
      </c>
      <c r="G7" t="s">
        <v>331</v>
      </c>
      <c r="H7" t="s">
        <v>325</v>
      </c>
      <c r="I7">
        <v>26000000</v>
      </c>
      <c r="J7" t="s">
        <v>42</v>
      </c>
    </row>
    <row r="8" spans="1:76" x14ac:dyDescent="0.3">
      <c r="A8" t="s">
        <v>148</v>
      </c>
      <c r="B8" t="s">
        <v>1682</v>
      </c>
      <c r="C8" t="s">
        <v>332</v>
      </c>
      <c r="D8" t="s">
        <v>1615</v>
      </c>
      <c r="E8" s="82">
        <f t="shared" si="0"/>
        <v>1</v>
      </c>
      <c r="F8" t="s">
        <v>18</v>
      </c>
      <c r="G8" t="s">
        <v>332</v>
      </c>
      <c r="H8" t="s">
        <v>325</v>
      </c>
      <c r="I8">
        <v>16000000</v>
      </c>
      <c r="J8" t="s">
        <v>42</v>
      </c>
    </row>
    <row r="9" spans="1:76" x14ac:dyDescent="0.3">
      <c r="A9" t="s">
        <v>149</v>
      </c>
      <c r="B9" t="s">
        <v>445</v>
      </c>
      <c r="C9" t="s">
        <v>333</v>
      </c>
      <c r="D9" t="s">
        <v>1616</v>
      </c>
      <c r="E9" s="82">
        <f t="shared" si="0"/>
        <v>1</v>
      </c>
      <c r="F9" t="s">
        <v>18</v>
      </c>
      <c r="G9" t="s">
        <v>333</v>
      </c>
      <c r="H9" t="s">
        <v>325</v>
      </c>
      <c r="I9">
        <v>53000000</v>
      </c>
      <c r="J9" t="s">
        <v>42</v>
      </c>
    </row>
    <row r="10" spans="1:76" x14ac:dyDescent="0.3">
      <c r="A10" t="s">
        <v>149</v>
      </c>
      <c r="B10" t="s">
        <v>446</v>
      </c>
      <c r="C10" t="s">
        <v>334</v>
      </c>
      <c r="D10" t="s">
        <v>1617</v>
      </c>
      <c r="E10" s="82">
        <f t="shared" si="0"/>
        <v>1</v>
      </c>
      <c r="F10" t="s">
        <v>18</v>
      </c>
      <c r="G10" t="s">
        <v>334</v>
      </c>
      <c r="H10" t="s">
        <v>325</v>
      </c>
      <c r="I10">
        <v>1739000000</v>
      </c>
      <c r="J10" t="s">
        <v>42</v>
      </c>
    </row>
    <row r="11" spans="1:76" x14ac:dyDescent="0.3">
      <c r="A11" t="s">
        <v>149</v>
      </c>
      <c r="B11" t="s">
        <v>447</v>
      </c>
      <c r="C11" t="s">
        <v>335</v>
      </c>
      <c r="D11" t="s">
        <v>1615</v>
      </c>
      <c r="E11" s="82">
        <f t="shared" si="0"/>
        <v>1</v>
      </c>
      <c r="F11" t="s">
        <v>18</v>
      </c>
      <c r="G11" t="s">
        <v>335</v>
      </c>
      <c r="H11" t="s">
        <v>325</v>
      </c>
      <c r="I11">
        <v>27000000</v>
      </c>
      <c r="J11" t="s">
        <v>42</v>
      </c>
    </row>
    <row r="12" spans="1:76" x14ac:dyDescent="0.3">
      <c r="A12" t="s">
        <v>149</v>
      </c>
      <c r="B12" t="s">
        <v>448</v>
      </c>
      <c r="C12" t="s">
        <v>336</v>
      </c>
      <c r="D12" t="s">
        <v>1616</v>
      </c>
      <c r="E12" s="82">
        <f t="shared" si="0"/>
        <v>1</v>
      </c>
      <c r="F12" t="s">
        <v>18</v>
      </c>
      <c r="G12" t="s">
        <v>336</v>
      </c>
      <c r="H12" t="s">
        <v>325</v>
      </c>
      <c r="I12">
        <v>97000000</v>
      </c>
      <c r="J12" t="s">
        <v>42</v>
      </c>
    </row>
    <row r="13" spans="1:76" x14ac:dyDescent="0.3">
      <c r="A13" t="s">
        <v>149</v>
      </c>
      <c r="B13" t="s">
        <v>449</v>
      </c>
      <c r="C13" t="s">
        <v>337</v>
      </c>
      <c r="D13" t="s">
        <v>1616</v>
      </c>
      <c r="E13" s="82">
        <f t="shared" si="0"/>
        <v>1</v>
      </c>
      <c r="F13" t="s">
        <v>18</v>
      </c>
      <c r="G13" t="s">
        <v>337</v>
      </c>
      <c r="H13" t="s">
        <v>325</v>
      </c>
      <c r="I13">
        <v>132000000</v>
      </c>
      <c r="J13" t="s">
        <v>42</v>
      </c>
    </row>
    <row r="14" spans="1:76" x14ac:dyDescent="0.3">
      <c r="A14" t="s">
        <v>149</v>
      </c>
      <c r="B14" t="s">
        <v>450</v>
      </c>
      <c r="C14" t="s">
        <v>338</v>
      </c>
      <c r="D14" t="s">
        <v>1615</v>
      </c>
      <c r="E14" s="82">
        <f t="shared" si="0"/>
        <v>1</v>
      </c>
      <c r="F14" t="s">
        <v>18</v>
      </c>
      <c r="G14" t="s">
        <v>338</v>
      </c>
      <c r="H14" t="s">
        <v>325</v>
      </c>
      <c r="I14">
        <v>26000000</v>
      </c>
      <c r="J14" t="s">
        <v>42</v>
      </c>
    </row>
    <row r="15" spans="1:76" x14ac:dyDescent="0.3">
      <c r="A15" t="s">
        <v>149</v>
      </c>
      <c r="B15" t="s">
        <v>451</v>
      </c>
      <c r="C15" t="s">
        <v>339</v>
      </c>
      <c r="D15" t="s">
        <v>1617</v>
      </c>
      <c r="E15" s="82">
        <f t="shared" si="0"/>
        <v>1</v>
      </c>
      <c r="F15" t="s">
        <v>18</v>
      </c>
      <c r="G15" t="s">
        <v>339</v>
      </c>
      <c r="H15" t="s">
        <v>325</v>
      </c>
      <c r="I15">
        <v>216000000</v>
      </c>
      <c r="J15" t="s">
        <v>42</v>
      </c>
    </row>
    <row r="16" spans="1:76" x14ac:dyDescent="0.3">
      <c r="A16" t="s">
        <v>149</v>
      </c>
      <c r="B16" t="s">
        <v>452</v>
      </c>
      <c r="C16" t="s">
        <v>340</v>
      </c>
      <c r="D16" t="s">
        <v>1615</v>
      </c>
      <c r="E16" s="82">
        <f t="shared" si="0"/>
        <v>1</v>
      </c>
      <c r="F16" t="s">
        <v>18</v>
      </c>
      <c r="G16" t="s">
        <v>340</v>
      </c>
      <c r="H16" t="s">
        <v>325</v>
      </c>
      <c r="I16">
        <v>11000000</v>
      </c>
      <c r="J16" t="s">
        <v>42</v>
      </c>
    </row>
    <row r="17" spans="1:10" x14ac:dyDescent="0.3">
      <c r="A17" t="s">
        <v>149</v>
      </c>
      <c r="B17" t="s">
        <v>453</v>
      </c>
      <c r="C17" t="s">
        <v>341</v>
      </c>
      <c r="D17" t="s">
        <v>1617</v>
      </c>
      <c r="E17" s="82">
        <f t="shared" si="0"/>
        <v>1</v>
      </c>
      <c r="F17" t="s">
        <v>18</v>
      </c>
      <c r="G17" t="s">
        <v>341</v>
      </c>
      <c r="H17" t="s">
        <v>325</v>
      </c>
      <c r="I17">
        <v>1115000000</v>
      </c>
      <c r="J17" t="s">
        <v>42</v>
      </c>
    </row>
    <row r="18" spans="1:10" x14ac:dyDescent="0.3">
      <c r="A18" t="s">
        <v>149</v>
      </c>
      <c r="B18" t="s">
        <v>454</v>
      </c>
      <c r="C18" t="s">
        <v>342</v>
      </c>
      <c r="D18" t="s">
        <v>1616</v>
      </c>
      <c r="E18" s="82">
        <f t="shared" si="0"/>
        <v>1</v>
      </c>
      <c r="F18" t="s">
        <v>18</v>
      </c>
      <c r="G18" t="s">
        <v>342</v>
      </c>
      <c r="H18" t="s">
        <v>325</v>
      </c>
      <c r="I18">
        <v>79000000</v>
      </c>
      <c r="J18" t="s">
        <v>42</v>
      </c>
    </row>
    <row r="19" spans="1:10" x14ac:dyDescent="0.3">
      <c r="A19" t="s">
        <v>149</v>
      </c>
      <c r="B19" t="s">
        <v>455</v>
      </c>
      <c r="C19" t="s">
        <v>343</v>
      </c>
      <c r="D19" t="s">
        <v>1616</v>
      </c>
      <c r="E19" s="82">
        <f t="shared" si="0"/>
        <v>1</v>
      </c>
      <c r="F19" t="s">
        <v>18</v>
      </c>
      <c r="G19" t="s">
        <v>343</v>
      </c>
      <c r="H19" t="s">
        <v>325</v>
      </c>
      <c r="I19">
        <v>99000000</v>
      </c>
      <c r="J19" t="s">
        <v>42</v>
      </c>
    </row>
    <row r="20" spans="1:10" x14ac:dyDescent="0.3">
      <c r="A20" t="s">
        <v>149</v>
      </c>
      <c r="B20" t="s">
        <v>456</v>
      </c>
      <c r="C20" t="s">
        <v>344</v>
      </c>
      <c r="D20" t="s">
        <v>1616</v>
      </c>
      <c r="E20" s="82">
        <f t="shared" si="0"/>
        <v>1</v>
      </c>
      <c r="F20" t="s">
        <v>18</v>
      </c>
      <c r="G20" t="s">
        <v>344</v>
      </c>
      <c r="H20" t="s">
        <v>325</v>
      </c>
      <c r="I20">
        <v>72000000</v>
      </c>
      <c r="J20" t="s">
        <v>42</v>
      </c>
    </row>
    <row r="21" spans="1:10" x14ac:dyDescent="0.3">
      <c r="A21" t="s">
        <v>150</v>
      </c>
      <c r="B21" t="s">
        <v>457</v>
      </c>
      <c r="C21" t="s">
        <v>345</v>
      </c>
      <c r="D21" t="s">
        <v>1615</v>
      </c>
      <c r="E21" s="82">
        <f t="shared" si="0"/>
        <v>1</v>
      </c>
      <c r="F21" t="s">
        <v>18</v>
      </c>
      <c r="G21" t="s">
        <v>345</v>
      </c>
      <c r="H21" t="s">
        <v>325</v>
      </c>
      <c r="I21">
        <v>14000000</v>
      </c>
      <c r="J21" t="s">
        <v>42</v>
      </c>
    </row>
    <row r="22" spans="1:10" x14ac:dyDescent="0.3">
      <c r="A22" t="s">
        <v>150</v>
      </c>
      <c r="B22" t="s">
        <v>458</v>
      </c>
      <c r="C22" t="s">
        <v>346</v>
      </c>
      <c r="D22" t="s">
        <v>1617</v>
      </c>
      <c r="E22" s="82">
        <f t="shared" si="0"/>
        <v>1</v>
      </c>
      <c r="F22" t="s">
        <v>18</v>
      </c>
      <c r="G22" t="s">
        <v>346</v>
      </c>
      <c r="H22" t="s">
        <v>325</v>
      </c>
      <c r="I22">
        <v>556000000</v>
      </c>
      <c r="J22" t="s">
        <v>42</v>
      </c>
    </row>
    <row r="23" spans="1:10" x14ac:dyDescent="0.3">
      <c r="A23" t="s">
        <v>151</v>
      </c>
      <c r="B23" t="s">
        <v>459</v>
      </c>
      <c r="C23" t="s">
        <v>347</v>
      </c>
      <c r="D23" t="s">
        <v>1616</v>
      </c>
      <c r="E23" s="82">
        <f t="shared" si="0"/>
        <v>1</v>
      </c>
      <c r="F23" t="s">
        <v>18</v>
      </c>
      <c r="G23" t="s">
        <v>347</v>
      </c>
      <c r="H23" t="s">
        <v>325</v>
      </c>
      <c r="I23">
        <v>56000000</v>
      </c>
      <c r="J23" t="s">
        <v>42</v>
      </c>
    </row>
    <row r="24" spans="1:10" x14ac:dyDescent="0.3">
      <c r="A24" t="s">
        <v>151</v>
      </c>
      <c r="B24" t="s">
        <v>460</v>
      </c>
      <c r="C24" t="s">
        <v>348</v>
      </c>
      <c r="D24" t="s">
        <v>1615</v>
      </c>
      <c r="E24" s="82">
        <f t="shared" si="0"/>
        <v>1</v>
      </c>
      <c r="F24" t="s">
        <v>18</v>
      </c>
      <c r="G24" t="s">
        <v>348</v>
      </c>
      <c r="H24" t="s">
        <v>325</v>
      </c>
      <c r="I24">
        <v>9000000</v>
      </c>
      <c r="J24" t="s">
        <v>42</v>
      </c>
    </row>
    <row r="25" spans="1:10" x14ac:dyDescent="0.3">
      <c r="A25" t="s">
        <v>153</v>
      </c>
      <c r="B25" t="s">
        <v>461</v>
      </c>
      <c r="C25" t="s">
        <v>349</v>
      </c>
      <c r="D25" t="s">
        <v>1615</v>
      </c>
      <c r="E25" s="82">
        <f t="shared" si="0"/>
        <v>1</v>
      </c>
      <c r="F25" t="s">
        <v>18</v>
      </c>
      <c r="G25" t="s">
        <v>349</v>
      </c>
      <c r="H25" t="s">
        <v>325</v>
      </c>
      <c r="I25">
        <v>11000000</v>
      </c>
      <c r="J25" t="s">
        <v>42</v>
      </c>
    </row>
    <row r="26" spans="1:10" x14ac:dyDescent="0.3">
      <c r="A26" t="s">
        <v>153</v>
      </c>
      <c r="B26" t="s">
        <v>462</v>
      </c>
      <c r="C26" t="s">
        <v>350</v>
      </c>
      <c r="D26" t="s">
        <v>1617</v>
      </c>
      <c r="E26" s="82">
        <f t="shared" si="0"/>
        <v>1</v>
      </c>
      <c r="F26" t="s">
        <v>18</v>
      </c>
      <c r="G26" t="s">
        <v>350</v>
      </c>
      <c r="H26" t="s">
        <v>325</v>
      </c>
      <c r="I26">
        <v>291000000</v>
      </c>
      <c r="J26" t="s">
        <v>42</v>
      </c>
    </row>
    <row r="27" spans="1:10" x14ac:dyDescent="0.3">
      <c r="A27" t="s">
        <v>153</v>
      </c>
      <c r="B27" t="s">
        <v>463</v>
      </c>
      <c r="C27" t="s">
        <v>351</v>
      </c>
      <c r="D27" t="s">
        <v>1616</v>
      </c>
      <c r="E27" s="82">
        <f t="shared" si="0"/>
        <v>1</v>
      </c>
      <c r="F27" t="s">
        <v>18</v>
      </c>
      <c r="G27" t="s">
        <v>351</v>
      </c>
      <c r="H27" t="s">
        <v>325</v>
      </c>
      <c r="I27">
        <v>44000000</v>
      </c>
      <c r="J27" t="s">
        <v>42</v>
      </c>
    </row>
    <row r="28" spans="1:10" x14ac:dyDescent="0.3">
      <c r="A28" t="s">
        <v>153</v>
      </c>
      <c r="B28" t="s">
        <v>464</v>
      </c>
      <c r="C28" t="s">
        <v>352</v>
      </c>
      <c r="D28" t="s">
        <v>1617</v>
      </c>
      <c r="E28" s="82">
        <f t="shared" si="0"/>
        <v>1</v>
      </c>
      <c r="F28" t="s">
        <v>18</v>
      </c>
      <c r="G28" t="s">
        <v>352</v>
      </c>
      <c r="H28" t="s">
        <v>325</v>
      </c>
      <c r="I28">
        <v>462000000</v>
      </c>
      <c r="J28" t="s">
        <v>42</v>
      </c>
    </row>
    <row r="29" spans="1:10" x14ac:dyDescent="0.3">
      <c r="A29" t="s">
        <v>153</v>
      </c>
      <c r="B29" t="s">
        <v>465</v>
      </c>
      <c r="C29" t="s">
        <v>353</v>
      </c>
      <c r="D29" t="s">
        <v>1617</v>
      </c>
      <c r="E29" s="82">
        <f t="shared" si="0"/>
        <v>1</v>
      </c>
      <c r="F29" t="s">
        <v>18</v>
      </c>
      <c r="G29" t="s">
        <v>353</v>
      </c>
      <c r="H29" t="s">
        <v>325</v>
      </c>
      <c r="I29">
        <v>1006000000</v>
      </c>
      <c r="J29" t="s">
        <v>42</v>
      </c>
    </row>
    <row r="30" spans="1:10" x14ac:dyDescent="0.3">
      <c r="A30" t="s">
        <v>153</v>
      </c>
      <c r="B30" t="s">
        <v>466</v>
      </c>
      <c r="C30" t="s">
        <v>354</v>
      </c>
      <c r="D30" t="s">
        <v>1623</v>
      </c>
      <c r="E30" s="82">
        <f t="shared" si="0"/>
        <v>1</v>
      </c>
      <c r="F30" t="s">
        <v>18</v>
      </c>
      <c r="G30" t="s">
        <v>354</v>
      </c>
      <c r="H30" t="s">
        <v>325</v>
      </c>
      <c r="I30">
        <v>7000000</v>
      </c>
      <c r="J30" t="s">
        <v>42</v>
      </c>
    </row>
    <row r="31" spans="1:10" x14ac:dyDescent="0.3">
      <c r="A31" t="s">
        <v>153</v>
      </c>
      <c r="B31" t="s">
        <v>467</v>
      </c>
      <c r="C31" t="s">
        <v>355</v>
      </c>
      <c r="D31" t="s">
        <v>1616</v>
      </c>
      <c r="E31" s="82">
        <f t="shared" si="0"/>
        <v>1</v>
      </c>
      <c r="F31" t="s">
        <v>18</v>
      </c>
      <c r="G31" t="s">
        <v>355</v>
      </c>
      <c r="H31" t="s">
        <v>325</v>
      </c>
      <c r="I31">
        <v>68000000</v>
      </c>
      <c r="J31" t="s">
        <v>42</v>
      </c>
    </row>
    <row r="32" spans="1:10" x14ac:dyDescent="0.3">
      <c r="A32" t="s">
        <v>153</v>
      </c>
      <c r="B32" t="s">
        <v>468</v>
      </c>
      <c r="C32" t="s">
        <v>356</v>
      </c>
      <c r="D32" t="s">
        <v>1615</v>
      </c>
      <c r="E32" s="82">
        <f t="shared" si="0"/>
        <v>1</v>
      </c>
      <c r="F32" t="s">
        <v>18</v>
      </c>
      <c r="G32" t="s">
        <v>356</v>
      </c>
      <c r="H32" t="s">
        <v>325</v>
      </c>
      <c r="I32">
        <v>14000000</v>
      </c>
      <c r="J32" t="s">
        <v>42</v>
      </c>
    </row>
    <row r="33" spans="1:10" x14ac:dyDescent="0.3">
      <c r="A33" t="s">
        <v>153</v>
      </c>
      <c r="B33" t="s">
        <v>469</v>
      </c>
      <c r="C33" t="s">
        <v>357</v>
      </c>
      <c r="D33" t="s">
        <v>1615</v>
      </c>
      <c r="E33" s="82">
        <f t="shared" ref="E33:E64" si="1">SIGN(SUBTOTAL(3,F33))</f>
        <v>1</v>
      </c>
      <c r="F33" t="s">
        <v>18</v>
      </c>
      <c r="G33" t="s">
        <v>357</v>
      </c>
      <c r="H33" t="s">
        <v>325</v>
      </c>
      <c r="I33">
        <v>16000000</v>
      </c>
      <c r="J33" t="s">
        <v>42</v>
      </c>
    </row>
    <row r="34" spans="1:10" x14ac:dyDescent="0.3">
      <c r="A34" t="s">
        <v>153</v>
      </c>
      <c r="B34" t="s">
        <v>470</v>
      </c>
      <c r="C34" t="s">
        <v>358</v>
      </c>
      <c r="D34" t="s">
        <v>1615</v>
      </c>
      <c r="E34" s="82">
        <f t="shared" si="1"/>
        <v>1</v>
      </c>
      <c r="F34" t="s">
        <v>18</v>
      </c>
      <c r="G34" t="s">
        <v>358</v>
      </c>
      <c r="H34" t="s">
        <v>325</v>
      </c>
      <c r="I34">
        <v>11000000</v>
      </c>
      <c r="J34" t="s">
        <v>42</v>
      </c>
    </row>
    <row r="35" spans="1:10" x14ac:dyDescent="0.3">
      <c r="A35" t="s">
        <v>153</v>
      </c>
      <c r="B35" t="s">
        <v>471</v>
      </c>
      <c r="C35" t="s">
        <v>359</v>
      </c>
      <c r="D35" t="s">
        <v>1616</v>
      </c>
      <c r="E35" s="82">
        <f t="shared" si="1"/>
        <v>1</v>
      </c>
      <c r="F35" t="s">
        <v>18</v>
      </c>
      <c r="G35" t="s">
        <v>359</v>
      </c>
      <c r="H35" t="s">
        <v>325</v>
      </c>
      <c r="I35">
        <v>80000000</v>
      </c>
      <c r="J35" t="s">
        <v>42</v>
      </c>
    </row>
    <row r="36" spans="1:10" x14ac:dyDescent="0.3">
      <c r="A36" t="s">
        <v>153</v>
      </c>
      <c r="B36" t="s">
        <v>464</v>
      </c>
      <c r="C36" t="s">
        <v>360</v>
      </c>
      <c r="D36" t="s">
        <v>1615</v>
      </c>
      <c r="E36" s="82">
        <f t="shared" si="1"/>
        <v>1</v>
      </c>
      <c r="F36" t="s">
        <v>18</v>
      </c>
      <c r="G36" t="s">
        <v>360</v>
      </c>
      <c r="H36" t="s">
        <v>325</v>
      </c>
      <c r="I36">
        <v>18000000</v>
      </c>
      <c r="J36" t="s">
        <v>42</v>
      </c>
    </row>
    <row r="37" spans="1:10" x14ac:dyDescent="0.3">
      <c r="A37" t="s">
        <v>153</v>
      </c>
      <c r="B37" t="s">
        <v>472</v>
      </c>
      <c r="C37" t="s">
        <v>361</v>
      </c>
      <c r="D37" t="s">
        <v>1615</v>
      </c>
      <c r="E37" s="82">
        <f t="shared" si="1"/>
        <v>1</v>
      </c>
      <c r="F37" t="s">
        <v>18</v>
      </c>
      <c r="G37" t="s">
        <v>361</v>
      </c>
      <c r="H37" t="s">
        <v>325</v>
      </c>
      <c r="I37">
        <v>25000000</v>
      </c>
      <c r="J37" t="s">
        <v>42</v>
      </c>
    </row>
    <row r="38" spans="1:10" x14ac:dyDescent="0.3">
      <c r="A38" t="s">
        <v>153</v>
      </c>
      <c r="B38" t="s">
        <v>473</v>
      </c>
      <c r="C38" t="s">
        <v>362</v>
      </c>
      <c r="D38" t="s">
        <v>1623</v>
      </c>
      <c r="E38" s="82">
        <f t="shared" si="1"/>
        <v>1</v>
      </c>
      <c r="F38" t="s">
        <v>18</v>
      </c>
      <c r="G38" t="s">
        <v>362</v>
      </c>
      <c r="H38" t="s">
        <v>325</v>
      </c>
      <c r="I38">
        <v>1000000</v>
      </c>
      <c r="J38" t="s">
        <v>42</v>
      </c>
    </row>
    <row r="39" spans="1:10" x14ac:dyDescent="0.3">
      <c r="A39" t="s">
        <v>153</v>
      </c>
      <c r="B39" t="s">
        <v>474</v>
      </c>
      <c r="C39" t="s">
        <v>363</v>
      </c>
      <c r="D39" t="s">
        <v>1617</v>
      </c>
      <c r="E39" s="82">
        <f t="shared" si="1"/>
        <v>1</v>
      </c>
      <c r="F39" t="s">
        <v>18</v>
      </c>
      <c r="G39" t="s">
        <v>363</v>
      </c>
      <c r="H39" t="s">
        <v>325</v>
      </c>
      <c r="I39">
        <v>180000000</v>
      </c>
      <c r="J39" t="s">
        <v>42</v>
      </c>
    </row>
    <row r="40" spans="1:10" x14ac:dyDescent="0.3">
      <c r="A40" t="s">
        <v>153</v>
      </c>
      <c r="B40" t="s">
        <v>475</v>
      </c>
      <c r="C40" t="s">
        <v>364</v>
      </c>
      <c r="D40" t="s">
        <v>1615</v>
      </c>
      <c r="E40" s="82">
        <f t="shared" si="1"/>
        <v>1</v>
      </c>
      <c r="F40" t="s">
        <v>18</v>
      </c>
      <c r="G40" t="s">
        <v>364</v>
      </c>
      <c r="H40" t="s">
        <v>325</v>
      </c>
      <c r="I40">
        <v>10000000</v>
      </c>
      <c r="J40" t="s">
        <v>42</v>
      </c>
    </row>
    <row r="41" spans="1:10" x14ac:dyDescent="0.3">
      <c r="A41" t="s">
        <v>154</v>
      </c>
      <c r="B41" t="s">
        <v>476</v>
      </c>
      <c r="C41" t="s">
        <v>365</v>
      </c>
      <c r="D41" t="s">
        <v>1617</v>
      </c>
      <c r="E41" s="82">
        <f t="shared" si="1"/>
        <v>1</v>
      </c>
      <c r="F41" t="s">
        <v>18</v>
      </c>
      <c r="G41" t="s">
        <v>365</v>
      </c>
      <c r="H41" t="s">
        <v>325</v>
      </c>
      <c r="I41">
        <v>1013000000</v>
      </c>
      <c r="J41" t="s">
        <v>42</v>
      </c>
    </row>
    <row r="42" spans="1:10" x14ac:dyDescent="0.3">
      <c r="A42" t="s">
        <v>154</v>
      </c>
      <c r="B42" t="s">
        <v>477</v>
      </c>
      <c r="C42" t="s">
        <v>366</v>
      </c>
      <c r="D42" t="s">
        <v>1615</v>
      </c>
      <c r="E42" s="82">
        <f t="shared" si="1"/>
        <v>1</v>
      </c>
      <c r="F42" t="s">
        <v>18</v>
      </c>
      <c r="G42" t="s">
        <v>366</v>
      </c>
      <c r="H42" t="s">
        <v>325</v>
      </c>
      <c r="I42">
        <v>32000000</v>
      </c>
      <c r="J42" t="s">
        <v>42</v>
      </c>
    </row>
    <row r="43" spans="1:10" x14ac:dyDescent="0.3">
      <c r="A43" t="s">
        <v>1690</v>
      </c>
      <c r="B43" t="s">
        <v>1683</v>
      </c>
      <c r="C43" t="s">
        <v>1694</v>
      </c>
      <c r="D43" t="s">
        <v>1617</v>
      </c>
      <c r="E43" s="82">
        <f t="shared" si="1"/>
        <v>1</v>
      </c>
      <c r="F43" t="s">
        <v>18</v>
      </c>
      <c r="G43" t="s">
        <v>1694</v>
      </c>
      <c r="H43" t="s">
        <v>325</v>
      </c>
      <c r="I43">
        <v>508000000</v>
      </c>
      <c r="J43" t="s">
        <v>42</v>
      </c>
    </row>
    <row r="44" spans="1:10" x14ac:dyDescent="0.3">
      <c r="A44" t="s">
        <v>1690</v>
      </c>
      <c r="B44" t="s">
        <v>1684</v>
      </c>
      <c r="C44" t="s">
        <v>1695</v>
      </c>
      <c r="D44" t="s">
        <v>1615</v>
      </c>
      <c r="E44" s="82">
        <f t="shared" si="1"/>
        <v>1</v>
      </c>
      <c r="F44" t="s">
        <v>18</v>
      </c>
      <c r="G44" t="s">
        <v>1695</v>
      </c>
      <c r="H44" t="s">
        <v>325</v>
      </c>
      <c r="I44">
        <v>3000000</v>
      </c>
      <c r="J44" t="s">
        <v>42</v>
      </c>
    </row>
    <row r="45" spans="1:10" x14ac:dyDescent="0.3">
      <c r="A45" t="s">
        <v>1690</v>
      </c>
      <c r="B45" t="s">
        <v>1685</v>
      </c>
      <c r="C45" t="s">
        <v>1696</v>
      </c>
      <c r="D45" t="s">
        <v>1615</v>
      </c>
      <c r="E45" s="82">
        <f t="shared" si="1"/>
        <v>1</v>
      </c>
      <c r="F45" t="s">
        <v>18</v>
      </c>
      <c r="G45" t="s">
        <v>1696</v>
      </c>
      <c r="H45" t="s">
        <v>325</v>
      </c>
      <c r="I45">
        <v>43000000</v>
      </c>
      <c r="J45" t="s">
        <v>42</v>
      </c>
    </row>
    <row r="46" spans="1:10" x14ac:dyDescent="0.3">
      <c r="A46" t="s">
        <v>1690</v>
      </c>
      <c r="B46" t="s">
        <v>1686</v>
      </c>
      <c r="C46" t="s">
        <v>1697</v>
      </c>
      <c r="D46" t="s">
        <v>1615</v>
      </c>
      <c r="E46" s="82">
        <f t="shared" si="1"/>
        <v>1</v>
      </c>
      <c r="F46" t="s">
        <v>18</v>
      </c>
      <c r="G46" t="s">
        <v>1697</v>
      </c>
      <c r="H46" t="s">
        <v>325</v>
      </c>
      <c r="I46">
        <v>30000000</v>
      </c>
      <c r="J46" t="s">
        <v>42</v>
      </c>
    </row>
    <row r="47" spans="1:10" x14ac:dyDescent="0.3">
      <c r="A47" t="s">
        <v>1690</v>
      </c>
      <c r="B47" t="s">
        <v>1687</v>
      </c>
      <c r="C47" t="s">
        <v>1698</v>
      </c>
      <c r="D47" t="s">
        <v>1616</v>
      </c>
      <c r="E47" s="82">
        <f t="shared" si="1"/>
        <v>1</v>
      </c>
      <c r="F47" t="s">
        <v>18</v>
      </c>
      <c r="G47" t="s">
        <v>1698</v>
      </c>
      <c r="H47" t="s">
        <v>325</v>
      </c>
      <c r="I47">
        <v>67000000</v>
      </c>
      <c r="J47" t="s">
        <v>42</v>
      </c>
    </row>
    <row r="48" spans="1:10" x14ac:dyDescent="0.3">
      <c r="A48" t="s">
        <v>156</v>
      </c>
      <c r="B48" t="s">
        <v>478</v>
      </c>
      <c r="C48" t="s">
        <v>367</v>
      </c>
      <c r="D48" t="s">
        <v>1617</v>
      </c>
      <c r="E48" s="82">
        <f t="shared" si="1"/>
        <v>1</v>
      </c>
      <c r="F48" t="s">
        <v>18</v>
      </c>
      <c r="G48" t="s">
        <v>367</v>
      </c>
      <c r="H48" t="s">
        <v>325</v>
      </c>
      <c r="I48">
        <v>140000000</v>
      </c>
      <c r="J48" t="s">
        <v>42</v>
      </c>
    </row>
    <row r="49" spans="1:10" x14ac:dyDescent="0.3">
      <c r="A49" t="s">
        <v>156</v>
      </c>
      <c r="B49" t="s">
        <v>478</v>
      </c>
      <c r="C49" t="s">
        <v>368</v>
      </c>
      <c r="D49" t="s">
        <v>1617</v>
      </c>
      <c r="E49" s="82">
        <f t="shared" si="1"/>
        <v>1</v>
      </c>
      <c r="F49" t="s">
        <v>18</v>
      </c>
      <c r="G49" t="s">
        <v>368</v>
      </c>
      <c r="H49" t="s">
        <v>325</v>
      </c>
      <c r="I49">
        <v>992000000</v>
      </c>
      <c r="J49" t="s">
        <v>42</v>
      </c>
    </row>
    <row r="50" spans="1:10" x14ac:dyDescent="0.3">
      <c r="A50" t="s">
        <v>157</v>
      </c>
      <c r="B50" t="s">
        <v>479</v>
      </c>
      <c r="C50" t="s">
        <v>369</v>
      </c>
      <c r="D50" t="s">
        <v>1616</v>
      </c>
      <c r="E50" s="82">
        <f t="shared" si="1"/>
        <v>1</v>
      </c>
      <c r="F50" t="s">
        <v>18</v>
      </c>
      <c r="G50" t="s">
        <v>369</v>
      </c>
      <c r="H50" t="s">
        <v>325</v>
      </c>
      <c r="I50">
        <v>134000000</v>
      </c>
      <c r="J50" t="s">
        <v>42</v>
      </c>
    </row>
    <row r="51" spans="1:10" x14ac:dyDescent="0.3">
      <c r="A51" t="s">
        <v>158</v>
      </c>
      <c r="B51" t="s">
        <v>480</v>
      </c>
      <c r="C51" t="s">
        <v>370</v>
      </c>
      <c r="D51" t="s">
        <v>1615</v>
      </c>
      <c r="E51" s="82">
        <f t="shared" si="1"/>
        <v>1</v>
      </c>
      <c r="F51" t="s">
        <v>18</v>
      </c>
      <c r="G51" t="s">
        <v>370</v>
      </c>
      <c r="H51" t="s">
        <v>325</v>
      </c>
      <c r="I51">
        <v>25000000</v>
      </c>
      <c r="J51" t="s">
        <v>42</v>
      </c>
    </row>
    <row r="52" spans="1:10" x14ac:dyDescent="0.3">
      <c r="A52" t="s">
        <v>159</v>
      </c>
      <c r="B52" t="s">
        <v>481</v>
      </c>
      <c r="C52" t="s">
        <v>371</v>
      </c>
      <c r="D52" t="s">
        <v>1615</v>
      </c>
      <c r="E52" s="82">
        <f t="shared" si="1"/>
        <v>1</v>
      </c>
      <c r="F52" t="s">
        <v>18</v>
      </c>
      <c r="G52" t="s">
        <v>371</v>
      </c>
      <c r="H52" t="s">
        <v>325</v>
      </c>
      <c r="I52">
        <v>16000000</v>
      </c>
      <c r="J52" t="s">
        <v>42</v>
      </c>
    </row>
    <row r="53" spans="1:10" x14ac:dyDescent="0.3">
      <c r="A53" t="s">
        <v>160</v>
      </c>
      <c r="B53" t="s">
        <v>482</v>
      </c>
      <c r="C53" t="s">
        <v>372</v>
      </c>
      <c r="D53" t="s">
        <v>1616</v>
      </c>
      <c r="E53" s="82">
        <f t="shared" si="1"/>
        <v>1</v>
      </c>
      <c r="F53" t="s">
        <v>18</v>
      </c>
      <c r="G53" t="s">
        <v>372</v>
      </c>
      <c r="H53" t="s">
        <v>325</v>
      </c>
      <c r="I53">
        <v>281000000</v>
      </c>
      <c r="J53" t="s">
        <v>42</v>
      </c>
    </row>
    <row r="54" spans="1:10" x14ac:dyDescent="0.3">
      <c r="A54" t="s">
        <v>160</v>
      </c>
      <c r="B54" t="s">
        <v>483</v>
      </c>
      <c r="C54" t="s">
        <v>373</v>
      </c>
      <c r="D54" t="s">
        <v>1615</v>
      </c>
      <c r="E54" s="82">
        <f t="shared" si="1"/>
        <v>1</v>
      </c>
      <c r="F54" t="s">
        <v>18</v>
      </c>
      <c r="G54" t="s">
        <v>373</v>
      </c>
      <c r="H54" t="s">
        <v>325</v>
      </c>
      <c r="I54">
        <v>342000000</v>
      </c>
      <c r="J54" t="s">
        <v>42</v>
      </c>
    </row>
    <row r="55" spans="1:10" x14ac:dyDescent="0.3">
      <c r="A55" t="s">
        <v>161</v>
      </c>
      <c r="B55" t="s">
        <v>484</v>
      </c>
      <c r="C55" t="s">
        <v>374</v>
      </c>
      <c r="D55" t="s">
        <v>1616</v>
      </c>
      <c r="E55" s="82">
        <f t="shared" si="1"/>
        <v>1</v>
      </c>
      <c r="F55" t="s">
        <v>18</v>
      </c>
      <c r="G55" t="s">
        <v>374</v>
      </c>
      <c r="H55" t="s">
        <v>325</v>
      </c>
      <c r="I55">
        <v>83000000</v>
      </c>
      <c r="J55" t="s">
        <v>42</v>
      </c>
    </row>
    <row r="56" spans="1:10" x14ac:dyDescent="0.3">
      <c r="A56" t="s">
        <v>163</v>
      </c>
      <c r="B56" t="s">
        <v>485</v>
      </c>
      <c r="C56" t="s">
        <v>375</v>
      </c>
      <c r="D56" t="s">
        <v>1617</v>
      </c>
      <c r="E56" s="82">
        <f t="shared" si="1"/>
        <v>1</v>
      </c>
      <c r="F56" t="s">
        <v>18</v>
      </c>
      <c r="G56" t="s">
        <v>375</v>
      </c>
      <c r="H56" t="s">
        <v>325</v>
      </c>
      <c r="I56">
        <v>233000000</v>
      </c>
      <c r="J56" t="s">
        <v>42</v>
      </c>
    </row>
    <row r="57" spans="1:10" x14ac:dyDescent="0.3">
      <c r="A57" t="s">
        <v>164</v>
      </c>
      <c r="B57" t="s">
        <v>486</v>
      </c>
      <c r="C57" t="s">
        <v>376</v>
      </c>
      <c r="D57" t="s">
        <v>1617</v>
      </c>
      <c r="E57" s="82">
        <f t="shared" si="1"/>
        <v>1</v>
      </c>
      <c r="F57" t="s">
        <v>18</v>
      </c>
      <c r="G57" t="s">
        <v>376</v>
      </c>
      <c r="H57" t="s">
        <v>325</v>
      </c>
      <c r="I57">
        <v>545000000</v>
      </c>
      <c r="J57" t="s">
        <v>42</v>
      </c>
    </row>
    <row r="58" spans="1:10" x14ac:dyDescent="0.3">
      <c r="A58" t="s">
        <v>165</v>
      </c>
      <c r="B58" t="s">
        <v>487</v>
      </c>
      <c r="C58" t="s">
        <v>377</v>
      </c>
      <c r="D58" t="s">
        <v>1617</v>
      </c>
      <c r="E58" s="82">
        <f t="shared" si="1"/>
        <v>1</v>
      </c>
      <c r="F58" t="s">
        <v>18</v>
      </c>
      <c r="G58" t="s">
        <v>377</v>
      </c>
      <c r="H58" t="s">
        <v>325</v>
      </c>
      <c r="I58">
        <v>315000000</v>
      </c>
      <c r="J58" t="s">
        <v>42</v>
      </c>
    </row>
    <row r="59" spans="1:10" x14ac:dyDescent="0.3">
      <c r="A59" t="s">
        <v>165</v>
      </c>
      <c r="B59" t="s">
        <v>488</v>
      </c>
      <c r="C59" t="s">
        <v>378</v>
      </c>
      <c r="D59" t="s">
        <v>1615</v>
      </c>
      <c r="E59" s="82">
        <f t="shared" si="1"/>
        <v>1</v>
      </c>
      <c r="F59" t="s">
        <v>18</v>
      </c>
      <c r="G59" t="s">
        <v>378</v>
      </c>
      <c r="H59" t="s">
        <v>325</v>
      </c>
      <c r="I59">
        <v>27000000</v>
      </c>
      <c r="J59" t="s">
        <v>42</v>
      </c>
    </row>
    <row r="60" spans="1:10" x14ac:dyDescent="0.3">
      <c r="A60" t="s">
        <v>166</v>
      </c>
      <c r="B60" t="s">
        <v>489</v>
      </c>
      <c r="C60" t="s">
        <v>379</v>
      </c>
      <c r="D60" t="s">
        <v>1617</v>
      </c>
      <c r="E60" s="82">
        <f t="shared" si="1"/>
        <v>1</v>
      </c>
      <c r="F60" t="s">
        <v>18</v>
      </c>
      <c r="G60" t="s">
        <v>379</v>
      </c>
      <c r="H60" t="s">
        <v>325</v>
      </c>
      <c r="I60">
        <v>341000000</v>
      </c>
      <c r="J60" t="s">
        <v>42</v>
      </c>
    </row>
    <row r="61" spans="1:10" x14ac:dyDescent="0.3">
      <c r="A61" t="s">
        <v>168</v>
      </c>
      <c r="B61" t="s">
        <v>490</v>
      </c>
      <c r="C61" t="s">
        <v>380</v>
      </c>
      <c r="D61" t="s">
        <v>1616</v>
      </c>
      <c r="E61" s="82">
        <f t="shared" si="1"/>
        <v>1</v>
      </c>
      <c r="F61" t="s">
        <v>18</v>
      </c>
      <c r="G61" t="s">
        <v>380</v>
      </c>
      <c r="H61" t="s">
        <v>325</v>
      </c>
      <c r="I61">
        <v>89000000</v>
      </c>
      <c r="J61" t="s">
        <v>42</v>
      </c>
    </row>
    <row r="62" spans="1:10" x14ac:dyDescent="0.3">
      <c r="A62" t="s">
        <v>168</v>
      </c>
      <c r="B62" t="s">
        <v>491</v>
      </c>
      <c r="C62" t="s">
        <v>381</v>
      </c>
      <c r="D62" t="s">
        <v>1616</v>
      </c>
      <c r="E62" s="82">
        <f t="shared" si="1"/>
        <v>1</v>
      </c>
      <c r="F62" t="s">
        <v>18</v>
      </c>
      <c r="G62" t="s">
        <v>381</v>
      </c>
      <c r="H62" t="s">
        <v>325</v>
      </c>
      <c r="I62">
        <v>109000000</v>
      </c>
      <c r="J62" t="s">
        <v>42</v>
      </c>
    </row>
    <row r="63" spans="1:10" x14ac:dyDescent="0.3">
      <c r="A63" t="s">
        <v>169</v>
      </c>
      <c r="B63" t="s">
        <v>492</v>
      </c>
      <c r="C63" t="s">
        <v>382</v>
      </c>
      <c r="D63" t="s">
        <v>1615</v>
      </c>
      <c r="E63" s="82">
        <f t="shared" si="1"/>
        <v>1</v>
      </c>
      <c r="F63" t="s">
        <v>18</v>
      </c>
      <c r="G63" t="s">
        <v>382</v>
      </c>
      <c r="H63" t="s">
        <v>325</v>
      </c>
      <c r="I63">
        <v>20000000</v>
      </c>
      <c r="J63" t="s">
        <v>42</v>
      </c>
    </row>
    <row r="64" spans="1:10" x14ac:dyDescent="0.3">
      <c r="A64" t="s">
        <v>170</v>
      </c>
      <c r="B64" t="s">
        <v>493</v>
      </c>
      <c r="C64" t="s">
        <v>383</v>
      </c>
      <c r="D64" t="s">
        <v>1616</v>
      </c>
      <c r="E64" s="82">
        <f t="shared" si="1"/>
        <v>1</v>
      </c>
      <c r="F64" t="s">
        <v>18</v>
      </c>
      <c r="G64" t="s">
        <v>383</v>
      </c>
      <c r="H64" t="s">
        <v>325</v>
      </c>
      <c r="I64">
        <v>17000000</v>
      </c>
      <c r="J64" t="s">
        <v>42</v>
      </c>
    </row>
    <row r="65" spans="1:10" x14ac:dyDescent="0.3">
      <c r="A65" t="s">
        <v>171</v>
      </c>
      <c r="B65" t="s">
        <v>494</v>
      </c>
      <c r="C65" t="s">
        <v>384</v>
      </c>
      <c r="D65" t="s">
        <v>1617</v>
      </c>
      <c r="E65" s="82">
        <f t="shared" ref="E65:E95" si="2">SIGN(SUBTOTAL(3,F65))</f>
        <v>1</v>
      </c>
      <c r="F65" t="s">
        <v>18</v>
      </c>
      <c r="G65" t="s">
        <v>384</v>
      </c>
      <c r="H65" t="s">
        <v>325</v>
      </c>
      <c r="I65">
        <v>471000000</v>
      </c>
      <c r="J65" t="s">
        <v>42</v>
      </c>
    </row>
    <row r="66" spans="1:10" x14ac:dyDescent="0.3">
      <c r="A66" t="s">
        <v>171</v>
      </c>
      <c r="B66" t="s">
        <v>495</v>
      </c>
      <c r="C66" t="s">
        <v>385</v>
      </c>
      <c r="D66" t="s">
        <v>1615</v>
      </c>
      <c r="E66" s="82">
        <f t="shared" si="2"/>
        <v>1</v>
      </c>
      <c r="F66" t="s">
        <v>18</v>
      </c>
      <c r="G66" t="s">
        <v>385</v>
      </c>
      <c r="H66" t="s">
        <v>325</v>
      </c>
      <c r="I66">
        <v>29000000</v>
      </c>
      <c r="J66" t="s">
        <v>42</v>
      </c>
    </row>
    <row r="67" spans="1:10" x14ac:dyDescent="0.3">
      <c r="A67" t="s">
        <v>173</v>
      </c>
      <c r="B67" t="s">
        <v>496</v>
      </c>
      <c r="C67" t="s">
        <v>386</v>
      </c>
      <c r="D67" t="s">
        <v>1617</v>
      </c>
      <c r="E67" s="82">
        <f t="shared" si="2"/>
        <v>1</v>
      </c>
      <c r="F67" t="s">
        <v>18</v>
      </c>
      <c r="G67" t="s">
        <v>386</v>
      </c>
      <c r="H67" t="s">
        <v>325</v>
      </c>
      <c r="I67">
        <v>774000000</v>
      </c>
      <c r="J67" t="s">
        <v>42</v>
      </c>
    </row>
    <row r="68" spans="1:10" x14ac:dyDescent="0.3">
      <c r="A68" t="s">
        <v>174</v>
      </c>
      <c r="B68" t="s">
        <v>497</v>
      </c>
      <c r="C68" t="s">
        <v>387</v>
      </c>
      <c r="D68" t="s">
        <v>1616</v>
      </c>
      <c r="E68" s="82">
        <f t="shared" si="2"/>
        <v>1</v>
      </c>
      <c r="F68" t="s">
        <v>18</v>
      </c>
      <c r="G68" t="s">
        <v>387</v>
      </c>
      <c r="H68" t="s">
        <v>325</v>
      </c>
      <c r="I68">
        <v>29000000</v>
      </c>
      <c r="J68" t="s">
        <v>42</v>
      </c>
    </row>
    <row r="69" spans="1:10" x14ac:dyDescent="0.3">
      <c r="A69" t="s">
        <v>175</v>
      </c>
      <c r="B69" t="s">
        <v>498</v>
      </c>
      <c r="C69" t="s">
        <v>388</v>
      </c>
      <c r="D69" t="s">
        <v>1615</v>
      </c>
      <c r="E69" s="82">
        <f t="shared" si="2"/>
        <v>1</v>
      </c>
      <c r="F69" t="s">
        <v>18</v>
      </c>
      <c r="G69" t="s">
        <v>388</v>
      </c>
      <c r="H69" t="s">
        <v>325</v>
      </c>
      <c r="I69">
        <v>21000000</v>
      </c>
      <c r="J69" t="s">
        <v>42</v>
      </c>
    </row>
    <row r="70" spans="1:10" x14ac:dyDescent="0.3">
      <c r="A70" t="s">
        <v>175</v>
      </c>
      <c r="B70" t="s">
        <v>499</v>
      </c>
      <c r="C70" t="s">
        <v>389</v>
      </c>
      <c r="D70" t="s">
        <v>1615</v>
      </c>
      <c r="E70" s="82">
        <f t="shared" si="2"/>
        <v>1</v>
      </c>
      <c r="F70" t="s">
        <v>18</v>
      </c>
      <c r="G70" t="s">
        <v>389</v>
      </c>
      <c r="H70" t="s">
        <v>325</v>
      </c>
      <c r="I70">
        <v>32000000</v>
      </c>
      <c r="J70" t="s">
        <v>42</v>
      </c>
    </row>
    <row r="71" spans="1:10" x14ac:dyDescent="0.3">
      <c r="A71" t="s">
        <v>175</v>
      </c>
      <c r="B71" t="s">
        <v>500</v>
      </c>
      <c r="C71" t="s">
        <v>390</v>
      </c>
      <c r="D71" t="s">
        <v>1615</v>
      </c>
      <c r="E71" s="82">
        <f t="shared" si="2"/>
        <v>1</v>
      </c>
      <c r="F71" t="s">
        <v>18</v>
      </c>
      <c r="G71" t="s">
        <v>390</v>
      </c>
      <c r="H71" t="s">
        <v>325</v>
      </c>
      <c r="I71">
        <v>45000000</v>
      </c>
      <c r="J71" t="s">
        <v>42</v>
      </c>
    </row>
    <row r="72" spans="1:10" x14ac:dyDescent="0.3">
      <c r="A72" t="s">
        <v>175</v>
      </c>
      <c r="B72" t="s">
        <v>175</v>
      </c>
      <c r="C72" t="s">
        <v>391</v>
      </c>
      <c r="D72" t="s">
        <v>1615</v>
      </c>
      <c r="E72" s="82">
        <f t="shared" si="2"/>
        <v>1</v>
      </c>
      <c r="F72" t="s">
        <v>18</v>
      </c>
      <c r="G72" t="s">
        <v>391</v>
      </c>
      <c r="H72" t="s">
        <v>325</v>
      </c>
      <c r="I72">
        <v>8000000</v>
      </c>
      <c r="J72" t="s">
        <v>42</v>
      </c>
    </row>
    <row r="73" spans="1:10" x14ac:dyDescent="0.3">
      <c r="A73" t="s">
        <v>175</v>
      </c>
      <c r="B73" t="s">
        <v>175</v>
      </c>
      <c r="C73" t="s">
        <v>392</v>
      </c>
      <c r="D73" t="s">
        <v>1617</v>
      </c>
      <c r="E73" s="82">
        <f t="shared" si="2"/>
        <v>1</v>
      </c>
      <c r="F73" t="s">
        <v>18</v>
      </c>
      <c r="G73" t="s">
        <v>392</v>
      </c>
      <c r="H73" t="s">
        <v>325</v>
      </c>
      <c r="I73">
        <v>1611000000</v>
      </c>
      <c r="J73" t="s">
        <v>42</v>
      </c>
    </row>
    <row r="74" spans="1:10" x14ac:dyDescent="0.3">
      <c r="A74" t="s">
        <v>175</v>
      </c>
      <c r="B74" t="s">
        <v>175</v>
      </c>
      <c r="C74" t="s">
        <v>393</v>
      </c>
      <c r="D74" t="s">
        <v>1617</v>
      </c>
      <c r="E74" s="82">
        <f t="shared" si="2"/>
        <v>1</v>
      </c>
      <c r="F74" t="s">
        <v>18</v>
      </c>
      <c r="G74" t="s">
        <v>393</v>
      </c>
      <c r="H74" t="s">
        <v>325</v>
      </c>
      <c r="I74">
        <v>261000000</v>
      </c>
      <c r="J74" t="s">
        <v>42</v>
      </c>
    </row>
    <row r="75" spans="1:10" x14ac:dyDescent="0.3">
      <c r="A75" t="s">
        <v>175</v>
      </c>
      <c r="B75" t="s">
        <v>501</v>
      </c>
      <c r="C75" t="s">
        <v>394</v>
      </c>
      <c r="D75" t="s">
        <v>1615</v>
      </c>
      <c r="E75" s="82">
        <f t="shared" si="2"/>
        <v>1</v>
      </c>
      <c r="F75" t="s">
        <v>18</v>
      </c>
      <c r="G75" t="s">
        <v>394</v>
      </c>
      <c r="H75" t="s">
        <v>325</v>
      </c>
      <c r="I75">
        <v>18000000</v>
      </c>
      <c r="J75" t="s">
        <v>42</v>
      </c>
    </row>
    <row r="76" spans="1:10" x14ac:dyDescent="0.3">
      <c r="A76" t="s">
        <v>175</v>
      </c>
      <c r="B76" t="s">
        <v>502</v>
      </c>
      <c r="C76" t="s">
        <v>395</v>
      </c>
      <c r="D76" t="s">
        <v>1623</v>
      </c>
      <c r="E76" s="82">
        <f t="shared" si="2"/>
        <v>1</v>
      </c>
      <c r="F76" t="s">
        <v>18</v>
      </c>
      <c r="G76" t="s">
        <v>395</v>
      </c>
      <c r="H76" t="s">
        <v>325</v>
      </c>
      <c r="I76">
        <v>6000000</v>
      </c>
      <c r="J76" t="s">
        <v>42</v>
      </c>
    </row>
    <row r="77" spans="1:10" x14ac:dyDescent="0.3">
      <c r="A77" t="s">
        <v>175</v>
      </c>
      <c r="B77" t="s">
        <v>503</v>
      </c>
      <c r="C77" t="s">
        <v>396</v>
      </c>
      <c r="D77" t="s">
        <v>1615</v>
      </c>
      <c r="E77" s="82">
        <f t="shared" si="2"/>
        <v>1</v>
      </c>
      <c r="F77" t="s">
        <v>18</v>
      </c>
      <c r="G77" t="s">
        <v>396</v>
      </c>
      <c r="H77" t="s">
        <v>325</v>
      </c>
      <c r="I77">
        <v>20000000</v>
      </c>
      <c r="J77" t="s">
        <v>42</v>
      </c>
    </row>
    <row r="78" spans="1:10" x14ac:dyDescent="0.3">
      <c r="A78" t="s">
        <v>176</v>
      </c>
      <c r="B78" t="s">
        <v>504</v>
      </c>
      <c r="C78" t="s">
        <v>397</v>
      </c>
      <c r="D78" t="s">
        <v>1615</v>
      </c>
      <c r="E78" s="82">
        <f t="shared" si="2"/>
        <v>1</v>
      </c>
      <c r="F78" t="s">
        <v>18</v>
      </c>
      <c r="G78" t="s">
        <v>397</v>
      </c>
      <c r="H78" t="s">
        <v>325</v>
      </c>
      <c r="I78">
        <v>13000000</v>
      </c>
      <c r="J78" t="s">
        <v>42</v>
      </c>
    </row>
    <row r="79" spans="1:10" x14ac:dyDescent="0.3">
      <c r="A79" t="s">
        <v>176</v>
      </c>
      <c r="B79" t="s">
        <v>505</v>
      </c>
      <c r="C79" t="s">
        <v>398</v>
      </c>
      <c r="D79" t="s">
        <v>1617</v>
      </c>
      <c r="E79" s="82">
        <f t="shared" si="2"/>
        <v>1</v>
      </c>
      <c r="F79" t="s">
        <v>18</v>
      </c>
      <c r="G79" t="s">
        <v>398</v>
      </c>
      <c r="H79" t="s">
        <v>325</v>
      </c>
      <c r="I79">
        <v>492000000</v>
      </c>
      <c r="J79" t="s">
        <v>42</v>
      </c>
    </row>
    <row r="80" spans="1:10" x14ac:dyDescent="0.3">
      <c r="A80" t="s">
        <v>176</v>
      </c>
      <c r="B80" t="s">
        <v>506</v>
      </c>
      <c r="C80" t="s">
        <v>399</v>
      </c>
      <c r="D80" t="s">
        <v>1615</v>
      </c>
      <c r="E80" s="82">
        <f t="shared" si="2"/>
        <v>1</v>
      </c>
      <c r="F80" t="s">
        <v>18</v>
      </c>
      <c r="G80" t="s">
        <v>399</v>
      </c>
      <c r="H80" t="s">
        <v>325</v>
      </c>
      <c r="I80">
        <v>3000000</v>
      </c>
      <c r="J80" t="s">
        <v>42</v>
      </c>
    </row>
    <row r="81" spans="1:10" x14ac:dyDescent="0.3">
      <c r="A81" t="s">
        <v>176</v>
      </c>
      <c r="B81" t="s">
        <v>507</v>
      </c>
      <c r="C81" t="s">
        <v>400</v>
      </c>
      <c r="D81" t="s">
        <v>1616</v>
      </c>
      <c r="E81" s="82">
        <f t="shared" si="2"/>
        <v>1</v>
      </c>
      <c r="F81" t="s">
        <v>18</v>
      </c>
      <c r="G81" t="s">
        <v>400</v>
      </c>
      <c r="H81" t="s">
        <v>325</v>
      </c>
      <c r="I81">
        <v>125000000</v>
      </c>
      <c r="J81" t="s">
        <v>42</v>
      </c>
    </row>
    <row r="82" spans="1:10" x14ac:dyDescent="0.3">
      <c r="A82" t="s">
        <v>177</v>
      </c>
      <c r="B82" t="s">
        <v>508</v>
      </c>
      <c r="C82" t="s">
        <v>401</v>
      </c>
      <c r="D82" t="s">
        <v>1623</v>
      </c>
      <c r="E82" s="82">
        <f t="shared" si="2"/>
        <v>1</v>
      </c>
      <c r="F82" t="s">
        <v>18</v>
      </c>
      <c r="G82" t="s">
        <v>401</v>
      </c>
      <c r="H82" t="s">
        <v>325</v>
      </c>
      <c r="I82">
        <v>1000000</v>
      </c>
      <c r="J82" t="s">
        <v>42</v>
      </c>
    </row>
    <row r="83" spans="1:10" x14ac:dyDescent="0.3">
      <c r="A83" t="s">
        <v>178</v>
      </c>
      <c r="B83" t="s">
        <v>509</v>
      </c>
      <c r="C83" t="s">
        <v>402</v>
      </c>
      <c r="D83" t="s">
        <v>1616</v>
      </c>
      <c r="E83" s="82">
        <f t="shared" si="2"/>
        <v>1</v>
      </c>
      <c r="F83" t="s">
        <v>18</v>
      </c>
      <c r="G83" t="s">
        <v>402</v>
      </c>
      <c r="H83" t="s">
        <v>325</v>
      </c>
      <c r="I83">
        <v>71000000</v>
      </c>
      <c r="J83" t="s">
        <v>42</v>
      </c>
    </row>
    <row r="84" spans="1:10" x14ac:dyDescent="0.3">
      <c r="A84" t="s">
        <v>178</v>
      </c>
      <c r="B84" t="s">
        <v>510</v>
      </c>
      <c r="C84" t="s">
        <v>403</v>
      </c>
      <c r="D84" t="s">
        <v>1616</v>
      </c>
      <c r="E84" s="82">
        <f t="shared" si="2"/>
        <v>1</v>
      </c>
      <c r="F84" t="s">
        <v>18</v>
      </c>
      <c r="G84" t="s">
        <v>403</v>
      </c>
      <c r="H84" t="s">
        <v>325</v>
      </c>
      <c r="I84">
        <v>65000000</v>
      </c>
      <c r="J84" t="s">
        <v>42</v>
      </c>
    </row>
    <row r="85" spans="1:10" x14ac:dyDescent="0.3">
      <c r="A85" t="s">
        <v>178</v>
      </c>
      <c r="B85" t="s">
        <v>510</v>
      </c>
      <c r="C85" t="s">
        <v>404</v>
      </c>
      <c r="D85" t="s">
        <v>1623</v>
      </c>
      <c r="E85" s="82">
        <f t="shared" si="2"/>
        <v>1</v>
      </c>
      <c r="F85" t="s">
        <v>18</v>
      </c>
      <c r="G85" t="s">
        <v>404</v>
      </c>
      <c r="H85" t="s">
        <v>325</v>
      </c>
      <c r="I85">
        <v>6000000</v>
      </c>
      <c r="J85" t="s">
        <v>42</v>
      </c>
    </row>
    <row r="86" spans="1:10" x14ac:dyDescent="0.3">
      <c r="A86" t="s">
        <v>179</v>
      </c>
      <c r="B86" t="s">
        <v>511</v>
      </c>
      <c r="C86" t="s">
        <v>405</v>
      </c>
      <c r="D86" t="s">
        <v>1615</v>
      </c>
      <c r="E86" s="82">
        <f t="shared" si="2"/>
        <v>1</v>
      </c>
      <c r="F86" t="s">
        <v>18</v>
      </c>
      <c r="G86" t="s">
        <v>405</v>
      </c>
      <c r="H86" t="s">
        <v>325</v>
      </c>
      <c r="I86">
        <v>35000000</v>
      </c>
      <c r="J86" t="s">
        <v>42</v>
      </c>
    </row>
    <row r="87" spans="1:10" x14ac:dyDescent="0.3">
      <c r="A87" t="s">
        <v>179</v>
      </c>
      <c r="B87" t="s">
        <v>512</v>
      </c>
      <c r="C87" t="s">
        <v>406</v>
      </c>
      <c r="D87" t="s">
        <v>1615</v>
      </c>
      <c r="E87" s="82">
        <f t="shared" si="2"/>
        <v>1</v>
      </c>
      <c r="F87" t="s">
        <v>18</v>
      </c>
      <c r="G87" t="s">
        <v>406</v>
      </c>
      <c r="H87" t="s">
        <v>325</v>
      </c>
      <c r="I87">
        <v>19000000</v>
      </c>
      <c r="J87" t="s">
        <v>42</v>
      </c>
    </row>
    <row r="88" spans="1:10" x14ac:dyDescent="0.3">
      <c r="A88" t="s">
        <v>180</v>
      </c>
      <c r="B88" t="s">
        <v>513</v>
      </c>
      <c r="C88" t="s">
        <v>407</v>
      </c>
      <c r="D88" t="s">
        <v>1615</v>
      </c>
      <c r="E88" s="82">
        <f t="shared" si="2"/>
        <v>1</v>
      </c>
      <c r="F88" t="s">
        <v>18</v>
      </c>
      <c r="G88" t="s">
        <v>407</v>
      </c>
      <c r="H88" t="s">
        <v>325</v>
      </c>
      <c r="I88">
        <v>10000000</v>
      </c>
      <c r="J88" t="s">
        <v>42</v>
      </c>
    </row>
    <row r="89" spans="1:10" x14ac:dyDescent="0.3">
      <c r="A89" t="s">
        <v>180</v>
      </c>
      <c r="B89" t="s">
        <v>514</v>
      </c>
      <c r="C89" t="s">
        <v>408</v>
      </c>
      <c r="D89" t="s">
        <v>1616</v>
      </c>
      <c r="E89" s="82">
        <f t="shared" si="2"/>
        <v>1</v>
      </c>
      <c r="F89" t="s">
        <v>18</v>
      </c>
      <c r="G89" t="s">
        <v>408</v>
      </c>
      <c r="H89" t="s">
        <v>325</v>
      </c>
      <c r="I89">
        <v>177000000</v>
      </c>
      <c r="J89" t="s">
        <v>42</v>
      </c>
    </row>
    <row r="90" spans="1:10" x14ac:dyDescent="0.3">
      <c r="A90" t="s">
        <v>181</v>
      </c>
      <c r="B90" t="s">
        <v>515</v>
      </c>
      <c r="C90" t="s">
        <v>409</v>
      </c>
      <c r="D90" t="s">
        <v>1623</v>
      </c>
      <c r="E90" s="82">
        <f t="shared" si="2"/>
        <v>1</v>
      </c>
      <c r="F90" t="s">
        <v>18</v>
      </c>
      <c r="G90" t="s">
        <v>409</v>
      </c>
      <c r="H90" t="s">
        <v>325</v>
      </c>
      <c r="I90">
        <v>13000000</v>
      </c>
      <c r="J90" t="s">
        <v>42</v>
      </c>
    </row>
    <row r="91" spans="1:10" x14ac:dyDescent="0.3">
      <c r="A91" t="s">
        <v>181</v>
      </c>
      <c r="B91" t="s">
        <v>516</v>
      </c>
      <c r="C91" t="s">
        <v>410</v>
      </c>
      <c r="D91" t="s">
        <v>1615</v>
      </c>
      <c r="E91" s="82">
        <f t="shared" si="2"/>
        <v>1</v>
      </c>
      <c r="F91" t="s">
        <v>18</v>
      </c>
      <c r="G91" t="s">
        <v>410</v>
      </c>
      <c r="H91" t="s">
        <v>325</v>
      </c>
      <c r="I91">
        <v>12000000</v>
      </c>
      <c r="J91" t="s">
        <v>42</v>
      </c>
    </row>
    <row r="92" spans="1:10" x14ac:dyDescent="0.3">
      <c r="A92" t="s">
        <v>181</v>
      </c>
      <c r="B92" t="s">
        <v>517</v>
      </c>
      <c r="C92" t="s">
        <v>411</v>
      </c>
      <c r="D92" t="s">
        <v>1617</v>
      </c>
      <c r="E92" s="82">
        <f t="shared" si="2"/>
        <v>1</v>
      </c>
      <c r="F92" t="s">
        <v>18</v>
      </c>
      <c r="G92" t="s">
        <v>411</v>
      </c>
      <c r="H92" t="s">
        <v>325</v>
      </c>
      <c r="I92">
        <v>351000000</v>
      </c>
      <c r="J92" t="s">
        <v>42</v>
      </c>
    </row>
    <row r="93" spans="1:10" x14ac:dyDescent="0.3">
      <c r="A93" t="s">
        <v>181</v>
      </c>
      <c r="B93" t="s">
        <v>518</v>
      </c>
      <c r="C93" t="s">
        <v>412</v>
      </c>
      <c r="D93" t="s">
        <v>1616</v>
      </c>
      <c r="E93" s="82">
        <f t="shared" si="2"/>
        <v>1</v>
      </c>
      <c r="F93" t="s">
        <v>18</v>
      </c>
      <c r="G93" t="s">
        <v>412</v>
      </c>
      <c r="H93" t="s">
        <v>325</v>
      </c>
      <c r="I93">
        <v>83000000</v>
      </c>
      <c r="J93" t="s">
        <v>42</v>
      </c>
    </row>
    <row r="94" spans="1:10" x14ac:dyDescent="0.3">
      <c r="A94" t="s">
        <v>1691</v>
      </c>
      <c r="B94" t="s">
        <v>1688</v>
      </c>
      <c r="C94" t="s">
        <v>1699</v>
      </c>
      <c r="D94" t="s">
        <v>1616</v>
      </c>
      <c r="E94" s="82">
        <f t="shared" si="2"/>
        <v>1</v>
      </c>
      <c r="F94" t="s">
        <v>18</v>
      </c>
      <c r="G94" t="s">
        <v>1699</v>
      </c>
      <c r="H94" t="s">
        <v>325</v>
      </c>
      <c r="I94">
        <v>148000000</v>
      </c>
      <c r="J94" t="s">
        <v>42</v>
      </c>
    </row>
    <row r="95" spans="1:10" x14ac:dyDescent="0.3">
      <c r="A95" t="s">
        <v>182</v>
      </c>
      <c r="B95" t="s">
        <v>519</v>
      </c>
      <c r="C95" t="s">
        <v>413</v>
      </c>
      <c r="D95" t="s">
        <v>1615</v>
      </c>
      <c r="E95" s="82">
        <f t="shared" si="2"/>
        <v>1</v>
      </c>
      <c r="F95" t="s">
        <v>18</v>
      </c>
      <c r="G95" t="s">
        <v>413</v>
      </c>
      <c r="H95" t="s">
        <v>325</v>
      </c>
      <c r="I95">
        <v>17000000</v>
      </c>
      <c r="J95" t="s">
        <v>42</v>
      </c>
    </row>
    <row r="96" spans="1:10" x14ac:dyDescent="0.3">
      <c r="A96" t="s">
        <v>183</v>
      </c>
      <c r="B96" t="s">
        <v>520</v>
      </c>
      <c r="C96" t="s">
        <v>414</v>
      </c>
      <c r="D96" t="s">
        <v>1615</v>
      </c>
      <c r="E96" s="82">
        <f t="shared" ref="E96:E111" si="3">SIGN(SUBTOTAL(3,F96))</f>
        <v>1</v>
      </c>
      <c r="F96" t="s">
        <v>18</v>
      </c>
      <c r="G96" t="s">
        <v>414</v>
      </c>
      <c r="H96" t="s">
        <v>325</v>
      </c>
      <c r="I96">
        <v>11000000</v>
      </c>
      <c r="J96" t="s">
        <v>42</v>
      </c>
    </row>
    <row r="97" spans="1:10" x14ac:dyDescent="0.3">
      <c r="A97" t="s">
        <v>183</v>
      </c>
      <c r="B97" t="s">
        <v>521</v>
      </c>
      <c r="C97" t="s">
        <v>415</v>
      </c>
      <c r="D97" t="s">
        <v>1616</v>
      </c>
      <c r="E97" s="82">
        <f t="shared" si="3"/>
        <v>1</v>
      </c>
      <c r="F97" t="s">
        <v>18</v>
      </c>
      <c r="G97" t="s">
        <v>415</v>
      </c>
      <c r="H97" t="s">
        <v>325</v>
      </c>
      <c r="I97">
        <v>39000000</v>
      </c>
      <c r="J97" t="s">
        <v>42</v>
      </c>
    </row>
    <row r="98" spans="1:10" x14ac:dyDescent="0.3">
      <c r="A98" t="s">
        <v>183</v>
      </c>
      <c r="B98" t="s">
        <v>522</v>
      </c>
      <c r="C98" t="s">
        <v>416</v>
      </c>
      <c r="D98" t="s">
        <v>1615</v>
      </c>
      <c r="E98" s="82">
        <f t="shared" si="3"/>
        <v>1</v>
      </c>
      <c r="F98" t="s">
        <v>18</v>
      </c>
      <c r="G98" t="s">
        <v>416</v>
      </c>
      <c r="H98" t="s">
        <v>325</v>
      </c>
      <c r="I98">
        <v>23000000</v>
      </c>
      <c r="J98" t="s">
        <v>42</v>
      </c>
    </row>
    <row r="99" spans="1:10" x14ac:dyDescent="0.3">
      <c r="A99" t="s">
        <v>183</v>
      </c>
      <c r="B99" t="s">
        <v>523</v>
      </c>
      <c r="C99" t="s">
        <v>417</v>
      </c>
      <c r="D99" t="s">
        <v>1615</v>
      </c>
      <c r="E99" s="82">
        <f t="shared" si="3"/>
        <v>1</v>
      </c>
      <c r="F99" t="s">
        <v>18</v>
      </c>
      <c r="G99" t="s">
        <v>417</v>
      </c>
      <c r="H99" t="s">
        <v>325</v>
      </c>
      <c r="I99">
        <v>14000000</v>
      </c>
      <c r="J99" t="s">
        <v>42</v>
      </c>
    </row>
    <row r="100" spans="1:10" x14ac:dyDescent="0.3">
      <c r="A100" t="s">
        <v>185</v>
      </c>
      <c r="B100" t="s">
        <v>524</v>
      </c>
      <c r="C100" t="s">
        <v>418</v>
      </c>
      <c r="D100" t="s">
        <v>1617</v>
      </c>
      <c r="E100" s="82">
        <f t="shared" si="3"/>
        <v>1</v>
      </c>
      <c r="F100" t="s">
        <v>18</v>
      </c>
      <c r="G100" t="s">
        <v>418</v>
      </c>
      <c r="H100" t="s">
        <v>325</v>
      </c>
      <c r="I100">
        <v>168000000</v>
      </c>
      <c r="J100" t="s">
        <v>42</v>
      </c>
    </row>
    <row r="101" spans="1:10" x14ac:dyDescent="0.3">
      <c r="A101" t="s">
        <v>185</v>
      </c>
      <c r="B101" t="s">
        <v>525</v>
      </c>
      <c r="C101" t="s">
        <v>419</v>
      </c>
      <c r="D101" t="s">
        <v>1616</v>
      </c>
      <c r="E101" s="82">
        <f t="shared" si="3"/>
        <v>1</v>
      </c>
      <c r="F101" t="s">
        <v>18</v>
      </c>
      <c r="G101" t="s">
        <v>419</v>
      </c>
      <c r="H101" t="s">
        <v>325</v>
      </c>
      <c r="I101">
        <v>396000000</v>
      </c>
      <c r="J101" t="s">
        <v>42</v>
      </c>
    </row>
    <row r="102" spans="1:10" x14ac:dyDescent="0.3">
      <c r="A102" t="s">
        <v>185</v>
      </c>
      <c r="B102" t="s">
        <v>526</v>
      </c>
      <c r="C102" t="s">
        <v>420</v>
      </c>
      <c r="D102" t="s">
        <v>1615</v>
      </c>
      <c r="E102" s="82">
        <f t="shared" si="3"/>
        <v>1</v>
      </c>
      <c r="F102" t="s">
        <v>18</v>
      </c>
      <c r="G102" t="s">
        <v>420</v>
      </c>
      <c r="H102" t="s">
        <v>325</v>
      </c>
      <c r="I102">
        <v>22000000</v>
      </c>
      <c r="J102" t="s">
        <v>42</v>
      </c>
    </row>
    <row r="103" spans="1:10" x14ac:dyDescent="0.3">
      <c r="A103" t="s">
        <v>186</v>
      </c>
      <c r="B103" t="s">
        <v>527</v>
      </c>
      <c r="C103" t="s">
        <v>421</v>
      </c>
      <c r="D103" t="s">
        <v>1622</v>
      </c>
      <c r="E103" s="82">
        <f t="shared" si="3"/>
        <v>1</v>
      </c>
      <c r="F103" t="s">
        <v>18</v>
      </c>
      <c r="G103" t="s">
        <v>421</v>
      </c>
      <c r="H103" t="s">
        <v>325</v>
      </c>
      <c r="I103">
        <v>5000000</v>
      </c>
      <c r="J103" t="s">
        <v>42</v>
      </c>
    </row>
    <row r="104" spans="1:10" x14ac:dyDescent="0.3">
      <c r="A104" t="s">
        <v>186</v>
      </c>
      <c r="B104" t="s">
        <v>528</v>
      </c>
      <c r="C104" t="s">
        <v>422</v>
      </c>
      <c r="D104" t="s">
        <v>1617</v>
      </c>
      <c r="E104" s="82">
        <f t="shared" si="3"/>
        <v>1</v>
      </c>
      <c r="F104" t="s">
        <v>18</v>
      </c>
      <c r="G104" t="s">
        <v>422</v>
      </c>
      <c r="H104" t="s">
        <v>325</v>
      </c>
      <c r="I104">
        <v>194000000</v>
      </c>
      <c r="J104" t="s">
        <v>42</v>
      </c>
    </row>
    <row r="105" spans="1:10" x14ac:dyDescent="0.3">
      <c r="A105" t="s">
        <v>186</v>
      </c>
      <c r="B105" t="s">
        <v>529</v>
      </c>
      <c r="C105" t="s">
        <v>423</v>
      </c>
      <c r="D105" t="s">
        <v>1616</v>
      </c>
      <c r="E105" s="82">
        <f t="shared" si="3"/>
        <v>1</v>
      </c>
      <c r="F105" t="s">
        <v>18</v>
      </c>
      <c r="G105" t="s">
        <v>423</v>
      </c>
      <c r="H105" t="s">
        <v>325</v>
      </c>
      <c r="I105">
        <v>117000000</v>
      </c>
      <c r="J105" t="s">
        <v>42</v>
      </c>
    </row>
    <row r="106" spans="1:10" x14ac:dyDescent="0.3">
      <c r="A106" t="s">
        <v>186</v>
      </c>
      <c r="B106" t="s">
        <v>530</v>
      </c>
      <c r="C106" t="s">
        <v>424</v>
      </c>
      <c r="D106" t="s">
        <v>1617</v>
      </c>
      <c r="E106" s="82">
        <f t="shared" si="3"/>
        <v>1</v>
      </c>
      <c r="F106" t="s">
        <v>18</v>
      </c>
      <c r="G106" t="s">
        <v>424</v>
      </c>
      <c r="H106" t="s">
        <v>325</v>
      </c>
      <c r="I106">
        <v>1012000000</v>
      </c>
      <c r="J106" t="s">
        <v>42</v>
      </c>
    </row>
    <row r="107" spans="1:10" x14ac:dyDescent="0.3">
      <c r="A107" t="s">
        <v>186</v>
      </c>
      <c r="B107" t="s">
        <v>531</v>
      </c>
      <c r="C107" t="s">
        <v>425</v>
      </c>
      <c r="D107" t="s">
        <v>1615</v>
      </c>
      <c r="E107" s="82">
        <f t="shared" si="3"/>
        <v>1</v>
      </c>
      <c r="F107" t="s">
        <v>18</v>
      </c>
      <c r="G107" t="s">
        <v>425</v>
      </c>
      <c r="H107" t="s">
        <v>325</v>
      </c>
      <c r="I107">
        <v>23000000</v>
      </c>
      <c r="J107" t="s">
        <v>42</v>
      </c>
    </row>
    <row r="108" spans="1:10" x14ac:dyDescent="0.3">
      <c r="A108" t="s">
        <v>186</v>
      </c>
      <c r="B108" t="s">
        <v>532</v>
      </c>
      <c r="C108" t="s">
        <v>426</v>
      </c>
      <c r="D108" t="s">
        <v>1616</v>
      </c>
      <c r="E108" s="82">
        <f t="shared" si="3"/>
        <v>1</v>
      </c>
      <c r="F108" t="s">
        <v>18</v>
      </c>
      <c r="G108" t="s">
        <v>426</v>
      </c>
      <c r="H108" t="s">
        <v>325</v>
      </c>
      <c r="I108">
        <v>106000000</v>
      </c>
      <c r="J108" t="s">
        <v>42</v>
      </c>
    </row>
    <row r="109" spans="1:10" x14ac:dyDescent="0.3">
      <c r="A109" t="s">
        <v>186</v>
      </c>
      <c r="B109" t="s">
        <v>532</v>
      </c>
      <c r="C109" t="s">
        <v>427</v>
      </c>
      <c r="D109" t="s">
        <v>1617</v>
      </c>
      <c r="E109" s="82">
        <f t="shared" si="3"/>
        <v>1</v>
      </c>
      <c r="F109" t="s">
        <v>18</v>
      </c>
      <c r="G109" t="s">
        <v>427</v>
      </c>
      <c r="H109" t="s">
        <v>325</v>
      </c>
      <c r="I109">
        <v>629000000</v>
      </c>
      <c r="J109" t="s">
        <v>42</v>
      </c>
    </row>
    <row r="110" spans="1:10" x14ac:dyDescent="0.3">
      <c r="A110" t="s">
        <v>186</v>
      </c>
      <c r="B110" t="s">
        <v>533</v>
      </c>
      <c r="C110" t="s">
        <v>428</v>
      </c>
      <c r="D110" t="s">
        <v>1616</v>
      </c>
      <c r="E110" s="82">
        <f t="shared" si="3"/>
        <v>1</v>
      </c>
      <c r="F110" t="s">
        <v>18</v>
      </c>
      <c r="G110" t="s">
        <v>428</v>
      </c>
      <c r="H110" t="s">
        <v>325</v>
      </c>
      <c r="I110">
        <v>89000000</v>
      </c>
      <c r="J110" t="s">
        <v>42</v>
      </c>
    </row>
    <row r="111" spans="1:10" x14ac:dyDescent="0.3">
      <c r="A111" t="s">
        <v>187</v>
      </c>
      <c r="B111" t="s">
        <v>534</v>
      </c>
      <c r="C111" t="s">
        <v>429</v>
      </c>
      <c r="D111" t="s">
        <v>1617</v>
      </c>
      <c r="E111" s="82">
        <f t="shared" si="3"/>
        <v>1</v>
      </c>
      <c r="F111" t="s">
        <v>18</v>
      </c>
      <c r="G111" t="s">
        <v>429</v>
      </c>
      <c r="H111" t="s">
        <v>325</v>
      </c>
      <c r="I111">
        <v>206000000</v>
      </c>
      <c r="J111" t="s">
        <v>42</v>
      </c>
    </row>
    <row r="112" spans="1:10" x14ac:dyDescent="0.3">
      <c r="A112" t="s">
        <v>189</v>
      </c>
      <c r="B112" t="s">
        <v>190</v>
      </c>
      <c r="C112" t="s">
        <v>430</v>
      </c>
      <c r="D112" t="s">
        <v>1617</v>
      </c>
      <c r="E112" s="82">
        <f t="shared" ref="E112:E119" si="4">SIGN(SUBTOTAL(3,F112))</f>
        <v>1</v>
      </c>
      <c r="F112" t="s">
        <v>18</v>
      </c>
      <c r="G112" t="s">
        <v>430</v>
      </c>
      <c r="H112" t="s">
        <v>325</v>
      </c>
      <c r="I112">
        <v>209000000</v>
      </c>
      <c r="J112" t="s">
        <v>42</v>
      </c>
    </row>
    <row r="113" spans="1:10" x14ac:dyDescent="0.3">
      <c r="A113" t="s">
        <v>189</v>
      </c>
      <c r="B113" t="s">
        <v>190</v>
      </c>
      <c r="C113" t="s">
        <v>431</v>
      </c>
      <c r="D113" t="s">
        <v>1617</v>
      </c>
      <c r="E113" s="82">
        <f t="shared" si="4"/>
        <v>1</v>
      </c>
      <c r="F113" t="s">
        <v>18</v>
      </c>
      <c r="G113" t="s">
        <v>431</v>
      </c>
      <c r="H113" t="s">
        <v>325</v>
      </c>
      <c r="I113">
        <v>514000000</v>
      </c>
      <c r="J113" t="s">
        <v>42</v>
      </c>
    </row>
    <row r="114" spans="1:10" x14ac:dyDescent="0.3">
      <c r="A114" t="s">
        <v>189</v>
      </c>
      <c r="B114" t="s">
        <v>535</v>
      </c>
      <c r="C114" t="s">
        <v>432</v>
      </c>
      <c r="D114" t="s">
        <v>1615</v>
      </c>
      <c r="E114" s="82">
        <f t="shared" si="4"/>
        <v>1</v>
      </c>
      <c r="F114" t="s">
        <v>18</v>
      </c>
      <c r="G114" t="s">
        <v>432</v>
      </c>
      <c r="H114" t="s">
        <v>325</v>
      </c>
      <c r="I114">
        <v>34000000</v>
      </c>
      <c r="J114" t="s">
        <v>42</v>
      </c>
    </row>
    <row r="115" spans="1:10" x14ac:dyDescent="0.3">
      <c r="A115" t="s">
        <v>190</v>
      </c>
      <c r="B115" t="s">
        <v>536</v>
      </c>
      <c r="C115" t="s">
        <v>433</v>
      </c>
      <c r="D115" t="s">
        <v>1615</v>
      </c>
      <c r="E115" s="82">
        <f t="shared" si="4"/>
        <v>1</v>
      </c>
      <c r="F115" t="s">
        <v>18</v>
      </c>
      <c r="G115" t="s">
        <v>433</v>
      </c>
      <c r="H115" t="s">
        <v>325</v>
      </c>
      <c r="I115">
        <v>27000000</v>
      </c>
      <c r="J115" t="s">
        <v>42</v>
      </c>
    </row>
    <row r="116" spans="1:10" x14ac:dyDescent="0.3">
      <c r="A116" t="s">
        <v>190</v>
      </c>
      <c r="B116" t="s">
        <v>537</v>
      </c>
      <c r="C116" t="s">
        <v>434</v>
      </c>
      <c r="D116" t="s">
        <v>1623</v>
      </c>
      <c r="E116" s="82">
        <f t="shared" si="4"/>
        <v>1</v>
      </c>
      <c r="F116" t="s">
        <v>18</v>
      </c>
      <c r="G116" t="s">
        <v>434</v>
      </c>
      <c r="H116" t="s">
        <v>325</v>
      </c>
      <c r="I116">
        <v>6000000</v>
      </c>
      <c r="J116" t="s">
        <v>42</v>
      </c>
    </row>
    <row r="117" spans="1:10" x14ac:dyDescent="0.3">
      <c r="A117" t="s">
        <v>190</v>
      </c>
      <c r="B117" t="s">
        <v>538</v>
      </c>
      <c r="C117" t="s">
        <v>435</v>
      </c>
      <c r="D117" t="s">
        <v>1617</v>
      </c>
      <c r="E117" s="82">
        <f t="shared" si="4"/>
        <v>1</v>
      </c>
      <c r="F117" t="s">
        <v>18</v>
      </c>
      <c r="G117" t="s">
        <v>435</v>
      </c>
      <c r="H117" t="s">
        <v>325</v>
      </c>
      <c r="I117">
        <v>692000000</v>
      </c>
      <c r="J117" t="s">
        <v>42</v>
      </c>
    </row>
    <row r="118" spans="1:10" x14ac:dyDescent="0.3">
      <c r="A118" t="s">
        <v>192</v>
      </c>
      <c r="B118" t="s">
        <v>539</v>
      </c>
      <c r="C118" t="s">
        <v>436</v>
      </c>
      <c r="D118" t="s">
        <v>1616</v>
      </c>
      <c r="E118" s="82">
        <f t="shared" si="4"/>
        <v>1</v>
      </c>
      <c r="F118" t="s">
        <v>18</v>
      </c>
      <c r="G118" t="s">
        <v>436</v>
      </c>
      <c r="H118" t="s">
        <v>325</v>
      </c>
      <c r="I118">
        <v>49000000</v>
      </c>
      <c r="J118" t="s">
        <v>42</v>
      </c>
    </row>
    <row r="119" spans="1:10" x14ac:dyDescent="0.3">
      <c r="A119" t="s">
        <v>192</v>
      </c>
      <c r="B119" t="s">
        <v>540</v>
      </c>
      <c r="C119" t="s">
        <v>437</v>
      </c>
      <c r="D119" t="s">
        <v>1615</v>
      </c>
      <c r="E119" s="82">
        <f t="shared" si="4"/>
        <v>1</v>
      </c>
      <c r="F119" t="s">
        <v>18</v>
      </c>
      <c r="G119" t="s">
        <v>437</v>
      </c>
      <c r="H119" t="s">
        <v>325</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528"/>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125</v>
      </c>
      <c r="O1" s="60" t="s">
        <v>248</v>
      </c>
      <c r="P1" s="61" t="s">
        <v>249</v>
      </c>
      <c r="Q1" s="61" t="s">
        <v>246</v>
      </c>
      <c r="R1" s="61" t="s">
        <v>28</v>
      </c>
      <c r="S1" s="62" t="s">
        <v>29</v>
      </c>
      <c r="T1" s="4"/>
      <c r="V1" s="60" t="s">
        <v>202</v>
      </c>
      <c r="W1" s="61" t="s">
        <v>244</v>
      </c>
      <c r="X1" s="62" t="s">
        <v>250</v>
      </c>
      <c r="Z1" s="111" t="s">
        <v>1613</v>
      </c>
      <c r="AW1" s="142" t="s">
        <v>1666</v>
      </c>
    </row>
    <row r="2" spans="1:88" ht="15.6" x14ac:dyDescent="0.3">
      <c r="A2" s="1" t="s">
        <v>128</v>
      </c>
      <c r="E2" s="1" t="s">
        <v>90</v>
      </c>
      <c r="F2" s="1" t="s">
        <v>62</v>
      </c>
      <c r="G2" s="1" t="s">
        <v>63</v>
      </c>
      <c r="H2" s="1" t="s">
        <v>245</v>
      </c>
      <c r="I2" s="1" t="s">
        <v>64</v>
      </c>
      <c r="J2" s="1" t="s">
        <v>127</v>
      </c>
      <c r="K2" s="1" t="s">
        <v>28</v>
      </c>
      <c r="L2" s="1" t="s">
        <v>131</v>
      </c>
      <c r="M2" s="1" t="s">
        <v>30</v>
      </c>
      <c r="O2" t="e" cm="1" vm="1">
        <f t="array" aca="1" ref="O2" ca="1">_xlfn.UNIQUE(_xlfn._xlws.FILTER(_xlfn._xlws.FILTER('Commodities and Processes'!E6:L9986,('Commodities and Processes'!E6:E9986&lt;&gt;"Process name:")*('Commodities and Processes'!E6:E9986&lt;&gt;"Inputs")*('Commodities and Processes'!E6:E9986&lt;&gt;"Existing facilities:")*('Commodities and Processes'!E6:E9986&lt;&gt;"")),{1,0,0,0,0,0,1,1}))</f>
        <v>#VALUE!</v>
      </c>
      <c r="R2" t="e" vm="1">
        <f ca="1">IF(ISBLANK(O2),"",VLOOKUP(O2,'Commodities and Processes'!A:C,2,FALSE))</f>
        <v>#VALUE!</v>
      </c>
      <c r="S2" t="e" vm="1">
        <f ca="1">IF(ISBLANK(O2),"",VLOOKUP(O2,'Commodities and Processes'!A:C,3,FALSE))</f>
        <v>#VALUE!</v>
      </c>
      <c r="V2" t="e" cm="1" vm="2">
        <f t="array" ref="V2">_xlfn.UNIQUE(_xlfn._xlws.FILTER(P2:P2000,P2:P2000&lt;&gt;""))</f>
        <v>#VALUE!</v>
      </c>
      <c r="W2" t="e" cm="1" vm="3">
        <f t="array" ref="W2">IF(ISBLANK(V2),"",_xlfn.CONCAT(_xlfn.UNIQUE(_xlfn._xlws.FILTER(R2:R2000,P2:P2000=V2))))</f>
        <v>#VALUE!</v>
      </c>
      <c r="X2" t="e" vm="3">
        <f>IF(ISBLANK(V2),"",IF(W2="liquid","solidliquid","solid"))</f>
        <v>#VALUE!</v>
      </c>
      <c r="Z2" s="112" t="s">
        <v>1608</v>
      </c>
      <c r="AA2" s="113" t="str" cm="1">
        <f t="array" ref="AA2">INDEX(_xlfn._xlws.FILTER(SAF_Cand_Refinery[], _xlfn.TOCOL(SAF_Cand_Refinery[Filtered])=1),1,1)</f>
        <v>Ag processing waste</v>
      </c>
      <c r="AC2" s="108" t="s">
        <v>1620</v>
      </c>
      <c r="AD2" s="79"/>
      <c r="AE2" s="79"/>
      <c r="AG2" s="108" t="s">
        <v>1619</v>
      </c>
      <c r="AN2" s="108" t="s">
        <v>1610</v>
      </c>
      <c r="AW2" s="108" t="s">
        <v>1607</v>
      </c>
      <c r="BF2" s="108" t="s">
        <v>1611</v>
      </c>
      <c r="BO2" s="108" t="s">
        <v>1612</v>
      </c>
      <c r="BY2" s="108" t="s">
        <v>1618</v>
      </c>
      <c r="CI2" s="108" t="s">
        <v>1701</v>
      </c>
    </row>
    <row r="3" spans="1:88" ht="15.6" x14ac:dyDescent="0.3">
      <c r="A3" s="1" t="s">
        <v>13</v>
      </c>
      <c r="B3" s="1" t="s">
        <v>117</v>
      </c>
      <c r="C3" s="1" t="s">
        <v>118</v>
      </c>
      <c r="E3" t="b">
        <v>1</v>
      </c>
      <c r="F3" t="s">
        <v>14</v>
      </c>
      <c r="G3" t="s">
        <v>41</v>
      </c>
      <c r="H3" t="s">
        <v>14</v>
      </c>
      <c r="I3" t="s">
        <v>65</v>
      </c>
      <c r="J3" t="s">
        <v>17</v>
      </c>
      <c r="K3" t="s">
        <v>5</v>
      </c>
      <c r="L3" t="s">
        <v>7</v>
      </c>
      <c r="M3" t="e" cm="1" vm="1">
        <f t="array" aca="1" ref="M3" ca="1">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IF(ISBLANK(V3),"",_xlfn.CONCAT(_xlfn.UNIQUE(_xlfn._xlws.FILTER(R3:R2001,P3:P2001=V3))))</f>
        <v/>
      </c>
      <c r="X3" t="str">
        <f t="shared" ref="X3:X66" si="0">IF(ISBLANK(V3),"",IF(W3="liquid","solidliquid","solid"))</f>
        <v/>
      </c>
      <c r="Z3" s="112" t="s">
        <v>1609</v>
      </c>
      <c r="AA3" s="113" t="str" cm="1">
        <f t="array" ref="AA3">INDEX(_xlfn._xlws.FILTER(SAF_Cand_Refinery[], _xlfn.TOCOL(SAF_Cand_Refinery[Filtered])=1),1,4)</f>
        <v>Fischer-Tropsch</v>
      </c>
      <c r="AC3" s="1" t="s">
        <v>27</v>
      </c>
      <c r="AD3" s="1" t="s">
        <v>28</v>
      </c>
      <c r="AE3" s="1" t="s">
        <v>29</v>
      </c>
      <c r="AG3" s="1" t="s">
        <v>32</v>
      </c>
      <c r="AH3" t="s">
        <v>323</v>
      </c>
      <c r="AN3" s="1" t="s">
        <v>25</v>
      </c>
      <c r="AO3" s="1" t="s">
        <v>35</v>
      </c>
      <c r="AP3" s="1" t="s">
        <v>31</v>
      </c>
      <c r="AQ3" s="1" t="s">
        <v>24</v>
      </c>
      <c r="AR3" s="1" t="s">
        <v>36</v>
      </c>
      <c r="AS3" s="1" t="s">
        <v>44</v>
      </c>
      <c r="AT3" s="1" t="s">
        <v>196</v>
      </c>
      <c r="AU3" s="1" t="s">
        <v>45</v>
      </c>
      <c r="AW3" s="1" t="s">
        <v>25</v>
      </c>
      <c r="AX3" s="1" t="s">
        <v>35</v>
      </c>
      <c r="AY3" s="1" t="s">
        <v>31</v>
      </c>
      <c r="AZ3" s="1" t="s">
        <v>24</v>
      </c>
      <c r="BA3" s="1" t="s">
        <v>36</v>
      </c>
      <c r="BB3" s="1" t="s">
        <v>44</v>
      </c>
      <c r="BC3" s="1" t="s">
        <v>196</v>
      </c>
      <c r="BD3" s="1" t="s">
        <v>45</v>
      </c>
      <c r="BE3" s="106"/>
      <c r="BF3" s="1" t="s">
        <v>25</v>
      </c>
      <c r="BG3" s="1" t="s">
        <v>35</v>
      </c>
      <c r="BH3" s="1" t="s">
        <v>31</v>
      </c>
      <c r="BI3" s="1" t="s">
        <v>24</v>
      </c>
      <c r="BJ3" s="1" t="s">
        <v>36</v>
      </c>
      <c r="BK3" s="1" t="s">
        <v>44</v>
      </c>
      <c r="BL3" s="1" t="s">
        <v>196</v>
      </c>
      <c r="BM3" s="1" t="s">
        <v>45</v>
      </c>
      <c r="BN3" s="106"/>
      <c r="BO3" s="1" t="s">
        <v>25</v>
      </c>
      <c r="BP3" s="1" t="s">
        <v>35</v>
      </c>
      <c r="BQ3" s="1" t="s">
        <v>31</v>
      </c>
      <c r="BR3" s="1" t="s">
        <v>24</v>
      </c>
      <c r="BS3" s="1" t="s">
        <v>36</v>
      </c>
      <c r="BT3" s="1" t="s">
        <v>44</v>
      </c>
      <c r="BU3" s="1" t="s">
        <v>196</v>
      </c>
      <c r="BV3" s="1" t="s">
        <v>45</v>
      </c>
      <c r="BW3" s="1"/>
      <c r="BY3" s="1" t="s">
        <v>25</v>
      </c>
      <c r="BZ3" s="1" t="s">
        <v>35</v>
      </c>
      <c r="CA3" s="1" t="s">
        <v>31</v>
      </c>
      <c r="CB3" s="1" t="s">
        <v>24</v>
      </c>
      <c r="CC3" s="1" t="s">
        <v>36</v>
      </c>
      <c r="CD3" s="1" t="s">
        <v>44</v>
      </c>
      <c r="CE3" s="1" t="s">
        <v>196</v>
      </c>
      <c r="CF3" s="1" t="s">
        <v>45</v>
      </c>
      <c r="CI3" s="1" t="s">
        <v>1702</v>
      </c>
      <c r="CJ3" s="1" t="s">
        <v>1703</v>
      </c>
    </row>
    <row r="4" spans="1:88" ht="15.6" x14ac:dyDescent="0.3">
      <c r="A4" t="s">
        <v>0</v>
      </c>
      <c r="B4" t="s">
        <v>111</v>
      </c>
      <c r="E4" t="b">
        <v>0</v>
      </c>
      <c r="F4" t="s">
        <v>15</v>
      </c>
      <c r="G4" t="s">
        <v>42</v>
      </c>
      <c r="H4" t="s">
        <v>15</v>
      </c>
      <c r="I4" t="s">
        <v>66</v>
      </c>
      <c r="J4" t="s">
        <v>19</v>
      </c>
      <c r="K4" t="s">
        <v>22</v>
      </c>
      <c r="L4" t="s">
        <v>23</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1708</v>
      </c>
      <c r="AA4" s="151">
        <f>'SAF Filters'!S9</f>
        <v>0.5</v>
      </c>
      <c r="AC4" s="114" t="s">
        <v>322</v>
      </c>
      <c r="AD4" s="144" t="s">
        <v>22</v>
      </c>
      <c r="AE4" s="115"/>
      <c r="AG4" s="1" t="s">
        <v>6</v>
      </c>
      <c r="AH4" t="s">
        <v>23</v>
      </c>
      <c r="AN4" s="119" t="str" cm="1">
        <f t="array" ref="AN4:AU25">_xlfn.UNIQUE(_xlfn._xlws.FILTER(_xlfn._xlws.FILTER(SAF_Cand_Refinery[], _xlfn.TOCOL(SAF_Cand_Refinery[Filtered])=1), {0,0,0,0,0,0,0,0,0,0,0,1,1,1,1,1,1,1,1}))</f>
        <v>processor</v>
      </c>
      <c r="AO4" s="120" t="str">
        <v>cand_FT_Ag</v>
      </c>
      <c r="AP4" s="120" t="str">
        <v>makeSAF</v>
      </c>
      <c r="AQ4" s="120">
        <v>2031398.4971612808</v>
      </c>
      <c r="AR4" s="120" t="str">
        <v>tons</v>
      </c>
      <c r="AS4" s="120">
        <v>1015699.2485806404</v>
      </c>
      <c r="AT4" s="120">
        <v>203139.84971612808</v>
      </c>
      <c r="AU4" s="121">
        <v>108566609.03999999</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1387">IFERROR(_xlfn.LET(_xlpm.a, _xlfn._xlws.FILTER(_xlfn._xlws.FILTER(SAF_Blender[], SAF_Blender[Filtered]=1),{0,0,0,0,1,1,1,1,1,1,1,1}), IF(_xlpm.a=0,"",_xlpm.a)),_xlfn.EXPAND("",1,8,""))</f>
        <v>processor</v>
      </c>
      <c r="BG4" t="str">
        <v>Chevron Usa Inc Birmingham</v>
      </c>
      <c r="BH4" t="str">
        <v>blendSAF</v>
      </c>
      <c r="BI4" t="str">
        <v/>
      </c>
      <c r="BJ4" t="str">
        <v/>
      </c>
      <c r="BK4" t="str">
        <v/>
      </c>
      <c r="BL4" t="str">
        <v/>
      </c>
      <c r="BM4" t="str">
        <v/>
      </c>
      <c r="BO4" t="str" cm="1">
        <f t="array" ref="BO4:BV121">IFERROR(_xlfn.LET(_xlpm.a, _xlfn._xlws.FILTER(_xlfn._xlws.FILTER(SAF_Airport[], SAF_Airport[Filtered]=1),{0,0,0,0,0,1,1,1,1,1,1,1,1}), IF(_xlpm.a=0,"",_xlpm.a)),_xlfn.EXPAND("",1,8,""))</f>
        <v>ultimate_destination</v>
      </c>
      <c r="BP4" t="str">
        <v>BHM</v>
      </c>
      <c r="BQ4" t="str">
        <v>fuel_blend</v>
      </c>
      <c r="BR4">
        <v>20000000</v>
      </c>
      <c r="BS4" t="str">
        <v>gallons</v>
      </c>
      <c r="BT4" t="str">
        <v/>
      </c>
      <c r="BU4" t="str">
        <v/>
      </c>
      <c r="BV4" t="str">
        <v/>
      </c>
      <c r="BY4" t="str" cm="1">
        <f t="array" ref="BY4:CF1528">IF('SAF Filters'!J37="Y",_xlfn.VSTACK(_xlfn.ANCHORARRAY(AN4),_xlfn.ANCHORARRAY(BF4),_xlfn.ANCHORARRAY(BO4),_xlfn.ANCHORARRAY(AW4)),_xlfn.VSTACK(_xlfn.ANCHORARRAY(AN4),_xlfn.ANCHORARRAY(BF4),_xlfn.ANCHORARRAY(BO4)))</f>
        <v>processor</v>
      </c>
      <c r="BZ4" t="str">
        <v>cand_FT_Ag</v>
      </c>
      <c r="CA4" t="str">
        <v>makeSAF</v>
      </c>
      <c r="CB4">
        <v>2031398.4971612808</v>
      </c>
      <c r="CC4" t="str">
        <v>tons</v>
      </c>
      <c r="CD4">
        <v>1015699.2485806404</v>
      </c>
      <c r="CE4">
        <v>203139.84971612808</v>
      </c>
      <c r="CF4">
        <v>108566609.03999999</v>
      </c>
      <c r="CI4" t="s">
        <v>184</v>
      </c>
      <c r="CJ4">
        <f>COUNTIFS(SAF_State[State],Notes!CI4,SAF_State[Filtered],1)</f>
        <v>1</v>
      </c>
    </row>
    <row r="5" spans="1:88" x14ac:dyDescent="0.3">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325</v>
      </c>
      <c r="AD5" s="143" t="s">
        <v>22</v>
      </c>
      <c r="AE5" s="117"/>
      <c r="AG5" s="1" t="s">
        <v>20</v>
      </c>
      <c r="AH5" s="1" t="s">
        <v>241</v>
      </c>
      <c r="AI5" s="1" t="s">
        <v>244</v>
      </c>
      <c r="AJ5" s="1" t="s">
        <v>21</v>
      </c>
      <c r="AK5" s="1" t="s">
        <v>243</v>
      </c>
      <c r="AL5" s="1" t="s">
        <v>242</v>
      </c>
      <c r="AN5" t="str">
        <v>processor</v>
      </c>
      <c r="AO5" t="str">
        <v>cand_FT_Ag</v>
      </c>
      <c r="AP5" t="str">
        <v>makeSAF</v>
      </c>
      <c r="AQ5">
        <v>677132.83238709357</v>
      </c>
      <c r="AR5" t="str">
        <v>tons</v>
      </c>
      <c r="AS5">
        <v>338566.41619354679</v>
      </c>
      <c r="AT5">
        <v>67713.283238709366</v>
      </c>
      <c r="AU5">
        <v>91155661.800000012</v>
      </c>
      <c r="BF5" t="str">
        <v>processor</v>
      </c>
      <c r="BG5" t="str">
        <v>Petroleum Fuel &amp; Terminal Co 4</v>
      </c>
      <c r="BH5" t="str">
        <v>blendSAF</v>
      </c>
      <c r="BI5" t="str">
        <v/>
      </c>
      <c r="BJ5" t="str">
        <v/>
      </c>
      <c r="BK5" t="str">
        <v/>
      </c>
      <c r="BL5" t="str">
        <v/>
      </c>
      <c r="BM5" t="str">
        <v/>
      </c>
      <c r="BO5" t="str">
        <v>ultimate_destination</v>
      </c>
      <c r="BP5" t="str">
        <v>HSV</v>
      </c>
      <c r="BQ5" t="str">
        <v>fuel_blend</v>
      </c>
      <c r="BR5">
        <v>16000000</v>
      </c>
      <c r="BS5" t="str">
        <v>gallons</v>
      </c>
      <c r="BT5" t="str">
        <v/>
      </c>
      <c r="BU5" t="str">
        <v/>
      </c>
      <c r="BV5" t="str">
        <v/>
      </c>
      <c r="BY5" t="str">
        <v>processor</v>
      </c>
      <c r="BZ5" t="str">
        <v>cand_FT_Ag</v>
      </c>
      <c r="CA5" t="str">
        <v>makeSAF</v>
      </c>
      <c r="CB5">
        <v>677132.83238709357</v>
      </c>
      <c r="CC5" t="str">
        <v>tons</v>
      </c>
      <c r="CD5">
        <v>338566.41619354679</v>
      </c>
      <c r="CE5">
        <v>67713.283238709366</v>
      </c>
      <c r="CF5">
        <v>91155661.800000012</v>
      </c>
      <c r="CI5" t="s">
        <v>170</v>
      </c>
      <c r="CJ5">
        <f>COUNTIFS(SAF_State[State],Notes!CI5,SAF_State[Filtered],1)</f>
        <v>1</v>
      </c>
    </row>
    <row r="6" spans="1:88" x14ac:dyDescent="0.3">
      <c r="A6" t="s">
        <v>51</v>
      </c>
      <c r="B6" t="s">
        <v>134</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20">_xlfn.UNIQUE(INDEX(_xlfn._xlws.FILTER(_xlfn._xlws.FILTER(SAF_Cand_Refinery[], _xlfn.TOCOL(SAF_Cand_Refinery[Filtered])=1), {1,0,1,0,0,0,0,0,0,0,0,0,0,0,0,0,0,0,0}),0))</f>
        <v>Ag processing waste</v>
      </c>
      <c r="AD6" s="145" t="str">
        <v>solid</v>
      </c>
      <c r="AE6" s="146">
        <f>'SAF Filters'!S17</f>
        <v>50</v>
      </c>
      <c r="AG6" s="119" t="e" cm="1" vm="4">
        <f t="array" aca="1" ref="AG6" ca="1">_xlfn.UNIQUE(_xlfn._xlws.FILTER(_xlfn._xlws.FILTER(SAF_Cand_Refinery[], _xlfn.TOCOL(SAF_Cand_Refinery[Filtered])=1), {1,0,0,0,0,0,1,1,1,1,1,0,0,0,0,0,0,0,0}))</f>
        <v>#VALUE!</v>
      </c>
      <c r="AH6" s="120"/>
      <c r="AI6" s="120"/>
      <c r="AJ6" s="120"/>
      <c r="AK6" s="120"/>
      <c r="AL6" s="121"/>
      <c r="AN6" t="str">
        <v>processor</v>
      </c>
      <c r="AO6" t="str">
        <v>cand_Py_Ag</v>
      </c>
      <c r="AP6" t="str">
        <v>makeSAF</v>
      </c>
      <c r="AQ6">
        <v>1805687.5530322497</v>
      </c>
      <c r="AR6" t="str">
        <v>tons</v>
      </c>
      <c r="AS6">
        <v>902843.77651612484</v>
      </c>
      <c r="AT6">
        <v>180568.75530322499</v>
      </c>
      <c r="AU6">
        <v>77989532.280000001</v>
      </c>
      <c r="BF6" t="str">
        <v>processor</v>
      </c>
      <c r="BG6" t="str">
        <v>Petroleum Fuel &amp; Terminal Co 10</v>
      </c>
      <c r="BH6" t="str">
        <v>blendSAF</v>
      </c>
      <c r="BI6" t="str">
        <v/>
      </c>
      <c r="BJ6" t="str">
        <v/>
      </c>
      <c r="BK6" t="str">
        <v/>
      </c>
      <c r="BL6" t="str">
        <v/>
      </c>
      <c r="BM6" t="str">
        <v/>
      </c>
      <c r="BO6" t="str">
        <v>ultimate_destination</v>
      </c>
      <c r="BP6" t="str">
        <v>ANC</v>
      </c>
      <c r="BQ6" t="str">
        <v>fuel_blend</v>
      </c>
      <c r="BR6">
        <v>847000000</v>
      </c>
      <c r="BS6" t="str">
        <v>gallons</v>
      </c>
      <c r="BT6" t="str">
        <v/>
      </c>
      <c r="BU6" t="str">
        <v/>
      </c>
      <c r="BV6" t="str">
        <v/>
      </c>
      <c r="BY6" t="str">
        <v>processor</v>
      </c>
      <c r="BZ6" t="str">
        <v>cand_Py_Ag</v>
      </c>
      <c r="CA6" t="str">
        <v>makeSAF</v>
      </c>
      <c r="CB6">
        <v>1805687.5530322497</v>
      </c>
      <c r="CC6" t="str">
        <v>tons</v>
      </c>
      <c r="CD6">
        <v>902843.77651612484</v>
      </c>
      <c r="CE6">
        <v>180568.75530322499</v>
      </c>
      <c r="CF6">
        <v>77989532.280000001</v>
      </c>
      <c r="CI6" t="s">
        <v>158</v>
      </c>
      <c r="CJ6">
        <f>COUNTIFS(SAF_State[State],Notes!CI6,SAF_State[Filtered],1)</f>
        <v>1</v>
      </c>
    </row>
    <row r="7" spans="1:88" x14ac:dyDescent="0.3">
      <c r="A7" t="s">
        <v>52</v>
      </c>
      <c r="B7" t="s">
        <v>135</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AC7" t="str">
        <v>Agricultural residues</v>
      </c>
      <c r="AD7" t="str">
        <v>solid</v>
      </c>
      <c r="AN7" t="str">
        <v>processor</v>
      </c>
      <c r="AO7" t="str">
        <v>cand_Py_Ag</v>
      </c>
      <c r="AP7" t="str">
        <v>makeSAF</v>
      </c>
      <c r="AQ7">
        <v>451421.88825806242</v>
      </c>
      <c r="AR7" t="str">
        <v>tons</v>
      </c>
      <c r="AS7">
        <v>225710.94412903121</v>
      </c>
      <c r="AT7">
        <v>45142.188825806246</v>
      </c>
      <c r="AU7">
        <v>44534613</v>
      </c>
      <c r="BF7" t="str">
        <v>processor</v>
      </c>
      <c r="BG7" t="str">
        <v>Ergon Asphalt &amp; Emulsions Inc 1</v>
      </c>
      <c r="BH7" t="str">
        <v>blendSAF</v>
      </c>
      <c r="BI7" t="str">
        <v/>
      </c>
      <c r="BJ7" t="str">
        <v/>
      </c>
      <c r="BK7" t="str">
        <v/>
      </c>
      <c r="BL7" t="str">
        <v/>
      </c>
      <c r="BM7" t="str">
        <v/>
      </c>
      <c r="BO7" t="str">
        <v>ultimate_destination</v>
      </c>
      <c r="BP7" t="str">
        <v>JNU</v>
      </c>
      <c r="BQ7" t="str">
        <v>fuel_blend</v>
      </c>
      <c r="BR7">
        <v>4000000</v>
      </c>
      <c r="BS7" t="str">
        <v>gallons</v>
      </c>
      <c r="BT7" t="str">
        <v/>
      </c>
      <c r="BU7" t="str">
        <v/>
      </c>
      <c r="BV7" t="str">
        <v/>
      </c>
      <c r="BY7" t="str">
        <v>processor</v>
      </c>
      <c r="BZ7" t="str">
        <v>cand_Py_Ag</v>
      </c>
      <c r="CA7" t="str">
        <v>makeSAF</v>
      </c>
      <c r="CB7">
        <v>451421.88825806242</v>
      </c>
      <c r="CC7" t="str">
        <v>tons</v>
      </c>
      <c r="CD7">
        <v>225710.94412903121</v>
      </c>
      <c r="CE7">
        <v>45142.188825806246</v>
      </c>
      <c r="CF7">
        <v>44534613</v>
      </c>
      <c r="CI7" t="s">
        <v>166</v>
      </c>
      <c r="CJ7">
        <f>COUNTIFS(SAF_State[State],Notes!CI7,SAF_State[Filtered],1)</f>
        <v>1</v>
      </c>
    </row>
    <row r="8" spans="1:88" x14ac:dyDescent="0.3">
      <c r="A8" t="s">
        <v>49</v>
      </c>
      <c r="B8" t="s">
        <v>136</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C8" t="str">
        <v>Fire reduction thinnings</v>
      </c>
      <c r="AD8" t="str">
        <v>solid</v>
      </c>
      <c r="AG8" s="1" t="s">
        <v>32</v>
      </c>
      <c r="AH8" t="s">
        <v>326</v>
      </c>
      <c r="AN8" t="str">
        <v>processor</v>
      </c>
      <c r="AO8" t="str">
        <v>cand_FT_Forest</v>
      </c>
      <c r="AP8" t="str">
        <v>makeSAF</v>
      </c>
      <c r="AQ8">
        <v>2106635.4785376247</v>
      </c>
      <c r="AR8" t="str">
        <v>tons</v>
      </c>
      <c r="AS8">
        <v>1053317.7392688124</v>
      </c>
      <c r="AT8">
        <v>210663.54785376249</v>
      </c>
      <c r="AU8">
        <v>116408730</v>
      </c>
      <c r="BF8" t="str">
        <v>processor</v>
      </c>
      <c r="BG8" t="str">
        <v>Circle K Terminal Alabama Llc</v>
      </c>
      <c r="BH8" t="str">
        <v>blendSAF</v>
      </c>
      <c r="BI8" t="str">
        <v/>
      </c>
      <c r="BJ8" t="str">
        <v/>
      </c>
      <c r="BK8" t="str">
        <v/>
      </c>
      <c r="BL8" t="str">
        <v/>
      </c>
      <c r="BM8" t="str">
        <v/>
      </c>
      <c r="BO8" t="str">
        <v>ultimate_destination</v>
      </c>
      <c r="BP8" t="str">
        <v>PHX</v>
      </c>
      <c r="BQ8" t="str">
        <v>fuel_blend</v>
      </c>
      <c r="BR8">
        <v>462000000</v>
      </c>
      <c r="BS8" t="str">
        <v>gallons</v>
      </c>
      <c r="BT8" t="str">
        <v/>
      </c>
      <c r="BU8" t="str">
        <v/>
      </c>
      <c r="BV8" t="str">
        <v/>
      </c>
      <c r="BY8" t="str">
        <v>processor</v>
      </c>
      <c r="BZ8" t="str">
        <v>cand_FT_Forest</v>
      </c>
      <c r="CA8" t="str">
        <v>makeSAF</v>
      </c>
      <c r="CB8">
        <v>2106635.4785376247</v>
      </c>
      <c r="CC8" t="str">
        <v>tons</v>
      </c>
      <c r="CD8">
        <v>1053317.7392688124</v>
      </c>
      <c r="CE8">
        <v>210663.54785376249</v>
      </c>
      <c r="CF8">
        <v>116408730</v>
      </c>
      <c r="CI8" t="s">
        <v>165</v>
      </c>
      <c r="CJ8">
        <f>COUNTIFS(SAF_State[State],Notes!CI8,SAF_State[Filtered],1)</f>
        <v>1</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C9" t="str">
        <v>FOG</v>
      </c>
      <c r="AD9" t="str">
        <v>solid</v>
      </c>
      <c r="AG9" s="1" t="s">
        <v>6</v>
      </c>
      <c r="AH9" t="s">
        <v>7</v>
      </c>
      <c r="AN9" t="str">
        <v>processor</v>
      </c>
      <c r="AO9" t="str">
        <v>cand_FT_Forest</v>
      </c>
      <c r="AP9" t="str">
        <v>makeSAF</v>
      </c>
      <c r="AQ9">
        <v>526658.86963440618</v>
      </c>
      <c r="AR9" t="str">
        <v>tons</v>
      </c>
      <c r="AS9">
        <v>263329.43481720309</v>
      </c>
      <c r="AT9">
        <v>52665.886963440622</v>
      </c>
      <c r="AU9">
        <v>78277316.519999996</v>
      </c>
      <c r="BF9" t="str">
        <v>processor</v>
      </c>
      <c r="BG9" t="str">
        <v>Murphy Oil Usa Inc 50</v>
      </c>
      <c r="BH9" t="str">
        <v>blendSAF</v>
      </c>
      <c r="BI9" t="str">
        <v/>
      </c>
      <c r="BJ9" t="str">
        <v/>
      </c>
      <c r="BK9" t="str">
        <v/>
      </c>
      <c r="BL9" t="str">
        <v/>
      </c>
      <c r="BM9" t="str">
        <v/>
      </c>
      <c r="BO9" t="str">
        <v>ultimate_destination</v>
      </c>
      <c r="BP9" t="str">
        <v>TUS</v>
      </c>
      <c r="BQ9" t="str">
        <v>fuel_blend</v>
      </c>
      <c r="BR9">
        <v>26000000</v>
      </c>
      <c r="BS9" t="str">
        <v>gallons</v>
      </c>
      <c r="BT9" t="str">
        <v/>
      </c>
      <c r="BU9" t="str">
        <v/>
      </c>
      <c r="BV9" t="str">
        <v/>
      </c>
      <c r="BY9" t="str">
        <v>processor</v>
      </c>
      <c r="BZ9" t="str">
        <v>cand_FT_Forest</v>
      </c>
      <c r="CA9" t="str">
        <v>makeSAF</v>
      </c>
      <c r="CB9">
        <v>526658.86963440618</v>
      </c>
      <c r="CC9" t="str">
        <v>tons</v>
      </c>
      <c r="CD9">
        <v>263329.43481720309</v>
      </c>
      <c r="CE9">
        <v>52665.886963440622</v>
      </c>
      <c r="CF9">
        <v>78277316.519999996</v>
      </c>
      <c r="CI9" t="s">
        <v>157</v>
      </c>
      <c r="CJ9">
        <f>COUNTIFS(SAF_State[State],Notes!CI9,SAF_State[Filtered],1)</f>
        <v>1</v>
      </c>
    </row>
    <row r="10" spans="1:88" x14ac:dyDescent="0.3">
      <c r="A10" t="s">
        <v>207</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C10" t="str">
        <v>Forest processing waste</v>
      </c>
      <c r="AD10" t="str">
        <v>solid</v>
      </c>
      <c r="AG10" s="1" t="s">
        <v>20</v>
      </c>
      <c r="AH10" s="1" t="s">
        <v>241</v>
      </c>
      <c r="AI10" s="1" t="s">
        <v>244</v>
      </c>
      <c r="AJ10" s="1" t="s">
        <v>21</v>
      </c>
      <c r="AK10" s="1" t="s">
        <v>243</v>
      </c>
      <c r="AL10" s="1" t="s">
        <v>242</v>
      </c>
      <c r="AN10" t="str">
        <v>processor</v>
      </c>
      <c r="AO10" t="str">
        <v>cand_Py_Forest</v>
      </c>
      <c r="AP10" t="str">
        <v>makeSAF</v>
      </c>
      <c r="AQ10">
        <v>1648671.2440729232</v>
      </c>
      <c r="AR10" t="str">
        <v>tons</v>
      </c>
      <c r="AS10">
        <v>824335.6220364616</v>
      </c>
      <c r="AT10">
        <v>164867.12440729234</v>
      </c>
      <c r="AU10">
        <v>74680013.400000006</v>
      </c>
      <c r="BF10" t="str">
        <v>processor</v>
      </c>
      <c r="BG10" t="str">
        <v>Murphy Oil Usa Inc 54</v>
      </c>
      <c r="BH10" t="str">
        <v>blendSAF</v>
      </c>
      <c r="BI10" t="str">
        <v/>
      </c>
      <c r="BJ10" t="str">
        <v/>
      </c>
      <c r="BK10" t="str">
        <v/>
      </c>
      <c r="BL10" t="str">
        <v/>
      </c>
      <c r="BM10" t="str">
        <v/>
      </c>
      <c r="BO10" t="str">
        <v>ultimate_destination</v>
      </c>
      <c r="BP10" t="str">
        <v>XNA</v>
      </c>
      <c r="BQ10" t="str">
        <v>fuel_blend</v>
      </c>
      <c r="BR10">
        <v>16000000</v>
      </c>
      <c r="BS10" t="str">
        <v>gallons</v>
      </c>
      <c r="BT10" t="str">
        <v/>
      </c>
      <c r="BU10" t="str">
        <v/>
      </c>
      <c r="BV10" t="str">
        <v/>
      </c>
      <c r="BY10" t="str">
        <v>processor</v>
      </c>
      <c r="BZ10" t="str">
        <v>cand_Py_Forest</v>
      </c>
      <c r="CA10" t="str">
        <v>makeSAF</v>
      </c>
      <c r="CB10">
        <v>1648671.2440729232</v>
      </c>
      <c r="CC10" t="str">
        <v>tons</v>
      </c>
      <c r="CD10">
        <v>824335.6220364616</v>
      </c>
      <c r="CE10">
        <v>164867.12440729234</v>
      </c>
      <c r="CF10">
        <v>74680013.400000006</v>
      </c>
      <c r="CI10" t="s">
        <v>156</v>
      </c>
      <c r="CJ10">
        <f>COUNTIFS(SAF_State[State],Notes!CI10,SAF_State[Filtered],1)</f>
        <v>1</v>
      </c>
    </row>
    <row r="11" spans="1:88" x14ac:dyDescent="0.3">
      <c r="A11" t="s">
        <v>208</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C11" t="str">
        <v>Intermediate oilseeds</v>
      </c>
      <c r="AD11" t="str">
        <v>solid</v>
      </c>
      <c r="AG11" s="119" t="s">
        <v>322</v>
      </c>
      <c r="AH11" s="120">
        <v>1</v>
      </c>
      <c r="AI11" s="120" t="s">
        <v>42</v>
      </c>
      <c r="AJ11" s="120" t="s">
        <v>325</v>
      </c>
      <c r="AK11" s="120">
        <f>1/'SAF Filters'!T52</f>
        <v>2</v>
      </c>
      <c r="AL11" s="121" t="s">
        <v>42</v>
      </c>
      <c r="AN11" t="str">
        <v>processor</v>
      </c>
      <c r="AO11" t="str">
        <v>cand_Py_Forest</v>
      </c>
      <c r="AP11" t="str">
        <v>makeSAF</v>
      </c>
      <c r="AQ11">
        <v>412167.81101823086</v>
      </c>
      <c r="AR11" t="str">
        <v>tons</v>
      </c>
      <c r="AS11">
        <v>206083.90550911543</v>
      </c>
      <c r="AT11">
        <v>41216.781101823086</v>
      </c>
      <c r="AU11">
        <v>42735961.439999998</v>
      </c>
      <c r="BF11" t="str">
        <v>processor</v>
      </c>
      <c r="BG11" t="str">
        <v>Murphy Oil Usa Inc 55</v>
      </c>
      <c r="BH11" t="str">
        <v>blendSAF</v>
      </c>
      <c r="BI11" t="str">
        <v/>
      </c>
      <c r="BJ11" t="str">
        <v/>
      </c>
      <c r="BK11" t="str">
        <v/>
      </c>
      <c r="BL11" t="str">
        <v/>
      </c>
      <c r="BM11" t="str">
        <v/>
      </c>
      <c r="BO11" t="str">
        <v>ultimate_destination</v>
      </c>
      <c r="BP11" t="str">
        <v>BUR</v>
      </c>
      <c r="BQ11" t="str">
        <v>fuel_blend</v>
      </c>
      <c r="BR11">
        <v>53000000</v>
      </c>
      <c r="BS11" t="str">
        <v>gallons</v>
      </c>
      <c r="BT11" t="str">
        <v/>
      </c>
      <c r="BU11" t="str">
        <v/>
      </c>
      <c r="BV11" t="str">
        <v/>
      </c>
      <c r="BY11" t="str">
        <v>processor</v>
      </c>
      <c r="BZ11" t="str">
        <v>cand_Py_Forest</v>
      </c>
      <c r="CA11" t="str">
        <v>makeSAF</v>
      </c>
      <c r="CB11">
        <v>412167.81101823086</v>
      </c>
      <c r="CC11" t="str">
        <v>tons</v>
      </c>
      <c r="CD11">
        <v>206083.90550911543</v>
      </c>
      <c r="CE11">
        <v>41216.781101823086</v>
      </c>
      <c r="CF11">
        <v>42735961.439999998</v>
      </c>
      <c r="CI11" t="s">
        <v>150</v>
      </c>
      <c r="CJ11">
        <f>COUNTIFS(SAF_State[State],Notes!CI11,SAF_State[Filtered],1)</f>
        <v>1</v>
      </c>
    </row>
    <row r="12" spans="1:88" x14ac:dyDescent="0.3">
      <c r="A12" t="s">
        <v>209</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AC12" t="str">
        <v>Logging residues</v>
      </c>
      <c r="AD12" t="str">
        <v>solid</v>
      </c>
      <c r="AN12" t="str">
        <v>processor</v>
      </c>
      <c r="AO12" t="str">
        <v>cand_HEFA_FOG</v>
      </c>
      <c r="AP12" t="str">
        <v>makeSAF</v>
      </c>
      <c r="AQ12">
        <v>1142151.7654722061</v>
      </c>
      <c r="AR12" t="str">
        <v>tons</v>
      </c>
      <c r="AS12">
        <v>571075.88273610303</v>
      </c>
      <c r="AT12">
        <v>114215.17654722062</v>
      </c>
      <c r="AU12">
        <v>32231836.200000003</v>
      </c>
      <c r="BF12" t="str">
        <v>processor</v>
      </c>
      <c r="BG12" t="str">
        <v>Us Venture Inc 24</v>
      </c>
      <c r="BH12" t="str">
        <v>blendSAF</v>
      </c>
      <c r="BI12" t="str">
        <v/>
      </c>
      <c r="BJ12" t="str">
        <v/>
      </c>
      <c r="BK12" t="str">
        <v/>
      </c>
      <c r="BL12" t="str">
        <v/>
      </c>
      <c r="BM12" t="str">
        <v/>
      </c>
      <c r="BO12" t="str">
        <v>ultimate_destination</v>
      </c>
      <c r="BP12" t="str">
        <v>LAX</v>
      </c>
      <c r="BQ12" t="str">
        <v>fuel_blend</v>
      </c>
      <c r="BR12">
        <v>1739000000</v>
      </c>
      <c r="BS12" t="str">
        <v>gallons</v>
      </c>
      <c r="BT12" t="str">
        <v/>
      </c>
      <c r="BU12" t="str">
        <v/>
      </c>
      <c r="BV12" t="str">
        <v/>
      </c>
      <c r="BY12" t="str">
        <v>processor</v>
      </c>
      <c r="BZ12" t="str">
        <v>cand_HEFA_FOG</v>
      </c>
      <c r="CA12" t="str">
        <v>makeSAF</v>
      </c>
      <c r="CB12">
        <v>1142151.7654722061</v>
      </c>
      <c r="CC12" t="str">
        <v>tons</v>
      </c>
      <c r="CD12">
        <v>571075.88273610303</v>
      </c>
      <c r="CE12">
        <v>114215.17654722062</v>
      </c>
      <c r="CF12">
        <v>32231836.200000003</v>
      </c>
      <c r="CI12" t="s">
        <v>178</v>
      </c>
      <c r="CJ12">
        <f>COUNTIFS(SAF_State[State],Notes!CI12,SAF_State[Filtered],1)</f>
        <v>1</v>
      </c>
    </row>
    <row r="13" spans="1:88" x14ac:dyDescent="0.3">
      <c r="A13" t="s">
        <v>94</v>
      </c>
      <c r="B13" t="s">
        <v>137</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C13" t="str">
        <v>Other forest waste</v>
      </c>
      <c r="AD13" t="str">
        <v>solid</v>
      </c>
      <c r="AG13" s="1" t="s">
        <v>32</v>
      </c>
      <c r="AH13" t="s">
        <v>327</v>
      </c>
      <c r="AN13" t="str">
        <v>processor</v>
      </c>
      <c r="AO13" t="str">
        <v>cand_HEFA_Soybean</v>
      </c>
      <c r="AP13" t="str">
        <v>makeSAF</v>
      </c>
      <c r="AQ13">
        <v>1142151.7654722061</v>
      </c>
      <c r="AR13" t="str">
        <v>tons</v>
      </c>
      <c r="AS13">
        <v>571075.88273610303</v>
      </c>
      <c r="AT13">
        <v>114215.17654722062</v>
      </c>
      <c r="AU13">
        <v>32807404.68</v>
      </c>
      <c r="BF13" t="str">
        <v>processor</v>
      </c>
      <c r="BG13" t="str">
        <v>Buckeye Terminals Llc 26</v>
      </c>
      <c r="BH13" t="str">
        <v>blendSAF</v>
      </c>
      <c r="BI13" t="str">
        <v/>
      </c>
      <c r="BJ13" t="str">
        <v/>
      </c>
      <c r="BK13" t="str">
        <v/>
      </c>
      <c r="BL13" t="str">
        <v/>
      </c>
      <c r="BM13" t="str">
        <v/>
      </c>
      <c r="BO13" t="str">
        <v>ultimate_destination</v>
      </c>
      <c r="BP13" t="str">
        <v>LGB</v>
      </c>
      <c r="BQ13" t="str">
        <v>fuel_blend</v>
      </c>
      <c r="BR13">
        <v>27000000</v>
      </c>
      <c r="BS13" t="str">
        <v>gallons</v>
      </c>
      <c r="BT13" t="str">
        <v/>
      </c>
      <c r="BU13" t="str">
        <v/>
      </c>
      <c r="BV13" t="str">
        <v/>
      </c>
      <c r="BY13" t="str">
        <v>processor</v>
      </c>
      <c r="BZ13" t="str">
        <v>cand_HEFA_Soybean</v>
      </c>
      <c r="CA13" t="str">
        <v>makeSAF</v>
      </c>
      <c r="CB13">
        <v>1142151.7654722061</v>
      </c>
      <c r="CC13" t="str">
        <v>tons</v>
      </c>
      <c r="CD13">
        <v>571075.88273610303</v>
      </c>
      <c r="CE13">
        <v>114215.17654722062</v>
      </c>
      <c r="CF13">
        <v>32807404.68</v>
      </c>
      <c r="CI13" t="s">
        <v>180</v>
      </c>
      <c r="CJ13">
        <f>COUNTIFS(SAF_State[State],Notes!CI13,SAF_State[Filtered],1)</f>
        <v>1</v>
      </c>
    </row>
    <row r="14" spans="1:88" x14ac:dyDescent="0.3">
      <c r="A14" t="s">
        <v>95</v>
      </c>
      <c r="B14" t="s">
        <v>137</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C14" t="str">
        <v>Other solid waste</v>
      </c>
      <c r="AD14" t="str">
        <v>solid</v>
      </c>
      <c r="AG14" s="1" t="s">
        <v>6</v>
      </c>
      <c r="AH14" t="s">
        <v>7</v>
      </c>
      <c r="AN14" t="str">
        <v>processor</v>
      </c>
      <c r="AO14" t="str">
        <v>cand_FT_MSW</v>
      </c>
      <c r="AP14" t="str">
        <v>makeSAF</v>
      </c>
      <c r="AQ14">
        <v>1529009.6215192438</v>
      </c>
      <c r="AR14" t="str">
        <v>tons</v>
      </c>
      <c r="AS14">
        <v>764504.81075962191</v>
      </c>
      <c r="AT14">
        <v>152900.96215192438</v>
      </c>
      <c r="AU14">
        <v>102738978</v>
      </c>
      <c r="BF14" t="str">
        <v>processor</v>
      </c>
      <c r="BG14" t="str">
        <v>Buckeye Terminals Llc 71</v>
      </c>
      <c r="BH14" t="str">
        <v>blendSAF</v>
      </c>
      <c r="BI14" t="str">
        <v/>
      </c>
      <c r="BJ14" t="str">
        <v/>
      </c>
      <c r="BK14" t="str">
        <v/>
      </c>
      <c r="BL14" t="str">
        <v/>
      </c>
      <c r="BM14" t="str">
        <v/>
      </c>
      <c r="BO14" t="str">
        <v>ultimate_destination</v>
      </c>
      <c r="BP14" t="str">
        <v>OAK</v>
      </c>
      <c r="BQ14" t="str">
        <v>fuel_blend</v>
      </c>
      <c r="BR14">
        <v>97000000</v>
      </c>
      <c r="BS14" t="str">
        <v>gallons</v>
      </c>
      <c r="BT14" t="str">
        <v/>
      </c>
      <c r="BU14" t="str">
        <v/>
      </c>
      <c r="BV14" t="str">
        <v/>
      </c>
      <c r="BY14" t="str">
        <v>processor</v>
      </c>
      <c r="BZ14" t="str">
        <v>cand_FT_MSW</v>
      </c>
      <c r="CA14" t="str">
        <v>makeSAF</v>
      </c>
      <c r="CB14">
        <v>1529009.6215192438</v>
      </c>
      <c r="CC14" t="str">
        <v>tons</v>
      </c>
      <c r="CD14">
        <v>764504.81075962191</v>
      </c>
      <c r="CE14">
        <v>152900.96215192438</v>
      </c>
      <c r="CF14">
        <v>102738978</v>
      </c>
      <c r="CI14" t="s">
        <v>192</v>
      </c>
      <c r="CJ14">
        <f>COUNTIFS(SAF_State[State],Notes!CI14,SAF_State[Filtered],1)</f>
        <v>1</v>
      </c>
    </row>
    <row r="15" spans="1:88" x14ac:dyDescent="0.3">
      <c r="A15" t="s">
        <v>96</v>
      </c>
      <c r="B15" t="s">
        <v>137</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C15" t="str">
        <v>Paper</v>
      </c>
      <c r="AD15" t="str">
        <v>solid</v>
      </c>
      <c r="AG15" s="1" t="s">
        <v>20</v>
      </c>
      <c r="AH15" s="1" t="s">
        <v>241</v>
      </c>
      <c r="AI15" s="1" t="s">
        <v>244</v>
      </c>
      <c r="AJ15" s="1" t="s">
        <v>21</v>
      </c>
      <c r="AK15" s="1" t="s">
        <v>243</v>
      </c>
      <c r="AL15" s="1" t="s">
        <v>242</v>
      </c>
      <c r="AN15" t="str">
        <v>processor</v>
      </c>
      <c r="AO15" t="str">
        <v>cand_FT_MSW</v>
      </c>
      <c r="AP15" t="str">
        <v>makeSAF</v>
      </c>
      <c r="AQ15">
        <v>305801.92430384876</v>
      </c>
      <c r="AR15" t="str">
        <v>tons</v>
      </c>
      <c r="AS15">
        <v>152900.96215192438</v>
      </c>
      <c r="AT15">
        <v>30580.192430384879</v>
      </c>
      <c r="AU15">
        <v>58492149.239999995</v>
      </c>
      <c r="BF15" t="str">
        <v>processor</v>
      </c>
      <c r="BG15" t="str">
        <v>Buckeye Se Terminals Lp 3</v>
      </c>
      <c r="BH15" t="str">
        <v>blendSAF</v>
      </c>
      <c r="BI15" t="str">
        <v/>
      </c>
      <c r="BJ15" t="str">
        <v/>
      </c>
      <c r="BK15" t="str">
        <v/>
      </c>
      <c r="BL15" t="str">
        <v/>
      </c>
      <c r="BM15" t="str">
        <v/>
      </c>
      <c r="BO15" t="str">
        <v>ultimate_destination</v>
      </c>
      <c r="BP15" t="str">
        <v>ONT</v>
      </c>
      <c r="BQ15" t="str">
        <v>fuel_blend</v>
      </c>
      <c r="BR15">
        <v>132000000</v>
      </c>
      <c r="BS15" t="str">
        <v>gallons</v>
      </c>
      <c r="BT15" t="str">
        <v/>
      </c>
      <c r="BU15" t="str">
        <v/>
      </c>
      <c r="BV15" t="str">
        <v/>
      </c>
      <c r="BY15" t="str">
        <v>processor</v>
      </c>
      <c r="BZ15" t="str">
        <v>cand_FT_MSW</v>
      </c>
      <c r="CA15" t="str">
        <v>makeSAF</v>
      </c>
      <c r="CB15">
        <v>305801.92430384876</v>
      </c>
      <c r="CC15" t="str">
        <v>tons</v>
      </c>
      <c r="CD15">
        <v>152900.96215192438</v>
      </c>
      <c r="CE15">
        <v>30580.192430384879</v>
      </c>
      <c r="CF15">
        <v>58492149.239999995</v>
      </c>
      <c r="CI15" t="s">
        <v>155</v>
      </c>
      <c r="CJ15">
        <f>COUNTIFS(SAF_State[State],Notes!CI15,SAF_State[Filtered],1)</f>
        <v>1</v>
      </c>
    </row>
    <row r="16" spans="1:88" x14ac:dyDescent="0.3">
      <c r="A16" t="s">
        <v>97</v>
      </c>
      <c r="B16" t="s">
        <v>137</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C16" t="str">
        <v>Plastic</v>
      </c>
      <c r="AD16" t="str">
        <v>solid</v>
      </c>
      <c r="AG16" s="119" t="e" cm="1" vm="4">
        <f t="array" aca="1" ref="AG16" ca="1">_xlfn.UNIQUE(_xlfn._xlws.FILTER(_xlfn._xlws.FILTER(SAF_Cand_Refinery[], _xlfn.TOCOL(SAF_Cand_Refinery[Filtered])=1), {1,0,0,0,0,0,1,1,1,1,1,0,0,0,0,0,0,0,0}))</f>
        <v>#VALUE!</v>
      </c>
      <c r="AH16" s="120"/>
      <c r="AI16" s="120"/>
      <c r="AJ16" s="120"/>
      <c r="AK16" s="120"/>
      <c r="AL16" s="121"/>
      <c r="AN16" t="str">
        <v>processor</v>
      </c>
      <c r="AO16" t="str">
        <v>cand_ATJ_Ethanol</v>
      </c>
      <c r="AP16" t="str">
        <v>makeSAF</v>
      </c>
      <c r="AQ16">
        <v>479299088.4013319</v>
      </c>
      <c r="AR16" t="str">
        <v>gallons</v>
      </c>
      <c r="AS16">
        <v>239649544.20066595</v>
      </c>
      <c r="AT16">
        <v>47929908.84013319</v>
      </c>
      <c r="AU16">
        <v>23598308.640000001</v>
      </c>
      <c r="BF16" t="str">
        <v>processor</v>
      </c>
      <c r="BG16" t="str">
        <v>Sunoco Llc 3</v>
      </c>
      <c r="BH16" t="str">
        <v>blendSAF</v>
      </c>
      <c r="BI16" t="str">
        <v/>
      </c>
      <c r="BJ16" t="str">
        <v/>
      </c>
      <c r="BK16" t="str">
        <v/>
      </c>
      <c r="BL16" t="str">
        <v/>
      </c>
      <c r="BM16" t="str">
        <v/>
      </c>
      <c r="BO16" t="str">
        <v>ultimate_destination</v>
      </c>
      <c r="BP16" t="str">
        <v>PSP</v>
      </c>
      <c r="BQ16" t="str">
        <v>fuel_blend</v>
      </c>
      <c r="BR16">
        <v>26000000</v>
      </c>
      <c r="BS16" t="str">
        <v>gallons</v>
      </c>
      <c r="BT16" t="str">
        <v/>
      </c>
      <c r="BU16" t="str">
        <v/>
      </c>
      <c r="BV16" t="str">
        <v/>
      </c>
      <c r="BY16" t="str">
        <v>processor</v>
      </c>
      <c r="BZ16" t="str">
        <v>cand_ATJ_Ethanol</v>
      </c>
      <c r="CA16" t="str">
        <v>makeSAF</v>
      </c>
      <c r="CB16">
        <v>479299088.4013319</v>
      </c>
      <c r="CC16" t="str">
        <v>gallons</v>
      </c>
      <c r="CD16">
        <v>239649544.20066595</v>
      </c>
      <c r="CE16">
        <v>47929908.84013319</v>
      </c>
      <c r="CF16">
        <v>23598308.640000001</v>
      </c>
      <c r="CI16" t="s">
        <v>154</v>
      </c>
      <c r="CJ16">
        <f>COUNTIFS(SAF_State[State],Notes!CI16,SAF_State[Filtered],1)</f>
        <v>1</v>
      </c>
    </row>
    <row r="17" spans="1:88" x14ac:dyDescent="0.3">
      <c r="A17" t="s">
        <v>98</v>
      </c>
      <c r="B17" t="s">
        <v>137</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C17" t="str">
        <v>Small-diameter trees</v>
      </c>
      <c r="AD17" t="str">
        <v>solid</v>
      </c>
      <c r="AG17" s="142" t="s">
        <v>1666</v>
      </c>
      <c r="AN17" t="str">
        <v>processor</v>
      </c>
      <c r="AO17" t="str">
        <v>cand_ATJ_Ethanol</v>
      </c>
      <c r="AP17" t="str">
        <v>makeSAF</v>
      </c>
      <c r="AQ17">
        <v>47929908.84013319</v>
      </c>
      <c r="AR17" t="str">
        <v>gallons</v>
      </c>
      <c r="AS17">
        <v>23964954.420066595</v>
      </c>
      <c r="AT17">
        <v>4792990.8840133194</v>
      </c>
      <c r="AU17">
        <v>8417689.3200000003</v>
      </c>
      <c r="BF17" t="str">
        <v>processor</v>
      </c>
      <c r="BG17" t="str">
        <v>Ent Propane Terminals &amp; Storage Llc 8</v>
      </c>
      <c r="BH17" t="str">
        <v>blendSAF</v>
      </c>
      <c r="BI17" t="str">
        <v/>
      </c>
      <c r="BJ17" t="str">
        <v/>
      </c>
      <c r="BK17" t="str">
        <v/>
      </c>
      <c r="BL17" t="str">
        <v/>
      </c>
      <c r="BM17" t="str">
        <v/>
      </c>
      <c r="BO17" t="str">
        <v>ultimate_destination</v>
      </c>
      <c r="BP17" t="str">
        <v>SAN</v>
      </c>
      <c r="BQ17" t="str">
        <v>fuel_blend</v>
      </c>
      <c r="BR17">
        <v>216000000</v>
      </c>
      <c r="BS17" t="str">
        <v>gallons</v>
      </c>
      <c r="BT17" t="str">
        <v/>
      </c>
      <c r="BU17" t="str">
        <v/>
      </c>
      <c r="BV17" t="str">
        <v/>
      </c>
      <c r="BY17" t="str">
        <v>processor</v>
      </c>
      <c r="BZ17" t="str">
        <v>cand_ATJ_Ethanol</v>
      </c>
      <c r="CA17" t="str">
        <v>makeSAF</v>
      </c>
      <c r="CB17">
        <v>47929908.84013319</v>
      </c>
      <c r="CC17" t="str">
        <v>gallons</v>
      </c>
      <c r="CD17">
        <v>23964954.420066595</v>
      </c>
      <c r="CE17">
        <v>4792990.8840133194</v>
      </c>
      <c r="CF17">
        <v>8417689.3200000003</v>
      </c>
      <c r="CI17" t="s">
        <v>168</v>
      </c>
      <c r="CJ17">
        <f>COUNTIFS(SAF_State[State],Notes!CI17,SAF_State[Filtered],1)</f>
        <v>1</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C18" t="str">
        <v>Ethanol</v>
      </c>
      <c r="AD18" t="str">
        <v>liquid</v>
      </c>
      <c r="AG18" s="142"/>
      <c r="AN18" t="str">
        <v>processor</v>
      </c>
      <c r="AO18" t="str">
        <v>cand_FT_EnergyHerb</v>
      </c>
      <c r="AP18" t="str">
        <v>makeSAF</v>
      </c>
      <c r="AQ18">
        <v>2031398.4971612808</v>
      </c>
      <c r="AR18" t="str">
        <v>tons</v>
      </c>
      <c r="AS18">
        <v>1015699.2485806404</v>
      </c>
      <c r="AT18">
        <v>203139.84971612808</v>
      </c>
      <c r="AU18">
        <v>108566609.03999999</v>
      </c>
      <c r="BF18" t="str">
        <v>processor</v>
      </c>
      <c r="BG18" t="str">
        <v>Ent Propane Terminals &amp; Storage Llc 5</v>
      </c>
      <c r="BH18" t="str">
        <v>blendSAF</v>
      </c>
      <c r="BI18" t="str">
        <v/>
      </c>
      <c r="BJ18" t="str">
        <v/>
      </c>
      <c r="BK18" t="str">
        <v/>
      </c>
      <c r="BL18" t="str">
        <v/>
      </c>
      <c r="BM18" t="str">
        <v/>
      </c>
      <c r="BO18" t="str">
        <v>ultimate_destination</v>
      </c>
      <c r="BP18" t="str">
        <v>SBA</v>
      </c>
      <c r="BQ18" t="str">
        <v>fuel_blend</v>
      </c>
      <c r="BR18">
        <v>11000000</v>
      </c>
      <c r="BS18" t="str">
        <v>gallons</v>
      </c>
      <c r="BT18" t="str">
        <v/>
      </c>
      <c r="BU18" t="str">
        <v/>
      </c>
      <c r="BV18" t="str">
        <v/>
      </c>
      <c r="BY18" t="str">
        <v>processor</v>
      </c>
      <c r="BZ18" t="str">
        <v>cand_FT_EnergyHerb</v>
      </c>
      <c r="CA18" t="str">
        <v>makeSAF</v>
      </c>
      <c r="CB18">
        <v>2031398.4971612808</v>
      </c>
      <c r="CC18" t="str">
        <v>tons</v>
      </c>
      <c r="CD18">
        <v>1015699.2485806404</v>
      </c>
      <c r="CE18">
        <v>203139.84971612808</v>
      </c>
      <c r="CF18">
        <v>108566609.03999999</v>
      </c>
      <c r="CI18" t="s">
        <v>177</v>
      </c>
      <c r="CJ18">
        <f>COUNTIFS(SAF_State[State],Notes!CI18,SAF_State[Filtered],1)</f>
        <v>1</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AC19" t="str">
        <v>Herbaceous energy crops</v>
      </c>
      <c r="AD19" t="str">
        <v>solid</v>
      </c>
      <c r="AN19" t="str">
        <v>processor</v>
      </c>
      <c r="AO19" t="str">
        <v>cand_FT_EnergyHerb</v>
      </c>
      <c r="AP19" t="str">
        <v>makeSAF</v>
      </c>
      <c r="AQ19">
        <v>677132.83238709357</v>
      </c>
      <c r="AR19" t="str">
        <v>tons</v>
      </c>
      <c r="AS19">
        <v>338566.41619354679</v>
      </c>
      <c r="AT19">
        <v>67713.283238709366</v>
      </c>
      <c r="AU19">
        <v>91155661.800000012</v>
      </c>
      <c r="BF19" t="str">
        <v>processor</v>
      </c>
      <c r="BG19" t="str">
        <v>Enterprise Refined Products Co Llc 2</v>
      </c>
      <c r="BH19" t="str">
        <v>blendSAF</v>
      </c>
      <c r="BI19" t="str">
        <v/>
      </c>
      <c r="BJ19" t="str">
        <v/>
      </c>
      <c r="BK19" t="str">
        <v/>
      </c>
      <c r="BL19" t="str">
        <v/>
      </c>
      <c r="BM19" t="str">
        <v/>
      </c>
      <c r="BO19" t="str">
        <v>ultimate_destination</v>
      </c>
      <c r="BP19" t="str">
        <v>SFO</v>
      </c>
      <c r="BQ19" t="str">
        <v>fuel_blend</v>
      </c>
      <c r="BR19">
        <v>1115000000</v>
      </c>
      <c r="BS19" t="str">
        <v>gallons</v>
      </c>
      <c r="BT19" t="str">
        <v/>
      </c>
      <c r="BU19" t="str">
        <v/>
      </c>
      <c r="BV19" t="str">
        <v/>
      </c>
      <c r="BY19" t="str">
        <v>processor</v>
      </c>
      <c r="BZ19" t="str">
        <v>cand_FT_EnergyHerb</v>
      </c>
      <c r="CA19" t="str">
        <v>makeSAF</v>
      </c>
      <c r="CB19">
        <v>677132.83238709357</v>
      </c>
      <c r="CC19" t="str">
        <v>tons</v>
      </c>
      <c r="CD19">
        <v>338566.41619354679</v>
      </c>
      <c r="CE19">
        <v>67713.283238709366</v>
      </c>
      <c r="CF19">
        <v>91155661.800000012</v>
      </c>
      <c r="CI19" t="s">
        <v>181</v>
      </c>
      <c r="CJ19">
        <f>COUNTIFS(SAF_State[State],Notes!CI19,SAF_State[Filtered],1)</f>
        <v>1</v>
      </c>
    </row>
    <row r="20" spans="1:88" x14ac:dyDescent="0.3">
      <c r="A20" t="s">
        <v>82</v>
      </c>
      <c r="B20" t="s">
        <v>120</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AC20" t="str">
        <v>Woody energy crops</v>
      </c>
      <c r="AD20" t="str">
        <v>solid</v>
      </c>
      <c r="AN20" t="str">
        <v>processor</v>
      </c>
      <c r="AO20" t="str">
        <v>cand_FT_EnergyWoody</v>
      </c>
      <c r="AP20" t="str">
        <v>makeSAF</v>
      </c>
      <c r="AQ20">
        <v>2106635.4785376247</v>
      </c>
      <c r="AR20" t="str">
        <v>tons</v>
      </c>
      <c r="AS20">
        <v>1053317.7392688124</v>
      </c>
      <c r="AT20">
        <v>210663.54785376249</v>
      </c>
      <c r="AU20">
        <v>116408730</v>
      </c>
      <c r="BF20" t="str">
        <v>processor</v>
      </c>
      <c r="BG20" t="str">
        <v>Birmingham Bioenergy Partners Llc</v>
      </c>
      <c r="BH20" t="str">
        <v>blendSAF</v>
      </c>
      <c r="BI20" t="str">
        <v/>
      </c>
      <c r="BJ20" t="str">
        <v/>
      </c>
      <c r="BK20" t="str">
        <v/>
      </c>
      <c r="BL20" t="str">
        <v/>
      </c>
      <c r="BM20" t="str">
        <v/>
      </c>
      <c r="BO20" t="str">
        <v>ultimate_destination</v>
      </c>
      <c r="BP20" t="str">
        <v>SJC</v>
      </c>
      <c r="BQ20" t="str">
        <v>fuel_blend</v>
      </c>
      <c r="BR20">
        <v>79000000</v>
      </c>
      <c r="BS20" t="str">
        <v>gallons</v>
      </c>
      <c r="BT20" t="str">
        <v/>
      </c>
      <c r="BU20" t="str">
        <v/>
      </c>
      <c r="BV20" t="str">
        <v/>
      </c>
      <c r="BY20" t="str">
        <v>processor</v>
      </c>
      <c r="BZ20" t="str">
        <v>cand_FT_EnergyWoody</v>
      </c>
      <c r="CA20" t="str">
        <v>makeSAF</v>
      </c>
      <c r="CB20">
        <v>2106635.4785376247</v>
      </c>
      <c r="CC20" t="str">
        <v>tons</v>
      </c>
      <c r="CD20">
        <v>1053317.7392688124</v>
      </c>
      <c r="CE20">
        <v>210663.54785376249</v>
      </c>
      <c r="CF20">
        <v>116408730</v>
      </c>
      <c r="CI20" t="s">
        <v>175</v>
      </c>
      <c r="CJ20">
        <f>COUNTIFS(SAF_State[State],Notes!CI20,SAF_State[Filtered],1)</f>
        <v>1</v>
      </c>
    </row>
    <row r="21" spans="1:88" x14ac:dyDescent="0.3">
      <c r="A21" t="s">
        <v>47</v>
      </c>
      <c r="B21" t="s">
        <v>120</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AN21" t="str">
        <v>processor</v>
      </c>
      <c r="AO21" t="str">
        <v>cand_FT_EnergyWoody</v>
      </c>
      <c r="AP21" t="str">
        <v>makeSAF</v>
      </c>
      <c r="AQ21">
        <v>526658.86963440618</v>
      </c>
      <c r="AR21" t="str">
        <v>tons</v>
      </c>
      <c r="AS21">
        <v>263329.43481720309</v>
      </c>
      <c r="AT21">
        <v>52665.886963440622</v>
      </c>
      <c r="AU21">
        <v>78277316.519999996</v>
      </c>
      <c r="BF21" t="str">
        <v>processor</v>
      </c>
      <c r="BG21" t="str">
        <v>Alabama Bulk Terminal</v>
      </c>
      <c r="BH21" t="str">
        <v>blendSAF</v>
      </c>
      <c r="BI21" t="str">
        <v/>
      </c>
      <c r="BJ21" t="str">
        <v/>
      </c>
      <c r="BK21" t="str">
        <v/>
      </c>
      <c r="BL21" t="str">
        <v/>
      </c>
      <c r="BM21" t="str">
        <v/>
      </c>
      <c r="BO21" t="str">
        <v>ultimate_destination</v>
      </c>
      <c r="BP21" t="str">
        <v>SMF</v>
      </c>
      <c r="BQ21" t="str">
        <v>fuel_blend</v>
      </c>
      <c r="BR21">
        <v>99000000</v>
      </c>
      <c r="BS21" t="str">
        <v>gallons</v>
      </c>
      <c r="BT21" t="str">
        <v/>
      </c>
      <c r="BU21" t="str">
        <v/>
      </c>
      <c r="BV21" t="str">
        <v/>
      </c>
      <c r="BY21" t="str">
        <v>processor</v>
      </c>
      <c r="BZ21" t="str">
        <v>cand_FT_EnergyWoody</v>
      </c>
      <c r="CA21" t="str">
        <v>makeSAF</v>
      </c>
      <c r="CB21">
        <v>526658.86963440618</v>
      </c>
      <c r="CC21" t="str">
        <v>tons</v>
      </c>
      <c r="CD21">
        <v>263329.43481720309</v>
      </c>
      <c r="CE21">
        <v>52665.886963440622</v>
      </c>
      <c r="CF21">
        <v>78277316.519999996</v>
      </c>
      <c r="CI21" t="s">
        <v>159</v>
      </c>
      <c r="CJ21">
        <f>COUNTIFS(SAF_State[State],Notes!CI21,SAF_State[Filtered],1)</f>
        <v>1</v>
      </c>
    </row>
    <row r="22" spans="1:88" x14ac:dyDescent="0.3">
      <c r="A22" t="s">
        <v>48</v>
      </c>
      <c r="B22" t="s">
        <v>120</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AN22" t="str">
        <v>processor</v>
      </c>
      <c r="AO22" t="str">
        <v>cand_Py_EnergyHerb</v>
      </c>
      <c r="AP22" t="str">
        <v>makeSAF</v>
      </c>
      <c r="AQ22">
        <v>1805687.5530322497</v>
      </c>
      <c r="AR22" t="str">
        <v>tons</v>
      </c>
      <c r="AS22">
        <v>902843.77651612484</v>
      </c>
      <c r="AT22">
        <v>180568.75530322499</v>
      </c>
      <c r="AU22">
        <v>77989532.280000001</v>
      </c>
      <c r="BF22" t="str">
        <v>processor</v>
      </c>
      <c r="BG22" t="str">
        <v>Kinder Morgan Southeast Terminal 4</v>
      </c>
      <c r="BH22" t="str">
        <v>blendSAF</v>
      </c>
      <c r="BI22" t="str">
        <v/>
      </c>
      <c r="BJ22" t="str">
        <v/>
      </c>
      <c r="BK22" t="str">
        <v/>
      </c>
      <c r="BL22" t="str">
        <v/>
      </c>
      <c r="BM22" t="str">
        <v/>
      </c>
      <c r="BO22" t="str">
        <v>ultimate_destination</v>
      </c>
      <c r="BP22" t="str">
        <v>SNA</v>
      </c>
      <c r="BQ22" t="str">
        <v>fuel_blend</v>
      </c>
      <c r="BR22">
        <v>72000000</v>
      </c>
      <c r="BS22" t="str">
        <v>gallons</v>
      </c>
      <c r="BT22" t="str">
        <v/>
      </c>
      <c r="BU22" t="str">
        <v/>
      </c>
      <c r="BV22" t="str">
        <v/>
      </c>
      <c r="BY22" t="str">
        <v>processor</v>
      </c>
      <c r="BZ22" t="str">
        <v>cand_Py_EnergyHerb</v>
      </c>
      <c r="CA22" t="str">
        <v>makeSAF</v>
      </c>
      <c r="CB22">
        <v>1805687.5530322497</v>
      </c>
      <c r="CC22" t="str">
        <v>tons</v>
      </c>
      <c r="CD22">
        <v>902843.77651612484</v>
      </c>
      <c r="CE22">
        <v>180568.75530322499</v>
      </c>
      <c r="CF22">
        <v>77989532.280000001</v>
      </c>
      <c r="CI22" t="s">
        <v>186</v>
      </c>
      <c r="CJ22">
        <f>COUNTIFS(SAF_State[State],Notes!CI22,SAF_State[Filtered],1)</f>
        <v>1</v>
      </c>
    </row>
    <row r="23" spans="1:88" x14ac:dyDescent="0.3">
      <c r="A23" t="s">
        <v>37</v>
      </c>
      <c r="B23" t="s">
        <v>120</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AN23" t="str">
        <v>processor</v>
      </c>
      <c r="AO23" t="str">
        <v>cand_Py_EnergyHerb</v>
      </c>
      <c r="AP23" t="str">
        <v>makeSAF</v>
      </c>
      <c r="AQ23">
        <v>451421.88825806242</v>
      </c>
      <c r="AR23" t="str">
        <v>tons</v>
      </c>
      <c r="AS23">
        <v>225710.94412903121</v>
      </c>
      <c r="AT23">
        <v>45142.188825806246</v>
      </c>
      <c r="AU23">
        <v>44534613</v>
      </c>
      <c r="BF23" t="str">
        <v>processor</v>
      </c>
      <c r="BG23" t="str">
        <v>Imtt Epic Llc 4</v>
      </c>
      <c r="BH23" t="str">
        <v>blendSAF</v>
      </c>
      <c r="BI23" t="str">
        <v/>
      </c>
      <c r="BJ23" t="str">
        <v/>
      </c>
      <c r="BK23" t="str">
        <v/>
      </c>
      <c r="BL23" t="str">
        <v/>
      </c>
      <c r="BM23" t="str">
        <v/>
      </c>
      <c r="BO23" t="str">
        <v>ultimate_destination</v>
      </c>
      <c r="BP23" t="str">
        <v>COS</v>
      </c>
      <c r="BQ23" t="str">
        <v>fuel_blend</v>
      </c>
      <c r="BR23">
        <v>14000000</v>
      </c>
      <c r="BS23" t="str">
        <v>gallons</v>
      </c>
      <c r="BT23" t="str">
        <v/>
      </c>
      <c r="BU23" t="str">
        <v/>
      </c>
      <c r="BV23" t="str">
        <v/>
      </c>
      <c r="BY23" t="str">
        <v>processor</v>
      </c>
      <c r="BZ23" t="str">
        <v>cand_Py_EnergyHerb</v>
      </c>
      <c r="CA23" t="str">
        <v>makeSAF</v>
      </c>
      <c r="CB23">
        <v>451421.88825806242</v>
      </c>
      <c r="CC23" t="str">
        <v>tons</v>
      </c>
      <c r="CD23">
        <v>225710.94412903121</v>
      </c>
      <c r="CE23">
        <v>45142.188825806246</v>
      </c>
      <c r="CF23">
        <v>44534613</v>
      </c>
      <c r="CI23" t="s">
        <v>189</v>
      </c>
      <c r="CJ23">
        <f>COUNTIFS(SAF_State[State],Notes!CI23,SAF_State[Filtered],1)</f>
        <v>1</v>
      </c>
    </row>
    <row r="24" spans="1:88" x14ac:dyDescent="0.3">
      <c r="A24" t="s">
        <v>38</v>
      </c>
      <c r="B24" t="s">
        <v>120</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AN24" t="str">
        <v>processor</v>
      </c>
      <c r="AO24" t="str">
        <v>cand_Py_EnergyWoody</v>
      </c>
      <c r="AP24" t="str">
        <v>makeSAF</v>
      </c>
      <c r="AQ24">
        <v>1648671.2440729232</v>
      </c>
      <c r="AR24" t="str">
        <v>tons</v>
      </c>
      <c r="AS24">
        <v>824335.6220364616</v>
      </c>
      <c r="AT24">
        <v>164867.12440729234</v>
      </c>
      <c r="AU24">
        <v>74680013.400000006</v>
      </c>
      <c r="BF24" t="str">
        <v>processor</v>
      </c>
      <c r="BG24" t="str">
        <v>Imtt Epic Llc 5</v>
      </c>
      <c r="BH24" t="str">
        <v>blendSAF</v>
      </c>
      <c r="BI24" t="str">
        <v/>
      </c>
      <c r="BJ24" t="str">
        <v/>
      </c>
      <c r="BK24" t="str">
        <v/>
      </c>
      <c r="BL24" t="str">
        <v/>
      </c>
      <c r="BM24" t="str">
        <v/>
      </c>
      <c r="BO24" t="str">
        <v>ultimate_destination</v>
      </c>
      <c r="BP24" t="str">
        <v>DEN</v>
      </c>
      <c r="BQ24" t="str">
        <v>fuel_blend</v>
      </c>
      <c r="BR24">
        <v>556000000</v>
      </c>
      <c r="BS24" t="str">
        <v>gallons</v>
      </c>
      <c r="BT24" t="str">
        <v/>
      </c>
      <c r="BU24" t="str">
        <v/>
      </c>
      <c r="BV24" t="str">
        <v/>
      </c>
      <c r="BY24" t="str">
        <v>processor</v>
      </c>
      <c r="BZ24" t="str">
        <v>cand_Py_EnergyWoody</v>
      </c>
      <c r="CA24" t="str">
        <v>makeSAF</v>
      </c>
      <c r="CB24">
        <v>1648671.2440729232</v>
      </c>
      <c r="CC24" t="str">
        <v>tons</v>
      </c>
      <c r="CD24">
        <v>824335.6220364616</v>
      </c>
      <c r="CE24">
        <v>164867.12440729234</v>
      </c>
      <c r="CF24">
        <v>74680013.400000006</v>
      </c>
      <c r="CI24" t="s">
        <v>160</v>
      </c>
      <c r="CJ24">
        <f>COUNTIFS(SAF_State[State],Notes!CI24,SAF_State[Filtered],1)</f>
        <v>1</v>
      </c>
    </row>
    <row r="25" spans="1:88" x14ac:dyDescent="0.3">
      <c r="A25" t="s">
        <v>69</v>
      </c>
      <c r="B25" t="s">
        <v>120</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AN25" t="str">
        <v>processor</v>
      </c>
      <c r="AO25" t="str">
        <v>cand_Py_EnergyWoody</v>
      </c>
      <c r="AP25" t="str">
        <v>makeSAF</v>
      </c>
      <c r="AQ25">
        <v>412167.81101823086</v>
      </c>
      <c r="AR25" t="str">
        <v>tons</v>
      </c>
      <c r="AS25">
        <v>206083.90550911543</v>
      </c>
      <c r="AT25">
        <v>41216.781101823086</v>
      </c>
      <c r="AU25">
        <v>42735961.439999998</v>
      </c>
      <c r="BF25" t="str">
        <v>processor</v>
      </c>
      <c r="BG25" t="str">
        <v>Mplx Terminals Llc 4</v>
      </c>
      <c r="BH25" t="str">
        <v>blendSAF</v>
      </c>
      <c r="BI25" t="str">
        <v/>
      </c>
      <c r="BJ25" t="str">
        <v/>
      </c>
      <c r="BK25" t="str">
        <v/>
      </c>
      <c r="BL25" t="str">
        <v/>
      </c>
      <c r="BM25" t="str">
        <v/>
      </c>
      <c r="BO25" t="str">
        <v>ultimate_destination</v>
      </c>
      <c r="BP25" t="str">
        <v>BDL</v>
      </c>
      <c r="BQ25" t="str">
        <v>fuel_blend</v>
      </c>
      <c r="BR25">
        <v>56000000</v>
      </c>
      <c r="BS25" t="str">
        <v>gallons</v>
      </c>
      <c r="BT25" t="str">
        <v/>
      </c>
      <c r="BU25" t="str">
        <v/>
      </c>
      <c r="BV25" t="str">
        <v/>
      </c>
      <c r="BY25" t="str">
        <v>processor</v>
      </c>
      <c r="BZ25" t="str">
        <v>cand_Py_EnergyWoody</v>
      </c>
      <c r="CA25" t="str">
        <v>makeSAF</v>
      </c>
      <c r="CB25">
        <v>412167.81101823086</v>
      </c>
      <c r="CC25" t="str">
        <v>tons</v>
      </c>
      <c r="CD25">
        <v>206083.90550911543</v>
      </c>
      <c r="CE25">
        <v>41216.781101823086</v>
      </c>
      <c r="CF25">
        <v>42735961.439999998</v>
      </c>
      <c r="CI25" t="s">
        <v>149</v>
      </c>
      <c r="CJ25">
        <f>COUNTIFS(SAF_State[State],Notes!CI25,SAF_State[Filtered],1)</f>
        <v>1</v>
      </c>
    </row>
    <row r="26" spans="1:88" x14ac:dyDescent="0.3">
      <c r="A26" t="s">
        <v>76</v>
      </c>
      <c r="B26" t="s">
        <v>116</v>
      </c>
      <c r="C26" t="s">
        <v>119</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Mplx Terminals Llc 35</v>
      </c>
      <c r="BH26" t="str">
        <v>blendSAF</v>
      </c>
      <c r="BI26" t="str">
        <v/>
      </c>
      <c r="BJ26" t="str">
        <v/>
      </c>
      <c r="BK26" t="str">
        <v/>
      </c>
      <c r="BL26" t="str">
        <v/>
      </c>
      <c r="BM26" t="str">
        <v/>
      </c>
      <c r="BO26" t="str">
        <v>ultimate_destination</v>
      </c>
      <c r="BP26" t="str">
        <v>HVN</v>
      </c>
      <c r="BQ26" t="str">
        <v>fuel_blend</v>
      </c>
      <c r="BR26">
        <v>9000000</v>
      </c>
      <c r="BS26" t="str">
        <v>gallons</v>
      </c>
      <c r="BT26" t="str">
        <v/>
      </c>
      <c r="BU26" t="str">
        <v/>
      </c>
      <c r="BV26" t="str">
        <v/>
      </c>
      <c r="BY26" t="str">
        <v>processor</v>
      </c>
      <c r="BZ26" t="str">
        <v>Chevron Usa Inc Birmingham</v>
      </c>
      <c r="CA26" t="str">
        <v>blendSAF</v>
      </c>
      <c r="CB26" t="str">
        <v/>
      </c>
      <c r="CC26" t="str">
        <v/>
      </c>
      <c r="CD26" t="str">
        <v/>
      </c>
      <c r="CE26" t="str">
        <v/>
      </c>
      <c r="CF26" t="str">
        <v/>
      </c>
      <c r="CI26" t="s">
        <v>185</v>
      </c>
      <c r="CJ26">
        <f>COUNTIFS(SAF_State[State],Notes!CI26,SAF_State[Filtered],1)</f>
        <v>1</v>
      </c>
    </row>
    <row r="27" spans="1:88" x14ac:dyDescent="0.3">
      <c r="A27" t="s">
        <v>77</v>
      </c>
      <c r="B27" t="s">
        <v>116</v>
      </c>
      <c r="C27" t="s">
        <v>119</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Martin Energy Services Llc 11</v>
      </c>
      <c r="BH27" t="str">
        <v>blendSAF</v>
      </c>
      <c r="BI27" t="str">
        <v/>
      </c>
      <c r="BJ27" t="str">
        <v/>
      </c>
      <c r="BK27" t="str">
        <v/>
      </c>
      <c r="BL27" t="str">
        <v/>
      </c>
      <c r="BM27" t="str">
        <v/>
      </c>
      <c r="BO27" t="str">
        <v>ultimate_destination</v>
      </c>
      <c r="BP27" t="str">
        <v>ECP</v>
      </c>
      <c r="BQ27" t="str">
        <v>fuel_blend</v>
      </c>
      <c r="BR27">
        <v>11000000</v>
      </c>
      <c r="BS27" t="str">
        <v>gallons</v>
      </c>
      <c r="BT27" t="str">
        <v/>
      </c>
      <c r="BU27" t="str">
        <v/>
      </c>
      <c r="BV27" t="str">
        <v/>
      </c>
      <c r="BY27" t="str">
        <v>processor</v>
      </c>
      <c r="BZ27" t="str">
        <v>Petroleum Fuel &amp; Terminal Co 4</v>
      </c>
      <c r="CA27" t="str">
        <v>blendSAF</v>
      </c>
      <c r="CB27" t="str">
        <v/>
      </c>
      <c r="CC27" t="str">
        <v/>
      </c>
      <c r="CD27" t="str">
        <v/>
      </c>
      <c r="CE27" t="str">
        <v/>
      </c>
      <c r="CF27" t="str">
        <v/>
      </c>
      <c r="CI27" t="s">
        <v>147</v>
      </c>
      <c r="CJ27">
        <f>COUNTIFS(SAF_State[State],Notes!CI27,SAF_State[Filtered],1)</f>
        <v>1</v>
      </c>
    </row>
    <row r="28" spans="1:88" x14ac:dyDescent="0.3">
      <c r="A28" t="s">
        <v>78</v>
      </c>
      <c r="B28" t="s">
        <v>116</v>
      </c>
      <c r="C28" t="s">
        <v>119</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Martin Energy Services Llc 15</v>
      </c>
      <c r="BH28" t="str">
        <v>blendSAF</v>
      </c>
      <c r="BI28" t="str">
        <v/>
      </c>
      <c r="BJ28" t="str">
        <v/>
      </c>
      <c r="BK28" t="str">
        <v/>
      </c>
      <c r="BL28" t="str">
        <v/>
      </c>
      <c r="BM28" t="str">
        <v/>
      </c>
      <c r="BO28" t="str">
        <v>ultimate_destination</v>
      </c>
      <c r="BP28" t="str">
        <v>FLL</v>
      </c>
      <c r="BQ28" t="str">
        <v>fuel_blend</v>
      </c>
      <c r="BR28">
        <v>291000000</v>
      </c>
      <c r="BS28" t="str">
        <v>gallons</v>
      </c>
      <c r="BT28" t="str">
        <v/>
      </c>
      <c r="BU28" t="str">
        <v/>
      </c>
      <c r="BV28" t="str">
        <v/>
      </c>
      <c r="BY28" t="str">
        <v>processor</v>
      </c>
      <c r="BZ28" t="str">
        <v>Petroleum Fuel &amp; Terminal Co 10</v>
      </c>
      <c r="CA28" t="str">
        <v>blendSAF</v>
      </c>
      <c r="CB28" t="str">
        <v/>
      </c>
      <c r="CC28" t="str">
        <v/>
      </c>
      <c r="CD28" t="str">
        <v/>
      </c>
      <c r="CE28" t="str">
        <v/>
      </c>
      <c r="CF28" t="str">
        <v/>
      </c>
      <c r="CI28" t="s">
        <v>167</v>
      </c>
      <c r="CJ28">
        <f>COUNTIFS(SAF_State[State],Notes!CI28,SAF_State[Filtered],1)</f>
        <v>1</v>
      </c>
    </row>
    <row r="29" spans="1:88" x14ac:dyDescent="0.3">
      <c r="A29" t="s">
        <v>79</v>
      </c>
      <c r="B29" t="s">
        <v>116</v>
      </c>
      <c r="C29" t="s">
        <v>119</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Barcliff Llc 3</v>
      </c>
      <c r="BH29" t="str">
        <v>blendSAF</v>
      </c>
      <c r="BI29" t="str">
        <v/>
      </c>
      <c r="BJ29" t="str">
        <v/>
      </c>
      <c r="BK29" t="str">
        <v/>
      </c>
      <c r="BL29" t="str">
        <v/>
      </c>
      <c r="BM29" t="str">
        <v/>
      </c>
      <c r="BO29" t="str">
        <v>ultimate_destination</v>
      </c>
      <c r="BP29" t="str">
        <v>JAX</v>
      </c>
      <c r="BQ29" t="str">
        <v>fuel_blend</v>
      </c>
      <c r="BR29">
        <v>44000000</v>
      </c>
      <c r="BS29" t="str">
        <v>gallons</v>
      </c>
      <c r="BT29" t="str">
        <v/>
      </c>
      <c r="BU29" t="str">
        <v/>
      </c>
      <c r="BV29" t="str">
        <v/>
      </c>
      <c r="BY29" t="str">
        <v>processor</v>
      </c>
      <c r="BZ29" t="str">
        <v>Ergon Asphalt &amp; Emulsions Inc 1</v>
      </c>
      <c r="CA29" t="str">
        <v>blendSAF</v>
      </c>
      <c r="CB29" t="str">
        <v/>
      </c>
      <c r="CC29" t="str">
        <v/>
      </c>
      <c r="CD29" t="str">
        <v/>
      </c>
      <c r="CE29" t="str">
        <v/>
      </c>
      <c r="CF29" t="str">
        <v/>
      </c>
    </row>
    <row r="30" spans="1:88" x14ac:dyDescent="0.3">
      <c r="A30" t="s">
        <v>80</v>
      </c>
      <c r="B30" t="s">
        <v>116</v>
      </c>
      <c r="C30" t="s">
        <v>119</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Barcliff Llc 4</v>
      </c>
      <c r="BH30" t="str">
        <v>blendSAF</v>
      </c>
      <c r="BI30" t="str">
        <v/>
      </c>
      <c r="BJ30" t="str">
        <v/>
      </c>
      <c r="BK30" t="str">
        <v/>
      </c>
      <c r="BL30" t="str">
        <v/>
      </c>
      <c r="BM30" t="str">
        <v/>
      </c>
      <c r="BO30" t="str">
        <v>ultimate_destination</v>
      </c>
      <c r="BP30" t="str">
        <v>MCO</v>
      </c>
      <c r="BQ30" t="str">
        <v>fuel_blend</v>
      </c>
      <c r="BR30">
        <v>462000000</v>
      </c>
      <c r="BS30" t="str">
        <v>gallons</v>
      </c>
      <c r="BT30" t="str">
        <v/>
      </c>
      <c r="BU30" t="str">
        <v/>
      </c>
      <c r="BV30" t="str">
        <v/>
      </c>
      <c r="BY30" t="str">
        <v>processor</v>
      </c>
      <c r="BZ30" t="str">
        <v>Circle K Terminal Alabama Llc</v>
      </c>
      <c r="CA30" t="str">
        <v>blendSAF</v>
      </c>
      <c r="CB30" t="str">
        <v/>
      </c>
      <c r="CC30" t="str">
        <v/>
      </c>
      <c r="CD30" t="str">
        <v/>
      </c>
      <c r="CE30" t="str">
        <v/>
      </c>
      <c r="CF30" t="str">
        <v/>
      </c>
      <c r="CI30" s="1" t="s">
        <v>1704</v>
      </c>
      <c r="CJ30" s="1">
        <f>SUM(CJ4:CJ28)</f>
        <v>25</v>
      </c>
    </row>
    <row r="31" spans="1:88" x14ac:dyDescent="0.3">
      <c r="A31" t="s">
        <v>81</v>
      </c>
      <c r="B31" t="s">
        <v>116</v>
      </c>
      <c r="C31" t="s">
        <v>119</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Citgo Petroleum Corp 25</v>
      </c>
      <c r="BH31" t="str">
        <v>blendSAF</v>
      </c>
      <c r="BI31" t="str">
        <v/>
      </c>
      <c r="BJ31" t="str">
        <v/>
      </c>
      <c r="BK31" t="str">
        <v/>
      </c>
      <c r="BL31" t="str">
        <v/>
      </c>
      <c r="BM31" t="str">
        <v/>
      </c>
      <c r="BO31" t="str">
        <v>ultimate_destination</v>
      </c>
      <c r="BP31" t="str">
        <v>MIA</v>
      </c>
      <c r="BQ31" t="str">
        <v>fuel_blend</v>
      </c>
      <c r="BR31">
        <v>1006000000</v>
      </c>
      <c r="BS31" t="str">
        <v>gallons</v>
      </c>
      <c r="BT31" t="str">
        <v/>
      </c>
      <c r="BU31" t="str">
        <v/>
      </c>
      <c r="BV31" t="str">
        <v/>
      </c>
      <c r="BY31" t="str">
        <v>processor</v>
      </c>
      <c r="BZ31" t="str">
        <v>Murphy Oil Usa Inc 50</v>
      </c>
      <c r="CA31" t="str">
        <v>blendSAF</v>
      </c>
      <c r="CB31" t="str">
        <v/>
      </c>
      <c r="CC31" t="str">
        <v/>
      </c>
      <c r="CD31" t="str">
        <v/>
      </c>
      <c r="CE31" t="str">
        <v/>
      </c>
      <c r="CF31" t="str">
        <v/>
      </c>
    </row>
    <row r="32" spans="1:88" x14ac:dyDescent="0.3">
      <c r="A32" t="s">
        <v>33</v>
      </c>
      <c r="B32" t="s">
        <v>116</v>
      </c>
      <c r="C32" t="s">
        <v>119</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Shell Oil Products Us 1</v>
      </c>
      <c r="BH32" t="str">
        <v>blendSAF</v>
      </c>
      <c r="BI32" t="str">
        <v/>
      </c>
      <c r="BJ32" t="str">
        <v/>
      </c>
      <c r="BK32" t="str">
        <v/>
      </c>
      <c r="BL32" t="str">
        <v/>
      </c>
      <c r="BM32" t="str">
        <v/>
      </c>
      <c r="BO32" t="str">
        <v>ultimate_destination</v>
      </c>
      <c r="BP32" t="str">
        <v>MLB</v>
      </c>
      <c r="BQ32" t="str">
        <v>fuel_blend</v>
      </c>
      <c r="BR32">
        <v>7000000</v>
      </c>
      <c r="BS32" t="str">
        <v>gallons</v>
      </c>
      <c r="BT32" t="str">
        <v/>
      </c>
      <c r="BU32" t="str">
        <v/>
      </c>
      <c r="BV32" t="str">
        <v/>
      </c>
      <c r="BY32" t="str">
        <v>processor</v>
      </c>
      <c r="BZ32" t="str">
        <v>Murphy Oil Usa Inc 54</v>
      </c>
      <c r="CA32" t="str">
        <v>blendSAF</v>
      </c>
      <c r="CB32" t="str">
        <v/>
      </c>
      <c r="CC32" t="str">
        <v/>
      </c>
      <c r="CD32" t="str">
        <v/>
      </c>
      <c r="CE32" t="str">
        <v/>
      </c>
      <c r="CF32" t="str">
        <v/>
      </c>
    </row>
    <row r="33" spans="1:84" x14ac:dyDescent="0.3">
      <c r="A33" t="s">
        <v>34</v>
      </c>
      <c r="B33" t="s">
        <v>116</v>
      </c>
      <c r="C33" t="s">
        <v>119</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South Florida Materials Corp 13</v>
      </c>
      <c r="BH33" t="str">
        <v>blendSAF</v>
      </c>
      <c r="BI33" t="str">
        <v/>
      </c>
      <c r="BJ33" t="str">
        <v/>
      </c>
      <c r="BK33" t="str">
        <v/>
      </c>
      <c r="BL33" t="str">
        <v/>
      </c>
      <c r="BM33" t="str">
        <v/>
      </c>
      <c r="BO33" t="str">
        <v>ultimate_destination</v>
      </c>
      <c r="BP33" t="str">
        <v>PBI</v>
      </c>
      <c r="BQ33" t="str">
        <v>fuel_blend</v>
      </c>
      <c r="BR33">
        <v>68000000</v>
      </c>
      <c r="BS33" t="str">
        <v>gallons</v>
      </c>
      <c r="BT33" t="str">
        <v/>
      </c>
      <c r="BU33" t="str">
        <v/>
      </c>
      <c r="BV33" t="str">
        <v/>
      </c>
      <c r="BY33" t="str">
        <v>processor</v>
      </c>
      <c r="BZ33" t="str">
        <v>Murphy Oil Usa Inc 55</v>
      </c>
      <c r="CA33" t="str">
        <v>blendSAF</v>
      </c>
      <c r="CB33" t="str">
        <v/>
      </c>
      <c r="CC33" t="str">
        <v/>
      </c>
      <c r="CD33" t="str">
        <v/>
      </c>
      <c r="CE33" t="str">
        <v/>
      </c>
      <c r="CF33" t="str">
        <v/>
      </c>
    </row>
    <row r="34" spans="1:84" x14ac:dyDescent="0.3">
      <c r="A34" t="s">
        <v>10</v>
      </c>
      <c r="B34" t="s">
        <v>115</v>
      </c>
      <c r="C34" t="s">
        <v>134</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United Refining Co 1</v>
      </c>
      <c r="BH34" t="str">
        <v>blendSAF</v>
      </c>
      <c r="BI34" t="str">
        <v/>
      </c>
      <c r="BJ34" t="str">
        <v/>
      </c>
      <c r="BK34" t="str">
        <v/>
      </c>
      <c r="BL34" t="str">
        <v/>
      </c>
      <c r="BM34" t="str">
        <v/>
      </c>
      <c r="BO34" t="str">
        <v>ultimate_destination</v>
      </c>
      <c r="BP34" t="str">
        <v>PGD</v>
      </c>
      <c r="BQ34" t="str">
        <v>fuel_blend</v>
      </c>
      <c r="BR34">
        <v>14000000</v>
      </c>
      <c r="BS34" t="str">
        <v>gallons</v>
      </c>
      <c r="BT34" t="str">
        <v/>
      </c>
      <c r="BU34" t="str">
        <v/>
      </c>
      <c r="BV34" t="str">
        <v/>
      </c>
      <c r="BY34" t="str">
        <v>processor</v>
      </c>
      <c r="BZ34" t="str">
        <v>Us Venture Inc 24</v>
      </c>
      <c r="CA34" t="str">
        <v>blendSAF</v>
      </c>
      <c r="CB34" t="str">
        <v/>
      </c>
      <c r="CC34" t="str">
        <v/>
      </c>
      <c r="CD34" t="str">
        <v/>
      </c>
      <c r="CE34" t="str">
        <v/>
      </c>
      <c r="CF34" t="str">
        <v/>
      </c>
    </row>
    <row r="35" spans="1:84" x14ac:dyDescent="0.3">
      <c r="A35" t="s">
        <v>11</v>
      </c>
      <c r="B35" t="s">
        <v>115</v>
      </c>
      <c r="C35" t="s">
        <v>135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Warrior Asphalt Inc</v>
      </c>
      <c r="BH35" t="str">
        <v>blendSAF</v>
      </c>
      <c r="BI35" t="str">
        <v/>
      </c>
      <c r="BJ35" t="str">
        <v/>
      </c>
      <c r="BK35" t="str">
        <v/>
      </c>
      <c r="BL35" t="str">
        <v/>
      </c>
      <c r="BM35" t="str">
        <v/>
      </c>
      <c r="BO35" t="str">
        <v>ultimate_destination</v>
      </c>
      <c r="BP35" t="str">
        <v>PIE</v>
      </c>
      <c r="BQ35" t="str">
        <v>fuel_blend</v>
      </c>
      <c r="BR35">
        <v>16000000</v>
      </c>
      <c r="BS35" t="str">
        <v>gallons</v>
      </c>
      <c r="BT35" t="str">
        <v/>
      </c>
      <c r="BU35" t="str">
        <v/>
      </c>
      <c r="BV35" t="str">
        <v/>
      </c>
      <c r="BY35" t="str">
        <v>processor</v>
      </c>
      <c r="BZ35" t="str">
        <v>Buckeye Terminals Llc 26</v>
      </c>
      <c r="CA35" t="str">
        <v>blendSAF</v>
      </c>
      <c r="CB35" t="str">
        <v/>
      </c>
      <c r="CC35" t="str">
        <v/>
      </c>
      <c r="CD35" t="str">
        <v/>
      </c>
      <c r="CE35" t="str">
        <v/>
      </c>
      <c r="CF35" t="str">
        <v/>
      </c>
    </row>
    <row r="36" spans="1:84" x14ac:dyDescent="0.3">
      <c r="A36" t="s">
        <v>59</v>
      </c>
      <c r="B36" t="s">
        <v>116</v>
      </c>
      <c r="C36" t="s">
        <v>119</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Bwc Terminals Llc 1</v>
      </c>
      <c r="BH36" t="str">
        <v>blendSAF</v>
      </c>
      <c r="BI36" t="str">
        <v/>
      </c>
      <c r="BJ36" t="str">
        <v/>
      </c>
      <c r="BK36" t="str">
        <v/>
      </c>
      <c r="BL36" t="str">
        <v/>
      </c>
      <c r="BM36" t="str">
        <v/>
      </c>
      <c r="BO36" t="str">
        <v>ultimate_destination</v>
      </c>
      <c r="BP36" t="str">
        <v>PNS</v>
      </c>
      <c r="BQ36" t="str">
        <v>fuel_blend</v>
      </c>
      <c r="BR36">
        <v>11000000</v>
      </c>
      <c r="BS36" t="str">
        <v>gallons</v>
      </c>
      <c r="BT36" t="str">
        <v/>
      </c>
      <c r="BU36" t="str">
        <v/>
      </c>
      <c r="BV36" t="str">
        <v/>
      </c>
      <c r="BY36" t="str">
        <v>processor</v>
      </c>
      <c r="BZ36" t="str">
        <v>Buckeye Terminals Llc 71</v>
      </c>
      <c r="CA36" t="str">
        <v>blendSAF</v>
      </c>
      <c r="CB36" t="str">
        <v/>
      </c>
      <c r="CC36" t="str">
        <v/>
      </c>
      <c r="CD36" t="str">
        <v/>
      </c>
      <c r="CE36" t="str">
        <v/>
      </c>
      <c r="CF36" t="str">
        <v/>
      </c>
    </row>
    <row r="37" spans="1:84" x14ac:dyDescent="0.3">
      <c r="A37" t="s">
        <v>53</v>
      </c>
      <c r="B37" t="s">
        <v>115</v>
      </c>
      <c r="C37" t="s">
        <v>134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Bwc Terminals Llc 2</v>
      </c>
      <c r="BH37" t="str">
        <v>blendSAF</v>
      </c>
      <c r="BI37" t="str">
        <v/>
      </c>
      <c r="BJ37" t="str">
        <v/>
      </c>
      <c r="BK37" t="str">
        <v/>
      </c>
      <c r="BL37" t="str">
        <v/>
      </c>
      <c r="BM37" t="str">
        <v/>
      </c>
      <c r="BO37" t="str">
        <v>ultimate_destination</v>
      </c>
      <c r="BP37" t="str">
        <v>RSW</v>
      </c>
      <c r="BQ37" t="str">
        <v>fuel_blend</v>
      </c>
      <c r="BR37">
        <v>80000000</v>
      </c>
      <c r="BS37" t="str">
        <v>gallons</v>
      </c>
      <c r="BT37" t="str">
        <v/>
      </c>
      <c r="BU37" t="str">
        <v/>
      </c>
      <c r="BV37" t="str">
        <v/>
      </c>
      <c r="BY37" t="str">
        <v>processor</v>
      </c>
      <c r="BZ37" t="str">
        <v>Buckeye Se Terminals Lp 3</v>
      </c>
      <c r="CA37" t="str">
        <v>blendSAF</v>
      </c>
      <c r="CB37" t="str">
        <v/>
      </c>
      <c r="CC37" t="str">
        <v/>
      </c>
      <c r="CD37" t="str">
        <v/>
      </c>
      <c r="CE37" t="str">
        <v/>
      </c>
      <c r="CF37" t="str">
        <v/>
      </c>
    </row>
    <row r="38" spans="1:84" x14ac:dyDescent="0.3">
      <c r="A38" t="s">
        <v>54</v>
      </c>
      <c r="B38" t="s">
        <v>115</v>
      </c>
      <c r="C38" t="s">
        <v>135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Bwc Terminals Llc 6</v>
      </c>
      <c r="BH38" t="str">
        <v>blendSAF</v>
      </c>
      <c r="BI38" t="str">
        <v/>
      </c>
      <c r="BJ38" t="str">
        <v/>
      </c>
      <c r="BK38" t="str">
        <v/>
      </c>
      <c r="BL38" t="str">
        <v/>
      </c>
      <c r="BM38" t="str">
        <v/>
      </c>
      <c r="BO38" t="str">
        <v>ultimate_destination</v>
      </c>
      <c r="BP38" t="str">
        <v>SFB</v>
      </c>
      <c r="BQ38" t="str">
        <v>fuel_blend</v>
      </c>
      <c r="BR38">
        <v>18000000</v>
      </c>
      <c r="BS38" t="str">
        <v>gallons</v>
      </c>
      <c r="BT38" t="str">
        <v/>
      </c>
      <c r="BU38" t="str">
        <v/>
      </c>
      <c r="BV38" t="str">
        <v/>
      </c>
      <c r="BY38" t="str">
        <v>processor</v>
      </c>
      <c r="BZ38" t="str">
        <v>Sunoco Llc 3</v>
      </c>
      <c r="CA38" t="str">
        <v>blendSAF</v>
      </c>
      <c r="CB38" t="str">
        <v/>
      </c>
      <c r="CC38" t="str">
        <v/>
      </c>
      <c r="CD38" t="str">
        <v/>
      </c>
      <c r="CE38" t="str">
        <v/>
      </c>
      <c r="CF38" t="str">
        <v/>
      </c>
    </row>
    <row r="39" spans="1:84" x14ac:dyDescent="0.3">
      <c r="A39" t="s">
        <v>60</v>
      </c>
      <c r="B39" t="s">
        <v>116</v>
      </c>
      <c r="C39" t="s">
        <v>119</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Circle K Terminal Llc</v>
      </c>
      <c r="BH39" t="str">
        <v>blendSAF</v>
      </c>
      <c r="BI39" t="str">
        <v/>
      </c>
      <c r="BJ39" t="str">
        <v/>
      </c>
      <c r="BK39" t="str">
        <v/>
      </c>
      <c r="BL39" t="str">
        <v/>
      </c>
      <c r="BM39" t="str">
        <v/>
      </c>
      <c r="BO39" t="str">
        <v>ultimate_destination</v>
      </c>
      <c r="BP39" t="str">
        <v>SRQ</v>
      </c>
      <c r="BQ39" t="str">
        <v>fuel_blend</v>
      </c>
      <c r="BR39">
        <v>25000000</v>
      </c>
      <c r="BS39" t="str">
        <v>gallons</v>
      </c>
      <c r="BT39" t="str">
        <v/>
      </c>
      <c r="BU39" t="str">
        <v/>
      </c>
      <c r="BV39" t="str">
        <v/>
      </c>
      <c r="BY39" t="str">
        <v>processor</v>
      </c>
      <c r="BZ39" t="str">
        <v>Ent Propane Terminals &amp; Storage Llc 8</v>
      </c>
      <c r="CA39" t="str">
        <v>blendSAF</v>
      </c>
      <c r="CB39" t="str">
        <v/>
      </c>
      <c r="CC39" t="str">
        <v/>
      </c>
      <c r="CD39" t="str">
        <v/>
      </c>
      <c r="CE39" t="str">
        <v/>
      </c>
      <c r="CF39" t="str">
        <v/>
      </c>
    </row>
    <row r="40" spans="1:84" x14ac:dyDescent="0.3">
      <c r="A40" t="s">
        <v>55</v>
      </c>
      <c r="B40" t="s">
        <v>115</v>
      </c>
      <c r="C40" t="s">
        <v>134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Pro Petroleum Inc 6</v>
      </c>
      <c r="BH40" t="str">
        <v>blendSAF</v>
      </c>
      <c r="BI40" t="str">
        <v/>
      </c>
      <c r="BJ40" t="str">
        <v/>
      </c>
      <c r="BK40" t="str">
        <v/>
      </c>
      <c r="BL40" t="str">
        <v/>
      </c>
      <c r="BM40" t="str">
        <v/>
      </c>
      <c r="BO40" t="str">
        <v>ultimate_destination</v>
      </c>
      <c r="BP40" t="str">
        <v>TLH</v>
      </c>
      <c r="BQ40" t="str">
        <v>fuel_blend</v>
      </c>
      <c r="BR40">
        <v>1000000</v>
      </c>
      <c r="BS40" t="str">
        <v>gallons</v>
      </c>
      <c r="BT40" t="str">
        <v/>
      </c>
      <c r="BU40" t="str">
        <v/>
      </c>
      <c r="BV40" t="str">
        <v/>
      </c>
      <c r="BY40" t="str">
        <v>processor</v>
      </c>
      <c r="BZ40" t="str">
        <v>Ent Propane Terminals &amp; Storage Llc 5</v>
      </c>
      <c r="CA40" t="str">
        <v>blendSAF</v>
      </c>
      <c r="CB40" t="str">
        <v/>
      </c>
      <c r="CC40" t="str">
        <v/>
      </c>
      <c r="CD40" t="str">
        <v/>
      </c>
      <c r="CE40" t="str">
        <v/>
      </c>
      <c r="CF40" t="str">
        <v/>
      </c>
    </row>
    <row r="41" spans="1:84" x14ac:dyDescent="0.3">
      <c r="A41" t="s">
        <v>56</v>
      </c>
      <c r="B41" t="s">
        <v>115</v>
      </c>
      <c r="C41" t="s">
        <v>135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Caljet</v>
      </c>
      <c r="BH41" t="str">
        <v>blendSAF</v>
      </c>
      <c r="BI41" t="str">
        <v/>
      </c>
      <c r="BJ41" t="str">
        <v/>
      </c>
      <c r="BK41" t="str">
        <v/>
      </c>
      <c r="BL41" t="str">
        <v/>
      </c>
      <c r="BM41" t="str">
        <v/>
      </c>
      <c r="BO41" t="str">
        <v>ultimate_destination</v>
      </c>
      <c r="BP41" t="str">
        <v>TPA</v>
      </c>
      <c r="BQ41" t="str">
        <v>fuel_blend</v>
      </c>
      <c r="BR41">
        <v>180000000</v>
      </c>
      <c r="BS41" t="str">
        <v>gallons</v>
      </c>
      <c r="BT41" t="str">
        <v/>
      </c>
      <c r="BU41" t="str">
        <v/>
      </c>
      <c r="BV41" t="str">
        <v/>
      </c>
      <c r="BY41" t="str">
        <v>processor</v>
      </c>
      <c r="BZ41" t="str">
        <v>Enterprise Refined Products Co Llc 2</v>
      </c>
      <c r="CA41" t="str">
        <v>blendSAF</v>
      </c>
      <c r="CB41" t="str">
        <v/>
      </c>
      <c r="CC41" t="str">
        <v/>
      </c>
      <c r="CD41" t="str">
        <v/>
      </c>
      <c r="CE41" t="str">
        <v/>
      </c>
      <c r="CF41" t="str">
        <v/>
      </c>
    </row>
    <row r="42" spans="1:84" x14ac:dyDescent="0.3">
      <c r="A42" t="s">
        <v>61</v>
      </c>
      <c r="B42" t="s">
        <v>116</v>
      </c>
      <c r="C42" t="s">
        <v>119</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Enterprise Products Operating Llc 5</v>
      </c>
      <c r="BH42" t="str">
        <v>blendSAF</v>
      </c>
      <c r="BI42" t="str">
        <v/>
      </c>
      <c r="BJ42" t="str">
        <v/>
      </c>
      <c r="BK42" t="str">
        <v/>
      </c>
      <c r="BL42" t="str">
        <v/>
      </c>
      <c r="BM42" t="str">
        <v/>
      </c>
      <c r="BO42" t="str">
        <v>ultimate_destination</v>
      </c>
      <c r="BP42" t="str">
        <v>VPS</v>
      </c>
      <c r="BQ42" t="str">
        <v>fuel_blend</v>
      </c>
      <c r="BR42">
        <v>10000000</v>
      </c>
      <c r="BS42" t="str">
        <v>gallons</v>
      </c>
      <c r="BT42" t="str">
        <v/>
      </c>
      <c r="BU42" t="str">
        <v/>
      </c>
      <c r="BV42" t="str">
        <v/>
      </c>
      <c r="BY42" t="str">
        <v>processor</v>
      </c>
      <c r="BZ42" t="str">
        <v>Birmingham Bioenergy Partners Llc</v>
      </c>
      <c r="CA42" t="str">
        <v>blendSAF</v>
      </c>
      <c r="CB42" t="str">
        <v/>
      </c>
      <c r="CC42" t="str">
        <v/>
      </c>
      <c r="CD42" t="str">
        <v/>
      </c>
      <c r="CE42" t="str">
        <v/>
      </c>
      <c r="CF42" t="str">
        <v/>
      </c>
    </row>
    <row r="43" spans="1:84" x14ac:dyDescent="0.3">
      <c r="A43" t="s">
        <v>57</v>
      </c>
      <c r="B43" t="s">
        <v>115</v>
      </c>
      <c r="C43" t="s">
        <v>135</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Enterprise Products Operating Llc 7</v>
      </c>
      <c r="BH43" t="str">
        <v>blendSAF</v>
      </c>
      <c r="BI43" t="str">
        <v/>
      </c>
      <c r="BJ43" t="str">
        <v/>
      </c>
      <c r="BK43" t="str">
        <v/>
      </c>
      <c r="BL43" t="str">
        <v/>
      </c>
      <c r="BM43" t="str">
        <v/>
      </c>
      <c r="BO43" t="str">
        <v>ultimate_destination</v>
      </c>
      <c r="BP43" t="str">
        <v>ATL</v>
      </c>
      <c r="BQ43" t="str">
        <v>fuel_blend</v>
      </c>
      <c r="BR43">
        <v>1013000000</v>
      </c>
      <c r="BS43" t="str">
        <v>gallons</v>
      </c>
      <c r="BT43" t="str">
        <v/>
      </c>
      <c r="BU43" t="str">
        <v/>
      </c>
      <c r="BV43" t="str">
        <v/>
      </c>
      <c r="BY43" t="str">
        <v>processor</v>
      </c>
      <c r="BZ43" t="str">
        <v>Alabama Bulk Terminal</v>
      </c>
      <c r="CA43" t="str">
        <v>blendSAF</v>
      </c>
      <c r="CB43" t="str">
        <v/>
      </c>
      <c r="CC43" t="str">
        <v/>
      </c>
      <c r="CD43" t="str">
        <v/>
      </c>
      <c r="CE43" t="str">
        <v/>
      </c>
      <c r="CF43" t="str">
        <v/>
      </c>
    </row>
    <row r="44" spans="1:84" x14ac:dyDescent="0.3">
      <c r="A44" t="s">
        <v>58</v>
      </c>
      <c r="B44" t="s">
        <v>115</v>
      </c>
      <c r="C44" t="s">
        <v>135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Nk Asphalt Partners 3</v>
      </c>
      <c r="BH44" t="str">
        <v>blendSAF</v>
      </c>
      <c r="BI44" t="str">
        <v/>
      </c>
      <c r="BJ44" t="str">
        <v/>
      </c>
      <c r="BK44" t="str">
        <v/>
      </c>
      <c r="BL44" t="str">
        <v/>
      </c>
      <c r="BM44" t="str">
        <v/>
      </c>
      <c r="BO44" t="str">
        <v>ultimate_destination</v>
      </c>
      <c r="BP44" t="str">
        <v>SAV</v>
      </c>
      <c r="BQ44" t="str">
        <v>fuel_blend</v>
      </c>
      <c r="BR44">
        <v>32000000</v>
      </c>
      <c r="BS44" t="str">
        <v>gallons</v>
      </c>
      <c r="BT44" t="str">
        <v/>
      </c>
      <c r="BU44" t="str">
        <v/>
      </c>
      <c r="BV44" t="str">
        <v/>
      </c>
      <c r="BY44" t="str">
        <v>processor</v>
      </c>
      <c r="BZ44" t="str">
        <v>Kinder Morgan Southeast Terminal 4</v>
      </c>
      <c r="CA44" t="str">
        <v>blendSAF</v>
      </c>
      <c r="CB44" t="str">
        <v/>
      </c>
      <c r="CC44" t="str">
        <v/>
      </c>
      <c r="CD44" t="str">
        <v/>
      </c>
      <c r="CE44" t="str">
        <v/>
      </c>
      <c r="CF44" t="str">
        <v/>
      </c>
    </row>
    <row r="45" spans="1:84" x14ac:dyDescent="0.3">
      <c r="A45" t="s">
        <v>71</v>
      </c>
      <c r="B45" t="s">
        <v>116</v>
      </c>
      <c r="C45" t="s">
        <v>119</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Sfpp Lp 13</v>
      </c>
      <c r="BH45" t="str">
        <v>blendSAF</v>
      </c>
      <c r="BI45" t="str">
        <v/>
      </c>
      <c r="BJ45" t="str">
        <v/>
      </c>
      <c r="BK45" t="str">
        <v/>
      </c>
      <c r="BL45" t="str">
        <v/>
      </c>
      <c r="BM45" t="str">
        <v/>
      </c>
      <c r="BO45" t="str">
        <v>ultimate_destination</v>
      </c>
      <c r="BP45" t="str">
        <v>HNL</v>
      </c>
      <c r="BQ45" t="str">
        <v>fuel_blend</v>
      </c>
      <c r="BR45">
        <v>508000000</v>
      </c>
      <c r="BS45" t="str">
        <v>gallons</v>
      </c>
      <c r="BT45" t="str">
        <v/>
      </c>
      <c r="BU45" t="str">
        <v/>
      </c>
      <c r="BV45" t="str">
        <v/>
      </c>
      <c r="BY45" t="str">
        <v>processor</v>
      </c>
      <c r="BZ45" t="str">
        <v>Imtt Epic Llc 4</v>
      </c>
      <c r="CA45" t="str">
        <v>blendSAF</v>
      </c>
      <c r="CB45" t="str">
        <v/>
      </c>
      <c r="CC45" t="str">
        <v/>
      </c>
      <c r="CD45" t="str">
        <v/>
      </c>
      <c r="CE45" t="str">
        <v/>
      </c>
      <c r="CF45" t="str">
        <v/>
      </c>
    </row>
    <row r="46" spans="1:84" x14ac:dyDescent="0.3">
      <c r="A46" t="s">
        <v>72</v>
      </c>
      <c r="B46" t="s">
        <v>116</v>
      </c>
      <c r="C46" t="s">
        <v>119</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Sfpp Lp 8</v>
      </c>
      <c r="BH46" t="str">
        <v>blendSAF</v>
      </c>
      <c r="BI46" t="str">
        <v/>
      </c>
      <c r="BJ46" t="str">
        <v/>
      </c>
      <c r="BK46" t="str">
        <v/>
      </c>
      <c r="BL46" t="str">
        <v/>
      </c>
      <c r="BM46" t="str">
        <v/>
      </c>
      <c r="BO46" t="str">
        <v>ultimate_destination</v>
      </c>
      <c r="BP46" t="str">
        <v>ITO</v>
      </c>
      <c r="BQ46" t="str">
        <v>fuel_blend</v>
      </c>
      <c r="BR46">
        <v>3000000</v>
      </c>
      <c r="BS46" t="str">
        <v>gallons</v>
      </c>
      <c r="BT46" t="str">
        <v/>
      </c>
      <c r="BU46" t="str">
        <v/>
      </c>
      <c r="BV46" t="str">
        <v/>
      </c>
      <c r="BY46" t="str">
        <v>processor</v>
      </c>
      <c r="BZ46" t="str">
        <v>Imtt Epic Llc 5</v>
      </c>
      <c r="CA46" t="str">
        <v>blendSAF</v>
      </c>
      <c r="CB46" t="str">
        <v/>
      </c>
      <c r="CC46" t="str">
        <v/>
      </c>
      <c r="CD46" t="str">
        <v/>
      </c>
      <c r="CE46" t="str">
        <v/>
      </c>
      <c r="CF46" t="str">
        <v/>
      </c>
    </row>
    <row r="47" spans="1:84" x14ac:dyDescent="0.3">
      <c r="A47" t="s">
        <v>73</v>
      </c>
      <c r="B47" t="s">
        <v>116</v>
      </c>
      <c r="C47" t="s">
        <v>119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Andeavor Logistics Lp 22</v>
      </c>
      <c r="BH47" t="str">
        <v>blendSAF</v>
      </c>
      <c r="BI47" t="str">
        <v/>
      </c>
      <c r="BJ47" t="str">
        <v/>
      </c>
      <c r="BK47" t="str">
        <v/>
      </c>
      <c r="BL47" t="str">
        <v/>
      </c>
      <c r="BM47" t="str">
        <v/>
      </c>
      <c r="BO47" t="str">
        <v>ultimate_destination</v>
      </c>
      <c r="BP47" t="str">
        <v>KOA</v>
      </c>
      <c r="BQ47" t="str">
        <v>fuel_blend</v>
      </c>
      <c r="BR47">
        <v>43000000</v>
      </c>
      <c r="BS47" t="str">
        <v>gallons</v>
      </c>
      <c r="BT47" t="str">
        <v/>
      </c>
      <c r="BU47" t="str">
        <v/>
      </c>
      <c r="BV47" t="str">
        <v/>
      </c>
      <c r="BY47" t="str">
        <v>processor</v>
      </c>
      <c r="BZ47" t="str">
        <v>Mplx Terminals Llc 4</v>
      </c>
      <c r="CA47" t="str">
        <v>blendSAF</v>
      </c>
      <c r="CB47" t="str">
        <v/>
      </c>
      <c r="CC47" t="str">
        <v/>
      </c>
      <c r="CD47" t="str">
        <v/>
      </c>
      <c r="CE47" t="str">
        <v/>
      </c>
      <c r="CF47" t="str">
        <v/>
      </c>
    </row>
    <row r="48" spans="1:84" x14ac:dyDescent="0.3">
      <c r="A48" t="s">
        <v>74</v>
      </c>
      <c r="B48" t="s">
        <v>116</v>
      </c>
      <c r="C48" t="s">
        <v>119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Andeavor Logistics Lp 17</v>
      </c>
      <c r="BH48" t="str">
        <v>blendSAF</v>
      </c>
      <c r="BI48" t="str">
        <v/>
      </c>
      <c r="BJ48" t="str">
        <v/>
      </c>
      <c r="BK48" t="str">
        <v/>
      </c>
      <c r="BL48" t="str">
        <v/>
      </c>
      <c r="BM48" t="str">
        <v/>
      </c>
      <c r="BO48" t="str">
        <v>ultimate_destination</v>
      </c>
      <c r="BP48" t="str">
        <v>LIH</v>
      </c>
      <c r="BQ48" t="str">
        <v>fuel_blend</v>
      </c>
      <c r="BR48">
        <v>30000000</v>
      </c>
      <c r="BS48" t="str">
        <v>gallons</v>
      </c>
      <c r="BT48" t="str">
        <v/>
      </c>
      <c r="BU48" t="str">
        <v/>
      </c>
      <c r="BV48" t="str">
        <v/>
      </c>
      <c r="BY48" t="str">
        <v>processor</v>
      </c>
      <c r="BZ48" t="str">
        <v>Mplx Terminals Llc 35</v>
      </c>
      <c r="CA48" t="str">
        <v>blendSAF</v>
      </c>
      <c r="CB48" t="str">
        <v/>
      </c>
      <c r="CC48" t="str">
        <v/>
      </c>
      <c r="CD48" t="str">
        <v/>
      </c>
      <c r="CE48" t="str">
        <v/>
      </c>
      <c r="CF48" t="str">
        <v/>
      </c>
    </row>
    <row r="49" spans="1:84" x14ac:dyDescent="0.3">
      <c r="A49" t="s">
        <v>75</v>
      </c>
      <c r="B49" t="s">
        <v>116</v>
      </c>
      <c r="C49" t="s">
        <v>119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Plains Lpg Services 5</v>
      </c>
      <c r="BH49" t="str">
        <v>blendSAF</v>
      </c>
      <c r="BI49" t="str">
        <v/>
      </c>
      <c r="BJ49" t="str">
        <v/>
      </c>
      <c r="BK49" t="str">
        <v/>
      </c>
      <c r="BL49" t="str">
        <v/>
      </c>
      <c r="BM49" t="str">
        <v/>
      </c>
      <c r="BO49" t="str">
        <v>ultimate_destination</v>
      </c>
      <c r="BP49" t="str">
        <v>OGG</v>
      </c>
      <c r="BQ49" t="str">
        <v>fuel_blend</v>
      </c>
      <c r="BR49">
        <v>67000000</v>
      </c>
      <c r="BS49" t="str">
        <v>gallons</v>
      </c>
      <c r="BT49" t="str">
        <v/>
      </c>
      <c r="BU49" t="str">
        <v/>
      </c>
      <c r="BV49" t="str">
        <v/>
      </c>
      <c r="BY49" t="str">
        <v>processor</v>
      </c>
      <c r="BZ49" t="str">
        <v>Martin Energy Services Llc 11</v>
      </c>
      <c r="CA49" t="str">
        <v>blendSAF</v>
      </c>
      <c r="CB49" t="str">
        <v/>
      </c>
      <c r="CC49" t="str">
        <v/>
      </c>
      <c r="CD49" t="str">
        <v/>
      </c>
      <c r="CE49" t="str">
        <v/>
      </c>
      <c r="CF49" t="str">
        <v/>
      </c>
    </row>
    <row r="50" spans="1:84" x14ac:dyDescent="0.3">
      <c r="A50" t="s">
        <v>91</v>
      </c>
      <c r="B50" t="s">
        <v>137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Petroleum Fuels &amp; Terminal Co</v>
      </c>
      <c r="BH50" t="str">
        <v>blendSAF</v>
      </c>
      <c r="BI50" t="str">
        <v/>
      </c>
      <c r="BJ50" t="str">
        <v/>
      </c>
      <c r="BK50" t="str">
        <v/>
      </c>
      <c r="BL50" t="str">
        <v/>
      </c>
      <c r="BM50" t="str">
        <v/>
      </c>
      <c r="BO50" t="str">
        <v>ultimate_destination</v>
      </c>
      <c r="BP50" t="str">
        <v>MDW</v>
      </c>
      <c r="BQ50" t="str">
        <v>fuel_blend</v>
      </c>
      <c r="BR50">
        <v>140000000</v>
      </c>
      <c r="BS50" t="str">
        <v>gallons</v>
      </c>
      <c r="BT50" t="str">
        <v/>
      </c>
      <c r="BU50" t="str">
        <v/>
      </c>
      <c r="BV50" t="str">
        <v/>
      </c>
      <c r="BY50" t="str">
        <v>processor</v>
      </c>
      <c r="BZ50" t="str">
        <v>Martin Energy Services Llc 15</v>
      </c>
      <c r="CA50" t="str">
        <v>blendSAF</v>
      </c>
      <c r="CB50" t="str">
        <v/>
      </c>
      <c r="CC50" t="str">
        <v/>
      </c>
      <c r="CD50" t="str">
        <v/>
      </c>
      <c r="CE50" t="str">
        <v/>
      </c>
      <c r="CF50" t="str">
        <v/>
      </c>
    </row>
    <row r="51" spans="1:84" x14ac:dyDescent="0.3">
      <c r="A51" t="s">
        <v>84</v>
      </c>
      <c r="B51" t="s">
        <v>115</v>
      </c>
      <c r="C51" t="s">
        <v>136</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Petroleum Fuel &amp; Terminal Co 12</v>
      </c>
      <c r="BH51" t="str">
        <v>blendSAF</v>
      </c>
      <c r="BI51" t="str">
        <v/>
      </c>
      <c r="BJ51" t="str">
        <v/>
      </c>
      <c r="BK51" t="str">
        <v/>
      </c>
      <c r="BL51" t="str">
        <v/>
      </c>
      <c r="BM51" t="str">
        <v/>
      </c>
      <c r="BO51" t="str">
        <v>ultimate_destination</v>
      </c>
      <c r="BP51" t="str">
        <v>ORD</v>
      </c>
      <c r="BQ51" t="str">
        <v>fuel_blend</v>
      </c>
      <c r="BR51">
        <v>992000000</v>
      </c>
      <c r="BS51" t="str">
        <v>gallons</v>
      </c>
      <c r="BT51" t="str">
        <v/>
      </c>
      <c r="BU51" t="str">
        <v/>
      </c>
      <c r="BV51" t="str">
        <v/>
      </c>
      <c r="BY51" t="str">
        <v>processor</v>
      </c>
      <c r="BZ51" t="str">
        <v>Barcliff Llc 3</v>
      </c>
      <c r="CA51" t="str">
        <v>blendSAF</v>
      </c>
      <c r="CB51" t="str">
        <v/>
      </c>
      <c r="CC51" t="str">
        <v/>
      </c>
      <c r="CD51" t="str">
        <v/>
      </c>
      <c r="CE51" t="str">
        <v/>
      </c>
      <c r="CF51" t="str">
        <v/>
      </c>
    </row>
    <row r="52" spans="1:84" x14ac:dyDescent="0.3">
      <c r="A52" t="s">
        <v>85</v>
      </c>
      <c r="B52" t="s">
        <v>115</v>
      </c>
      <c r="C52" t="s">
        <v>136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Ergon Asphalt And Emulsions 11</v>
      </c>
      <c r="BH52" t="str">
        <v>blendSAF</v>
      </c>
      <c r="BI52" t="str">
        <v/>
      </c>
      <c r="BJ52" t="str">
        <v/>
      </c>
      <c r="BK52" t="str">
        <v/>
      </c>
      <c r="BL52" t="str">
        <v/>
      </c>
      <c r="BM52" t="str">
        <v/>
      </c>
      <c r="BO52" t="str">
        <v>ultimate_destination</v>
      </c>
      <c r="BP52" t="str">
        <v>IND</v>
      </c>
      <c r="BQ52" t="str">
        <v>fuel_blend</v>
      </c>
      <c r="BR52">
        <v>134000000</v>
      </c>
      <c r="BS52" t="str">
        <v>gallons</v>
      </c>
      <c r="BT52" t="str">
        <v/>
      </c>
      <c r="BU52" t="str">
        <v/>
      </c>
      <c r="BV52" t="str">
        <v/>
      </c>
      <c r="BY52" t="str">
        <v>processor</v>
      </c>
      <c r="BZ52" t="str">
        <v>Barcliff Llc 4</v>
      </c>
      <c r="CA52" t="str">
        <v>blendSAF</v>
      </c>
      <c r="CB52" t="str">
        <v/>
      </c>
      <c r="CC52" t="str">
        <v/>
      </c>
      <c r="CD52" t="str">
        <v/>
      </c>
      <c r="CE52" t="str">
        <v/>
      </c>
      <c r="CF52" t="str">
        <v/>
      </c>
    </row>
    <row r="53" spans="1:84" x14ac:dyDescent="0.3">
      <c r="A53" t="s">
        <v>86</v>
      </c>
      <c r="B53" t="s">
        <v>115</v>
      </c>
      <c r="C53" t="s">
        <v>136</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Murphy Oil Usa Inc 52</v>
      </c>
      <c r="BH53" t="str">
        <v>blendSAF</v>
      </c>
      <c r="BI53" t="str">
        <v/>
      </c>
      <c r="BJ53" t="str">
        <v/>
      </c>
      <c r="BK53" t="str">
        <v/>
      </c>
      <c r="BL53" t="str">
        <v/>
      </c>
      <c r="BM53" t="str">
        <v/>
      </c>
      <c r="BO53" t="str">
        <v>ultimate_destination</v>
      </c>
      <c r="BP53" t="str">
        <v>DSM</v>
      </c>
      <c r="BQ53" t="str">
        <v>fuel_blend</v>
      </c>
      <c r="BR53">
        <v>25000000</v>
      </c>
      <c r="BS53" t="str">
        <v>gallons</v>
      </c>
      <c r="BT53" t="str">
        <v/>
      </c>
      <c r="BU53" t="str">
        <v/>
      </c>
      <c r="BV53" t="str">
        <v/>
      </c>
      <c r="BY53" t="str">
        <v>processor</v>
      </c>
      <c r="BZ53" t="str">
        <v>Citgo Petroleum Corp 25</v>
      </c>
      <c r="CA53" t="str">
        <v>blendSAF</v>
      </c>
      <c r="CB53" t="str">
        <v/>
      </c>
      <c r="CC53" t="str">
        <v/>
      </c>
      <c r="CD53" t="str">
        <v/>
      </c>
      <c r="CE53" t="str">
        <v/>
      </c>
      <c r="CF53" t="str">
        <v/>
      </c>
    </row>
    <row r="54" spans="1:84" x14ac:dyDescent="0.3">
      <c r="A54" t="s">
        <v>87</v>
      </c>
      <c r="B54" t="s">
        <v>115</v>
      </c>
      <c r="C54" t="s">
        <v>136</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Premcor Refining Group Inc 3</v>
      </c>
      <c r="BH54" t="str">
        <v>blendSAF</v>
      </c>
      <c r="BI54" t="str">
        <v/>
      </c>
      <c r="BJ54" t="str">
        <v/>
      </c>
      <c r="BK54" t="str">
        <v/>
      </c>
      <c r="BL54" t="str">
        <v/>
      </c>
      <c r="BM54" t="str">
        <v/>
      </c>
      <c r="BO54" t="str">
        <v>ultimate_destination</v>
      </c>
      <c r="BP54" t="str">
        <v>ICT</v>
      </c>
      <c r="BQ54" t="str">
        <v>fuel_blend</v>
      </c>
      <c r="BR54">
        <v>16000000</v>
      </c>
      <c r="BS54" t="str">
        <v>gallons</v>
      </c>
      <c r="BT54" t="str">
        <v/>
      </c>
      <c r="BU54" t="str">
        <v/>
      </c>
      <c r="BV54" t="str">
        <v/>
      </c>
      <c r="BY54" t="str">
        <v>processor</v>
      </c>
      <c r="BZ54" t="str">
        <v>Shell Oil Products Us 1</v>
      </c>
      <c r="CA54" t="str">
        <v>blendSAF</v>
      </c>
      <c r="CB54" t="str">
        <v/>
      </c>
      <c r="CC54" t="str">
        <v/>
      </c>
      <c r="CD54" t="str">
        <v/>
      </c>
      <c r="CE54" t="str">
        <v/>
      </c>
      <c r="CF54" t="str">
        <v/>
      </c>
    </row>
    <row r="55" spans="1:84" x14ac:dyDescent="0.3">
      <c r="A55" t="s">
        <v>88</v>
      </c>
      <c r="B55" t="s">
        <v>115</v>
      </c>
      <c r="C55" t="s">
        <v>136</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Oakley Fuels Inc</v>
      </c>
      <c r="BH55" t="str">
        <v>blendSAF</v>
      </c>
      <c r="BI55" t="str">
        <v/>
      </c>
      <c r="BJ55" t="str">
        <v/>
      </c>
      <c r="BK55" t="str">
        <v/>
      </c>
      <c r="BL55" t="str">
        <v/>
      </c>
      <c r="BM55" t="str">
        <v/>
      </c>
      <c r="BO55" t="str">
        <v>ultimate_destination</v>
      </c>
      <c r="BP55" t="str">
        <v>CVG</v>
      </c>
      <c r="BQ55" t="str">
        <v>fuel_blend</v>
      </c>
      <c r="BR55">
        <v>281000000</v>
      </c>
      <c r="BS55" t="str">
        <v>gallons</v>
      </c>
      <c r="BT55" t="str">
        <v/>
      </c>
      <c r="BU55" t="str">
        <v/>
      </c>
      <c r="BV55" t="str">
        <v/>
      </c>
      <c r="BY55" t="str">
        <v>processor</v>
      </c>
      <c r="BZ55" t="str">
        <v>South Florida Materials Corp 13</v>
      </c>
      <c r="CA55" t="str">
        <v>blendSAF</v>
      </c>
      <c r="CB55" t="str">
        <v/>
      </c>
      <c r="CC55" t="str">
        <v/>
      </c>
      <c r="CD55" t="str">
        <v/>
      </c>
      <c r="CE55" t="str">
        <v/>
      </c>
      <c r="CF55" t="str">
        <v/>
      </c>
    </row>
    <row r="56" spans="1:84" x14ac:dyDescent="0.3">
      <c r="A56" t="s">
        <v>109</v>
      </c>
      <c r="B56" t="s">
        <v>115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Delek Marketing &amp; Supply Lp 2</v>
      </c>
      <c r="BH56" t="str">
        <v>blendSAF</v>
      </c>
      <c r="BI56" t="str">
        <v/>
      </c>
      <c r="BJ56" t="str">
        <v/>
      </c>
      <c r="BK56" t="str">
        <v/>
      </c>
      <c r="BL56" t="str">
        <v/>
      </c>
      <c r="BM56" t="str">
        <v/>
      </c>
      <c r="BO56" t="str">
        <v>ultimate_destination</v>
      </c>
      <c r="BP56" t="str">
        <v>SDF</v>
      </c>
      <c r="BQ56" t="str">
        <v>fuel_blend</v>
      </c>
      <c r="BR56">
        <v>342000000</v>
      </c>
      <c r="BS56" t="str">
        <v>gallons</v>
      </c>
      <c r="BT56" t="str">
        <v/>
      </c>
      <c r="BU56" t="str">
        <v/>
      </c>
      <c r="BV56" t="str">
        <v/>
      </c>
      <c r="BY56" t="str">
        <v>processor</v>
      </c>
      <c r="BZ56" t="str">
        <v>United Refining Co 1</v>
      </c>
      <c r="CA56" t="str">
        <v>blendSAF</v>
      </c>
      <c r="CB56" t="str">
        <v/>
      </c>
      <c r="CC56" t="str">
        <v/>
      </c>
      <c r="CD56" t="str">
        <v/>
      </c>
      <c r="CE56" t="str">
        <v/>
      </c>
      <c r="CF56" t="str">
        <v/>
      </c>
    </row>
    <row r="57" spans="1:84" x14ac:dyDescent="0.3">
      <c r="A57" t="s">
        <v>83</v>
      </c>
      <c r="B57" t="s">
        <v>137</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Sunoco Llc 11</v>
      </c>
      <c r="BH57" t="str">
        <v>blendSAF</v>
      </c>
      <c r="BI57" t="str">
        <v/>
      </c>
      <c r="BJ57" t="str">
        <v/>
      </c>
      <c r="BK57" t="str">
        <v/>
      </c>
      <c r="BL57" t="str">
        <v/>
      </c>
      <c r="BM57" t="str">
        <v/>
      </c>
      <c r="BO57" t="str">
        <v>ultimate_destination</v>
      </c>
      <c r="BP57" t="str">
        <v>MSY</v>
      </c>
      <c r="BQ57" t="str">
        <v>fuel_blend</v>
      </c>
      <c r="BR57">
        <v>83000000</v>
      </c>
      <c r="BS57" t="str">
        <v>gallons</v>
      </c>
      <c r="BT57" t="str">
        <v/>
      </c>
      <c r="BU57" t="str">
        <v/>
      </c>
      <c r="BV57" t="str">
        <v/>
      </c>
      <c r="BY57" t="str">
        <v>processor</v>
      </c>
      <c r="BZ57" t="str">
        <v>Warrior Asphalt Inc</v>
      </c>
      <c r="CA57" t="str">
        <v>blendSAF</v>
      </c>
      <c r="CB57" t="str">
        <v/>
      </c>
      <c r="CC57" t="str">
        <v/>
      </c>
      <c r="CD57" t="str">
        <v/>
      </c>
      <c r="CE57" t="str">
        <v/>
      </c>
      <c r="CF57" t="str">
        <v/>
      </c>
    </row>
    <row r="58" spans="1:84" x14ac:dyDescent="0.3">
      <c r="A58" t="s">
        <v>92</v>
      </c>
      <c r="B58" t="s">
        <v>116</v>
      </c>
      <c r="C58" t="s">
        <v>136</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Hwrt Oil Co Llc 6</v>
      </c>
      <c r="BH58" t="str">
        <v>blendSAF</v>
      </c>
      <c r="BI58" t="str">
        <v/>
      </c>
      <c r="BJ58" t="str">
        <v/>
      </c>
      <c r="BK58" t="str">
        <v/>
      </c>
      <c r="BL58" t="str">
        <v/>
      </c>
      <c r="BM58" t="str">
        <v/>
      </c>
      <c r="BO58" t="str">
        <v>ultimate_destination</v>
      </c>
      <c r="BP58" t="str">
        <v>BWI</v>
      </c>
      <c r="BQ58" t="str">
        <v>fuel_blend</v>
      </c>
      <c r="BR58">
        <v>233000000</v>
      </c>
      <c r="BS58" t="str">
        <v>gallons</v>
      </c>
      <c r="BT58" t="str">
        <v/>
      </c>
      <c r="BU58" t="str">
        <v/>
      </c>
      <c r="BV58" t="str">
        <v/>
      </c>
      <c r="BY58" t="str">
        <v>processor</v>
      </c>
      <c r="BZ58" t="str">
        <v>Bwc Terminals Llc 1</v>
      </c>
      <c r="CA58" t="str">
        <v>blendSAF</v>
      </c>
      <c r="CB58" t="str">
        <v/>
      </c>
      <c r="CC58" t="str">
        <v/>
      </c>
      <c r="CD58" t="str">
        <v/>
      </c>
      <c r="CE58" t="str">
        <v/>
      </c>
      <c r="CF58" t="str">
        <v/>
      </c>
    </row>
    <row r="59" spans="1:84" x14ac:dyDescent="0.3">
      <c r="A59" t="s">
        <v>93</v>
      </c>
      <c r="B59" t="s">
        <v>116</v>
      </c>
      <c r="C59" t="s">
        <v>136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F59" t="str">
        <v>processor</v>
      </c>
      <c r="BG59" t="str">
        <v>Magellan Pl Co 3</v>
      </c>
      <c r="BH59" t="str">
        <v>blendSAF</v>
      </c>
      <c r="BI59" t="str">
        <v/>
      </c>
      <c r="BJ59" t="str">
        <v/>
      </c>
      <c r="BK59" t="str">
        <v/>
      </c>
      <c r="BL59" t="str">
        <v/>
      </c>
      <c r="BM59" t="str">
        <v/>
      </c>
      <c r="BO59" t="str">
        <v>ultimate_destination</v>
      </c>
      <c r="BP59" t="str">
        <v>BOS</v>
      </c>
      <c r="BQ59" t="str">
        <v>fuel_blend</v>
      </c>
      <c r="BR59">
        <v>545000000</v>
      </c>
      <c r="BS59" t="str">
        <v>gallons</v>
      </c>
      <c r="BT59" t="str">
        <v/>
      </c>
      <c r="BU59" t="str">
        <v/>
      </c>
      <c r="BV59" t="str">
        <v/>
      </c>
      <c r="BY59" t="str">
        <v>processor</v>
      </c>
      <c r="BZ59" t="str">
        <v>Bwc Terminals Llc 2</v>
      </c>
      <c r="CA59" t="str">
        <v>blendSAF</v>
      </c>
      <c r="CB59" t="str">
        <v/>
      </c>
      <c r="CC59" t="str">
        <v/>
      </c>
      <c r="CD59" t="str">
        <v/>
      </c>
      <c r="CE59" t="str">
        <v/>
      </c>
      <c r="CF59" t="str">
        <v/>
      </c>
    </row>
    <row r="60" spans="1:84" x14ac:dyDescent="0.3">
      <c r="A60" t="s">
        <v>102</v>
      </c>
      <c r="B60" t="s">
        <v>137</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F60" t="str">
        <v>processor</v>
      </c>
      <c r="BG60" t="str">
        <v>Magellan Pipeline Co Lp 31</v>
      </c>
      <c r="BH60" t="str">
        <v>blendSAF</v>
      </c>
      <c r="BI60" t="str">
        <v/>
      </c>
      <c r="BJ60" t="str">
        <v/>
      </c>
      <c r="BK60" t="str">
        <v/>
      </c>
      <c r="BL60" t="str">
        <v/>
      </c>
      <c r="BM60" t="str">
        <v/>
      </c>
      <c r="BO60" t="str">
        <v>ultimate_destination</v>
      </c>
      <c r="BP60" t="str">
        <v>DTW</v>
      </c>
      <c r="BQ60" t="str">
        <v>fuel_blend</v>
      </c>
      <c r="BR60">
        <v>315000000</v>
      </c>
      <c r="BS60" t="str">
        <v>gallons</v>
      </c>
      <c r="BT60" t="str">
        <v/>
      </c>
      <c r="BU60" t="str">
        <v/>
      </c>
      <c r="BV60" t="str">
        <v/>
      </c>
      <c r="BY60" t="str">
        <v>processor</v>
      </c>
      <c r="BZ60" t="str">
        <v>Bwc Terminals Llc 6</v>
      </c>
      <c r="CA60" t="str">
        <v>blendSAF</v>
      </c>
      <c r="CB60" t="str">
        <v/>
      </c>
      <c r="CC60" t="str">
        <v/>
      </c>
      <c r="CD60" t="str">
        <v/>
      </c>
      <c r="CE60" t="str">
        <v/>
      </c>
      <c r="CF60" t="str">
        <v/>
      </c>
    </row>
    <row r="61" spans="1:84" x14ac:dyDescent="0.3">
      <c r="A61" t="s">
        <v>103</v>
      </c>
      <c r="B61" t="s">
        <v>137</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F61" t="str">
        <v>processor</v>
      </c>
      <c r="BG61" t="str">
        <v>Magellan Pipeline Co Lp 32</v>
      </c>
      <c r="BH61" t="str">
        <v>blendSAF</v>
      </c>
      <c r="BI61" t="str">
        <v/>
      </c>
      <c r="BJ61" t="str">
        <v/>
      </c>
      <c r="BK61" t="str">
        <v/>
      </c>
      <c r="BL61" t="str">
        <v/>
      </c>
      <c r="BM61" t="str">
        <v/>
      </c>
      <c r="BO61" t="str">
        <v>ultimate_destination</v>
      </c>
      <c r="BP61" t="str">
        <v>GRR</v>
      </c>
      <c r="BQ61" t="str">
        <v>fuel_blend</v>
      </c>
      <c r="BR61">
        <v>27000000</v>
      </c>
      <c r="BS61" t="str">
        <v>gallons</v>
      </c>
      <c r="BT61" t="str">
        <v/>
      </c>
      <c r="BU61" t="str">
        <v/>
      </c>
      <c r="BV61" t="str">
        <v/>
      </c>
      <c r="BY61" t="str">
        <v>processor</v>
      </c>
      <c r="BZ61" t="str">
        <v>Circle K Terminal Llc</v>
      </c>
      <c r="CA61" t="str">
        <v>blendSAF</v>
      </c>
      <c r="CB61" t="str">
        <v/>
      </c>
      <c r="CC61" t="str">
        <v/>
      </c>
      <c r="CD61" t="str">
        <v/>
      </c>
      <c r="CE61" t="str">
        <v/>
      </c>
      <c r="CF61" t="str">
        <v/>
      </c>
    </row>
    <row r="62" spans="1:84" x14ac:dyDescent="0.3">
      <c r="A62" t="s">
        <v>104</v>
      </c>
      <c r="B62" t="s">
        <v>137</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F62" t="str">
        <v>processor</v>
      </c>
      <c r="BG62" t="str">
        <v>Magellan Pipeline Co Lp 41</v>
      </c>
      <c r="BH62" t="str">
        <v>blendSAF</v>
      </c>
      <c r="BI62" t="str">
        <v/>
      </c>
      <c r="BJ62" t="str">
        <v/>
      </c>
      <c r="BK62" t="str">
        <v/>
      </c>
      <c r="BL62" t="str">
        <v/>
      </c>
      <c r="BM62" t="str">
        <v/>
      </c>
      <c r="BO62" t="str">
        <v>ultimate_destination</v>
      </c>
      <c r="BP62" t="str">
        <v>MSP</v>
      </c>
      <c r="BQ62" t="str">
        <v>fuel_blend</v>
      </c>
      <c r="BR62">
        <v>341000000</v>
      </c>
      <c r="BS62" t="str">
        <v>gallons</v>
      </c>
      <c r="BT62" t="str">
        <v/>
      </c>
      <c r="BU62" t="str">
        <v/>
      </c>
      <c r="BV62" t="str">
        <v/>
      </c>
      <c r="BY62" t="str">
        <v>processor</v>
      </c>
      <c r="BZ62" t="str">
        <v>Pro Petroleum Inc 6</v>
      </c>
      <c r="CA62" t="str">
        <v>blendSAF</v>
      </c>
      <c r="CB62" t="str">
        <v/>
      </c>
      <c r="CC62" t="str">
        <v/>
      </c>
      <c r="CD62" t="str">
        <v/>
      </c>
      <c r="CE62" t="str">
        <v/>
      </c>
      <c r="CF62" t="str">
        <v/>
      </c>
    </row>
    <row r="63" spans="1:84" x14ac:dyDescent="0.3">
      <c r="A63" t="s">
        <v>105</v>
      </c>
      <c r="B63" t="s">
        <v>137</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F63" t="str">
        <v>processor</v>
      </c>
      <c r="BG63" t="str">
        <v>Ngl Supply Wholesale Llc 6</v>
      </c>
      <c r="BH63" t="str">
        <v>blendSAF</v>
      </c>
      <c r="BI63" t="str">
        <v/>
      </c>
      <c r="BJ63" t="str">
        <v/>
      </c>
      <c r="BK63" t="str">
        <v/>
      </c>
      <c r="BL63" t="str">
        <v/>
      </c>
      <c r="BM63" t="str">
        <v/>
      </c>
      <c r="BO63" t="str">
        <v>ultimate_destination</v>
      </c>
      <c r="BP63" t="str">
        <v>MCI</v>
      </c>
      <c r="BQ63" t="str">
        <v>fuel_blend</v>
      </c>
      <c r="BR63">
        <v>89000000</v>
      </c>
      <c r="BS63" t="str">
        <v>gallons</v>
      </c>
      <c r="BT63" t="str">
        <v/>
      </c>
      <c r="BU63" t="str">
        <v/>
      </c>
      <c r="BV63" t="str">
        <v/>
      </c>
      <c r="BY63" t="str">
        <v>processor</v>
      </c>
      <c r="BZ63" t="str">
        <v>Caljet</v>
      </c>
      <c r="CA63" t="str">
        <v>blendSAF</v>
      </c>
      <c r="CB63" t="str">
        <v/>
      </c>
      <c r="CC63" t="str">
        <v/>
      </c>
      <c r="CD63" t="str">
        <v/>
      </c>
      <c r="CE63" t="str">
        <v/>
      </c>
      <c r="CF63" t="str">
        <v/>
      </c>
    </row>
    <row r="64" spans="1:84" x14ac:dyDescent="0.3">
      <c r="A64" t="s">
        <v>106</v>
      </c>
      <c r="B64" t="s">
        <v>137</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F64" t="str">
        <v>processor</v>
      </c>
      <c r="BG64" t="str">
        <v>Ngl Supply Wholesale Llc 1</v>
      </c>
      <c r="BH64" t="str">
        <v>blendSAF</v>
      </c>
      <c r="BI64" t="str">
        <v/>
      </c>
      <c r="BJ64" t="str">
        <v/>
      </c>
      <c r="BK64" t="str">
        <v/>
      </c>
      <c r="BL64" t="str">
        <v/>
      </c>
      <c r="BM64" t="str">
        <v/>
      </c>
      <c r="BO64" t="str">
        <v>ultimate_destination</v>
      </c>
      <c r="BP64" t="str">
        <v>STL</v>
      </c>
      <c r="BQ64" t="str">
        <v>fuel_blend</v>
      </c>
      <c r="BR64">
        <v>109000000</v>
      </c>
      <c r="BS64" t="str">
        <v>gallons</v>
      </c>
      <c r="BT64" t="str">
        <v/>
      </c>
      <c r="BU64" t="str">
        <v/>
      </c>
      <c r="BV64" t="str">
        <v/>
      </c>
      <c r="BY64" t="str">
        <v>processor</v>
      </c>
      <c r="BZ64" t="str">
        <v>Enterprise Products Operating Llc 5</v>
      </c>
      <c r="CA64" t="str">
        <v>blendSAF</v>
      </c>
      <c r="CB64" t="str">
        <v/>
      </c>
      <c r="CC64" t="str">
        <v/>
      </c>
      <c r="CD64" t="str">
        <v/>
      </c>
      <c r="CE64" t="str">
        <v/>
      </c>
      <c r="CF64" t="str">
        <v/>
      </c>
    </row>
    <row r="65" spans="1:84" x14ac:dyDescent="0.3">
      <c r="A65" t="s">
        <v>107</v>
      </c>
      <c r="B65" t="s">
        <v>137</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c r="BF65" t="str">
        <v>processor</v>
      </c>
      <c r="BG65" t="str">
        <v>Transmontaigne Operating Company 5</v>
      </c>
      <c r="BH65" t="str">
        <v>blendSAF</v>
      </c>
      <c r="BI65" t="str">
        <v/>
      </c>
      <c r="BJ65" t="str">
        <v/>
      </c>
      <c r="BK65" t="str">
        <v/>
      </c>
      <c r="BL65" t="str">
        <v/>
      </c>
      <c r="BM65" t="str">
        <v/>
      </c>
      <c r="BO65" t="str">
        <v>ultimate_destination</v>
      </c>
      <c r="BP65" t="str">
        <v>BZN</v>
      </c>
      <c r="BQ65" t="str">
        <v>fuel_blend</v>
      </c>
      <c r="BR65">
        <v>20000000</v>
      </c>
      <c r="BS65" t="str">
        <v>gallons</v>
      </c>
      <c r="BT65" t="str">
        <v/>
      </c>
      <c r="BU65" t="str">
        <v/>
      </c>
      <c r="BV65" t="str">
        <v/>
      </c>
      <c r="BY65" t="str">
        <v>processor</v>
      </c>
      <c r="BZ65" t="str">
        <v>Enterprise Products Operating Llc 7</v>
      </c>
      <c r="CA65" t="str">
        <v>blendSAF</v>
      </c>
      <c r="CB65" t="str">
        <v/>
      </c>
      <c r="CC65" t="str">
        <v/>
      </c>
      <c r="CD65" t="str">
        <v/>
      </c>
      <c r="CE65" t="str">
        <v/>
      </c>
      <c r="CF65" t="str">
        <v/>
      </c>
    </row>
    <row r="66" spans="1:84" x14ac:dyDescent="0.3">
      <c r="A66" t="s">
        <v>108</v>
      </c>
      <c r="B66" t="s">
        <v>126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c r="BF66" t="str">
        <v>processor</v>
      </c>
      <c r="BG66" t="str">
        <v>Chevron Usa Inc El Segundo</v>
      </c>
      <c r="BH66" t="str">
        <v>blendSAF</v>
      </c>
      <c r="BI66" t="str">
        <v/>
      </c>
      <c r="BJ66" t="str">
        <v/>
      </c>
      <c r="BK66" t="str">
        <v/>
      </c>
      <c r="BL66" t="str">
        <v/>
      </c>
      <c r="BM66" t="str">
        <v/>
      </c>
      <c r="BO66" t="str">
        <v>ultimate_destination</v>
      </c>
      <c r="BP66" t="str">
        <v>OMA</v>
      </c>
      <c r="BQ66" t="str">
        <v>fuel_blend</v>
      </c>
      <c r="BR66">
        <v>17000000</v>
      </c>
      <c r="BS66" t="str">
        <v>gallons</v>
      </c>
      <c r="BT66" t="str">
        <v/>
      </c>
      <c r="BU66" t="str">
        <v/>
      </c>
      <c r="BV66" t="str">
        <v/>
      </c>
      <c r="BY66" t="str">
        <v>processor</v>
      </c>
      <c r="BZ66" t="str">
        <v>Nk Asphalt Partners 3</v>
      </c>
      <c r="CA66" t="str">
        <v>blendSAF</v>
      </c>
      <c r="CB66" t="str">
        <v/>
      </c>
      <c r="CC66" t="str">
        <v/>
      </c>
      <c r="CD66" t="str">
        <v/>
      </c>
      <c r="CE66" t="str">
        <v/>
      </c>
      <c r="CF66" t="str">
        <v/>
      </c>
    </row>
    <row r="67" spans="1:84" x14ac:dyDescent="0.3">
      <c r="A67" t="s">
        <v>203</v>
      </c>
      <c r="B67" t="s">
        <v>116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c r="BF67" t="str">
        <v>processor</v>
      </c>
      <c r="BG67" t="str">
        <v>Chevron Usa Inc San Diego Terminal</v>
      </c>
      <c r="BH67" t="str">
        <v>blendSAF</v>
      </c>
      <c r="BI67" t="str">
        <v/>
      </c>
      <c r="BJ67" t="str">
        <v/>
      </c>
      <c r="BK67" t="str">
        <v/>
      </c>
      <c r="BL67" t="str">
        <v/>
      </c>
      <c r="BM67" t="str">
        <v/>
      </c>
      <c r="BO67" t="str">
        <v>ultimate_destination</v>
      </c>
      <c r="BP67" t="str">
        <v>LAS</v>
      </c>
      <c r="BQ67" t="str">
        <v>fuel_blend</v>
      </c>
      <c r="BR67">
        <v>471000000</v>
      </c>
      <c r="BS67" t="str">
        <v>gallons</v>
      </c>
      <c r="BT67" t="str">
        <v/>
      </c>
      <c r="BU67" t="str">
        <v/>
      </c>
      <c r="BV67" t="str">
        <v/>
      </c>
      <c r="BY67" t="str">
        <v>processor</v>
      </c>
      <c r="BZ67" t="str">
        <v>Sfpp Lp 13</v>
      </c>
      <c r="CA67" t="str">
        <v>blendSAF</v>
      </c>
      <c r="CB67" t="str">
        <v/>
      </c>
      <c r="CC67" t="str">
        <v/>
      </c>
      <c r="CD67" t="str">
        <v/>
      </c>
      <c r="CE67" t="str">
        <v/>
      </c>
      <c r="CF67" t="str">
        <v/>
      </c>
    </row>
    <row r="68" spans="1:84" x14ac:dyDescent="0.3">
      <c r="A68" t="s">
        <v>204</v>
      </c>
      <c r="B68" t="s">
        <v>116</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c r="BF68" t="str">
        <v>processor</v>
      </c>
      <c r="BG68" t="str">
        <v>Chevron Usa Inc Van Nuys</v>
      </c>
      <c r="BH68" t="str">
        <v>blendSAF</v>
      </c>
      <c r="BI68" t="str">
        <v/>
      </c>
      <c r="BJ68" t="str">
        <v/>
      </c>
      <c r="BK68" t="str">
        <v/>
      </c>
      <c r="BL68" t="str">
        <v/>
      </c>
      <c r="BM68" t="str">
        <v/>
      </c>
      <c r="BO68" t="str">
        <v>ultimate_destination</v>
      </c>
      <c r="BP68" t="str">
        <v>RNO</v>
      </c>
      <c r="BQ68" t="str">
        <v>fuel_blend</v>
      </c>
      <c r="BR68">
        <v>29000000</v>
      </c>
      <c r="BS68" t="str">
        <v>gallons</v>
      </c>
      <c r="BT68" t="str">
        <v/>
      </c>
      <c r="BU68" t="str">
        <v/>
      </c>
      <c r="BV68" t="str">
        <v/>
      </c>
      <c r="BY68" t="str">
        <v>processor</v>
      </c>
      <c r="BZ68" t="str">
        <v>Sfpp Lp 8</v>
      </c>
      <c r="CA68" t="str">
        <v>blendSAF</v>
      </c>
      <c r="CB68" t="str">
        <v/>
      </c>
      <c r="CC68" t="str">
        <v/>
      </c>
      <c r="CD68" t="str">
        <v/>
      </c>
      <c r="CE68" t="str">
        <v/>
      </c>
      <c r="CF68" t="str">
        <v/>
      </c>
    </row>
    <row r="69" spans="1:84" x14ac:dyDescent="0.3">
      <c r="A69" t="s">
        <v>205</v>
      </c>
      <c r="B69" t="s">
        <v>116</v>
      </c>
      <c r="C69" t="s">
        <v>119</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c r="BF69" t="str">
        <v>processor</v>
      </c>
      <c r="BG69" t="str">
        <v>Chevron Usa Inc Huntington Beach</v>
      </c>
      <c r="BH69" t="str">
        <v>blendSAF</v>
      </c>
      <c r="BI69" t="str">
        <v/>
      </c>
      <c r="BJ69" t="str">
        <v/>
      </c>
      <c r="BK69" t="str">
        <v/>
      </c>
      <c r="BL69" t="str">
        <v/>
      </c>
      <c r="BM69" t="str">
        <v/>
      </c>
      <c r="BO69" t="str">
        <v>ultimate_destination</v>
      </c>
      <c r="BP69" t="str">
        <v>EWR</v>
      </c>
      <c r="BQ69" t="str">
        <v>fuel_blend</v>
      </c>
      <c r="BR69">
        <v>774000000</v>
      </c>
      <c r="BS69" t="str">
        <v>gallons</v>
      </c>
      <c r="BT69" t="str">
        <v/>
      </c>
      <c r="BU69" t="str">
        <v/>
      </c>
      <c r="BV69" t="str">
        <v/>
      </c>
      <c r="BY69" t="str">
        <v>processor</v>
      </c>
      <c r="BZ69" t="str">
        <v>Andeavor Logistics Lp 22</v>
      </c>
      <c r="CA69" t="str">
        <v>blendSAF</v>
      </c>
      <c r="CB69" t="str">
        <v/>
      </c>
      <c r="CC69" t="str">
        <v/>
      </c>
      <c r="CD69" t="str">
        <v/>
      </c>
      <c r="CE69" t="str">
        <v/>
      </c>
      <c r="CF69" t="str">
        <v/>
      </c>
    </row>
    <row r="70" spans="1:8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c r="BF70" t="str">
        <v>processor</v>
      </c>
      <c r="BG70" t="str">
        <v>Chevron Usa Inc Montebello</v>
      </c>
      <c r="BH70" t="str">
        <v>blendSAF</v>
      </c>
      <c r="BI70" t="str">
        <v/>
      </c>
      <c r="BJ70" t="str">
        <v/>
      </c>
      <c r="BK70" t="str">
        <v/>
      </c>
      <c r="BL70" t="str">
        <v/>
      </c>
      <c r="BM70" t="str">
        <v/>
      </c>
      <c r="BO70" t="str">
        <v>ultimate_destination</v>
      </c>
      <c r="BP70" t="str">
        <v>ABQ</v>
      </c>
      <c r="BQ70" t="str">
        <v>fuel_blend</v>
      </c>
      <c r="BR70">
        <v>29000000</v>
      </c>
      <c r="BS70" t="str">
        <v>gallons</v>
      </c>
      <c r="BT70" t="str">
        <v/>
      </c>
      <c r="BU70" t="str">
        <v/>
      </c>
      <c r="BV70" t="str">
        <v/>
      </c>
      <c r="BY70" t="str">
        <v>processor</v>
      </c>
      <c r="BZ70" t="str">
        <v>Andeavor Logistics Lp 17</v>
      </c>
      <c r="CA70" t="str">
        <v>blendSAF</v>
      </c>
      <c r="CB70" t="str">
        <v/>
      </c>
      <c r="CC70" t="str">
        <v/>
      </c>
      <c r="CD70" t="str">
        <v/>
      </c>
      <c r="CE70" t="str">
        <v/>
      </c>
      <c r="CF70" t="str">
        <v/>
      </c>
    </row>
    <row r="71" spans="1:84" x14ac:dyDescent="0.3">
      <c r="A71" s="1" t="s">
        <v>132</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c r="BF71" t="str">
        <v>processor</v>
      </c>
      <c r="BG71" t="str">
        <v>Chevron Usa Inc Tracy</v>
      </c>
      <c r="BH71" t="str">
        <v>blendSAF</v>
      </c>
      <c r="BI71" t="str">
        <v/>
      </c>
      <c r="BJ71" t="str">
        <v/>
      </c>
      <c r="BK71" t="str">
        <v/>
      </c>
      <c r="BL71" t="str">
        <v/>
      </c>
      <c r="BM71" t="str">
        <v/>
      </c>
      <c r="BO71" t="str">
        <v>ultimate_destination</v>
      </c>
      <c r="BP71" t="str">
        <v>ALB</v>
      </c>
      <c r="BQ71" t="str">
        <v>fuel_blend</v>
      </c>
      <c r="BR71">
        <v>21000000</v>
      </c>
      <c r="BS71" t="str">
        <v>gallons</v>
      </c>
      <c r="BT71" t="str">
        <v/>
      </c>
      <c r="BU71" t="str">
        <v/>
      </c>
      <c r="BV71" t="str">
        <v/>
      </c>
      <c r="BY71" t="str">
        <v>processor</v>
      </c>
      <c r="BZ71" t="str">
        <v>Plains Lpg Services 5</v>
      </c>
      <c r="CA71" t="str">
        <v>blendSAF</v>
      </c>
      <c r="CB71" t="str">
        <v/>
      </c>
      <c r="CC71" t="str">
        <v/>
      </c>
      <c r="CD71" t="str">
        <v/>
      </c>
      <c r="CE71" t="str">
        <v/>
      </c>
      <c r="CF71" t="str">
        <v/>
      </c>
    </row>
    <row r="72" spans="1:84" x14ac:dyDescent="0.3">
      <c r="A72" s="1" t="s">
        <v>13</v>
      </c>
      <c r="B72" s="1" t="s">
        <v>117</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c r="BF72" t="str">
        <v>processor</v>
      </c>
      <c r="BG72" t="str">
        <v>Chevron Usa Inc San Jose</v>
      </c>
      <c r="BH72" t="str">
        <v>blendSAF</v>
      </c>
      <c r="BI72" t="str">
        <v/>
      </c>
      <c r="BJ72" t="str">
        <v/>
      </c>
      <c r="BK72" t="str">
        <v/>
      </c>
      <c r="BL72" t="str">
        <v/>
      </c>
      <c r="BM72" t="str">
        <v/>
      </c>
      <c r="BO72" t="str">
        <v>ultimate_destination</v>
      </c>
      <c r="BP72" t="str">
        <v>BUF</v>
      </c>
      <c r="BQ72" t="str">
        <v>fuel_blend</v>
      </c>
      <c r="BR72">
        <v>32000000</v>
      </c>
      <c r="BS72" t="str">
        <v>gallons</v>
      </c>
      <c r="BT72" t="str">
        <v/>
      </c>
      <c r="BU72" t="str">
        <v/>
      </c>
      <c r="BV72" t="str">
        <v/>
      </c>
      <c r="BY72" t="str">
        <v>processor</v>
      </c>
      <c r="BZ72" t="str">
        <v>Petroleum Fuels &amp; Terminal Co</v>
      </c>
      <c r="CA72" t="str">
        <v>blendSAF</v>
      </c>
      <c r="CB72" t="str">
        <v/>
      </c>
      <c r="CC72" t="str">
        <v/>
      </c>
      <c r="CD72" t="str">
        <v/>
      </c>
      <c r="CE72" t="str">
        <v/>
      </c>
      <c r="CF72" t="str">
        <v/>
      </c>
    </row>
    <row r="73" spans="1:84" x14ac:dyDescent="0.3">
      <c r="A73" t="s">
        <v>201</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c r="BF73" t="str">
        <v>processor</v>
      </c>
      <c r="BG73" t="str">
        <v>Chevron Usa Inc Sacramento</v>
      </c>
      <c r="BH73" t="str">
        <v>blendSAF</v>
      </c>
      <c r="BI73" t="str">
        <v/>
      </c>
      <c r="BJ73" t="str">
        <v/>
      </c>
      <c r="BK73" t="str">
        <v/>
      </c>
      <c r="BL73" t="str">
        <v/>
      </c>
      <c r="BM73" t="str">
        <v/>
      </c>
      <c r="BO73" t="str">
        <v>ultimate_destination</v>
      </c>
      <c r="BP73" t="str">
        <v>HPN</v>
      </c>
      <c r="BQ73" t="str">
        <v>fuel_blend</v>
      </c>
      <c r="BR73">
        <v>45000000</v>
      </c>
      <c r="BS73" t="str">
        <v>gallons</v>
      </c>
      <c r="BT73" t="str">
        <v/>
      </c>
      <c r="BU73" t="str">
        <v/>
      </c>
      <c r="BV73" t="str">
        <v/>
      </c>
      <c r="BY73" t="str">
        <v>processor</v>
      </c>
      <c r="BZ73" t="str">
        <v>Petroleum Fuel &amp; Terminal Co 12</v>
      </c>
      <c r="CA73" t="str">
        <v>blendSAF</v>
      </c>
      <c r="CB73" t="str">
        <v/>
      </c>
      <c r="CC73" t="str">
        <v/>
      </c>
      <c r="CD73" t="str">
        <v/>
      </c>
      <c r="CE73" t="str">
        <v/>
      </c>
      <c r="CF73" t="str">
        <v/>
      </c>
    </row>
    <row r="74" spans="1:84" x14ac:dyDescent="0.3">
      <c r="A74" t="s">
        <v>28</v>
      </c>
      <c r="B74" t="s">
        <v>138</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c r="BF74" t="str">
        <v>processor</v>
      </c>
      <c r="BG74" t="str">
        <v>Chevron Usa Inc Martinez</v>
      </c>
      <c r="BH74" t="str">
        <v>blendSAF</v>
      </c>
      <c r="BI74" t="str">
        <v/>
      </c>
      <c r="BJ74" t="str">
        <v/>
      </c>
      <c r="BK74" t="str">
        <v/>
      </c>
      <c r="BL74" t="str">
        <v/>
      </c>
      <c r="BM74" t="str">
        <v/>
      </c>
      <c r="BO74" t="str">
        <v>ultimate_destination</v>
      </c>
      <c r="BP74" t="str">
        <v>ISP</v>
      </c>
      <c r="BQ74" t="str">
        <v>fuel_blend</v>
      </c>
      <c r="BR74">
        <v>8000000</v>
      </c>
      <c r="BS74" t="str">
        <v>gallons</v>
      </c>
      <c r="BT74" t="str">
        <v/>
      </c>
      <c r="BU74" t="str">
        <v/>
      </c>
      <c r="BV74" t="str">
        <v/>
      </c>
      <c r="BY74" t="str">
        <v>processor</v>
      </c>
      <c r="BZ74" t="str">
        <v>Ergon Asphalt And Emulsions 11</v>
      </c>
      <c r="CA74" t="str">
        <v>blendSAF</v>
      </c>
      <c r="CB74" t="str">
        <v/>
      </c>
      <c r="CC74" t="str">
        <v/>
      </c>
      <c r="CD74" t="str">
        <v/>
      </c>
      <c r="CE74" t="str">
        <v/>
      </c>
      <c r="CF74" t="str">
        <v/>
      </c>
    </row>
    <row r="75" spans="1:84" x14ac:dyDescent="0.3">
      <c r="A75" t="s">
        <v>29</v>
      </c>
      <c r="B75" t="s">
        <v>116</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c r="BF75" t="str">
        <v>processor</v>
      </c>
      <c r="BG75" t="str">
        <v>Chevron Usa Inc Eureka</v>
      </c>
      <c r="BH75" t="str">
        <v>blendSAF</v>
      </c>
      <c r="BI75" t="str">
        <v/>
      </c>
      <c r="BJ75" t="str">
        <v/>
      </c>
      <c r="BK75" t="str">
        <v/>
      </c>
      <c r="BL75" t="str">
        <v/>
      </c>
      <c r="BM75" t="str">
        <v/>
      </c>
      <c r="BO75" t="str">
        <v>ultimate_destination</v>
      </c>
      <c r="BP75" t="str">
        <v>JFK</v>
      </c>
      <c r="BQ75" t="str">
        <v>fuel_blend</v>
      </c>
      <c r="BR75">
        <v>1611000000</v>
      </c>
      <c r="BS75" t="str">
        <v>gallons</v>
      </c>
      <c r="BT75" t="str">
        <v/>
      </c>
      <c r="BU75" t="str">
        <v/>
      </c>
      <c r="BV75" t="str">
        <v/>
      </c>
      <c r="BY75" t="str">
        <v>processor</v>
      </c>
      <c r="BZ75" t="str">
        <v>Murphy Oil Usa Inc 52</v>
      </c>
      <c r="CA75" t="str">
        <v>blendSAF</v>
      </c>
      <c r="CB75" t="str">
        <v/>
      </c>
      <c r="CC75" t="str">
        <v/>
      </c>
      <c r="CD75" t="str">
        <v/>
      </c>
      <c r="CE75" t="str">
        <v/>
      </c>
      <c r="CF75" t="str">
        <v/>
      </c>
    </row>
    <row r="76" spans="1:84" x14ac:dyDescent="0.3">
      <c r="A76" t="s">
        <v>202</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c r="BF76" t="str">
        <v>processor</v>
      </c>
      <c r="BG76" t="str">
        <v>Chevron Usa Inc Richmond</v>
      </c>
      <c r="BH76" t="str">
        <v>blendSAF</v>
      </c>
      <c r="BI76" t="str">
        <v/>
      </c>
      <c r="BJ76" t="str">
        <v/>
      </c>
      <c r="BK76" t="str">
        <v/>
      </c>
      <c r="BL76" t="str">
        <v/>
      </c>
      <c r="BM76" t="str">
        <v/>
      </c>
      <c r="BO76" t="str">
        <v>ultimate_destination</v>
      </c>
      <c r="BP76" t="str">
        <v>LGA</v>
      </c>
      <c r="BQ76" t="str">
        <v>fuel_blend</v>
      </c>
      <c r="BR76">
        <v>261000000</v>
      </c>
      <c r="BS76" t="str">
        <v>gallons</v>
      </c>
      <c r="BT76" t="str">
        <v/>
      </c>
      <c r="BU76" t="str">
        <v/>
      </c>
      <c r="BV76" t="str">
        <v/>
      </c>
      <c r="BY76" t="str">
        <v>processor</v>
      </c>
      <c r="BZ76" t="str">
        <v>Premcor Refining Group Inc 3</v>
      </c>
      <c r="CA76" t="str">
        <v>blendSAF</v>
      </c>
      <c r="CB76" t="str">
        <v/>
      </c>
      <c r="CC76" t="str">
        <v/>
      </c>
      <c r="CD76" t="str">
        <v/>
      </c>
      <c r="CE76" t="str">
        <v/>
      </c>
      <c r="CF76" t="str">
        <v/>
      </c>
    </row>
    <row r="77" spans="1:84" x14ac:dyDescent="0.3">
      <c r="A77" t="s">
        <v>133</v>
      </c>
      <c r="B77" t="s">
        <v>139</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c r="BF77" t="str">
        <v>processor</v>
      </c>
      <c r="BG77" t="str">
        <v>Ergon Asphalt And Emulsions 6</v>
      </c>
      <c r="BH77" t="str">
        <v>blendSAF</v>
      </c>
      <c r="BI77" t="str">
        <v/>
      </c>
      <c r="BJ77" t="str">
        <v/>
      </c>
      <c r="BK77" t="str">
        <v/>
      </c>
      <c r="BL77" t="str">
        <v/>
      </c>
      <c r="BM77" t="str">
        <v/>
      </c>
      <c r="BO77" t="str">
        <v>ultimate_destination</v>
      </c>
      <c r="BP77" t="str">
        <v>ROC</v>
      </c>
      <c r="BQ77" t="str">
        <v>fuel_blend</v>
      </c>
      <c r="BR77">
        <v>18000000</v>
      </c>
      <c r="BS77" t="str">
        <v>gallons</v>
      </c>
      <c r="BT77" t="str">
        <v/>
      </c>
      <c r="BU77" t="str">
        <v/>
      </c>
      <c r="BV77" t="str">
        <v/>
      </c>
      <c r="BY77" t="str">
        <v>processor</v>
      </c>
      <c r="BZ77" t="str">
        <v>Oakley Fuels Inc</v>
      </c>
      <c r="CA77" t="str">
        <v>blendSAF</v>
      </c>
      <c r="CB77" t="str">
        <v/>
      </c>
      <c r="CC77" t="str">
        <v/>
      </c>
      <c r="CD77" t="str">
        <v/>
      </c>
      <c r="CE77" t="str">
        <v/>
      </c>
      <c r="CF77" t="str">
        <v/>
      </c>
    </row>
    <row r="78" spans="1:84" x14ac:dyDescent="0.3">
      <c r="A78" t="s">
        <v>20</v>
      </c>
      <c r="B78" s="3" t="s">
        <v>140</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c r="BF78" t="str">
        <v>processor</v>
      </c>
      <c r="BG78" t="str">
        <v>Canary Renewables Corp</v>
      </c>
      <c r="BH78" t="str">
        <v>blendSAF</v>
      </c>
      <c r="BI78" t="str">
        <v/>
      </c>
      <c r="BJ78" t="str">
        <v/>
      </c>
      <c r="BK78" t="str">
        <v/>
      </c>
      <c r="BL78" t="str">
        <v/>
      </c>
      <c r="BM78" t="str">
        <v/>
      </c>
      <c r="BO78" t="str">
        <v>ultimate_destination</v>
      </c>
      <c r="BP78" t="str">
        <v>SWF</v>
      </c>
      <c r="BQ78" t="str">
        <v>fuel_blend</v>
      </c>
      <c r="BR78">
        <v>6000000</v>
      </c>
      <c r="BS78" t="str">
        <v>gallons</v>
      </c>
      <c r="BT78" t="str">
        <v/>
      </c>
      <c r="BU78" t="str">
        <v/>
      </c>
      <c r="BV78" t="str">
        <v/>
      </c>
      <c r="BY78" t="str">
        <v>processor</v>
      </c>
      <c r="BZ78" t="str">
        <v>Delek Marketing &amp; Supply Lp 2</v>
      </c>
      <c r="CA78" t="str">
        <v>blendSAF</v>
      </c>
      <c r="CB78" t="str">
        <v/>
      </c>
      <c r="CC78" t="str">
        <v/>
      </c>
      <c r="CD78" t="str">
        <v/>
      </c>
      <c r="CE78" t="str">
        <v/>
      </c>
      <c r="CF78" t="str">
        <v/>
      </c>
    </row>
    <row r="79" spans="1:84" x14ac:dyDescent="0.3">
      <c r="A79" t="s">
        <v>129</v>
      </c>
      <c r="B79" t="s">
        <v>115</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c r="BF79" t="str">
        <v>processor</v>
      </c>
      <c r="BG79" t="str">
        <v>Phillips 66 Company 10</v>
      </c>
      <c r="BH79" t="str">
        <v>blendSAF</v>
      </c>
      <c r="BI79" t="str">
        <v/>
      </c>
      <c r="BJ79" t="str">
        <v/>
      </c>
      <c r="BK79" t="str">
        <v/>
      </c>
      <c r="BL79" t="str">
        <v/>
      </c>
      <c r="BM79" t="str">
        <v/>
      </c>
      <c r="BO79" t="str">
        <v>ultimate_destination</v>
      </c>
      <c r="BP79" t="str">
        <v>SYR</v>
      </c>
      <c r="BQ79" t="str">
        <v>fuel_blend</v>
      </c>
      <c r="BR79">
        <v>20000000</v>
      </c>
      <c r="BS79" t="str">
        <v>gallons</v>
      </c>
      <c r="BT79" t="str">
        <v/>
      </c>
      <c r="BU79" t="str">
        <v/>
      </c>
      <c r="BV79" t="str">
        <v/>
      </c>
      <c r="BY79" t="str">
        <v>processor</v>
      </c>
      <c r="BZ79" t="str">
        <v>Sunoco Llc 11</v>
      </c>
      <c r="CA79" t="str">
        <v>blendSAF</v>
      </c>
      <c r="CB79" t="str">
        <v/>
      </c>
      <c r="CC79" t="str">
        <v/>
      </c>
      <c r="CD79" t="str">
        <v/>
      </c>
      <c r="CE79" t="str">
        <v/>
      </c>
      <c r="CF79" t="str">
        <v/>
      </c>
    </row>
    <row r="80" spans="1:84" x14ac:dyDescent="0.3">
      <c r="A80" t="s">
        <v>195</v>
      </c>
      <c r="B80" t="s">
        <v>240</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c r="BF80" t="str">
        <v>processor</v>
      </c>
      <c r="BG80" t="str">
        <v>Phillips 66 Company 2</v>
      </c>
      <c r="BH80" t="str">
        <v>blendSAF</v>
      </c>
      <c r="BI80" t="str">
        <v/>
      </c>
      <c r="BJ80" t="str">
        <v/>
      </c>
      <c r="BK80" t="str">
        <v/>
      </c>
      <c r="BL80" t="str">
        <v/>
      </c>
      <c r="BM80" t="str">
        <v/>
      </c>
      <c r="BO80" t="str">
        <v>ultimate_destination</v>
      </c>
      <c r="BP80" t="str">
        <v>AVL</v>
      </c>
      <c r="BQ80" t="str">
        <v>fuel_blend</v>
      </c>
      <c r="BR80">
        <v>13000000</v>
      </c>
      <c r="BS80" t="str">
        <v>gallons</v>
      </c>
      <c r="BT80" t="str">
        <v/>
      </c>
      <c r="BU80" t="str">
        <v/>
      </c>
      <c r="BV80" t="str">
        <v/>
      </c>
      <c r="BY80" t="str">
        <v>processor</v>
      </c>
      <c r="BZ80" t="str">
        <v>Hwrt Oil Co Llc 6</v>
      </c>
      <c r="CA80" t="str">
        <v>blendSAF</v>
      </c>
      <c r="CB80" t="str">
        <v/>
      </c>
      <c r="CC80" t="str">
        <v/>
      </c>
      <c r="CD80" t="str">
        <v/>
      </c>
      <c r="CE80" t="str">
        <v/>
      </c>
      <c r="CF80" t="str">
        <v/>
      </c>
    </row>
    <row r="81" spans="1:84" x14ac:dyDescent="0.3">
      <c r="A81" t="s">
        <v>21</v>
      </c>
      <c r="B81" s="3" t="s">
        <v>140</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c r="BF81" t="str">
        <v>processor</v>
      </c>
      <c r="BG81" t="str">
        <v>Phillips 66 Company 21</v>
      </c>
      <c r="BH81" t="str">
        <v>blendSAF</v>
      </c>
      <c r="BI81" t="str">
        <v/>
      </c>
      <c r="BJ81" t="str">
        <v/>
      </c>
      <c r="BK81" t="str">
        <v/>
      </c>
      <c r="BL81" t="str">
        <v/>
      </c>
      <c r="BM81" t="str">
        <v/>
      </c>
      <c r="BO81" t="str">
        <v>ultimate_destination</v>
      </c>
      <c r="BP81" t="str">
        <v>CLT</v>
      </c>
      <c r="BQ81" t="str">
        <v>fuel_blend</v>
      </c>
      <c r="BR81">
        <v>492000000</v>
      </c>
      <c r="BS81" t="str">
        <v>gallons</v>
      </c>
      <c r="BT81" t="str">
        <v/>
      </c>
      <c r="BU81" t="str">
        <v/>
      </c>
      <c r="BV81" t="str">
        <v/>
      </c>
      <c r="BY81" t="str">
        <v>processor</v>
      </c>
      <c r="BZ81" t="str">
        <v>Magellan Pl Co 3</v>
      </c>
      <c r="CA81" t="str">
        <v>blendSAF</v>
      </c>
      <c r="CB81" t="str">
        <v/>
      </c>
      <c r="CC81" t="str">
        <v/>
      </c>
      <c r="CD81" t="str">
        <v/>
      </c>
      <c r="CE81" t="str">
        <v/>
      </c>
      <c r="CF81" t="str">
        <v/>
      </c>
    </row>
    <row r="82" spans="1:84" x14ac:dyDescent="0.3">
      <c r="A82" t="s">
        <v>130</v>
      </c>
      <c r="B82" t="s">
        <v>115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c r="BF82" t="str">
        <v>processor</v>
      </c>
      <c r="BG82" t="str">
        <v>Phillips 66 Company 18</v>
      </c>
      <c r="BH82" t="str">
        <v>blendSAF</v>
      </c>
      <c r="BI82" t="str">
        <v/>
      </c>
      <c r="BJ82" t="str">
        <v/>
      </c>
      <c r="BK82" t="str">
        <v/>
      </c>
      <c r="BL82" t="str">
        <v/>
      </c>
      <c r="BM82" t="str">
        <v/>
      </c>
      <c r="BO82" t="str">
        <v>ultimate_destination</v>
      </c>
      <c r="BP82" t="str">
        <v>GSO</v>
      </c>
      <c r="BQ82" t="str">
        <v>fuel_blend</v>
      </c>
      <c r="BR82">
        <v>3000000</v>
      </c>
      <c r="BS82" t="str">
        <v>gallons</v>
      </c>
      <c r="BT82" t="str">
        <v/>
      </c>
      <c r="BU82" t="str">
        <v/>
      </c>
      <c r="BV82" t="str">
        <v/>
      </c>
      <c r="BY82" t="str">
        <v>processor</v>
      </c>
      <c r="BZ82" t="str">
        <v>Magellan Pipeline Co Lp 31</v>
      </c>
      <c r="CA82" t="str">
        <v>blendSAF</v>
      </c>
      <c r="CB82" t="str">
        <v/>
      </c>
      <c r="CC82" t="str">
        <v/>
      </c>
      <c r="CD82" t="str">
        <v/>
      </c>
      <c r="CE82" t="str">
        <v/>
      </c>
      <c r="CF82" t="str">
        <v/>
      </c>
    </row>
    <row r="83" spans="1:84" x14ac:dyDescent="0.3">
      <c r="A83" t="s">
        <v>194</v>
      </c>
      <c r="B83" t="s">
        <v>240</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c r="BF83" t="str">
        <v>processor</v>
      </c>
      <c r="BG83" t="str">
        <v>Phillips P66</v>
      </c>
      <c r="BH83" t="str">
        <v>blendSAF</v>
      </c>
      <c r="BI83" t="str">
        <v/>
      </c>
      <c r="BJ83" t="str">
        <v/>
      </c>
      <c r="BK83" t="str">
        <v/>
      </c>
      <c r="BL83" t="str">
        <v/>
      </c>
      <c r="BM83" t="str">
        <v/>
      </c>
      <c r="BO83" t="str">
        <v>ultimate_destination</v>
      </c>
      <c r="BP83" t="str">
        <v>RDU</v>
      </c>
      <c r="BQ83" t="str">
        <v>fuel_blend</v>
      </c>
      <c r="BR83">
        <v>125000000</v>
      </c>
      <c r="BS83" t="str">
        <v>gallons</v>
      </c>
      <c r="BT83" t="str">
        <v/>
      </c>
      <c r="BU83" t="str">
        <v/>
      </c>
      <c r="BV83" t="str">
        <v/>
      </c>
      <c r="BY83" t="str">
        <v>processor</v>
      </c>
      <c r="BZ83" t="str">
        <v>Magellan Pipeline Co Lp 32</v>
      </c>
      <c r="CA83" t="str">
        <v>blendSAF</v>
      </c>
      <c r="CB83" t="str">
        <v/>
      </c>
      <c r="CC83" t="str">
        <v/>
      </c>
      <c r="CD83" t="str">
        <v/>
      </c>
      <c r="CE83" t="str">
        <v/>
      </c>
      <c r="CF83" t="str">
        <v/>
      </c>
    </row>
    <row r="84" spans="1:8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c r="BF84" t="str">
        <v>processor</v>
      </c>
      <c r="BG84" t="str">
        <v>Phillips 66 Pl Llc</v>
      </c>
      <c r="BH84" t="str">
        <v>blendSAF</v>
      </c>
      <c r="BI84" t="str">
        <v/>
      </c>
      <c r="BJ84" t="str">
        <v/>
      </c>
      <c r="BK84" t="str">
        <v/>
      </c>
      <c r="BL84" t="str">
        <v/>
      </c>
      <c r="BM84" t="str">
        <v/>
      </c>
      <c r="BO84" t="str">
        <v>ultimate_destination</v>
      </c>
      <c r="BP84" t="str">
        <v>GFK</v>
      </c>
      <c r="BQ84" t="str">
        <v>fuel_blend</v>
      </c>
      <c r="BR84">
        <v>1000000</v>
      </c>
      <c r="BS84" t="str">
        <v>gallons</v>
      </c>
      <c r="BT84" t="str">
        <v/>
      </c>
      <c r="BU84" t="str">
        <v/>
      </c>
      <c r="BV84" t="str">
        <v/>
      </c>
      <c r="BY84" t="str">
        <v>processor</v>
      </c>
      <c r="BZ84" t="str">
        <v>Magellan Pipeline Co Lp 41</v>
      </c>
      <c r="CA84" t="str">
        <v>blendSAF</v>
      </c>
      <c r="CB84" t="str">
        <v/>
      </c>
      <c r="CC84" t="str">
        <v/>
      </c>
      <c r="CD84" t="str">
        <v/>
      </c>
      <c r="CE84" t="str">
        <v/>
      </c>
      <c r="CF84" t="str">
        <v/>
      </c>
    </row>
    <row r="85" spans="1:84" x14ac:dyDescent="0.3">
      <c r="A85" s="1" t="s">
        <v>141</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c r="BF85" t="str">
        <v>processor</v>
      </c>
      <c r="BG85" t="str">
        <v>Torrance Logistics Co Llc</v>
      </c>
      <c r="BH85" t="str">
        <v>blendSAF</v>
      </c>
      <c r="BI85" t="str">
        <v/>
      </c>
      <c r="BJ85" t="str">
        <v/>
      </c>
      <c r="BK85" t="str">
        <v/>
      </c>
      <c r="BL85" t="str">
        <v/>
      </c>
      <c r="BM85" t="str">
        <v/>
      </c>
      <c r="BO85" t="str">
        <v>ultimate_destination</v>
      </c>
      <c r="BP85" t="str">
        <v>CLE</v>
      </c>
      <c r="BQ85" t="str">
        <v>fuel_blend</v>
      </c>
      <c r="BR85">
        <v>71000000</v>
      </c>
      <c r="BS85" t="str">
        <v>gallons</v>
      </c>
      <c r="BT85" t="str">
        <v/>
      </c>
      <c r="BU85" t="str">
        <v/>
      </c>
      <c r="BV85" t="str">
        <v/>
      </c>
      <c r="BY85" t="str">
        <v>processor</v>
      </c>
      <c r="BZ85" t="str">
        <v>Ngl Supply Wholesale Llc 6</v>
      </c>
      <c r="CA85" t="str">
        <v>blendSAF</v>
      </c>
      <c r="CB85" t="str">
        <v/>
      </c>
      <c r="CC85" t="str">
        <v/>
      </c>
      <c r="CD85" t="str">
        <v/>
      </c>
      <c r="CE85" t="str">
        <v/>
      </c>
      <c r="CF85" t="str">
        <v/>
      </c>
    </row>
    <row r="86" spans="1:84" x14ac:dyDescent="0.3">
      <c r="A86" s="1" t="s">
        <v>13</v>
      </c>
      <c r="B86" s="1" t="s">
        <v>117</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c r="BF86" t="str">
        <v>processor</v>
      </c>
      <c r="BG86" t="str">
        <v>Martinez Terminal Company Llc</v>
      </c>
      <c r="BH86" t="str">
        <v>blendSAF</v>
      </c>
      <c r="BI86" t="str">
        <v/>
      </c>
      <c r="BJ86" t="str">
        <v/>
      </c>
      <c r="BK86" t="str">
        <v/>
      </c>
      <c r="BL86" t="str">
        <v/>
      </c>
      <c r="BM86" t="str">
        <v/>
      </c>
      <c r="BO86" t="str">
        <v>ultimate_destination</v>
      </c>
      <c r="BP86" t="str">
        <v>CMH</v>
      </c>
      <c r="BQ86" t="str">
        <v>fuel_blend</v>
      </c>
      <c r="BR86">
        <v>65000000</v>
      </c>
      <c r="BS86" t="str">
        <v>gallons</v>
      </c>
      <c r="BT86" t="str">
        <v/>
      </c>
      <c r="BU86" t="str">
        <v/>
      </c>
      <c r="BV86" t="str">
        <v/>
      </c>
      <c r="BY86" t="str">
        <v>processor</v>
      </c>
      <c r="BZ86" t="str">
        <v>Ngl Supply Wholesale Llc 1</v>
      </c>
      <c r="CA86" t="str">
        <v>blendSAF</v>
      </c>
      <c r="CB86" t="str">
        <v/>
      </c>
      <c r="CC86" t="str">
        <v/>
      </c>
      <c r="CD86" t="str">
        <v/>
      </c>
      <c r="CE86" t="str">
        <v/>
      </c>
      <c r="CF86" t="str">
        <v/>
      </c>
    </row>
    <row r="87" spans="1:84" x14ac:dyDescent="0.3">
      <c r="A87" t="s">
        <v>25</v>
      </c>
      <c r="B87" t="s">
        <v>142</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c r="BF87" t="str">
        <v>processor</v>
      </c>
      <c r="BG87" t="str">
        <v>Centennial Asphalt Company</v>
      </c>
      <c r="BH87" t="str">
        <v>blendSAF</v>
      </c>
      <c r="BI87" t="str">
        <v/>
      </c>
      <c r="BJ87" t="str">
        <v/>
      </c>
      <c r="BK87" t="str">
        <v/>
      </c>
      <c r="BL87" t="str">
        <v/>
      </c>
      <c r="BM87" t="str">
        <v/>
      </c>
      <c r="BO87" t="str">
        <v>ultimate_destination</v>
      </c>
      <c r="BP87" t="str">
        <v>LCK</v>
      </c>
      <c r="BQ87" t="str">
        <v>fuel_blend</v>
      </c>
      <c r="BR87">
        <v>6000000</v>
      </c>
      <c r="BS87" t="str">
        <v>gallons</v>
      </c>
      <c r="BT87" t="str">
        <v/>
      </c>
      <c r="BU87" t="str">
        <v/>
      </c>
      <c r="BV87" t="str">
        <v/>
      </c>
      <c r="BY87" t="str">
        <v>processor</v>
      </c>
      <c r="BZ87" t="str">
        <v>Transmontaigne Operating Company 5</v>
      </c>
      <c r="CA87" t="str">
        <v>blendSAF</v>
      </c>
      <c r="CB87" t="str">
        <v/>
      </c>
      <c r="CC87" t="str">
        <v/>
      </c>
      <c r="CD87" t="str">
        <v/>
      </c>
      <c r="CE87" t="str">
        <v/>
      </c>
      <c r="CF87" t="str">
        <v/>
      </c>
    </row>
    <row r="88" spans="1:8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c r="BF88" t="str">
        <v>processor</v>
      </c>
      <c r="BG88" t="str">
        <v>Imtt-Richmond</v>
      </c>
      <c r="BH88" t="str">
        <v>blendSAF</v>
      </c>
      <c r="BI88" t="str">
        <v/>
      </c>
      <c r="BJ88" t="str">
        <v/>
      </c>
      <c r="BK88" t="str">
        <v/>
      </c>
      <c r="BL88" t="str">
        <v/>
      </c>
      <c r="BM88" t="str">
        <v/>
      </c>
      <c r="BO88" t="str">
        <v>ultimate_destination</v>
      </c>
      <c r="BP88" t="str">
        <v>OKC</v>
      </c>
      <c r="BQ88" t="str">
        <v>fuel_blend</v>
      </c>
      <c r="BR88">
        <v>35000000</v>
      </c>
      <c r="BS88" t="str">
        <v>gallons</v>
      </c>
      <c r="BT88" t="str">
        <v/>
      </c>
      <c r="BU88" t="str">
        <v/>
      </c>
      <c r="BV88" t="str">
        <v/>
      </c>
      <c r="BY88" t="str">
        <v>processor</v>
      </c>
      <c r="BZ88" t="str">
        <v>Chevron Usa Inc El Segundo</v>
      </c>
      <c r="CA88" t="str">
        <v>blendSAF</v>
      </c>
      <c r="CB88" t="str">
        <v/>
      </c>
      <c r="CC88" t="str">
        <v/>
      </c>
      <c r="CD88" t="str">
        <v/>
      </c>
      <c r="CE88" t="str">
        <v/>
      </c>
      <c r="CF88" t="str">
        <v/>
      </c>
    </row>
    <row r="89" spans="1:84" x14ac:dyDescent="0.3">
      <c r="A89" t="s">
        <v>31</v>
      </c>
      <c r="B89" t="s">
        <v>143</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c r="BF89" t="str">
        <v>processor</v>
      </c>
      <c r="BG89" t="str">
        <v>Arrow Infrastructure Holding Ia Llc</v>
      </c>
      <c r="BH89" t="str">
        <v>blendSAF</v>
      </c>
      <c r="BI89" t="str">
        <v/>
      </c>
      <c r="BJ89" t="str">
        <v/>
      </c>
      <c r="BK89" t="str">
        <v/>
      </c>
      <c r="BL89" t="str">
        <v/>
      </c>
      <c r="BM89" t="str">
        <v/>
      </c>
      <c r="BO89" t="str">
        <v>ultimate_destination</v>
      </c>
      <c r="BP89" t="str">
        <v>TUL</v>
      </c>
      <c r="BQ89" t="str">
        <v>fuel_blend</v>
      </c>
      <c r="BR89">
        <v>19000000</v>
      </c>
      <c r="BS89" t="str">
        <v>gallons</v>
      </c>
      <c r="BT89" t="str">
        <v/>
      </c>
      <c r="BU89" t="str">
        <v/>
      </c>
      <c r="BV89" t="str">
        <v/>
      </c>
      <c r="BY89" t="str">
        <v>processor</v>
      </c>
      <c r="BZ89" t="str">
        <v>Chevron Usa Inc San Diego Terminal</v>
      </c>
      <c r="CA89" t="str">
        <v>blendSAF</v>
      </c>
      <c r="CB89" t="str">
        <v/>
      </c>
      <c r="CC89" t="str">
        <v/>
      </c>
      <c r="CD89" t="str">
        <v/>
      </c>
      <c r="CE89" t="str">
        <v/>
      </c>
      <c r="CF89" t="str">
        <v/>
      </c>
    </row>
    <row r="90" spans="1:84" x14ac:dyDescent="0.3">
      <c r="A90" t="s">
        <v>24</v>
      </c>
      <c r="B90" t="s">
        <v>116</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c r="BF90" t="str">
        <v>processor</v>
      </c>
      <c r="BG90" t="str">
        <v>Conduit Infrastructure Holding Ia</v>
      </c>
      <c r="BH90" t="str">
        <v>blendSAF</v>
      </c>
      <c r="BI90" t="str">
        <v/>
      </c>
      <c r="BJ90" t="str">
        <v/>
      </c>
      <c r="BK90" t="str">
        <v/>
      </c>
      <c r="BL90" t="str">
        <v/>
      </c>
      <c r="BM90" t="str">
        <v/>
      </c>
      <c r="BO90" t="str">
        <v>ultimate_destination</v>
      </c>
      <c r="BP90" t="str">
        <v>EUG</v>
      </c>
      <c r="BQ90" t="str">
        <v>fuel_blend</v>
      </c>
      <c r="BR90">
        <v>10000000</v>
      </c>
      <c r="BS90" t="str">
        <v>gallons</v>
      </c>
      <c r="BT90" t="str">
        <v/>
      </c>
      <c r="BU90" t="str">
        <v/>
      </c>
      <c r="BV90" t="str">
        <v/>
      </c>
      <c r="BY90" t="str">
        <v>processor</v>
      </c>
      <c r="BZ90" t="str">
        <v>Chevron Usa Inc Van Nuys</v>
      </c>
      <c r="CA90" t="str">
        <v>blendSAF</v>
      </c>
      <c r="CB90" t="str">
        <v/>
      </c>
      <c r="CC90" t="str">
        <v/>
      </c>
      <c r="CD90" t="str">
        <v/>
      </c>
      <c r="CE90" t="str">
        <v/>
      </c>
      <c r="CF90" t="str">
        <v/>
      </c>
    </row>
    <row r="91" spans="1:84" x14ac:dyDescent="0.3">
      <c r="A91" t="s">
        <v>36</v>
      </c>
      <c r="B91" t="s">
        <v>252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c r="BF91" t="str">
        <v>processor</v>
      </c>
      <c r="BG91" t="str">
        <v>Sfpp Lp 2</v>
      </c>
      <c r="BH91" t="str">
        <v>blendSAF</v>
      </c>
      <c r="BI91" t="str">
        <v/>
      </c>
      <c r="BJ91" t="str">
        <v/>
      </c>
      <c r="BK91" t="str">
        <v/>
      </c>
      <c r="BL91" t="str">
        <v/>
      </c>
      <c r="BM91" t="str">
        <v/>
      </c>
      <c r="BO91" t="str">
        <v>ultimate_destination</v>
      </c>
      <c r="BP91" t="str">
        <v>PDX</v>
      </c>
      <c r="BQ91" t="str">
        <v>fuel_blend</v>
      </c>
      <c r="BR91">
        <v>177000000</v>
      </c>
      <c r="BS91" t="str">
        <v>gallons</v>
      </c>
      <c r="BT91" t="str">
        <v/>
      </c>
      <c r="BU91" t="str">
        <v/>
      </c>
      <c r="BV91" t="str">
        <v/>
      </c>
      <c r="BY91" t="str">
        <v>processor</v>
      </c>
      <c r="BZ91" t="str">
        <v>Chevron Usa Inc Huntington Beach</v>
      </c>
      <c r="CA91" t="str">
        <v>blendSAF</v>
      </c>
      <c r="CB91" t="str">
        <v/>
      </c>
      <c r="CC91" t="str">
        <v/>
      </c>
      <c r="CD91" t="str">
        <v/>
      </c>
      <c r="CE91" t="str">
        <v/>
      </c>
      <c r="CF91" t="str">
        <v/>
      </c>
    </row>
    <row r="92" spans="1:84" x14ac:dyDescent="0.3">
      <c r="A92" t="s">
        <v>44</v>
      </c>
      <c r="B92" t="s">
        <v>116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c r="BF92" t="str">
        <v>processor</v>
      </c>
      <c r="BG92" t="str">
        <v>Sfpp Lp 3</v>
      </c>
      <c r="BH92" t="str">
        <v>blendSAF</v>
      </c>
      <c r="BI92" t="str">
        <v/>
      </c>
      <c r="BJ92" t="str">
        <v/>
      </c>
      <c r="BK92" t="str">
        <v/>
      </c>
      <c r="BL92" t="str">
        <v/>
      </c>
      <c r="BM92" t="str">
        <v/>
      </c>
      <c r="BO92" t="str">
        <v>ultimate_destination</v>
      </c>
      <c r="BP92" t="str">
        <v>ABE</v>
      </c>
      <c r="BQ92" t="str">
        <v>fuel_blend</v>
      </c>
      <c r="BR92">
        <v>13000000</v>
      </c>
      <c r="BS92" t="str">
        <v>gallons</v>
      </c>
      <c r="BT92" t="str">
        <v/>
      </c>
      <c r="BU92" t="str">
        <v/>
      </c>
      <c r="BV92" t="str">
        <v/>
      </c>
      <c r="BY92" t="str">
        <v>processor</v>
      </c>
      <c r="BZ92" t="str">
        <v>Chevron Usa Inc Montebello</v>
      </c>
      <c r="CA92" t="str">
        <v>blendSAF</v>
      </c>
      <c r="CB92" t="str">
        <v/>
      </c>
      <c r="CC92" t="str">
        <v/>
      </c>
      <c r="CD92" t="str">
        <v/>
      </c>
      <c r="CE92" t="str">
        <v/>
      </c>
      <c r="CF92" t="str">
        <v/>
      </c>
    </row>
    <row r="93" spans="1:84" x14ac:dyDescent="0.3">
      <c r="A93" t="s">
        <v>196</v>
      </c>
      <c r="B93" t="s">
        <v>116</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c r="BF93" t="str">
        <v>processor</v>
      </c>
      <c r="BG93" t="str">
        <v>Sfpp Lp 5</v>
      </c>
      <c r="BH93" t="str">
        <v>blendSAF</v>
      </c>
      <c r="BI93" t="str">
        <v/>
      </c>
      <c r="BJ93" t="str">
        <v/>
      </c>
      <c r="BK93" t="str">
        <v/>
      </c>
      <c r="BL93" t="str">
        <v/>
      </c>
      <c r="BM93" t="str">
        <v/>
      </c>
      <c r="BO93" t="str">
        <v>ultimate_destination</v>
      </c>
      <c r="BP93" t="str">
        <v>MDT</v>
      </c>
      <c r="BQ93" t="str">
        <v>fuel_blend</v>
      </c>
      <c r="BR93">
        <v>12000000</v>
      </c>
      <c r="BS93" t="str">
        <v>gallons</v>
      </c>
      <c r="BT93" t="str">
        <v/>
      </c>
      <c r="BU93" t="str">
        <v/>
      </c>
      <c r="BV93" t="str">
        <v/>
      </c>
      <c r="BY93" t="str">
        <v>processor</v>
      </c>
      <c r="BZ93" t="str">
        <v>Chevron Usa Inc Tracy</v>
      </c>
      <c r="CA93" t="str">
        <v>blendSAF</v>
      </c>
      <c r="CB93" t="str">
        <v/>
      </c>
      <c r="CC93" t="str">
        <v/>
      </c>
      <c r="CD93" t="str">
        <v/>
      </c>
      <c r="CE93" t="str">
        <v/>
      </c>
      <c r="CF93" t="str">
        <v/>
      </c>
    </row>
    <row r="94" spans="1:84" x14ac:dyDescent="0.3">
      <c r="A94" t="s">
        <v>45</v>
      </c>
      <c r="B94" t="s">
        <v>116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c r="BF94" t="str">
        <v>processor</v>
      </c>
      <c r="BG94" t="str">
        <v>Sfpp Lp 11</v>
      </c>
      <c r="BH94" t="str">
        <v>blendSAF</v>
      </c>
      <c r="BI94" t="str">
        <v/>
      </c>
      <c r="BJ94" t="str">
        <v/>
      </c>
      <c r="BK94" t="str">
        <v/>
      </c>
      <c r="BL94" t="str">
        <v/>
      </c>
      <c r="BM94" t="str">
        <v/>
      </c>
      <c r="BO94" t="str">
        <v>ultimate_destination</v>
      </c>
      <c r="BP94" t="str">
        <v>PHL</v>
      </c>
      <c r="BQ94" t="str">
        <v>fuel_blend</v>
      </c>
      <c r="BR94">
        <v>351000000</v>
      </c>
      <c r="BS94" t="str">
        <v>gallons</v>
      </c>
      <c r="BT94" t="str">
        <v/>
      </c>
      <c r="BU94" t="str">
        <v/>
      </c>
      <c r="BV94" t="str">
        <v/>
      </c>
      <c r="BY94" t="str">
        <v>processor</v>
      </c>
      <c r="BZ94" t="str">
        <v>Chevron Usa Inc San Jose</v>
      </c>
      <c r="CA94" t="str">
        <v>blendSAF</v>
      </c>
      <c r="CB94" t="str">
        <v/>
      </c>
      <c r="CC94" t="str">
        <v/>
      </c>
      <c r="CD94" t="str">
        <v/>
      </c>
      <c r="CE94" t="str">
        <v/>
      </c>
      <c r="CF94" t="str">
        <v/>
      </c>
    </row>
    <row r="95" spans="1:8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c r="BF95" t="str">
        <v>processor</v>
      </c>
      <c r="BG95" t="str">
        <v>Sfpp Lp 7</v>
      </c>
      <c r="BH95" t="str">
        <v>blendSAF</v>
      </c>
      <c r="BI95" t="str">
        <v/>
      </c>
      <c r="BJ95" t="str">
        <v/>
      </c>
      <c r="BK95" t="str">
        <v/>
      </c>
      <c r="BL95" t="str">
        <v/>
      </c>
      <c r="BM95" t="str">
        <v/>
      </c>
      <c r="BO95" t="str">
        <v>ultimate_destination</v>
      </c>
      <c r="BP95" t="str">
        <v>PIT</v>
      </c>
      <c r="BQ95" t="str">
        <v>fuel_blend</v>
      </c>
      <c r="BR95">
        <v>83000000</v>
      </c>
      <c r="BS95" t="str">
        <v>gallons</v>
      </c>
      <c r="BT95" t="str">
        <v/>
      </c>
      <c r="BU95" t="str">
        <v/>
      </c>
      <c r="BV95" t="str">
        <v/>
      </c>
      <c r="BY95" t="str">
        <v>processor</v>
      </c>
      <c r="BZ95" t="str">
        <v>Chevron Usa Inc Sacramento</v>
      </c>
      <c r="CA95" t="str">
        <v>blendSAF</v>
      </c>
      <c r="CB95" t="str">
        <v/>
      </c>
      <c r="CC95" t="str">
        <v/>
      </c>
      <c r="CD95" t="str">
        <v/>
      </c>
      <c r="CE95" t="str">
        <v/>
      </c>
      <c r="CF95" t="str">
        <v/>
      </c>
    </row>
    <row r="96" spans="1:84" x14ac:dyDescent="0.3">
      <c r="W96" t="str" cm="1">
        <f t="array" ref="W96">IF(ISBLANK(V96),"",_xlfn.CONCAT(_xlfn.UNIQUE(_xlfn._xlws.FILTER(R96:R2094,P96:P2094=V96))))</f>
        <v/>
      </c>
      <c r="X96" t="str">
        <f t="shared" si="1"/>
        <v/>
      </c>
      <c r="BF96" t="str">
        <v>processor</v>
      </c>
      <c r="BG96" t="str">
        <v>Sfpp Lp 12</v>
      </c>
      <c r="BH96" t="str">
        <v>blendSAF</v>
      </c>
      <c r="BI96" t="str">
        <v/>
      </c>
      <c r="BJ96" t="str">
        <v/>
      </c>
      <c r="BK96" t="str">
        <v/>
      </c>
      <c r="BL96" t="str">
        <v/>
      </c>
      <c r="BM96" t="str">
        <v/>
      </c>
      <c r="BO96" t="str">
        <v>ultimate_destination</v>
      </c>
      <c r="BP96" t="str">
        <v>SJU</v>
      </c>
      <c r="BQ96" t="str">
        <v>fuel_blend</v>
      </c>
      <c r="BR96">
        <v>148000000</v>
      </c>
      <c r="BS96" t="str">
        <v>gallons</v>
      </c>
      <c r="BT96" t="str">
        <v/>
      </c>
      <c r="BU96" t="str">
        <v/>
      </c>
      <c r="BV96" t="str">
        <v/>
      </c>
      <c r="BY96" t="str">
        <v>processor</v>
      </c>
      <c r="BZ96" t="str">
        <v>Chevron Usa Inc Martinez</v>
      </c>
      <c r="CA96" t="str">
        <v>blendSAF</v>
      </c>
      <c r="CB96" t="str">
        <v/>
      </c>
      <c r="CC96" t="str">
        <v/>
      </c>
      <c r="CD96" t="str">
        <v/>
      </c>
      <c r="CE96" t="str">
        <v/>
      </c>
      <c r="CF96" t="str">
        <v/>
      </c>
    </row>
    <row r="97" spans="23:84" x14ac:dyDescent="0.3">
      <c r="W97" t="str" cm="1">
        <f t="array" ref="W97">IF(ISBLANK(V97),"",_xlfn.CONCAT(_xlfn.UNIQUE(_xlfn._xlws.FILTER(R97:R2095,P97:P2095=V97))))</f>
        <v/>
      </c>
      <c r="X97" t="str">
        <f t="shared" si="1"/>
        <v/>
      </c>
      <c r="BF97" t="str">
        <v>processor</v>
      </c>
      <c r="BG97" t="str">
        <v>Sfpp Lp 10</v>
      </c>
      <c r="BH97" t="str">
        <v>blendSAF</v>
      </c>
      <c r="BI97" t="str">
        <v/>
      </c>
      <c r="BJ97" t="str">
        <v/>
      </c>
      <c r="BK97" t="str">
        <v/>
      </c>
      <c r="BL97" t="str">
        <v/>
      </c>
      <c r="BM97" t="str">
        <v/>
      </c>
      <c r="BO97" t="str">
        <v>ultimate_destination</v>
      </c>
      <c r="BP97" t="str">
        <v>PVD</v>
      </c>
      <c r="BQ97" t="str">
        <v>fuel_blend</v>
      </c>
      <c r="BR97">
        <v>17000000</v>
      </c>
      <c r="BS97" t="str">
        <v>gallons</v>
      </c>
      <c r="BT97" t="str">
        <v/>
      </c>
      <c r="BU97" t="str">
        <v/>
      </c>
      <c r="BV97" t="str">
        <v/>
      </c>
      <c r="BY97" t="str">
        <v>processor</v>
      </c>
      <c r="BZ97" t="str">
        <v>Chevron Usa Inc Eureka</v>
      </c>
      <c r="CA97" t="str">
        <v>blendSAF</v>
      </c>
      <c r="CB97" t="str">
        <v/>
      </c>
      <c r="CC97" t="str">
        <v/>
      </c>
      <c r="CD97" t="str">
        <v/>
      </c>
      <c r="CE97" t="str">
        <v/>
      </c>
      <c r="CF97" t="str">
        <v/>
      </c>
    </row>
    <row r="98" spans="23:84" x14ac:dyDescent="0.3">
      <c r="W98" t="str" cm="1">
        <f t="array" ref="W98">IF(ISBLANK(V98),"",_xlfn.CONCAT(_xlfn.UNIQUE(_xlfn._xlws.FILTER(R98:R2096,P98:P2096=V98))))</f>
        <v/>
      </c>
      <c r="X98" t="str">
        <f t="shared" si="1"/>
        <v/>
      </c>
      <c r="BF98" t="str">
        <v>processor</v>
      </c>
      <c r="BG98" t="str">
        <v>Sfpp Lp 6</v>
      </c>
      <c r="BH98" t="str">
        <v>blendSAF</v>
      </c>
      <c r="BI98" t="str">
        <v/>
      </c>
      <c r="BJ98" t="str">
        <v/>
      </c>
      <c r="BK98" t="str">
        <v/>
      </c>
      <c r="BL98" t="str">
        <v/>
      </c>
      <c r="BM98" t="str">
        <v/>
      </c>
      <c r="BO98" t="str">
        <v>ultimate_destination</v>
      </c>
      <c r="BP98" t="str">
        <v>CAE</v>
      </c>
      <c r="BQ98" t="str">
        <v>fuel_blend</v>
      </c>
      <c r="BR98">
        <v>11000000</v>
      </c>
      <c r="BS98" t="str">
        <v>gallons</v>
      </c>
      <c r="BT98" t="str">
        <v/>
      </c>
      <c r="BU98" t="str">
        <v/>
      </c>
      <c r="BV98" t="str">
        <v/>
      </c>
      <c r="BY98" t="str">
        <v>processor</v>
      </c>
      <c r="BZ98" t="str">
        <v>Chevron Usa Inc Richmond</v>
      </c>
      <c r="CA98" t="str">
        <v>blendSAF</v>
      </c>
      <c r="CB98" t="str">
        <v/>
      </c>
      <c r="CC98" t="str">
        <v/>
      </c>
      <c r="CD98" t="str">
        <v/>
      </c>
      <c r="CE98" t="str">
        <v/>
      </c>
      <c r="CF98" t="str">
        <v/>
      </c>
    </row>
    <row r="99" spans="23:84" x14ac:dyDescent="0.3">
      <c r="W99" t="str" cm="1">
        <f t="array" ref="W99">IF(ISBLANK(V99),"",_xlfn.CONCAT(_xlfn.UNIQUE(_xlfn._xlws.FILTER(R99:R2097,P99:P2097=V99))))</f>
        <v/>
      </c>
      <c r="X99" t="str">
        <f t="shared" si="1"/>
        <v/>
      </c>
      <c r="BF99" t="str">
        <v>processor</v>
      </c>
      <c r="BG99" t="str">
        <v>Sfpp Lp 1</v>
      </c>
      <c r="BH99" t="str">
        <v>blendSAF</v>
      </c>
      <c r="BI99" t="str">
        <v/>
      </c>
      <c r="BJ99" t="str">
        <v/>
      </c>
      <c r="BK99" t="str">
        <v/>
      </c>
      <c r="BL99" t="str">
        <v/>
      </c>
      <c r="BM99" t="str">
        <v/>
      </c>
      <c r="BO99" t="str">
        <v>ultimate_destination</v>
      </c>
      <c r="BP99" t="str">
        <v>CHS</v>
      </c>
      <c r="BQ99" t="str">
        <v>fuel_blend</v>
      </c>
      <c r="BR99">
        <v>39000000</v>
      </c>
      <c r="BS99" t="str">
        <v>gallons</v>
      </c>
      <c r="BT99" t="str">
        <v/>
      </c>
      <c r="BU99" t="str">
        <v/>
      </c>
      <c r="BV99" t="str">
        <v/>
      </c>
      <c r="BY99" t="str">
        <v>processor</v>
      </c>
      <c r="BZ99" t="str">
        <v>Ergon Asphalt And Emulsions 6</v>
      </c>
      <c r="CA99" t="str">
        <v>blendSAF</v>
      </c>
      <c r="CB99" t="str">
        <v/>
      </c>
      <c r="CC99" t="str">
        <v/>
      </c>
      <c r="CD99" t="str">
        <v/>
      </c>
      <c r="CE99" t="str">
        <v/>
      </c>
      <c r="CF99" t="str">
        <v/>
      </c>
    </row>
    <row r="100" spans="23:84" x14ac:dyDescent="0.3">
      <c r="W100" t="str" cm="1">
        <f t="array" ref="W100">IF(ISBLANK(V100),"",_xlfn.CONCAT(_xlfn.UNIQUE(_xlfn._xlws.FILTER(R100:R2098,P100:P2098=V100))))</f>
        <v/>
      </c>
      <c r="X100" t="str">
        <f t="shared" si="1"/>
        <v/>
      </c>
      <c r="BF100" t="str">
        <v>processor</v>
      </c>
      <c r="BG100" t="str">
        <v>Kinder Morgan Inc</v>
      </c>
      <c r="BH100" t="str">
        <v>blendSAF</v>
      </c>
      <c r="BI100" t="str">
        <v/>
      </c>
      <c r="BJ100" t="str">
        <v/>
      </c>
      <c r="BK100" t="str">
        <v/>
      </c>
      <c r="BL100" t="str">
        <v/>
      </c>
      <c r="BM100" t="str">
        <v/>
      </c>
      <c r="BO100" t="str">
        <v>ultimate_destination</v>
      </c>
      <c r="BP100" t="str">
        <v>GSP</v>
      </c>
      <c r="BQ100" t="str">
        <v>fuel_blend</v>
      </c>
      <c r="BR100">
        <v>23000000</v>
      </c>
      <c r="BS100" t="str">
        <v>gallons</v>
      </c>
      <c r="BT100" t="str">
        <v/>
      </c>
      <c r="BU100" t="str">
        <v/>
      </c>
      <c r="BV100" t="str">
        <v/>
      </c>
      <c r="BY100" t="str">
        <v>processor</v>
      </c>
      <c r="BZ100" t="str">
        <v>Canary Renewables Corp</v>
      </c>
      <c r="CA100" t="str">
        <v>blendSAF</v>
      </c>
      <c r="CB100" t="str">
        <v/>
      </c>
      <c r="CC100" t="str">
        <v/>
      </c>
      <c r="CD100" t="str">
        <v/>
      </c>
      <c r="CE100" t="str">
        <v/>
      </c>
      <c r="CF100" t="str">
        <v/>
      </c>
    </row>
    <row r="101" spans="23:84" x14ac:dyDescent="0.3">
      <c r="W101" t="str" cm="1">
        <f t="array" ref="W101">IF(ISBLANK(V101),"",_xlfn.CONCAT(_xlfn.UNIQUE(_xlfn._xlws.FILTER(R101:R2099,P101:P2099=V101))))</f>
        <v/>
      </c>
      <c r="X101" t="str">
        <f t="shared" si="1"/>
        <v/>
      </c>
      <c r="BF101" t="str">
        <v>processor</v>
      </c>
      <c r="BG101" t="str">
        <v>Kinder Morgan Liq Termls Llc 13</v>
      </c>
      <c r="BH101" t="str">
        <v>blendSAF</v>
      </c>
      <c r="BI101" t="str">
        <v/>
      </c>
      <c r="BJ101" t="str">
        <v/>
      </c>
      <c r="BK101" t="str">
        <v/>
      </c>
      <c r="BL101" t="str">
        <v/>
      </c>
      <c r="BM101" t="str">
        <v/>
      </c>
      <c r="BO101" t="str">
        <v>ultimate_destination</v>
      </c>
      <c r="BP101" t="str">
        <v>MYR</v>
      </c>
      <c r="BQ101" t="str">
        <v>fuel_blend</v>
      </c>
      <c r="BR101">
        <v>14000000</v>
      </c>
      <c r="BS101" t="str">
        <v>gallons</v>
      </c>
      <c r="BT101" t="str">
        <v/>
      </c>
      <c r="BU101" t="str">
        <v/>
      </c>
      <c r="BV101" t="str">
        <v/>
      </c>
      <c r="BY101" t="str">
        <v>processor</v>
      </c>
      <c r="BZ101" t="str">
        <v>Phillips 66 Company 10</v>
      </c>
      <c r="CA101" t="str">
        <v>blendSAF</v>
      </c>
      <c r="CB101" t="str">
        <v/>
      </c>
      <c r="CC101" t="str">
        <v/>
      </c>
      <c r="CD101" t="str">
        <v/>
      </c>
      <c r="CE101" t="str">
        <v/>
      </c>
      <c r="CF101" t="str">
        <v/>
      </c>
    </row>
    <row r="102" spans="23:84" x14ac:dyDescent="0.3">
      <c r="W102" t="str" cm="1">
        <f t="array" ref="W102">IF(ISBLANK(V102),"",_xlfn.CONCAT(_xlfn.UNIQUE(_xlfn._xlws.FILTER(R102:R2100,P102:P2100=V102))))</f>
        <v/>
      </c>
      <c r="X102" t="str">
        <f t="shared" si="1"/>
        <v/>
      </c>
      <c r="BF102" t="str">
        <v>processor</v>
      </c>
      <c r="BG102" t="str">
        <v>Kinder Morgan Calnev P L Llc 5</v>
      </c>
      <c r="BH102" t="str">
        <v>blendSAF</v>
      </c>
      <c r="BI102" t="str">
        <v/>
      </c>
      <c r="BJ102" t="str">
        <v/>
      </c>
      <c r="BK102" t="str">
        <v/>
      </c>
      <c r="BL102" t="str">
        <v/>
      </c>
      <c r="BM102" t="str">
        <v/>
      </c>
      <c r="BO102" t="str">
        <v>ultimate_destination</v>
      </c>
      <c r="BP102" t="str">
        <v>BNA</v>
      </c>
      <c r="BQ102" t="str">
        <v>fuel_blend</v>
      </c>
      <c r="BR102">
        <v>168000000</v>
      </c>
      <c r="BS102" t="str">
        <v>gallons</v>
      </c>
      <c r="BT102" t="str">
        <v/>
      </c>
      <c r="BU102" t="str">
        <v/>
      </c>
      <c r="BV102" t="str">
        <v/>
      </c>
      <c r="BY102" t="str">
        <v>processor</v>
      </c>
      <c r="BZ102" t="str">
        <v>Phillips 66 Company 2</v>
      </c>
      <c r="CA102" t="str">
        <v>blendSAF</v>
      </c>
      <c r="CB102" t="str">
        <v/>
      </c>
      <c r="CC102" t="str">
        <v/>
      </c>
      <c r="CD102" t="str">
        <v/>
      </c>
      <c r="CE102" t="str">
        <v/>
      </c>
      <c r="CF102" t="str">
        <v/>
      </c>
    </row>
    <row r="103" spans="23:84" x14ac:dyDescent="0.3">
      <c r="W103" t="str" cm="1">
        <f t="array" ref="W103">IF(ISBLANK(V103),"",_xlfn.CONCAT(_xlfn.UNIQUE(_xlfn._xlws.FILTER(R103:R2101,P103:P2101=V103))))</f>
        <v/>
      </c>
      <c r="X103" t="str">
        <f t="shared" si="1"/>
        <v/>
      </c>
      <c r="BF103" t="str">
        <v>processor</v>
      </c>
      <c r="BG103" t="str">
        <v>Tesoro Refining &amp; Marketing 7</v>
      </c>
      <c r="BH103" t="str">
        <v>blendSAF</v>
      </c>
      <c r="BI103" t="str">
        <v/>
      </c>
      <c r="BJ103" t="str">
        <v/>
      </c>
      <c r="BK103" t="str">
        <v/>
      </c>
      <c r="BL103" t="str">
        <v/>
      </c>
      <c r="BM103" t="str">
        <v/>
      </c>
      <c r="BO103" t="str">
        <v>ultimate_destination</v>
      </c>
      <c r="BP103" t="str">
        <v>MEM</v>
      </c>
      <c r="BQ103" t="str">
        <v>fuel_blend</v>
      </c>
      <c r="BR103">
        <v>396000000</v>
      </c>
      <c r="BS103" t="str">
        <v>gallons</v>
      </c>
      <c r="BT103" t="str">
        <v/>
      </c>
      <c r="BU103" t="str">
        <v/>
      </c>
      <c r="BV103" t="str">
        <v/>
      </c>
      <c r="BY103" t="str">
        <v>processor</v>
      </c>
      <c r="BZ103" t="str">
        <v>Phillips 66 Company 21</v>
      </c>
      <c r="CA103" t="str">
        <v>blendSAF</v>
      </c>
      <c r="CB103" t="str">
        <v/>
      </c>
      <c r="CC103" t="str">
        <v/>
      </c>
      <c r="CD103" t="str">
        <v/>
      </c>
      <c r="CE103" t="str">
        <v/>
      </c>
      <c r="CF103" t="str">
        <v/>
      </c>
    </row>
    <row r="104" spans="23:84" x14ac:dyDescent="0.3">
      <c r="W104" t="str" cm="1">
        <f t="array" ref="W104">IF(ISBLANK(V104),"",_xlfn.CONCAT(_xlfn.UNIQUE(_xlfn._xlws.FILTER(R104:R2102,P104:P2102=V104))))</f>
        <v/>
      </c>
      <c r="X104" t="str">
        <f t="shared" si="1"/>
        <v/>
      </c>
      <c r="BF104" t="str">
        <v>processor</v>
      </c>
      <c r="BG104" t="str">
        <v>Andeavor Logistics Lp 21</v>
      </c>
      <c r="BH104" t="str">
        <v>blendSAF</v>
      </c>
      <c r="BI104" t="str">
        <v/>
      </c>
      <c r="BJ104" t="str">
        <v/>
      </c>
      <c r="BK104" t="str">
        <v/>
      </c>
      <c r="BL104" t="str">
        <v/>
      </c>
      <c r="BM104" t="str">
        <v/>
      </c>
      <c r="BO104" t="str">
        <v>ultimate_destination</v>
      </c>
      <c r="BP104" t="str">
        <v>TYS</v>
      </c>
      <c r="BQ104" t="str">
        <v>fuel_blend</v>
      </c>
      <c r="BR104">
        <v>22000000</v>
      </c>
      <c r="BS104" t="str">
        <v>gallons</v>
      </c>
      <c r="BT104" t="str">
        <v/>
      </c>
      <c r="BU104" t="str">
        <v/>
      </c>
      <c r="BV104" t="str">
        <v/>
      </c>
      <c r="BY104" t="str">
        <v>processor</v>
      </c>
      <c r="BZ104" t="str">
        <v>Phillips 66 Company 18</v>
      </c>
      <c r="CA104" t="str">
        <v>blendSAF</v>
      </c>
      <c r="CB104" t="str">
        <v/>
      </c>
      <c r="CC104" t="str">
        <v/>
      </c>
      <c r="CD104" t="str">
        <v/>
      </c>
      <c r="CE104" t="str">
        <v/>
      </c>
      <c r="CF104" t="str">
        <v/>
      </c>
    </row>
    <row r="105" spans="23:84" x14ac:dyDescent="0.3">
      <c r="W105" t="str" cm="1">
        <f t="array" ref="W105">IF(ISBLANK(V105),"",_xlfn.CONCAT(_xlfn.UNIQUE(_xlfn._xlws.FILTER(R105:R2103,P105:P2103=V105))))</f>
        <v/>
      </c>
      <c r="X105" t="str">
        <f t="shared" si="1"/>
        <v/>
      </c>
      <c r="BF105" t="str">
        <v>processor</v>
      </c>
      <c r="BG105" t="str">
        <v>Andeavor Logistics Lp 5</v>
      </c>
      <c r="BH105" t="str">
        <v>blendSAF</v>
      </c>
      <c r="BI105" t="str">
        <v/>
      </c>
      <c r="BJ105" t="str">
        <v/>
      </c>
      <c r="BK105" t="str">
        <v/>
      </c>
      <c r="BL105" t="str">
        <v/>
      </c>
      <c r="BM105" t="str">
        <v/>
      </c>
      <c r="BO105" t="str">
        <v>ultimate_destination</v>
      </c>
      <c r="BP105" t="str">
        <v>AFW</v>
      </c>
      <c r="BQ105" t="str">
        <v>fuel_blend</v>
      </c>
      <c r="BR105">
        <v>5000000</v>
      </c>
      <c r="BS105" t="str">
        <v>gallons</v>
      </c>
      <c r="BT105" t="str">
        <v/>
      </c>
      <c r="BU105" t="str">
        <v/>
      </c>
      <c r="BV105" t="str">
        <v/>
      </c>
      <c r="BY105" t="str">
        <v>processor</v>
      </c>
      <c r="BZ105" t="str">
        <v>Phillips P66</v>
      </c>
      <c r="CA105" t="str">
        <v>blendSAF</v>
      </c>
      <c r="CB105" t="str">
        <v/>
      </c>
      <c r="CC105" t="str">
        <v/>
      </c>
      <c r="CD105" t="str">
        <v/>
      </c>
      <c r="CE105" t="str">
        <v/>
      </c>
      <c r="CF105" t="str">
        <v/>
      </c>
    </row>
    <row r="106" spans="23:84" x14ac:dyDescent="0.3">
      <c r="W106" t="str" cm="1">
        <f t="array" ref="W106">IF(ISBLANK(V106),"",_xlfn.CONCAT(_xlfn.UNIQUE(_xlfn._xlws.FILTER(R106:R2104,P106:P2104=V106))))</f>
        <v/>
      </c>
      <c r="X106" t="str">
        <f t="shared" si="1"/>
        <v/>
      </c>
      <c r="BF106" t="str">
        <v>processor</v>
      </c>
      <c r="BG106" t="str">
        <v>Andeavor Logistics Lp 20</v>
      </c>
      <c r="BH106" t="str">
        <v>blendSAF</v>
      </c>
      <c r="BI106" t="str">
        <v/>
      </c>
      <c r="BJ106" t="str">
        <v/>
      </c>
      <c r="BK106" t="str">
        <v/>
      </c>
      <c r="BL106" t="str">
        <v/>
      </c>
      <c r="BM106" t="str">
        <v/>
      </c>
      <c r="BO106" t="str">
        <v>ultimate_destination</v>
      </c>
      <c r="BP106" t="str">
        <v>AUS</v>
      </c>
      <c r="BQ106" t="str">
        <v>fuel_blend</v>
      </c>
      <c r="BR106">
        <v>194000000</v>
      </c>
      <c r="BS106" t="str">
        <v>gallons</v>
      </c>
      <c r="BT106" t="str">
        <v/>
      </c>
      <c r="BU106" t="str">
        <v/>
      </c>
      <c r="BV106" t="str">
        <v/>
      </c>
      <c r="BY106" t="str">
        <v>processor</v>
      </c>
      <c r="BZ106" t="str">
        <v>Phillips 66 Pl Llc</v>
      </c>
      <c r="CA106" t="str">
        <v>blendSAF</v>
      </c>
      <c r="CB106" t="str">
        <v/>
      </c>
      <c r="CC106" t="str">
        <v/>
      </c>
      <c r="CD106" t="str">
        <v/>
      </c>
      <c r="CE106" t="str">
        <v/>
      </c>
      <c r="CF106" t="str">
        <v/>
      </c>
    </row>
    <row r="107" spans="23:84" x14ac:dyDescent="0.3">
      <c r="W107" t="str" cm="1">
        <f t="array" ref="W107">IF(ISBLANK(V107),"",_xlfn.CONCAT(_xlfn.UNIQUE(_xlfn._xlws.FILTER(R107:R2105,P107:P2105=V107))))</f>
        <v/>
      </c>
      <c r="X107" t="str">
        <f t="shared" si="1"/>
        <v/>
      </c>
      <c r="BF107" t="str">
        <v>processor</v>
      </c>
      <c r="BG107" t="str">
        <v>Andeavor Logistics Lp 19</v>
      </c>
      <c r="BH107" t="str">
        <v>blendSAF</v>
      </c>
      <c r="BI107" t="str">
        <v/>
      </c>
      <c r="BJ107" t="str">
        <v/>
      </c>
      <c r="BK107" t="str">
        <v/>
      </c>
      <c r="BL107" t="str">
        <v/>
      </c>
      <c r="BM107" t="str">
        <v/>
      </c>
      <c r="BO107" t="str">
        <v>ultimate_destination</v>
      </c>
      <c r="BP107" t="str">
        <v>DAL</v>
      </c>
      <c r="BQ107" t="str">
        <v>fuel_blend</v>
      </c>
      <c r="BR107">
        <v>117000000</v>
      </c>
      <c r="BS107" t="str">
        <v>gallons</v>
      </c>
      <c r="BT107" t="str">
        <v/>
      </c>
      <c r="BU107" t="str">
        <v/>
      </c>
      <c r="BV107" t="str">
        <v/>
      </c>
      <c r="BY107" t="str">
        <v>processor</v>
      </c>
      <c r="BZ107" t="str">
        <v>Torrance Logistics Co Llc</v>
      </c>
      <c r="CA107" t="str">
        <v>blendSAF</v>
      </c>
      <c r="CB107" t="str">
        <v/>
      </c>
      <c r="CC107" t="str">
        <v/>
      </c>
      <c r="CD107" t="str">
        <v/>
      </c>
      <c r="CE107" t="str">
        <v/>
      </c>
      <c r="CF107" t="str">
        <v/>
      </c>
    </row>
    <row r="108" spans="23:84" x14ac:dyDescent="0.3">
      <c r="W108" t="str" cm="1">
        <f t="array" ref="W108">IF(ISBLANK(V108),"",_xlfn.CONCAT(_xlfn.UNIQUE(_xlfn._xlws.FILTER(R108:R2106,P108:P2106=V108))))</f>
        <v/>
      </c>
      <c r="X108" t="str">
        <f t="shared" si="1"/>
        <v/>
      </c>
      <c r="BF108" t="str">
        <v>processor</v>
      </c>
      <c r="BG108" t="str">
        <v>Andeavor Logistics Lp 12</v>
      </c>
      <c r="BH108" t="str">
        <v>blendSAF</v>
      </c>
      <c r="BI108" t="str">
        <v/>
      </c>
      <c r="BJ108" t="str">
        <v/>
      </c>
      <c r="BK108" t="str">
        <v/>
      </c>
      <c r="BL108" t="str">
        <v/>
      </c>
      <c r="BM108" t="str">
        <v/>
      </c>
      <c r="BO108" t="str">
        <v>ultimate_destination</v>
      </c>
      <c r="BP108" t="str">
        <v>DFW</v>
      </c>
      <c r="BQ108" t="str">
        <v>fuel_blend</v>
      </c>
      <c r="BR108">
        <v>1012000000</v>
      </c>
      <c r="BS108" t="str">
        <v>gallons</v>
      </c>
      <c r="BT108" t="str">
        <v/>
      </c>
      <c r="BU108" t="str">
        <v/>
      </c>
      <c r="BV108" t="str">
        <v/>
      </c>
      <c r="BY108" t="str">
        <v>processor</v>
      </c>
      <c r="BZ108" t="str">
        <v>Martinez Terminal Company Llc</v>
      </c>
      <c r="CA108" t="str">
        <v>blendSAF</v>
      </c>
      <c r="CB108" t="str">
        <v/>
      </c>
      <c r="CC108" t="str">
        <v/>
      </c>
      <c r="CD108" t="str">
        <v/>
      </c>
      <c r="CE108" t="str">
        <v/>
      </c>
      <c r="CF108" t="str">
        <v/>
      </c>
    </row>
    <row r="109" spans="23:84" x14ac:dyDescent="0.3">
      <c r="W109" t="str" cm="1">
        <f t="array" ref="W109">IF(ISBLANK(V109),"",_xlfn.CONCAT(_xlfn.UNIQUE(_xlfn._xlws.FILTER(R109:R2107,P109:P2107=V109))))</f>
        <v/>
      </c>
      <c r="X109" t="str">
        <f t="shared" si="1"/>
        <v/>
      </c>
      <c r="BF109" t="str">
        <v>processor</v>
      </c>
      <c r="BG109" t="str">
        <v/>
      </c>
      <c r="BH109" t="str">
        <v>blendSAF</v>
      </c>
      <c r="BI109" t="str">
        <v/>
      </c>
      <c r="BJ109" t="str">
        <v/>
      </c>
      <c r="BK109" t="str">
        <v/>
      </c>
      <c r="BL109" t="str">
        <v/>
      </c>
      <c r="BM109" t="str">
        <v/>
      </c>
      <c r="BO109" t="str">
        <v>ultimate_destination</v>
      </c>
      <c r="BP109" t="str">
        <v>ELP</v>
      </c>
      <c r="BQ109" t="str">
        <v>fuel_blend</v>
      </c>
      <c r="BR109">
        <v>23000000</v>
      </c>
      <c r="BS109" t="str">
        <v>gallons</v>
      </c>
      <c r="BT109" t="str">
        <v/>
      </c>
      <c r="BU109" t="str">
        <v/>
      </c>
      <c r="BV109" t="str">
        <v/>
      </c>
      <c r="BY109" t="str">
        <v>processor</v>
      </c>
      <c r="BZ109" t="str">
        <v>Centennial Asphalt Company</v>
      </c>
      <c r="CA109" t="str">
        <v>blendSAF</v>
      </c>
      <c r="CB109" t="str">
        <v/>
      </c>
      <c r="CC109" t="str">
        <v/>
      </c>
      <c r="CD109" t="str">
        <v/>
      </c>
      <c r="CE109" t="str">
        <v/>
      </c>
      <c r="CF109" t="str">
        <v/>
      </c>
    </row>
    <row r="110" spans="23:84" x14ac:dyDescent="0.3">
      <c r="W110" t="str" cm="1">
        <f t="array" ref="W110">IF(ISBLANK(V110),"",_xlfn.CONCAT(_xlfn.UNIQUE(_xlfn._xlws.FILTER(R110:R2108,P110:P2108=V110))))</f>
        <v/>
      </c>
      <c r="X110" t="str">
        <f t="shared" si="1"/>
        <v/>
      </c>
      <c r="BF110" t="str">
        <v>processor</v>
      </c>
      <c r="BG110" t="str">
        <v>Andeavor Logistics Lp 13</v>
      </c>
      <c r="BH110" t="str">
        <v>blendSAF</v>
      </c>
      <c r="BI110" t="str">
        <v/>
      </c>
      <c r="BJ110" t="str">
        <v/>
      </c>
      <c r="BK110" t="str">
        <v/>
      </c>
      <c r="BL110" t="str">
        <v/>
      </c>
      <c r="BM110" t="str">
        <v/>
      </c>
      <c r="BO110" t="str">
        <v>ultimate_destination</v>
      </c>
      <c r="BP110" t="str">
        <v>HOU</v>
      </c>
      <c r="BQ110" t="str">
        <v>fuel_blend</v>
      </c>
      <c r="BR110">
        <v>106000000</v>
      </c>
      <c r="BS110" t="str">
        <v>gallons</v>
      </c>
      <c r="BT110" t="str">
        <v/>
      </c>
      <c r="BU110" t="str">
        <v/>
      </c>
      <c r="BV110" t="str">
        <v/>
      </c>
      <c r="BY110" t="str">
        <v>processor</v>
      </c>
      <c r="BZ110" t="str">
        <v>Imtt-Richmond</v>
      </c>
      <c r="CA110" t="str">
        <v>blendSAF</v>
      </c>
      <c r="CB110" t="str">
        <v/>
      </c>
      <c r="CC110" t="str">
        <v/>
      </c>
      <c r="CD110" t="str">
        <v/>
      </c>
      <c r="CE110" t="str">
        <v/>
      </c>
      <c r="CF110" t="str">
        <v/>
      </c>
    </row>
    <row r="111" spans="23:84" x14ac:dyDescent="0.3">
      <c r="W111" t="str" cm="1">
        <f t="array" ref="W111">IF(ISBLANK(V111),"",_xlfn.CONCAT(_xlfn.UNIQUE(_xlfn._xlws.FILTER(R111:R2109,P111:P2109=V111))))</f>
        <v/>
      </c>
      <c r="X111" t="str">
        <f t="shared" si="1"/>
        <v/>
      </c>
      <c r="BF111" t="str">
        <v>processor</v>
      </c>
      <c r="BG111" t="str">
        <v>Andeavor Logistics Lp 14</v>
      </c>
      <c r="BH111" t="str">
        <v>blendSAF</v>
      </c>
      <c r="BI111" t="str">
        <v/>
      </c>
      <c r="BJ111" t="str">
        <v/>
      </c>
      <c r="BK111" t="str">
        <v/>
      </c>
      <c r="BL111" t="str">
        <v/>
      </c>
      <c r="BM111" t="str">
        <v/>
      </c>
      <c r="BO111" t="str">
        <v>ultimate_destination</v>
      </c>
      <c r="BP111" t="str">
        <v>IAH</v>
      </c>
      <c r="BQ111" t="str">
        <v>fuel_blend</v>
      </c>
      <c r="BR111">
        <v>629000000</v>
      </c>
      <c r="BS111" t="str">
        <v>gallons</v>
      </c>
      <c r="BT111" t="str">
        <v/>
      </c>
      <c r="BU111" t="str">
        <v/>
      </c>
      <c r="BV111" t="str">
        <v/>
      </c>
      <c r="BY111" t="str">
        <v>processor</v>
      </c>
      <c r="BZ111" t="str">
        <v>Arrow Infrastructure Holding Ia Llc</v>
      </c>
      <c r="CA111" t="str">
        <v>blendSAF</v>
      </c>
      <c r="CB111" t="str">
        <v/>
      </c>
      <c r="CC111" t="str">
        <v/>
      </c>
      <c r="CD111" t="str">
        <v/>
      </c>
      <c r="CE111" t="str">
        <v/>
      </c>
      <c r="CF111" t="str">
        <v/>
      </c>
    </row>
    <row r="112" spans="23:84" x14ac:dyDescent="0.3">
      <c r="W112" t="str" cm="1">
        <f t="array" ref="W112">IF(ISBLANK(V112),"",_xlfn.CONCAT(_xlfn.UNIQUE(_xlfn._xlws.FILTER(R112:R2110,P112:P2110=V112))))</f>
        <v/>
      </c>
      <c r="X112" t="str">
        <f t="shared" si="1"/>
        <v/>
      </c>
      <c r="BF112" t="str">
        <v>processor</v>
      </c>
      <c r="BG112" t="str">
        <v>Andeavor Logistics Lp 8</v>
      </c>
      <c r="BH112" t="str">
        <v>blendSAF</v>
      </c>
      <c r="BI112" t="str">
        <v/>
      </c>
      <c r="BJ112" t="str">
        <v/>
      </c>
      <c r="BK112" t="str">
        <v/>
      </c>
      <c r="BL112" t="str">
        <v/>
      </c>
      <c r="BM112" t="str">
        <v/>
      </c>
      <c r="BO112" t="str">
        <v>ultimate_destination</v>
      </c>
      <c r="BP112" t="str">
        <v>SAT</v>
      </c>
      <c r="BQ112" t="str">
        <v>fuel_blend</v>
      </c>
      <c r="BR112">
        <v>89000000</v>
      </c>
      <c r="BS112" t="str">
        <v>gallons</v>
      </c>
      <c r="BT112" t="str">
        <v/>
      </c>
      <c r="BU112" t="str">
        <v/>
      </c>
      <c r="BV112" t="str">
        <v/>
      </c>
      <c r="BY112" t="str">
        <v>processor</v>
      </c>
      <c r="BZ112" t="str">
        <v>Conduit Infrastructure Holding Ia</v>
      </c>
      <c r="CA112" t="str">
        <v>blendSAF</v>
      </c>
      <c r="CB112" t="str">
        <v/>
      </c>
      <c r="CC112" t="str">
        <v/>
      </c>
      <c r="CD112" t="str">
        <v/>
      </c>
      <c r="CE112" t="str">
        <v/>
      </c>
      <c r="CF112" t="str">
        <v/>
      </c>
    </row>
    <row r="113" spans="23:84" x14ac:dyDescent="0.3">
      <c r="W113" t="str" cm="1">
        <f t="array" ref="W113">IF(ISBLANK(V113),"",_xlfn.CONCAT(_xlfn.UNIQUE(_xlfn._xlws.FILTER(R113:R2111,P113:P2111=V113))))</f>
        <v/>
      </c>
      <c r="X113" t="str">
        <f t="shared" si="1"/>
        <v/>
      </c>
      <c r="BF113" t="str">
        <v>processor</v>
      </c>
      <c r="BG113" t="str">
        <v>Andeavor Logistics Lp 24</v>
      </c>
      <c r="BH113" t="str">
        <v>blendSAF</v>
      </c>
      <c r="BI113" t="str">
        <v/>
      </c>
      <c r="BJ113" t="str">
        <v/>
      </c>
      <c r="BK113" t="str">
        <v/>
      </c>
      <c r="BL113" t="str">
        <v/>
      </c>
      <c r="BM113" t="str">
        <v/>
      </c>
      <c r="BO113" t="str">
        <v>ultimate_destination</v>
      </c>
      <c r="BP113" t="str">
        <v>SLC</v>
      </c>
      <c r="BQ113" t="str">
        <v>fuel_blend</v>
      </c>
      <c r="BR113">
        <v>206000000</v>
      </c>
      <c r="BS113" t="str">
        <v>gallons</v>
      </c>
      <c r="BT113" t="str">
        <v/>
      </c>
      <c r="BU113" t="str">
        <v/>
      </c>
      <c r="BV113" t="str">
        <v/>
      </c>
      <c r="BY113" t="str">
        <v>processor</v>
      </c>
      <c r="BZ113" t="str">
        <v>Sfpp Lp 2</v>
      </c>
      <c r="CA113" t="str">
        <v>blendSAF</v>
      </c>
      <c r="CB113" t="str">
        <v/>
      </c>
      <c r="CC113" t="str">
        <v/>
      </c>
      <c r="CD113" t="str">
        <v/>
      </c>
      <c r="CE113" t="str">
        <v/>
      </c>
      <c r="CF113" t="str">
        <v/>
      </c>
    </row>
    <row r="114" spans="23:84" x14ac:dyDescent="0.3">
      <c r="W114" t="str" cm="1">
        <f t="array" ref="W114">IF(ISBLANK(V114),"",_xlfn.CONCAT(_xlfn.UNIQUE(_xlfn._xlws.FILTER(R114:R2112,P114:P2112=V114))))</f>
        <v/>
      </c>
      <c r="X114" t="str">
        <f t="shared" si="1"/>
        <v/>
      </c>
      <c r="BF114" t="str">
        <v>processor</v>
      </c>
      <c r="BG114" t="str">
        <v>Petro-Diamond Trmnl Co</v>
      </c>
      <c r="BH114" t="str">
        <v>blendSAF</v>
      </c>
      <c r="BI114" t="str">
        <v/>
      </c>
      <c r="BJ114" t="str">
        <v/>
      </c>
      <c r="BK114" t="str">
        <v/>
      </c>
      <c r="BL114" t="str">
        <v/>
      </c>
      <c r="BM114" t="str">
        <v/>
      </c>
      <c r="BO114" t="str">
        <v>ultimate_destination</v>
      </c>
      <c r="BP114" t="str">
        <v>DCA</v>
      </c>
      <c r="BQ114" t="str">
        <v>fuel_blend</v>
      </c>
      <c r="BR114">
        <v>209000000</v>
      </c>
      <c r="BS114" t="str">
        <v>gallons</v>
      </c>
      <c r="BT114" t="str">
        <v/>
      </c>
      <c r="BU114" t="str">
        <v/>
      </c>
      <c r="BV114" t="str">
        <v/>
      </c>
      <c r="BY114" t="str">
        <v>processor</v>
      </c>
      <c r="BZ114" t="str">
        <v>Sfpp Lp 3</v>
      </c>
      <c r="CA114" t="str">
        <v>blendSAF</v>
      </c>
      <c r="CB114" t="str">
        <v/>
      </c>
      <c r="CC114" t="str">
        <v/>
      </c>
      <c r="CD114" t="str">
        <v/>
      </c>
      <c r="CE114" t="str">
        <v/>
      </c>
      <c r="CF114" t="str">
        <v/>
      </c>
    </row>
    <row r="115" spans="23:84" x14ac:dyDescent="0.3">
      <c r="W115" t="str" cm="1">
        <f t="array" ref="W115">IF(ISBLANK(V115),"",_xlfn.CONCAT(_xlfn.UNIQUE(_xlfn._xlws.FILTER(R115:R2113,P115:P2113=V115))))</f>
        <v/>
      </c>
      <c r="X115" t="str">
        <f t="shared" si="1"/>
        <v/>
      </c>
      <c r="BF115" t="str">
        <v>processor</v>
      </c>
      <c r="BG115" t="str">
        <v>Nustar Energy Lp 42</v>
      </c>
      <c r="BH115" t="str">
        <v>blendSAF</v>
      </c>
      <c r="BI115" t="str">
        <v/>
      </c>
      <c r="BJ115" t="str">
        <v/>
      </c>
      <c r="BK115" t="str">
        <v/>
      </c>
      <c r="BL115" t="str">
        <v/>
      </c>
      <c r="BM115" t="str">
        <v/>
      </c>
      <c r="BO115" t="str">
        <v>ultimate_destination</v>
      </c>
      <c r="BP115" t="str">
        <v>IAD</v>
      </c>
      <c r="BQ115" t="str">
        <v>fuel_blend</v>
      </c>
      <c r="BR115">
        <v>514000000</v>
      </c>
      <c r="BS115" t="str">
        <v>gallons</v>
      </c>
      <c r="BT115" t="str">
        <v/>
      </c>
      <c r="BU115" t="str">
        <v/>
      </c>
      <c r="BV115" t="str">
        <v/>
      </c>
      <c r="BY115" t="str">
        <v>processor</v>
      </c>
      <c r="BZ115" t="str">
        <v>Sfpp Lp 5</v>
      </c>
      <c r="CA115" t="str">
        <v>blendSAF</v>
      </c>
      <c r="CB115" t="str">
        <v/>
      </c>
      <c r="CC115" t="str">
        <v/>
      </c>
      <c r="CD115" t="str">
        <v/>
      </c>
      <c r="CE115" t="str">
        <v/>
      </c>
      <c r="CF115" t="str">
        <v/>
      </c>
    </row>
    <row r="116" spans="23:84" x14ac:dyDescent="0.3">
      <c r="W116" t="str" cm="1">
        <f t="array" ref="W116">IF(ISBLANK(V116),"",_xlfn.CONCAT(_xlfn.UNIQUE(_xlfn._xlws.FILTER(R116:R2114,P116:P2114=V116))))</f>
        <v/>
      </c>
      <c r="X116" t="str">
        <f t="shared" si="1"/>
        <v/>
      </c>
      <c r="BF116" t="str">
        <v>processor</v>
      </c>
      <c r="BG116" t="str">
        <v>Nustar Energy Lp 32</v>
      </c>
      <c r="BH116" t="str">
        <v>blendSAF</v>
      </c>
      <c r="BI116" t="str">
        <v/>
      </c>
      <c r="BJ116" t="str">
        <v/>
      </c>
      <c r="BK116" t="str">
        <v/>
      </c>
      <c r="BL116" t="str">
        <v/>
      </c>
      <c r="BM116" t="str">
        <v/>
      </c>
      <c r="BO116" t="str">
        <v>ultimate_destination</v>
      </c>
      <c r="BP116" t="str">
        <v>ORF</v>
      </c>
      <c r="BQ116" t="str">
        <v>fuel_blend</v>
      </c>
      <c r="BR116">
        <v>34000000</v>
      </c>
      <c r="BS116" t="str">
        <v>gallons</v>
      </c>
      <c r="BT116" t="str">
        <v/>
      </c>
      <c r="BU116" t="str">
        <v/>
      </c>
      <c r="BV116" t="str">
        <v/>
      </c>
      <c r="BY116" t="str">
        <v>processor</v>
      </c>
      <c r="BZ116" t="str">
        <v>Sfpp Lp 11</v>
      </c>
      <c r="CA116" t="str">
        <v>blendSAF</v>
      </c>
      <c r="CB116" t="str">
        <v/>
      </c>
      <c r="CC116" t="str">
        <v/>
      </c>
      <c r="CD116" t="str">
        <v/>
      </c>
      <c r="CE116" t="str">
        <v/>
      </c>
      <c r="CF116" t="str">
        <v/>
      </c>
    </row>
    <row r="117" spans="23:84" x14ac:dyDescent="0.3">
      <c r="W117" t="str" cm="1">
        <f t="array" ref="W117">IF(ISBLANK(V117),"",_xlfn.CONCAT(_xlfn.UNIQUE(_xlfn._xlws.FILTER(R117:R2115,P117:P2115=V117))))</f>
        <v/>
      </c>
      <c r="X117" t="str">
        <f t="shared" si="1"/>
        <v/>
      </c>
      <c r="BF117" t="str">
        <v>processor</v>
      </c>
      <c r="BG117" t="str">
        <v>Nustar Energy Lp 12</v>
      </c>
      <c r="BH117" t="str">
        <v>blendSAF</v>
      </c>
      <c r="BI117" t="str">
        <v/>
      </c>
      <c r="BJ117" t="str">
        <v/>
      </c>
      <c r="BK117" t="str">
        <v/>
      </c>
      <c r="BL117" t="str">
        <v/>
      </c>
      <c r="BM117" t="str">
        <v/>
      </c>
      <c r="BO117" t="str">
        <v>ultimate_destination</v>
      </c>
      <c r="BP117" t="str">
        <v>GEG</v>
      </c>
      <c r="BQ117" t="str">
        <v>fuel_blend</v>
      </c>
      <c r="BR117">
        <v>27000000</v>
      </c>
      <c r="BS117" t="str">
        <v>gallons</v>
      </c>
      <c r="BT117" t="str">
        <v/>
      </c>
      <c r="BU117" t="str">
        <v/>
      </c>
      <c r="BV117" t="str">
        <v/>
      </c>
      <c r="BY117" t="str">
        <v>processor</v>
      </c>
      <c r="BZ117" t="str">
        <v>Sfpp Lp 7</v>
      </c>
      <c r="CA117" t="str">
        <v>blendSAF</v>
      </c>
      <c r="CB117" t="str">
        <v/>
      </c>
      <c r="CC117" t="str">
        <v/>
      </c>
      <c r="CD117" t="str">
        <v/>
      </c>
      <c r="CE117" t="str">
        <v/>
      </c>
      <c r="CF117" t="str">
        <v/>
      </c>
    </row>
    <row r="118" spans="23:84" x14ac:dyDescent="0.3">
      <c r="W118" t="str" cm="1">
        <f t="array" ref="W118">IF(ISBLANK(V118),"",_xlfn.CONCAT(_xlfn.UNIQUE(_xlfn._xlws.FILTER(R118:R2116,P118:P2116=V118))))</f>
        <v/>
      </c>
      <c r="X118" t="str">
        <f t="shared" si="1"/>
        <v/>
      </c>
      <c r="BF118" t="str">
        <v>processor</v>
      </c>
      <c r="BG118" t="str">
        <v>Nustar Energy Lp 45</v>
      </c>
      <c r="BH118" t="str">
        <v>blendSAF</v>
      </c>
      <c r="BI118" t="str">
        <v/>
      </c>
      <c r="BJ118" t="str">
        <v/>
      </c>
      <c r="BK118" t="str">
        <v/>
      </c>
      <c r="BL118" t="str">
        <v/>
      </c>
      <c r="BM118" t="str">
        <v/>
      </c>
      <c r="BO118" t="str">
        <v>ultimate_destination</v>
      </c>
      <c r="BP118" t="str">
        <v>PAE</v>
      </c>
      <c r="BQ118" t="str">
        <v>fuel_blend</v>
      </c>
      <c r="BR118">
        <v>6000000</v>
      </c>
      <c r="BS118" t="str">
        <v>gallons</v>
      </c>
      <c r="BT118" t="str">
        <v/>
      </c>
      <c r="BU118" t="str">
        <v/>
      </c>
      <c r="BV118" t="str">
        <v/>
      </c>
      <c r="BY118" t="str">
        <v>processor</v>
      </c>
      <c r="BZ118" t="str">
        <v>Sfpp Lp 12</v>
      </c>
      <c r="CA118" t="str">
        <v>blendSAF</v>
      </c>
      <c r="CB118" t="str">
        <v/>
      </c>
      <c r="CC118" t="str">
        <v/>
      </c>
      <c r="CD118" t="str">
        <v/>
      </c>
      <c r="CE118" t="str">
        <v/>
      </c>
      <c r="CF118" t="str">
        <v/>
      </c>
    </row>
    <row r="119" spans="23:84" x14ac:dyDescent="0.3">
      <c r="W119" t="str" cm="1">
        <f t="array" ref="W119">IF(ISBLANK(V119),"",_xlfn.CONCAT(_xlfn.UNIQUE(_xlfn._xlws.FILTER(R119:R2117,P119:P2117=V119))))</f>
        <v/>
      </c>
      <c r="X119" t="str">
        <f t="shared" si="1"/>
        <v/>
      </c>
      <c r="BF119" t="str">
        <v>processor</v>
      </c>
      <c r="BG119" t="str">
        <v>Olympus Terminals Llc</v>
      </c>
      <c r="BH119" t="str">
        <v>blendSAF</v>
      </c>
      <c r="BI119" t="str">
        <v/>
      </c>
      <c r="BJ119" t="str">
        <v/>
      </c>
      <c r="BK119" t="str">
        <v/>
      </c>
      <c r="BL119" t="str">
        <v/>
      </c>
      <c r="BM119" t="str">
        <v/>
      </c>
      <c r="BO119" t="str">
        <v>ultimate_destination</v>
      </c>
      <c r="BP119" t="str">
        <v>SEA</v>
      </c>
      <c r="BQ119" t="str">
        <v>fuel_blend</v>
      </c>
      <c r="BR119">
        <v>692000000</v>
      </c>
      <c r="BS119" t="str">
        <v>gallons</v>
      </c>
      <c r="BT119" t="str">
        <v/>
      </c>
      <c r="BU119" t="str">
        <v/>
      </c>
      <c r="BV119" t="str">
        <v/>
      </c>
      <c r="BY119" t="str">
        <v>processor</v>
      </c>
      <c r="BZ119" t="str">
        <v>Sfpp Lp 10</v>
      </c>
      <c r="CA119" t="str">
        <v>blendSAF</v>
      </c>
      <c r="CB119" t="str">
        <v/>
      </c>
      <c r="CC119" t="str">
        <v/>
      </c>
      <c r="CD119" t="str">
        <v/>
      </c>
      <c r="CE119" t="str">
        <v/>
      </c>
      <c r="CF119" t="str">
        <v/>
      </c>
    </row>
    <row r="120" spans="23:84" x14ac:dyDescent="0.3">
      <c r="W120" t="str" cm="1">
        <f t="array" ref="W120">IF(ISBLANK(V120),"",_xlfn.CONCAT(_xlfn.UNIQUE(_xlfn._xlws.FILTER(R120:R2118,P120:P2118=V120))))</f>
        <v/>
      </c>
      <c r="X120" t="str">
        <f t="shared" si="1"/>
        <v/>
      </c>
      <c r="BF120" t="str">
        <v>processor</v>
      </c>
      <c r="BG120" t="str">
        <v>Pelican Renewables</v>
      </c>
      <c r="BH120" t="str">
        <v>blendSAF</v>
      </c>
      <c r="BI120" t="str">
        <v/>
      </c>
      <c r="BJ120" t="str">
        <v/>
      </c>
      <c r="BK120" t="str">
        <v/>
      </c>
      <c r="BL120" t="str">
        <v/>
      </c>
      <c r="BM120" t="str">
        <v/>
      </c>
      <c r="BO120" t="str">
        <v>ultimate_destination</v>
      </c>
      <c r="BP120" t="str">
        <v>MKE</v>
      </c>
      <c r="BQ120" t="str">
        <v>fuel_blend</v>
      </c>
      <c r="BR120">
        <v>49000000</v>
      </c>
      <c r="BS120" t="str">
        <v>gallons</v>
      </c>
      <c r="BT120" t="str">
        <v/>
      </c>
      <c r="BU120" t="str">
        <v/>
      </c>
      <c r="BV120" t="str">
        <v/>
      </c>
      <c r="BY120" t="str">
        <v>processor</v>
      </c>
      <c r="BZ120" t="str">
        <v>Sfpp Lp 6</v>
      </c>
      <c r="CA120" t="str">
        <v>blendSAF</v>
      </c>
      <c r="CB120" t="str">
        <v/>
      </c>
      <c r="CC120" t="str">
        <v/>
      </c>
      <c r="CD120" t="str">
        <v/>
      </c>
      <c r="CE120" t="str">
        <v/>
      </c>
      <c r="CF120" t="str">
        <v/>
      </c>
    </row>
    <row r="121" spans="23:84" x14ac:dyDescent="0.3">
      <c r="W121" t="str" cm="1">
        <f t="array" ref="W121">IF(ISBLANK(V121),"",_xlfn.CONCAT(_xlfn.UNIQUE(_xlfn._xlws.FILTER(R121:R2119,P121:P2119=V121))))</f>
        <v/>
      </c>
      <c r="X121" t="str">
        <f t="shared" si="1"/>
        <v/>
      </c>
      <c r="BF121" t="str">
        <v>processor</v>
      </c>
      <c r="BG121" t="str">
        <v>Plains Lpg Services Lp 7</v>
      </c>
      <c r="BH121" t="str">
        <v>blendSAF</v>
      </c>
      <c r="BI121" t="str">
        <v/>
      </c>
      <c r="BJ121" t="str">
        <v/>
      </c>
      <c r="BK121" t="str">
        <v/>
      </c>
      <c r="BL121" t="str">
        <v/>
      </c>
      <c r="BM121" t="str">
        <v/>
      </c>
      <c r="BO121" t="str">
        <v>ultimate_destination</v>
      </c>
      <c r="BP121" t="str">
        <v>MSN</v>
      </c>
      <c r="BQ121" t="str">
        <v>fuel_blend</v>
      </c>
      <c r="BR121">
        <v>14000000</v>
      </c>
      <c r="BS121" t="str">
        <v>gallons</v>
      </c>
      <c r="BT121" t="str">
        <v/>
      </c>
      <c r="BU121" t="str">
        <v/>
      </c>
      <c r="BV121" t="str">
        <v/>
      </c>
      <c r="BY121" t="str">
        <v>processor</v>
      </c>
      <c r="BZ121" t="str">
        <v>Sfpp Lp 1</v>
      </c>
      <c r="CA121" t="str">
        <v>blendSAF</v>
      </c>
      <c r="CB121" t="str">
        <v/>
      </c>
      <c r="CC121" t="str">
        <v/>
      </c>
      <c r="CD121" t="str">
        <v/>
      </c>
      <c r="CE121" t="str">
        <v/>
      </c>
      <c r="CF121" t="str">
        <v/>
      </c>
    </row>
    <row r="122" spans="23:84" x14ac:dyDescent="0.3">
      <c r="W122" t="str" cm="1">
        <f t="array" ref="W122">IF(ISBLANK(V122),"",_xlfn.CONCAT(_xlfn.UNIQUE(_xlfn._xlws.FILTER(R122:R2120,P122:P2120=V122))))</f>
        <v/>
      </c>
      <c r="X122" t="str">
        <f t="shared" si="1"/>
        <v/>
      </c>
      <c r="BF122" t="str">
        <v>processor</v>
      </c>
      <c r="BG122" t="str">
        <v>Equilon Enterprises Llc 4</v>
      </c>
      <c r="BH122" t="str">
        <v>blendSAF</v>
      </c>
      <c r="BI122" t="str">
        <v/>
      </c>
      <c r="BJ122" t="str">
        <v/>
      </c>
      <c r="BK122" t="str">
        <v/>
      </c>
      <c r="BL122" t="str">
        <v/>
      </c>
      <c r="BM122" t="str">
        <v/>
      </c>
      <c r="BY122" t="str">
        <v>processor</v>
      </c>
      <c r="BZ122" t="str">
        <v>Kinder Morgan Inc</v>
      </c>
      <c r="CA122" t="str">
        <v>blendSAF</v>
      </c>
      <c r="CB122" t="str">
        <v/>
      </c>
      <c r="CC122" t="str">
        <v/>
      </c>
      <c r="CD122" t="str">
        <v/>
      </c>
      <c r="CE122" t="str">
        <v/>
      </c>
      <c r="CF122" t="str">
        <v/>
      </c>
    </row>
    <row r="123" spans="23:84" x14ac:dyDescent="0.3">
      <c r="W123" t="str" cm="1">
        <f t="array" ref="W123">IF(ISBLANK(V123),"",_xlfn.CONCAT(_xlfn.UNIQUE(_xlfn._xlws.FILTER(R123:R2121,P123:P2121=V123))))</f>
        <v/>
      </c>
      <c r="X123" t="str">
        <f t="shared" si="1"/>
        <v/>
      </c>
      <c r="BF123" t="str">
        <v>processor</v>
      </c>
      <c r="BG123" t="str">
        <v>Equilon Enterprises Llc 6</v>
      </c>
      <c r="BH123" t="str">
        <v>blendSAF</v>
      </c>
      <c r="BI123" t="str">
        <v/>
      </c>
      <c r="BJ123" t="str">
        <v/>
      </c>
      <c r="BK123" t="str">
        <v/>
      </c>
      <c r="BL123" t="str">
        <v/>
      </c>
      <c r="BM123" t="str">
        <v/>
      </c>
      <c r="BY123" t="str">
        <v>processor</v>
      </c>
      <c r="BZ123" t="str">
        <v>Kinder Morgan Liq Termls Llc 13</v>
      </c>
      <c r="CA123" t="str">
        <v>blendSAF</v>
      </c>
      <c r="CB123" t="str">
        <v/>
      </c>
      <c r="CC123" t="str">
        <v/>
      </c>
      <c r="CD123" t="str">
        <v/>
      </c>
      <c r="CE123" t="str">
        <v/>
      </c>
      <c r="CF123" t="str">
        <v/>
      </c>
    </row>
    <row r="124" spans="23:84" x14ac:dyDescent="0.3">
      <c r="W124" t="str" cm="1">
        <f t="array" ref="W124">IF(ISBLANK(V124),"",_xlfn.CONCAT(_xlfn.UNIQUE(_xlfn._xlws.FILTER(R124:R2122,P124:P2122=V124))))</f>
        <v/>
      </c>
      <c r="X124" t="str">
        <f t="shared" si="1"/>
        <v/>
      </c>
      <c r="BF124" t="str">
        <v>processor</v>
      </c>
      <c r="BG124" t="str">
        <v>Shell Oil Products Us 15</v>
      </c>
      <c r="BH124" t="str">
        <v>blendSAF</v>
      </c>
      <c r="BI124" t="str">
        <v/>
      </c>
      <c r="BJ124" t="str">
        <v/>
      </c>
      <c r="BK124" t="str">
        <v/>
      </c>
      <c r="BL124" t="str">
        <v/>
      </c>
      <c r="BM124" t="str">
        <v/>
      </c>
      <c r="BY124" t="str">
        <v>processor</v>
      </c>
      <c r="BZ124" t="str">
        <v>Kinder Morgan Calnev P L Llc 5</v>
      </c>
      <c r="CA124" t="str">
        <v>blendSAF</v>
      </c>
      <c r="CB124" t="str">
        <v/>
      </c>
      <c r="CC124" t="str">
        <v/>
      </c>
      <c r="CD124" t="str">
        <v/>
      </c>
      <c r="CE124" t="str">
        <v/>
      </c>
      <c r="CF124" t="str">
        <v/>
      </c>
    </row>
    <row r="125" spans="23:84" x14ac:dyDescent="0.3">
      <c r="W125" t="str" cm="1">
        <f t="array" ref="W125">IF(ISBLANK(V125),"",_xlfn.CONCAT(_xlfn.UNIQUE(_xlfn._xlws.FILTER(R125:R2123,P125:P2123=V125))))</f>
        <v/>
      </c>
      <c r="X125" t="str">
        <f t="shared" si="1"/>
        <v/>
      </c>
      <c r="BF125" t="str">
        <v>processor</v>
      </c>
      <c r="BG125" t="str">
        <v>Shell Oil Product Us</v>
      </c>
      <c r="BH125" t="str">
        <v>blendSAF</v>
      </c>
      <c r="BI125" t="str">
        <v/>
      </c>
      <c r="BJ125" t="str">
        <v/>
      </c>
      <c r="BK125" t="str">
        <v/>
      </c>
      <c r="BL125" t="str">
        <v/>
      </c>
      <c r="BM125" t="str">
        <v/>
      </c>
      <c r="BY125" t="str">
        <v>processor</v>
      </c>
      <c r="BZ125" t="str">
        <v>Tesoro Refining &amp; Marketing 7</v>
      </c>
      <c r="CA125" t="str">
        <v>blendSAF</v>
      </c>
      <c r="CB125" t="str">
        <v/>
      </c>
      <c r="CC125" t="str">
        <v/>
      </c>
      <c r="CD125" t="str">
        <v/>
      </c>
      <c r="CE125" t="str">
        <v/>
      </c>
      <c r="CF125" t="str">
        <v/>
      </c>
    </row>
    <row r="126" spans="23:84" x14ac:dyDescent="0.3">
      <c r="W126" t="str" cm="1">
        <f t="array" ref="W126">IF(ISBLANK(V126),"",_xlfn.CONCAT(_xlfn.UNIQUE(_xlfn._xlws.FILTER(R126:R2124,P126:P2124=V126))))</f>
        <v/>
      </c>
      <c r="X126" t="str">
        <f t="shared" si="1"/>
        <v/>
      </c>
      <c r="BF126" t="str">
        <v>processor</v>
      </c>
      <c r="BG126" t="str">
        <v>Shell Oil Products Us 7</v>
      </c>
      <c r="BH126" t="str">
        <v>blendSAF</v>
      </c>
      <c r="BI126" t="str">
        <v/>
      </c>
      <c r="BJ126" t="str">
        <v/>
      </c>
      <c r="BK126" t="str">
        <v/>
      </c>
      <c r="BL126" t="str">
        <v/>
      </c>
      <c r="BM126" t="str">
        <v/>
      </c>
      <c r="BY126" t="str">
        <v>processor</v>
      </c>
      <c r="BZ126" t="str">
        <v>Andeavor Logistics Lp 21</v>
      </c>
      <c r="CA126" t="str">
        <v>blendSAF</v>
      </c>
      <c r="CB126" t="str">
        <v/>
      </c>
      <c r="CC126" t="str">
        <v/>
      </c>
      <c r="CD126" t="str">
        <v/>
      </c>
      <c r="CE126" t="str">
        <v/>
      </c>
      <c r="CF126" t="str">
        <v/>
      </c>
    </row>
    <row r="127" spans="23:84" x14ac:dyDescent="0.3">
      <c r="W127" t="str" cm="1">
        <f t="array" ref="W127">IF(ISBLANK(V127),"",_xlfn.CONCAT(_xlfn.UNIQUE(_xlfn._xlws.FILTER(R127:R2125,P127:P2125=V127))))</f>
        <v/>
      </c>
      <c r="X127" t="str">
        <f t="shared" si="1"/>
        <v/>
      </c>
      <c r="BF127" t="str">
        <v>processor</v>
      </c>
      <c r="BG127" t="str">
        <v>Equilon Enterprises Llc 2</v>
      </c>
      <c r="BH127" t="str">
        <v>blendSAF</v>
      </c>
      <c r="BI127" t="str">
        <v/>
      </c>
      <c r="BJ127" t="str">
        <v/>
      </c>
      <c r="BK127" t="str">
        <v/>
      </c>
      <c r="BL127" t="str">
        <v/>
      </c>
      <c r="BM127" t="str">
        <v/>
      </c>
      <c r="BY127" t="str">
        <v>processor</v>
      </c>
      <c r="BZ127" t="str">
        <v>Andeavor Logistics Lp 5</v>
      </c>
      <c r="CA127" t="str">
        <v>blendSAF</v>
      </c>
      <c r="CB127" t="str">
        <v/>
      </c>
      <c r="CC127" t="str">
        <v/>
      </c>
      <c r="CD127" t="str">
        <v/>
      </c>
      <c r="CE127" t="str">
        <v/>
      </c>
      <c r="CF127" t="str">
        <v/>
      </c>
    </row>
    <row r="128" spans="23:84" x14ac:dyDescent="0.3">
      <c r="W128" t="str" cm="1">
        <f t="array" ref="W128">IF(ISBLANK(V128),"",_xlfn.CONCAT(_xlfn.UNIQUE(_xlfn._xlws.FILTER(R128:R2126,P128:P2126=V128))))</f>
        <v/>
      </c>
      <c r="X128" t="str">
        <f t="shared" si="1"/>
        <v/>
      </c>
      <c r="BF128" t="str">
        <v>processor</v>
      </c>
      <c r="BG128" t="str">
        <v>Safety-Kleen Systems Inc</v>
      </c>
      <c r="BH128" t="str">
        <v>blendSAF</v>
      </c>
      <c r="BI128" t="str">
        <v/>
      </c>
      <c r="BJ128" t="str">
        <v/>
      </c>
      <c r="BK128" t="str">
        <v/>
      </c>
      <c r="BL128" t="str">
        <v/>
      </c>
      <c r="BM128" t="str">
        <v/>
      </c>
      <c r="BY128" t="str">
        <v>processor</v>
      </c>
      <c r="BZ128" t="str">
        <v>Andeavor Logistics Lp 20</v>
      </c>
      <c r="CA128" t="str">
        <v>blendSAF</v>
      </c>
      <c r="CB128" t="str">
        <v/>
      </c>
      <c r="CC128" t="str">
        <v/>
      </c>
      <c r="CD128" t="str">
        <v/>
      </c>
      <c r="CE128" t="str">
        <v/>
      </c>
      <c r="CF128" t="str">
        <v/>
      </c>
    </row>
    <row r="129" spans="23:84" x14ac:dyDescent="0.3">
      <c r="W129" t="str" cm="1">
        <f t="array" ref="W129">IF(ISBLANK(V129),"",_xlfn.CONCAT(_xlfn.UNIQUE(_xlfn._xlws.FILTER(R129:R2127,P129:P2127=V129))))</f>
        <v/>
      </c>
      <c r="X129" t="str">
        <f t="shared" si="1"/>
        <v/>
      </c>
      <c r="BF129" t="str">
        <v>processor</v>
      </c>
      <c r="BG129" t="str">
        <v>Suburban Propane Partners Lp</v>
      </c>
      <c r="BH129" t="str">
        <v>blendSAF</v>
      </c>
      <c r="BI129" t="str">
        <v/>
      </c>
      <c r="BJ129" t="str">
        <v/>
      </c>
      <c r="BK129" t="str">
        <v/>
      </c>
      <c r="BL129" t="str">
        <v/>
      </c>
      <c r="BM129" t="str">
        <v/>
      </c>
      <c r="BY129" t="str">
        <v>processor</v>
      </c>
      <c r="BZ129" t="str">
        <v>Andeavor Logistics Lp 19</v>
      </c>
      <c r="CA129" t="str">
        <v>blendSAF</v>
      </c>
      <c r="CB129" t="str">
        <v/>
      </c>
      <c r="CC129" t="str">
        <v/>
      </c>
      <c r="CD129" t="str">
        <v/>
      </c>
      <c r="CE129" t="str">
        <v/>
      </c>
      <c r="CF129" t="str">
        <v/>
      </c>
    </row>
    <row r="130" spans="23:84" x14ac:dyDescent="0.3">
      <c r="W130" t="str" cm="1">
        <f t="array" ref="W130">IF(ISBLANK(V130),"",_xlfn.CONCAT(_xlfn.UNIQUE(_xlfn._xlws.FILTER(R130:R2128,P130:P2128=V130))))</f>
        <v/>
      </c>
      <c r="X130" t="str">
        <f t="shared" si="1"/>
        <v/>
      </c>
      <c r="BF130" t="str">
        <v>processor</v>
      </c>
      <c r="BG130" t="str">
        <v>United Liquid Gas Company</v>
      </c>
      <c r="BH130" t="str">
        <v>blendSAF</v>
      </c>
      <c r="BI130" t="str">
        <v/>
      </c>
      <c r="BJ130" t="str">
        <v/>
      </c>
      <c r="BK130" t="str">
        <v/>
      </c>
      <c r="BL130" t="str">
        <v/>
      </c>
      <c r="BM130" t="str">
        <v/>
      </c>
      <c r="BY130" t="str">
        <v>processor</v>
      </c>
      <c r="BZ130" t="str">
        <v>Andeavor Logistics Lp 12</v>
      </c>
      <c r="CA130" t="str">
        <v>blendSAF</v>
      </c>
      <c r="CB130" t="str">
        <v/>
      </c>
      <c r="CC130" t="str">
        <v/>
      </c>
      <c r="CD130" t="str">
        <v/>
      </c>
      <c r="CE130" t="str">
        <v/>
      </c>
      <c r="CF130" t="str">
        <v/>
      </c>
    </row>
    <row r="131" spans="23:84" x14ac:dyDescent="0.3">
      <c r="W131" t="str" cm="1">
        <f t="array" ref="W131">IF(ISBLANK(V131),"",_xlfn.CONCAT(_xlfn.UNIQUE(_xlfn._xlws.FILTER(R131:R2129,P131:P2129=V131))))</f>
        <v/>
      </c>
      <c r="X131" t="str">
        <f t="shared" ref="X131:X138" si="2">IF(ISBLANK(V131),"",IF(W131="liquid","solidliquid","solid"))</f>
        <v/>
      </c>
      <c r="BF131" t="str">
        <v>processor</v>
      </c>
      <c r="BG131" t="str">
        <v>Transmontaigne Operating Company 30</v>
      </c>
      <c r="BH131" t="str">
        <v>blendSAF</v>
      </c>
      <c r="BI131" t="str">
        <v/>
      </c>
      <c r="BJ131" t="str">
        <v/>
      </c>
      <c r="BK131" t="str">
        <v/>
      </c>
      <c r="BL131" t="str">
        <v/>
      </c>
      <c r="BM131" t="str">
        <v/>
      </c>
      <c r="BY131" t="str">
        <v>processor</v>
      </c>
      <c r="BZ131" t="str">
        <v/>
      </c>
      <c r="CA131" t="str">
        <v>blendSAF</v>
      </c>
      <c r="CB131" t="str">
        <v/>
      </c>
      <c r="CC131" t="str">
        <v/>
      </c>
      <c r="CD131" t="str">
        <v/>
      </c>
      <c r="CE131" t="str">
        <v/>
      </c>
      <c r="CF131" t="str">
        <v/>
      </c>
    </row>
    <row r="132" spans="23:84" x14ac:dyDescent="0.3">
      <c r="W132" t="str" cm="1">
        <f t="array" ref="W132">IF(ISBLANK(V132),"",_xlfn.CONCAT(_xlfn.UNIQUE(_xlfn._xlws.FILTER(R132:R2130,P132:P2130=V132))))</f>
        <v/>
      </c>
      <c r="X132" t="str">
        <f t="shared" si="2"/>
        <v/>
      </c>
      <c r="BF132" t="str">
        <v>processor</v>
      </c>
      <c r="BG132" t="str">
        <v>Transmontaigne Operating Co 2</v>
      </c>
      <c r="BH132" t="str">
        <v>blendSAF</v>
      </c>
      <c r="BI132" t="str">
        <v/>
      </c>
      <c r="BJ132" t="str">
        <v/>
      </c>
      <c r="BK132" t="str">
        <v/>
      </c>
      <c r="BL132" t="str">
        <v/>
      </c>
      <c r="BM132" t="str">
        <v/>
      </c>
      <c r="BY132" t="str">
        <v>processor</v>
      </c>
      <c r="BZ132" t="str">
        <v>Andeavor Logistics Lp 13</v>
      </c>
      <c r="CA132" t="str">
        <v>blendSAF</v>
      </c>
      <c r="CB132" t="str">
        <v/>
      </c>
      <c r="CC132" t="str">
        <v/>
      </c>
      <c r="CD132" t="str">
        <v/>
      </c>
      <c r="CE132" t="str">
        <v/>
      </c>
      <c r="CF132" t="str">
        <v/>
      </c>
    </row>
    <row r="133" spans="23:84" x14ac:dyDescent="0.3">
      <c r="W133" t="str" cm="1">
        <f t="array" ref="W133">IF(ISBLANK(V133),"",_xlfn.CONCAT(_xlfn.UNIQUE(_xlfn._xlws.FILTER(R133:R2131,P133:P2131=V133))))</f>
        <v/>
      </c>
      <c r="X133" t="str">
        <f t="shared" si="2"/>
        <v/>
      </c>
      <c r="BF133" t="str">
        <v>processor</v>
      </c>
      <c r="BG133" t="str">
        <v>Tricor Refining Llc</v>
      </c>
      <c r="BH133" t="str">
        <v>blendSAF</v>
      </c>
      <c r="BI133" t="str">
        <v/>
      </c>
      <c r="BJ133" t="str">
        <v/>
      </c>
      <c r="BK133" t="str">
        <v/>
      </c>
      <c r="BL133" t="str">
        <v/>
      </c>
      <c r="BM133" t="str">
        <v/>
      </c>
      <c r="BY133" t="str">
        <v>processor</v>
      </c>
      <c r="BZ133" t="str">
        <v>Andeavor Logistics Lp 14</v>
      </c>
      <c r="CA133" t="str">
        <v>blendSAF</v>
      </c>
      <c r="CB133" t="str">
        <v/>
      </c>
      <c r="CC133" t="str">
        <v/>
      </c>
      <c r="CD133" t="str">
        <v/>
      </c>
      <c r="CE133" t="str">
        <v/>
      </c>
      <c r="CF133" t="str">
        <v/>
      </c>
    </row>
    <row r="134" spans="23:84" x14ac:dyDescent="0.3">
      <c r="W134" t="str" cm="1">
        <f t="array" ref="W134">IF(ISBLANK(V134),"",_xlfn.CONCAT(_xlfn.UNIQUE(_xlfn._xlws.FILTER(R134:R2132,P134:P2132=V134))))</f>
        <v/>
      </c>
      <c r="X134" t="str">
        <f t="shared" si="2"/>
        <v/>
      </c>
      <c r="BF134" t="str">
        <v>processor</v>
      </c>
      <c r="BG134" t="str">
        <v>Owens Corning 2</v>
      </c>
      <c r="BH134" t="str">
        <v>blendSAF</v>
      </c>
      <c r="BI134" t="str">
        <v/>
      </c>
      <c r="BJ134" t="str">
        <v/>
      </c>
      <c r="BK134" t="str">
        <v/>
      </c>
      <c r="BL134" t="str">
        <v/>
      </c>
      <c r="BM134" t="str">
        <v/>
      </c>
      <c r="BY134" t="str">
        <v>processor</v>
      </c>
      <c r="BZ134" t="str">
        <v>Andeavor Logistics Lp 8</v>
      </c>
      <c r="CA134" t="str">
        <v>blendSAF</v>
      </c>
      <c r="CB134" t="str">
        <v/>
      </c>
      <c r="CC134" t="str">
        <v/>
      </c>
      <c r="CD134" t="str">
        <v/>
      </c>
      <c r="CE134" t="str">
        <v/>
      </c>
      <c r="CF134" t="str">
        <v/>
      </c>
    </row>
    <row r="135" spans="23:84" x14ac:dyDescent="0.3">
      <c r="W135" t="str" cm="1">
        <f t="array" ref="W135">IF(ISBLANK(V135),"",_xlfn.CONCAT(_xlfn.UNIQUE(_xlfn._xlws.FILTER(R135:R2133,P135:P2133=V135))))</f>
        <v/>
      </c>
      <c r="X135" t="str">
        <f t="shared" si="2"/>
        <v/>
      </c>
      <c r="BF135" t="str">
        <v>processor</v>
      </c>
      <c r="BG135" t="str">
        <v>Paktank Terminal Los Angeles</v>
      </c>
      <c r="BH135" t="str">
        <v>blendSAF</v>
      </c>
      <c r="BI135" t="str">
        <v/>
      </c>
      <c r="BJ135" t="str">
        <v/>
      </c>
      <c r="BK135" t="str">
        <v/>
      </c>
      <c r="BL135" t="str">
        <v/>
      </c>
      <c r="BM135" t="str">
        <v/>
      </c>
      <c r="BY135" t="str">
        <v>processor</v>
      </c>
      <c r="BZ135" t="str">
        <v>Andeavor Logistics Lp 24</v>
      </c>
      <c r="CA135" t="str">
        <v>blendSAF</v>
      </c>
      <c r="CB135" t="str">
        <v/>
      </c>
      <c r="CC135" t="str">
        <v/>
      </c>
      <c r="CD135" t="str">
        <v/>
      </c>
      <c r="CE135" t="str">
        <v/>
      </c>
      <c r="CF135" t="str">
        <v/>
      </c>
    </row>
    <row r="136" spans="23:84" x14ac:dyDescent="0.3">
      <c r="W136" t="str" cm="1">
        <f t="array" ref="W136">IF(ISBLANK(V136),"",_xlfn.CONCAT(_xlfn.UNIQUE(_xlfn._xlws.FILTER(R136:R2134,P136:P2134=V136))))</f>
        <v/>
      </c>
      <c r="X136" t="str">
        <f t="shared" si="2"/>
        <v/>
      </c>
      <c r="BF136" t="str">
        <v>processor</v>
      </c>
      <c r="BG136" t="str">
        <v>Vopak Terminal Long Beach Inc</v>
      </c>
      <c r="BH136" t="str">
        <v>blendSAF</v>
      </c>
      <c r="BI136" t="str">
        <v/>
      </c>
      <c r="BJ136" t="str">
        <v/>
      </c>
      <c r="BK136" t="str">
        <v/>
      </c>
      <c r="BL136" t="str">
        <v/>
      </c>
      <c r="BM136" t="str">
        <v/>
      </c>
      <c r="BY136" t="str">
        <v>processor</v>
      </c>
      <c r="BZ136" t="str">
        <v>Petro-Diamond Trmnl Co</v>
      </c>
      <c r="CA136" t="str">
        <v>blendSAF</v>
      </c>
      <c r="CB136" t="str">
        <v/>
      </c>
      <c r="CC136" t="str">
        <v/>
      </c>
      <c r="CD136" t="str">
        <v/>
      </c>
      <c r="CE136" t="str">
        <v/>
      </c>
      <c r="CF136" t="str">
        <v/>
      </c>
    </row>
    <row r="137" spans="23:84" x14ac:dyDescent="0.3">
      <c r="W137" t="str" cm="1">
        <f t="array" ref="W137">IF(ISBLANK(V137),"",_xlfn.CONCAT(_xlfn.UNIQUE(_xlfn._xlws.FILTER(R137:R2135,P137:P2135=V137))))</f>
        <v/>
      </c>
      <c r="X137" t="str">
        <f t="shared" si="2"/>
        <v/>
      </c>
      <c r="BF137" t="str">
        <v>processor</v>
      </c>
      <c r="BG137" t="str">
        <v>Bwc Terminals Llc 9</v>
      </c>
      <c r="BH137" t="str">
        <v>blendSAF</v>
      </c>
      <c r="BI137" t="str">
        <v/>
      </c>
      <c r="BJ137" t="str">
        <v/>
      </c>
      <c r="BK137" t="str">
        <v/>
      </c>
      <c r="BL137" t="str">
        <v/>
      </c>
      <c r="BM137" t="str">
        <v/>
      </c>
      <c r="BY137" t="str">
        <v>processor</v>
      </c>
      <c r="BZ137" t="str">
        <v>Nustar Energy Lp 42</v>
      </c>
      <c r="CA137" t="str">
        <v>blendSAF</v>
      </c>
      <c r="CB137" t="str">
        <v/>
      </c>
      <c r="CC137" t="str">
        <v/>
      </c>
      <c r="CD137" t="str">
        <v/>
      </c>
      <c r="CE137" t="str">
        <v/>
      </c>
      <c r="CF137" t="str">
        <v/>
      </c>
    </row>
    <row r="138" spans="23:84" x14ac:dyDescent="0.3">
      <c r="W138" t="str" cm="1">
        <f t="array" ref="W138">IF(ISBLANK(V138),"",_xlfn.CONCAT(_xlfn.UNIQUE(_xlfn._xlws.FILTER(R138:R2136,P138:P2136=V138))))</f>
        <v/>
      </c>
      <c r="X138" t="str">
        <f t="shared" si="2"/>
        <v/>
      </c>
      <c r="BF138" t="str">
        <v>processor</v>
      </c>
      <c r="BG138" t="str">
        <v>Ribost Terminal Llc</v>
      </c>
      <c r="BH138" t="str">
        <v>blendSAF</v>
      </c>
      <c r="BI138" t="str">
        <v/>
      </c>
      <c r="BJ138" t="str">
        <v/>
      </c>
      <c r="BK138" t="str">
        <v/>
      </c>
      <c r="BL138" t="str">
        <v/>
      </c>
      <c r="BM138" t="str">
        <v/>
      </c>
      <c r="BY138" t="str">
        <v>processor</v>
      </c>
      <c r="BZ138" t="str">
        <v>Nustar Energy Lp 32</v>
      </c>
      <c r="CA138" t="str">
        <v>blendSAF</v>
      </c>
      <c r="CB138" t="str">
        <v/>
      </c>
      <c r="CC138" t="str">
        <v/>
      </c>
      <c r="CD138" t="str">
        <v/>
      </c>
      <c r="CE138" t="str">
        <v/>
      </c>
      <c r="CF138" t="str">
        <v/>
      </c>
    </row>
    <row r="139" spans="23:84" x14ac:dyDescent="0.3">
      <c r="W139" t="str" cm="1">
        <f t="array" ref="W139">IF(ISBLANK(V139),"",_xlfn.CONCAT(_xlfn.UNIQUE(_xlfn._xlws.FILTER(R139:R2137,P139:P2137=V139))))</f>
        <v/>
      </c>
      <c r="BF139" t="str">
        <v>processor</v>
      </c>
      <c r="BG139" t="str">
        <v>Zenith Energy West Coast Terminals</v>
      </c>
      <c r="BH139" t="str">
        <v>blendSAF</v>
      </c>
      <c r="BI139" t="str">
        <v/>
      </c>
      <c r="BJ139" t="str">
        <v/>
      </c>
      <c r="BK139" t="str">
        <v/>
      </c>
      <c r="BL139" t="str">
        <v/>
      </c>
      <c r="BM139" t="str">
        <v/>
      </c>
      <c r="BY139" t="str">
        <v>processor</v>
      </c>
      <c r="BZ139" t="str">
        <v>Nustar Energy Lp 12</v>
      </c>
      <c r="CA139" t="str">
        <v>blendSAF</v>
      </c>
      <c r="CB139" t="str">
        <v/>
      </c>
      <c r="CC139" t="str">
        <v/>
      </c>
      <c r="CD139" t="str">
        <v/>
      </c>
      <c r="CE139" t="str">
        <v/>
      </c>
      <c r="CF139" t="str">
        <v/>
      </c>
    </row>
    <row r="140" spans="23:84" x14ac:dyDescent="0.3">
      <c r="W140" t="str" cm="1">
        <f t="array" ref="W140">IF(ISBLANK(V140),"",_xlfn.CONCAT(_xlfn.UNIQUE(_xlfn._xlws.FILTER(R140:R2138,P140:P2138=V140))))</f>
        <v/>
      </c>
      <c r="BF140" t="str">
        <v>processor</v>
      </c>
      <c r="BG140" t="str">
        <v>Bkep Materials Llc 4</v>
      </c>
      <c r="BH140" t="str">
        <v>blendSAF</v>
      </c>
      <c r="BI140" t="str">
        <v/>
      </c>
      <c r="BJ140" t="str">
        <v/>
      </c>
      <c r="BK140" t="str">
        <v/>
      </c>
      <c r="BL140" t="str">
        <v/>
      </c>
      <c r="BM140" t="str">
        <v/>
      </c>
      <c r="BY140" t="str">
        <v>processor</v>
      </c>
      <c r="BZ140" t="str">
        <v>Nustar Energy Lp 45</v>
      </c>
      <c r="CA140" t="str">
        <v>blendSAF</v>
      </c>
      <c r="CB140" t="str">
        <v/>
      </c>
      <c r="CC140" t="str">
        <v/>
      </c>
      <c r="CD140" t="str">
        <v/>
      </c>
      <c r="CE140" t="str">
        <v/>
      </c>
      <c r="CF140" t="str">
        <v/>
      </c>
    </row>
    <row r="141" spans="23:84" x14ac:dyDescent="0.3">
      <c r="W141" t="str" cm="1">
        <f t="array" ref="W141">IF(ISBLANK(V141),"",_xlfn.CONCAT(_xlfn.UNIQUE(_xlfn._xlws.FILTER(R141:R2139,P141:P2139=V141))))</f>
        <v/>
      </c>
      <c r="BF141" t="str">
        <v>processor</v>
      </c>
      <c r="BG141" t="str">
        <v>Bkep Materials Llc 8</v>
      </c>
      <c r="BH141" t="str">
        <v>blendSAF</v>
      </c>
      <c r="BI141" t="str">
        <v/>
      </c>
      <c r="BJ141" t="str">
        <v/>
      </c>
      <c r="BK141" t="str">
        <v/>
      </c>
      <c r="BL141" t="str">
        <v/>
      </c>
      <c r="BM141" t="str">
        <v/>
      </c>
      <c r="BY141" t="str">
        <v>processor</v>
      </c>
      <c r="BZ141" t="str">
        <v>Olympus Terminals Llc</v>
      </c>
      <c r="CA141" t="str">
        <v>blendSAF</v>
      </c>
      <c r="CB141" t="str">
        <v/>
      </c>
      <c r="CC141" t="str">
        <v/>
      </c>
      <c r="CD141" t="str">
        <v/>
      </c>
      <c r="CE141" t="str">
        <v/>
      </c>
      <c r="CF141" t="str">
        <v/>
      </c>
    </row>
    <row r="142" spans="23:84" x14ac:dyDescent="0.3">
      <c r="W142" t="str" cm="1">
        <f t="array" ref="W142">IF(ISBLANK(V142),"",_xlfn.CONCAT(_xlfn.UNIQUE(_xlfn._xlws.FILTER(R142:R2140,P142:P2140=V142))))</f>
        <v/>
      </c>
      <c r="BF142" t="str">
        <v>processor</v>
      </c>
      <c r="BG142" t="str">
        <v>Bkep Materials Llc 14</v>
      </c>
      <c r="BH142" t="str">
        <v>blendSAF</v>
      </c>
      <c r="BI142" t="str">
        <v/>
      </c>
      <c r="BJ142" t="str">
        <v/>
      </c>
      <c r="BK142" t="str">
        <v/>
      </c>
      <c r="BL142" t="str">
        <v/>
      </c>
      <c r="BM142" t="str">
        <v/>
      </c>
      <c r="BY142" t="str">
        <v>processor</v>
      </c>
      <c r="BZ142" t="str">
        <v>Pelican Renewables</v>
      </c>
      <c r="CA142" t="str">
        <v>blendSAF</v>
      </c>
      <c r="CB142" t="str">
        <v/>
      </c>
      <c r="CC142" t="str">
        <v/>
      </c>
      <c r="CD142" t="str">
        <v/>
      </c>
      <c r="CE142" t="str">
        <v/>
      </c>
      <c r="CF142" t="str">
        <v/>
      </c>
    </row>
    <row r="143" spans="23:84" x14ac:dyDescent="0.3">
      <c r="W143" t="str" cm="1">
        <f t="array" ref="W143">IF(ISBLANK(V143),"",_xlfn.CONCAT(_xlfn.UNIQUE(_xlfn._xlws.FILTER(R143:R2141,P143:P2141=V143))))</f>
        <v/>
      </c>
      <c r="BF143" t="str">
        <v>processor</v>
      </c>
      <c r="BG143" t="str">
        <v>Bkep Materials Llc 9</v>
      </c>
      <c r="BH143" t="str">
        <v>blendSAF</v>
      </c>
      <c r="BI143" t="str">
        <v/>
      </c>
      <c r="BJ143" t="str">
        <v/>
      </c>
      <c r="BK143" t="str">
        <v/>
      </c>
      <c r="BL143" t="str">
        <v/>
      </c>
      <c r="BM143" t="str">
        <v/>
      </c>
      <c r="BY143" t="str">
        <v>processor</v>
      </c>
      <c r="BZ143" t="str">
        <v>Plains Lpg Services Lp 7</v>
      </c>
      <c r="CA143" t="str">
        <v>blendSAF</v>
      </c>
      <c r="CB143" t="str">
        <v/>
      </c>
      <c r="CC143" t="str">
        <v/>
      </c>
      <c r="CD143" t="str">
        <v/>
      </c>
      <c r="CE143" t="str">
        <v/>
      </c>
      <c r="CF143" t="str">
        <v/>
      </c>
    </row>
    <row r="144" spans="23:84" x14ac:dyDescent="0.3">
      <c r="BF144" t="str">
        <v>processor</v>
      </c>
      <c r="BG144" t="str">
        <v>Phillips 66 Pipeline Llc - Denver</v>
      </c>
      <c r="BH144" t="str">
        <v>blendSAF</v>
      </c>
      <c r="BI144" t="str">
        <v/>
      </c>
      <c r="BJ144" t="str">
        <v/>
      </c>
      <c r="BK144" t="str">
        <v/>
      </c>
      <c r="BL144" t="str">
        <v/>
      </c>
      <c r="BM144" t="str">
        <v/>
      </c>
      <c r="BY144" t="str">
        <v>processor</v>
      </c>
      <c r="BZ144" t="str">
        <v>Equilon Enterprises Llc 4</v>
      </c>
      <c r="CA144" t="str">
        <v>blendSAF</v>
      </c>
      <c r="CB144" t="str">
        <v/>
      </c>
      <c r="CC144" t="str">
        <v/>
      </c>
      <c r="CD144" t="str">
        <v/>
      </c>
      <c r="CE144" t="str">
        <v/>
      </c>
      <c r="CF144" t="str">
        <v/>
      </c>
    </row>
    <row r="145" spans="58:84" x14ac:dyDescent="0.3">
      <c r="BF145" t="str">
        <v>processor</v>
      </c>
      <c r="BG145" t="str">
        <v>Phillips 66 Pipeline Llc 6</v>
      </c>
      <c r="BH145" t="str">
        <v>blendSAF</v>
      </c>
      <c r="BI145" t="str">
        <v/>
      </c>
      <c r="BJ145" t="str">
        <v/>
      </c>
      <c r="BK145" t="str">
        <v/>
      </c>
      <c r="BL145" t="str">
        <v/>
      </c>
      <c r="BM145" t="str">
        <v/>
      </c>
      <c r="BY145" t="str">
        <v>processor</v>
      </c>
      <c r="BZ145" t="str">
        <v>Equilon Enterprises Llc 6</v>
      </c>
      <c r="CA145" t="str">
        <v>blendSAF</v>
      </c>
      <c r="CB145" t="str">
        <v/>
      </c>
      <c r="CC145" t="str">
        <v/>
      </c>
      <c r="CD145" t="str">
        <v/>
      </c>
      <c r="CE145" t="str">
        <v/>
      </c>
      <c r="CF145" t="str">
        <v/>
      </c>
    </row>
    <row r="146" spans="58:84" x14ac:dyDescent="0.3">
      <c r="BF146" t="str">
        <v>processor</v>
      </c>
      <c r="BG146" t="str">
        <v>Golden Gateset Petro Partners Of Nv</v>
      </c>
      <c r="BH146" t="str">
        <v>blendSAF</v>
      </c>
      <c r="BI146" t="str">
        <v/>
      </c>
      <c r="BJ146" t="str">
        <v/>
      </c>
      <c r="BK146" t="str">
        <v/>
      </c>
      <c r="BL146" t="str">
        <v/>
      </c>
      <c r="BM146" t="str">
        <v/>
      </c>
      <c r="BY146" t="str">
        <v>processor</v>
      </c>
      <c r="BZ146" t="str">
        <v>Shell Oil Products Us 15</v>
      </c>
      <c r="CA146" t="str">
        <v>blendSAF</v>
      </c>
      <c r="CB146" t="str">
        <v/>
      </c>
      <c r="CC146" t="str">
        <v/>
      </c>
      <c r="CD146" t="str">
        <v/>
      </c>
      <c r="CE146" t="str">
        <v/>
      </c>
      <c r="CF146" t="str">
        <v/>
      </c>
    </row>
    <row r="147" spans="58:84" x14ac:dyDescent="0.3">
      <c r="BF147" t="str">
        <v>processor</v>
      </c>
      <c r="BG147" t="str">
        <v>Sinclair Oil Corp 6</v>
      </c>
      <c r="BH147" t="str">
        <v>blendSAF</v>
      </c>
      <c r="BI147" t="str">
        <v/>
      </c>
      <c r="BJ147" t="str">
        <v/>
      </c>
      <c r="BK147" t="str">
        <v/>
      </c>
      <c r="BL147" t="str">
        <v/>
      </c>
      <c r="BM147" t="str">
        <v/>
      </c>
      <c r="BY147" t="str">
        <v>processor</v>
      </c>
      <c r="BZ147" t="str">
        <v>Shell Oil Product Us</v>
      </c>
      <c r="CA147" t="str">
        <v>blendSAF</v>
      </c>
      <c r="CB147" t="str">
        <v/>
      </c>
      <c r="CC147" t="str">
        <v/>
      </c>
      <c r="CD147" t="str">
        <v/>
      </c>
      <c r="CE147" t="str">
        <v/>
      </c>
      <c r="CF147" t="str">
        <v/>
      </c>
    </row>
    <row r="148" spans="58:84" x14ac:dyDescent="0.3">
      <c r="BF148" t="str">
        <v>processor</v>
      </c>
      <c r="BG148" t="str">
        <v>Magellan Pipeline Co Lp 3</v>
      </c>
      <c r="BH148" t="str">
        <v>blendSAF</v>
      </c>
      <c r="BI148" t="str">
        <v/>
      </c>
      <c r="BJ148" t="str">
        <v/>
      </c>
      <c r="BK148" t="str">
        <v/>
      </c>
      <c r="BL148" t="str">
        <v/>
      </c>
      <c r="BM148" t="str">
        <v/>
      </c>
      <c r="BY148" t="str">
        <v>processor</v>
      </c>
      <c r="BZ148" t="str">
        <v>Shell Oil Products Us 7</v>
      </c>
      <c r="CA148" t="str">
        <v>blendSAF</v>
      </c>
      <c r="CB148" t="str">
        <v/>
      </c>
      <c r="CC148" t="str">
        <v/>
      </c>
      <c r="CD148" t="str">
        <v/>
      </c>
      <c r="CE148" t="str">
        <v/>
      </c>
      <c r="CF148" t="str">
        <v/>
      </c>
    </row>
    <row r="149" spans="58:84" x14ac:dyDescent="0.3">
      <c r="BF149" t="str">
        <v>processor</v>
      </c>
      <c r="BG149" t="str">
        <v>Magellan Pipeline Co Lp 14</v>
      </c>
      <c r="BH149" t="str">
        <v>blendSAF</v>
      </c>
      <c r="BI149" t="str">
        <v/>
      </c>
      <c r="BJ149" t="str">
        <v/>
      </c>
      <c r="BK149" t="str">
        <v/>
      </c>
      <c r="BL149" t="str">
        <v/>
      </c>
      <c r="BM149" t="str">
        <v/>
      </c>
      <c r="BY149" t="str">
        <v>processor</v>
      </c>
      <c r="BZ149" t="str">
        <v>Equilon Enterprises Llc 2</v>
      </c>
      <c r="CA149" t="str">
        <v>blendSAF</v>
      </c>
      <c r="CB149" t="str">
        <v/>
      </c>
      <c r="CC149" t="str">
        <v/>
      </c>
      <c r="CD149" t="str">
        <v/>
      </c>
      <c r="CE149" t="str">
        <v/>
      </c>
      <c r="CF149" t="str">
        <v/>
      </c>
    </row>
    <row r="150" spans="58:84" x14ac:dyDescent="0.3">
      <c r="BF150" t="str">
        <v>processor</v>
      </c>
      <c r="BG150" t="str">
        <v>Magellan Pipeline Co Lp 10</v>
      </c>
      <c r="BH150" t="str">
        <v>blendSAF</v>
      </c>
      <c r="BI150" t="str">
        <v/>
      </c>
      <c r="BJ150" t="str">
        <v/>
      </c>
      <c r="BK150" t="str">
        <v/>
      </c>
      <c r="BL150" t="str">
        <v/>
      </c>
      <c r="BM150" t="str">
        <v/>
      </c>
      <c r="BY150" t="str">
        <v>processor</v>
      </c>
      <c r="BZ150" t="str">
        <v>Safety-Kleen Systems Inc</v>
      </c>
      <c r="CA150" t="str">
        <v>blendSAF</v>
      </c>
      <c r="CB150" t="str">
        <v/>
      </c>
      <c r="CC150" t="str">
        <v/>
      </c>
      <c r="CD150" t="str">
        <v/>
      </c>
      <c r="CE150" t="str">
        <v/>
      </c>
      <c r="CF150" t="str">
        <v/>
      </c>
    </row>
    <row r="151" spans="58:84" x14ac:dyDescent="0.3">
      <c r="BF151" t="str">
        <v>processor</v>
      </c>
      <c r="BG151" t="str">
        <v>Nustar Energy Lp 6</v>
      </c>
      <c r="BH151" t="str">
        <v>blendSAF</v>
      </c>
      <c r="BI151" t="str">
        <v/>
      </c>
      <c r="BJ151" t="str">
        <v/>
      </c>
      <c r="BK151" t="str">
        <v/>
      </c>
      <c r="BL151" t="str">
        <v/>
      </c>
      <c r="BM151" t="str">
        <v/>
      </c>
      <c r="BY151" t="str">
        <v>processor</v>
      </c>
      <c r="BZ151" t="str">
        <v>Suburban Propane Partners Lp</v>
      </c>
      <c r="CA151" t="str">
        <v>blendSAF</v>
      </c>
      <c r="CB151" t="str">
        <v/>
      </c>
      <c r="CC151" t="str">
        <v/>
      </c>
      <c r="CD151" t="str">
        <v/>
      </c>
      <c r="CE151" t="str">
        <v/>
      </c>
      <c r="CF151" t="str">
        <v/>
      </c>
    </row>
    <row r="152" spans="58:84" x14ac:dyDescent="0.3">
      <c r="BF152" t="str">
        <v>processor</v>
      </c>
      <c r="BG152" t="str">
        <v>Nustar Energy Lp 13</v>
      </c>
      <c r="BH152" t="str">
        <v>blendSAF</v>
      </c>
      <c r="BI152" t="str">
        <v/>
      </c>
      <c r="BJ152" t="str">
        <v/>
      </c>
      <c r="BK152" t="str">
        <v/>
      </c>
      <c r="BL152" t="str">
        <v/>
      </c>
      <c r="BM152" t="str">
        <v/>
      </c>
      <c r="BY152" t="str">
        <v>processor</v>
      </c>
      <c r="BZ152" t="str">
        <v>United Liquid Gas Company</v>
      </c>
      <c r="CA152" t="str">
        <v>blendSAF</v>
      </c>
      <c r="CB152" t="str">
        <v/>
      </c>
      <c r="CC152" t="str">
        <v/>
      </c>
      <c r="CD152" t="str">
        <v/>
      </c>
      <c r="CE152" t="str">
        <v/>
      </c>
      <c r="CF152" t="str">
        <v/>
      </c>
    </row>
    <row r="153" spans="58:84" x14ac:dyDescent="0.3">
      <c r="BF153" t="str">
        <v>processor</v>
      </c>
      <c r="BG153" t="str">
        <v>Owens Corning 3</v>
      </c>
      <c r="BH153" t="str">
        <v>blendSAF</v>
      </c>
      <c r="BI153" t="str">
        <v/>
      </c>
      <c r="BJ153" t="str">
        <v/>
      </c>
      <c r="BK153" t="str">
        <v/>
      </c>
      <c r="BL153" t="str">
        <v/>
      </c>
      <c r="BM153" t="str">
        <v/>
      </c>
      <c r="BY153" t="str">
        <v>processor</v>
      </c>
      <c r="BZ153" t="str">
        <v>Transmontaigne Operating Company 30</v>
      </c>
      <c r="CA153" t="str">
        <v>blendSAF</v>
      </c>
      <c r="CB153" t="str">
        <v/>
      </c>
      <c r="CC153" t="str">
        <v/>
      </c>
      <c r="CD153" t="str">
        <v/>
      </c>
      <c r="CE153" t="str">
        <v/>
      </c>
      <c r="CF153" t="str">
        <v/>
      </c>
    </row>
    <row r="154" spans="58:84" x14ac:dyDescent="0.3">
      <c r="BF154" t="str">
        <v>processor</v>
      </c>
      <c r="BG154" t="str">
        <v>Gulf Oil Lp 3</v>
      </c>
      <c r="BH154" t="str">
        <v>blendSAF</v>
      </c>
      <c r="BI154" t="str">
        <v/>
      </c>
      <c r="BJ154" t="str">
        <v/>
      </c>
      <c r="BK154" t="str">
        <v/>
      </c>
      <c r="BL154" t="str">
        <v/>
      </c>
      <c r="BM154" t="str">
        <v/>
      </c>
      <c r="BY154" t="str">
        <v>processor</v>
      </c>
      <c r="BZ154" t="str">
        <v>Transmontaigne Operating Co 2</v>
      </c>
      <c r="CA154" t="str">
        <v>blendSAF</v>
      </c>
      <c r="CB154" t="str">
        <v/>
      </c>
      <c r="CC154" t="str">
        <v/>
      </c>
      <c r="CD154" t="str">
        <v/>
      </c>
      <c r="CE154" t="str">
        <v/>
      </c>
      <c r="CF154" t="str">
        <v/>
      </c>
    </row>
    <row r="155" spans="58:84" x14ac:dyDescent="0.3">
      <c r="BF155" t="str">
        <v>processor</v>
      </c>
      <c r="BG155" t="str">
        <v>B&amp;B Petroleum Inc 2</v>
      </c>
      <c r="BH155" t="str">
        <v>blendSAF</v>
      </c>
      <c r="BI155" t="str">
        <v/>
      </c>
      <c r="BJ155" t="str">
        <v/>
      </c>
      <c r="BK155" t="str">
        <v/>
      </c>
      <c r="BL155" t="str">
        <v/>
      </c>
      <c r="BM155" t="str">
        <v/>
      </c>
      <c r="BY155" t="str">
        <v>processor</v>
      </c>
      <c r="BZ155" t="str">
        <v>Tricor Refining Llc</v>
      </c>
      <c r="CA155" t="str">
        <v>blendSAF</v>
      </c>
      <c r="CB155" t="str">
        <v/>
      </c>
      <c r="CC155" t="str">
        <v/>
      </c>
      <c r="CD155" t="str">
        <v/>
      </c>
      <c r="CE155" t="str">
        <v/>
      </c>
      <c r="CF155" t="str">
        <v/>
      </c>
    </row>
    <row r="156" spans="58:84" x14ac:dyDescent="0.3">
      <c r="BF156" t="str">
        <v>processor</v>
      </c>
      <c r="BG156" t="str">
        <v>B&amp;B Petroleum Inc 1</v>
      </c>
      <c r="BH156" t="str">
        <v>blendSAF</v>
      </c>
      <c r="BI156" t="str">
        <v/>
      </c>
      <c r="BJ156" t="str">
        <v/>
      </c>
      <c r="BK156" t="str">
        <v/>
      </c>
      <c r="BL156" t="str">
        <v/>
      </c>
      <c r="BM156" t="str">
        <v/>
      </c>
      <c r="BY156" t="str">
        <v>processor</v>
      </c>
      <c r="BZ156" t="str">
        <v>Owens Corning 2</v>
      </c>
      <c r="CA156" t="str">
        <v>blendSAF</v>
      </c>
      <c r="CB156" t="str">
        <v/>
      </c>
      <c r="CC156" t="str">
        <v/>
      </c>
      <c r="CD156" t="str">
        <v/>
      </c>
      <c r="CE156" t="str">
        <v/>
      </c>
      <c r="CF156" t="str">
        <v/>
      </c>
    </row>
    <row r="157" spans="58:84" x14ac:dyDescent="0.3">
      <c r="BF157" t="str">
        <v>processor</v>
      </c>
      <c r="BG157" t="str">
        <v>Buckeye Terminals Llc 109</v>
      </c>
      <c r="BH157" t="str">
        <v>blendSAF</v>
      </c>
      <c r="BI157" t="str">
        <v/>
      </c>
      <c r="BJ157" t="str">
        <v/>
      </c>
      <c r="BK157" t="str">
        <v/>
      </c>
      <c r="BL157" t="str">
        <v/>
      </c>
      <c r="BM157" t="str">
        <v/>
      </c>
      <c r="BY157" t="str">
        <v>processor</v>
      </c>
      <c r="BZ157" t="str">
        <v>Paktank Terminal Los Angeles</v>
      </c>
      <c r="CA157" t="str">
        <v>blendSAF</v>
      </c>
      <c r="CB157" t="str">
        <v/>
      </c>
      <c r="CC157" t="str">
        <v/>
      </c>
      <c r="CD157" t="str">
        <v/>
      </c>
      <c r="CE157" t="str">
        <v/>
      </c>
      <c r="CF157" t="str">
        <v/>
      </c>
    </row>
    <row r="158" spans="58:84" x14ac:dyDescent="0.3">
      <c r="BF158" t="str">
        <v>processor</v>
      </c>
      <c r="BG158" t="str">
        <v>Buckeye Terminals Llc 53</v>
      </c>
      <c r="BH158" t="str">
        <v>blendSAF</v>
      </c>
      <c r="BI158" t="str">
        <v/>
      </c>
      <c r="BJ158" t="str">
        <v/>
      </c>
      <c r="BK158" t="str">
        <v/>
      </c>
      <c r="BL158" t="str">
        <v/>
      </c>
      <c r="BM158" t="str">
        <v/>
      </c>
      <c r="BY158" t="str">
        <v>processor</v>
      </c>
      <c r="BZ158" t="str">
        <v>Vopak Terminal Long Beach Inc</v>
      </c>
      <c r="CA158" t="str">
        <v>blendSAF</v>
      </c>
      <c r="CB158" t="str">
        <v/>
      </c>
      <c r="CC158" t="str">
        <v/>
      </c>
      <c r="CD158" t="str">
        <v/>
      </c>
      <c r="CE158" t="str">
        <v/>
      </c>
      <c r="CF158" t="str">
        <v/>
      </c>
    </row>
    <row r="159" spans="58:84" x14ac:dyDescent="0.3">
      <c r="BF159" t="str">
        <v>processor</v>
      </c>
      <c r="BG159" t="str">
        <v>Buckeye Terminals Llc 73</v>
      </c>
      <c r="BH159" t="str">
        <v>blendSAF</v>
      </c>
      <c r="BI159" t="str">
        <v/>
      </c>
      <c r="BJ159" t="str">
        <v/>
      </c>
      <c r="BK159" t="str">
        <v/>
      </c>
      <c r="BL159" t="str">
        <v/>
      </c>
      <c r="BM159" t="str">
        <v/>
      </c>
      <c r="BY159" t="str">
        <v>processor</v>
      </c>
      <c r="BZ159" t="str">
        <v>Bwc Terminals Llc 9</v>
      </c>
      <c r="CA159" t="str">
        <v>blendSAF</v>
      </c>
      <c r="CB159" t="str">
        <v/>
      </c>
      <c r="CC159" t="str">
        <v/>
      </c>
      <c r="CD159" t="str">
        <v/>
      </c>
      <c r="CE159" t="str">
        <v/>
      </c>
      <c r="CF159" t="str">
        <v/>
      </c>
    </row>
    <row r="160" spans="58:84" x14ac:dyDescent="0.3">
      <c r="BF160" t="str">
        <v>processor</v>
      </c>
      <c r="BG160" t="str">
        <v>Buckeye Terminals Llc 74</v>
      </c>
      <c r="BH160" t="str">
        <v>blendSAF</v>
      </c>
      <c r="BI160" t="str">
        <v/>
      </c>
      <c r="BJ160" t="str">
        <v/>
      </c>
      <c r="BK160" t="str">
        <v/>
      </c>
      <c r="BL160" t="str">
        <v/>
      </c>
      <c r="BM160" t="str">
        <v/>
      </c>
      <c r="BY160" t="str">
        <v>processor</v>
      </c>
      <c r="BZ160" t="str">
        <v>Ribost Terminal Llc</v>
      </c>
      <c r="CA160" t="str">
        <v>blendSAF</v>
      </c>
      <c r="CB160" t="str">
        <v/>
      </c>
      <c r="CC160" t="str">
        <v/>
      </c>
      <c r="CD160" t="str">
        <v/>
      </c>
      <c r="CE160" t="str">
        <v/>
      </c>
      <c r="CF160" t="str">
        <v/>
      </c>
    </row>
    <row r="161" spans="58:84" x14ac:dyDescent="0.3">
      <c r="BF161" t="str">
        <v>processor</v>
      </c>
      <c r="BG161" t="str">
        <v>Buckeye Terminals Llc 75</v>
      </c>
      <c r="BH161" t="str">
        <v>blendSAF</v>
      </c>
      <c r="BI161" t="str">
        <v/>
      </c>
      <c r="BJ161" t="str">
        <v/>
      </c>
      <c r="BK161" t="str">
        <v/>
      </c>
      <c r="BL161" t="str">
        <v/>
      </c>
      <c r="BM161" t="str">
        <v/>
      </c>
      <c r="BY161" t="str">
        <v>processor</v>
      </c>
      <c r="BZ161" t="str">
        <v>Zenith Energy West Coast Terminals</v>
      </c>
      <c r="CA161" t="str">
        <v>blendSAF</v>
      </c>
      <c r="CB161" t="str">
        <v/>
      </c>
      <c r="CC161" t="str">
        <v/>
      </c>
      <c r="CD161" t="str">
        <v/>
      </c>
      <c r="CE161" t="str">
        <v/>
      </c>
      <c r="CF161" t="str">
        <v/>
      </c>
    </row>
    <row r="162" spans="58:84" x14ac:dyDescent="0.3">
      <c r="BF162" t="str">
        <v>processor</v>
      </c>
      <c r="BG162" t="str">
        <v>Global Co Llc 11</v>
      </c>
      <c r="BH162" t="str">
        <v>blendSAF</v>
      </c>
      <c r="BI162" t="str">
        <v/>
      </c>
      <c r="BJ162" t="str">
        <v/>
      </c>
      <c r="BK162" t="str">
        <v/>
      </c>
      <c r="BL162" t="str">
        <v/>
      </c>
      <c r="BM162" t="str">
        <v/>
      </c>
      <c r="BY162" t="str">
        <v>processor</v>
      </c>
      <c r="BZ162" t="str">
        <v>Bkep Materials Llc 4</v>
      </c>
      <c r="CA162" t="str">
        <v>blendSAF</v>
      </c>
      <c r="CB162" t="str">
        <v/>
      </c>
      <c r="CC162" t="str">
        <v/>
      </c>
      <c r="CD162" t="str">
        <v/>
      </c>
      <c r="CE162" t="str">
        <v/>
      </c>
      <c r="CF162" t="str">
        <v/>
      </c>
    </row>
    <row r="163" spans="58:84" x14ac:dyDescent="0.3">
      <c r="BF163" t="str">
        <v>processor</v>
      </c>
      <c r="BG163" t="str">
        <v>Global Co Llc 1</v>
      </c>
      <c r="BH163" t="str">
        <v>blendSAF</v>
      </c>
      <c r="BI163" t="str">
        <v/>
      </c>
      <c r="BJ163" t="str">
        <v/>
      </c>
      <c r="BK163" t="str">
        <v/>
      </c>
      <c r="BL163" t="str">
        <v/>
      </c>
      <c r="BM163" t="str">
        <v/>
      </c>
      <c r="BY163" t="str">
        <v>processor</v>
      </c>
      <c r="BZ163" t="str">
        <v>Bkep Materials Llc 8</v>
      </c>
      <c r="CA163" t="str">
        <v>blendSAF</v>
      </c>
      <c r="CB163" t="str">
        <v/>
      </c>
      <c r="CC163" t="str">
        <v/>
      </c>
      <c r="CD163" t="str">
        <v/>
      </c>
      <c r="CE163" t="str">
        <v/>
      </c>
      <c r="CF163" t="str">
        <v/>
      </c>
    </row>
    <row r="164" spans="58:84" x14ac:dyDescent="0.3">
      <c r="BF164" t="str">
        <v>processor</v>
      </c>
      <c r="BG164" t="str">
        <v>Harborview Terminals Inc</v>
      </c>
      <c r="BH164" t="str">
        <v>blendSAF</v>
      </c>
      <c r="BI164" t="str">
        <v/>
      </c>
      <c r="BJ164" t="str">
        <v/>
      </c>
      <c r="BK164" t="str">
        <v/>
      </c>
      <c r="BL164" t="str">
        <v/>
      </c>
      <c r="BM164" t="str">
        <v/>
      </c>
      <c r="BY164" t="str">
        <v>processor</v>
      </c>
      <c r="BZ164" t="str">
        <v>Bkep Materials Llc 14</v>
      </c>
      <c r="CA164" t="str">
        <v>blendSAF</v>
      </c>
      <c r="CB164" t="str">
        <v/>
      </c>
      <c r="CC164" t="str">
        <v/>
      </c>
      <c r="CD164" t="str">
        <v/>
      </c>
      <c r="CE164" t="str">
        <v/>
      </c>
      <c r="CF164" t="str">
        <v/>
      </c>
    </row>
    <row r="165" spans="58:84" x14ac:dyDescent="0.3">
      <c r="BF165" t="str">
        <v>processor</v>
      </c>
      <c r="BG165" t="str">
        <v>Sprague Operating Resources Llc 13</v>
      </c>
      <c r="BH165" t="str">
        <v>blendSAF</v>
      </c>
      <c r="BI165" t="str">
        <v/>
      </c>
      <c r="BJ165" t="str">
        <v/>
      </c>
      <c r="BK165" t="str">
        <v/>
      </c>
      <c r="BL165" t="str">
        <v/>
      </c>
      <c r="BM165" t="str">
        <v/>
      </c>
      <c r="BY165" t="str">
        <v>processor</v>
      </c>
      <c r="BZ165" t="str">
        <v>Bkep Materials Llc 9</v>
      </c>
      <c r="CA165" t="str">
        <v>blendSAF</v>
      </c>
      <c r="CB165" t="str">
        <v/>
      </c>
      <c r="CC165" t="str">
        <v/>
      </c>
      <c r="CD165" t="str">
        <v/>
      </c>
      <c r="CE165" t="str">
        <v/>
      </c>
      <c r="CF165" t="str">
        <v/>
      </c>
    </row>
    <row r="166" spans="58:84" x14ac:dyDescent="0.3">
      <c r="BF166" t="str">
        <v>processor</v>
      </c>
      <c r="BG166" t="str">
        <v>Sprague Operating Resources Llc 1</v>
      </c>
      <c r="BH166" t="str">
        <v>blendSAF</v>
      </c>
      <c r="BI166" t="str">
        <v/>
      </c>
      <c r="BJ166" t="str">
        <v/>
      </c>
      <c r="BK166" t="str">
        <v/>
      </c>
      <c r="BL166" t="str">
        <v/>
      </c>
      <c r="BM166" t="str">
        <v/>
      </c>
      <c r="BY166" t="str">
        <v>processor</v>
      </c>
      <c r="BZ166" t="str">
        <v>Phillips 66 Pipeline Llc - Denver</v>
      </c>
      <c r="CA166" t="str">
        <v>blendSAF</v>
      </c>
      <c r="CB166" t="str">
        <v/>
      </c>
      <c r="CC166" t="str">
        <v/>
      </c>
      <c r="CD166" t="str">
        <v/>
      </c>
      <c r="CE166" t="str">
        <v/>
      </c>
      <c r="CF166" t="str">
        <v/>
      </c>
    </row>
    <row r="167" spans="58:84" x14ac:dyDescent="0.3">
      <c r="BF167" t="str">
        <v>processor</v>
      </c>
      <c r="BG167" t="str">
        <v>Hop Energy Llc 9</v>
      </c>
      <c r="BH167" t="str">
        <v>blendSAF</v>
      </c>
      <c r="BI167" t="str">
        <v/>
      </c>
      <c r="BJ167" t="str">
        <v/>
      </c>
      <c r="BK167" t="str">
        <v/>
      </c>
      <c r="BL167" t="str">
        <v/>
      </c>
      <c r="BM167" t="str">
        <v/>
      </c>
      <c r="BY167" t="str">
        <v>processor</v>
      </c>
      <c r="BZ167" t="str">
        <v>Phillips 66 Pipeline Llc 6</v>
      </c>
      <c r="CA167" t="str">
        <v>blendSAF</v>
      </c>
      <c r="CB167" t="str">
        <v/>
      </c>
      <c r="CC167" t="str">
        <v/>
      </c>
      <c r="CD167" t="str">
        <v/>
      </c>
      <c r="CE167" t="str">
        <v/>
      </c>
      <c r="CF167" t="str">
        <v/>
      </c>
    </row>
    <row r="168" spans="58:84" x14ac:dyDescent="0.3">
      <c r="BF168" t="str">
        <v>processor</v>
      </c>
      <c r="BG168" t="str">
        <v>Ace Energy Llc</v>
      </c>
      <c r="BH168" t="str">
        <v>blendSAF</v>
      </c>
      <c r="BI168" t="str">
        <v/>
      </c>
      <c r="BJ168" t="str">
        <v/>
      </c>
      <c r="BK168" t="str">
        <v/>
      </c>
      <c r="BL168" t="str">
        <v/>
      </c>
      <c r="BM168" t="str">
        <v/>
      </c>
      <c r="BY168" t="str">
        <v>processor</v>
      </c>
      <c r="BZ168" t="str">
        <v>Golden Gateset Petro Partners Of Nv</v>
      </c>
      <c r="CA168" t="str">
        <v>blendSAF</v>
      </c>
      <c r="CB168" t="str">
        <v/>
      </c>
      <c r="CC168" t="str">
        <v/>
      </c>
      <c r="CD168" t="str">
        <v/>
      </c>
      <c r="CE168" t="str">
        <v/>
      </c>
      <c r="CF168" t="str">
        <v/>
      </c>
    </row>
    <row r="169" spans="58:84" x14ac:dyDescent="0.3">
      <c r="BF169" t="str">
        <v>processor</v>
      </c>
      <c r="BG169" t="str">
        <v>New Haven Terminal Inc 1</v>
      </c>
      <c r="BH169" t="str">
        <v>blendSAF</v>
      </c>
      <c r="BI169" t="str">
        <v/>
      </c>
      <c r="BJ169" t="str">
        <v/>
      </c>
      <c r="BK169" t="str">
        <v/>
      </c>
      <c r="BL169" t="str">
        <v/>
      </c>
      <c r="BM169" t="str">
        <v/>
      </c>
      <c r="BY169" t="str">
        <v>processor</v>
      </c>
      <c r="BZ169" t="str">
        <v>Sinclair Oil Corp 6</v>
      </c>
      <c r="CA169" t="str">
        <v>blendSAF</v>
      </c>
      <c r="CB169" t="str">
        <v/>
      </c>
      <c r="CC169" t="str">
        <v/>
      </c>
      <c r="CD169" t="str">
        <v/>
      </c>
      <c r="CE169" t="str">
        <v/>
      </c>
      <c r="CF169" t="str">
        <v/>
      </c>
    </row>
    <row r="170" spans="58:84" x14ac:dyDescent="0.3">
      <c r="BF170" t="str">
        <v>processor</v>
      </c>
      <c r="BG170" t="str">
        <v>New Haven Terminal Inc 2</v>
      </c>
      <c r="BH170" t="str">
        <v>blendSAF</v>
      </c>
      <c r="BI170" t="str">
        <v/>
      </c>
      <c r="BJ170" t="str">
        <v/>
      </c>
      <c r="BK170" t="str">
        <v/>
      </c>
      <c r="BL170" t="str">
        <v/>
      </c>
      <c r="BM170" t="str">
        <v/>
      </c>
      <c r="BY170" t="str">
        <v>processor</v>
      </c>
      <c r="BZ170" t="str">
        <v>Magellan Pipeline Co Lp 3</v>
      </c>
      <c r="CA170" t="str">
        <v>blendSAF</v>
      </c>
      <c r="CB170" t="str">
        <v/>
      </c>
      <c r="CC170" t="str">
        <v/>
      </c>
      <c r="CD170" t="str">
        <v/>
      </c>
      <c r="CE170" t="str">
        <v/>
      </c>
      <c r="CF170" t="str">
        <v/>
      </c>
    </row>
    <row r="171" spans="58:84" x14ac:dyDescent="0.3">
      <c r="BF171" t="str">
        <v>processor</v>
      </c>
      <c r="BG171" t="str">
        <v>Citgo Petro Corp 23</v>
      </c>
      <c r="BH171" t="str">
        <v>blendSAF</v>
      </c>
      <c r="BI171" t="str">
        <v/>
      </c>
      <c r="BJ171" t="str">
        <v/>
      </c>
      <c r="BK171" t="str">
        <v/>
      </c>
      <c r="BL171" t="str">
        <v/>
      </c>
      <c r="BM171" t="str">
        <v/>
      </c>
      <c r="BY171" t="str">
        <v>processor</v>
      </c>
      <c r="BZ171" t="str">
        <v>Magellan Pipeline Co Lp 14</v>
      </c>
      <c r="CA171" t="str">
        <v>blendSAF</v>
      </c>
      <c r="CB171" t="str">
        <v/>
      </c>
      <c r="CC171" t="str">
        <v/>
      </c>
      <c r="CD171" t="str">
        <v/>
      </c>
      <c r="CE171" t="str">
        <v/>
      </c>
      <c r="CF171" t="str">
        <v/>
      </c>
    </row>
    <row r="172" spans="58:84" x14ac:dyDescent="0.3">
      <c r="BF172" t="str">
        <v>processor</v>
      </c>
      <c r="BG172" t="str">
        <v>Shell Oil Products Us 9</v>
      </c>
      <c r="BH172" t="str">
        <v>blendSAF</v>
      </c>
      <c r="BI172" t="str">
        <v/>
      </c>
      <c r="BJ172" t="str">
        <v/>
      </c>
      <c r="BK172" t="str">
        <v/>
      </c>
      <c r="BL172" t="str">
        <v/>
      </c>
      <c r="BM172" t="str">
        <v/>
      </c>
      <c r="BY172" t="str">
        <v>processor</v>
      </c>
      <c r="BZ172" t="str">
        <v>Magellan Pipeline Co Lp 10</v>
      </c>
      <c r="CA172" t="str">
        <v>blendSAF</v>
      </c>
      <c r="CB172" t="str">
        <v/>
      </c>
      <c r="CC172" t="str">
        <v/>
      </c>
      <c r="CD172" t="str">
        <v/>
      </c>
      <c r="CE172" t="str">
        <v/>
      </c>
      <c r="CF172" t="str">
        <v/>
      </c>
    </row>
    <row r="173" spans="58:84" x14ac:dyDescent="0.3">
      <c r="BF173" t="str">
        <v>processor</v>
      </c>
      <c r="BG173" t="str">
        <v>Inland Fuel</v>
      </c>
      <c r="BH173" t="str">
        <v>blendSAF</v>
      </c>
      <c r="BI173" t="str">
        <v/>
      </c>
      <c r="BJ173" t="str">
        <v/>
      </c>
      <c r="BK173" t="str">
        <v/>
      </c>
      <c r="BL173" t="str">
        <v/>
      </c>
      <c r="BM173" t="str">
        <v/>
      </c>
      <c r="BY173" t="str">
        <v>processor</v>
      </c>
      <c r="BZ173" t="str">
        <v>Nustar Energy Lp 6</v>
      </c>
      <c r="CA173" t="str">
        <v>blendSAF</v>
      </c>
      <c r="CB173" t="str">
        <v/>
      </c>
      <c r="CC173" t="str">
        <v/>
      </c>
      <c r="CD173" t="str">
        <v/>
      </c>
      <c r="CE173" t="str">
        <v/>
      </c>
      <c r="CF173" t="str">
        <v/>
      </c>
    </row>
    <row r="174" spans="58:84" x14ac:dyDescent="0.3">
      <c r="BF174" t="str">
        <v>processor</v>
      </c>
      <c r="BG174" t="str">
        <v>Waterfront Enterprises Inc</v>
      </c>
      <c r="BH174" t="str">
        <v>blendSAF</v>
      </c>
      <c r="BI174" t="str">
        <v/>
      </c>
      <c r="BJ174" t="str">
        <v/>
      </c>
      <c r="BK174" t="str">
        <v/>
      </c>
      <c r="BL174" t="str">
        <v/>
      </c>
      <c r="BM174" t="str">
        <v/>
      </c>
      <c r="BY174" t="str">
        <v>processor</v>
      </c>
      <c r="BZ174" t="str">
        <v>Nustar Energy Lp 13</v>
      </c>
      <c r="CA174" t="str">
        <v>blendSAF</v>
      </c>
      <c r="CB174" t="str">
        <v/>
      </c>
      <c r="CC174" t="str">
        <v/>
      </c>
      <c r="CD174" t="str">
        <v/>
      </c>
      <c r="CE174" t="str">
        <v/>
      </c>
      <c r="CF174" t="str">
        <v/>
      </c>
    </row>
    <row r="175" spans="58:84" x14ac:dyDescent="0.3">
      <c r="BF175" t="str">
        <v>processor</v>
      </c>
      <c r="BG175" t="str">
        <v>Buckeye Terminals Llc 112</v>
      </c>
      <c r="BH175" t="str">
        <v>blendSAF</v>
      </c>
      <c r="BI175" t="str">
        <v/>
      </c>
      <c r="BJ175" t="str">
        <v/>
      </c>
      <c r="BK175" t="str">
        <v/>
      </c>
      <c r="BL175" t="str">
        <v/>
      </c>
      <c r="BM175" t="str">
        <v/>
      </c>
      <c r="BY175" t="str">
        <v>processor</v>
      </c>
      <c r="BZ175" t="str">
        <v>Owens Corning 3</v>
      </c>
      <c r="CA175" t="str">
        <v>blendSAF</v>
      </c>
      <c r="CB175" t="str">
        <v/>
      </c>
      <c r="CC175" t="str">
        <v/>
      </c>
      <c r="CD175" t="str">
        <v/>
      </c>
      <c r="CE175" t="str">
        <v/>
      </c>
      <c r="CF175" t="str">
        <v/>
      </c>
    </row>
    <row r="176" spans="58:84" x14ac:dyDescent="0.3">
      <c r="BF176" t="str">
        <v>processor</v>
      </c>
      <c r="BG176" t="str">
        <v>Chevron Usa Inc Panama City</v>
      </c>
      <c r="BH176" t="str">
        <v>blendSAF</v>
      </c>
      <c r="BI176" t="str">
        <v/>
      </c>
      <c r="BJ176" t="str">
        <v/>
      </c>
      <c r="BK176" t="str">
        <v/>
      </c>
      <c r="BL176" t="str">
        <v/>
      </c>
      <c r="BM176" t="str">
        <v/>
      </c>
      <c r="BY176" t="str">
        <v>processor</v>
      </c>
      <c r="BZ176" t="str">
        <v>Gulf Oil Lp 3</v>
      </c>
      <c r="CA176" t="str">
        <v>blendSAF</v>
      </c>
      <c r="CB176" t="str">
        <v/>
      </c>
      <c r="CC176" t="str">
        <v/>
      </c>
      <c r="CD176" t="str">
        <v/>
      </c>
      <c r="CE176" t="str">
        <v/>
      </c>
      <c r="CF176" t="str">
        <v/>
      </c>
    </row>
    <row r="177" spans="58:84" x14ac:dyDescent="0.3">
      <c r="BF177" t="str">
        <v>processor</v>
      </c>
      <c r="BG177" t="str">
        <v>Chevron Usa Inc Tampa</v>
      </c>
      <c r="BH177" t="str">
        <v>blendSAF</v>
      </c>
      <c r="BI177" t="str">
        <v/>
      </c>
      <c r="BJ177" t="str">
        <v/>
      </c>
      <c r="BK177" t="str">
        <v/>
      </c>
      <c r="BL177" t="str">
        <v/>
      </c>
      <c r="BM177" t="str">
        <v/>
      </c>
      <c r="BY177" t="str">
        <v>processor</v>
      </c>
      <c r="BZ177" t="str">
        <v>B&amp;B Petroleum Inc 2</v>
      </c>
      <c r="CA177" t="str">
        <v>blendSAF</v>
      </c>
      <c r="CB177" t="str">
        <v/>
      </c>
      <c r="CC177" t="str">
        <v/>
      </c>
      <c r="CD177" t="str">
        <v/>
      </c>
      <c r="CE177" t="str">
        <v/>
      </c>
      <c r="CF177" t="str">
        <v/>
      </c>
    </row>
    <row r="178" spans="58:84" x14ac:dyDescent="0.3">
      <c r="BF178" t="str">
        <v>processor</v>
      </c>
      <c r="BG178" t="str">
        <v>Chevron Usa Inc Fort Lauderdale</v>
      </c>
      <c r="BH178" t="str">
        <v>blendSAF</v>
      </c>
      <c r="BI178" t="str">
        <v/>
      </c>
      <c r="BJ178" t="str">
        <v/>
      </c>
      <c r="BK178" t="str">
        <v/>
      </c>
      <c r="BL178" t="str">
        <v/>
      </c>
      <c r="BM178" t="str">
        <v/>
      </c>
      <c r="BY178" t="str">
        <v>processor</v>
      </c>
      <c r="BZ178" t="str">
        <v>B&amp;B Petroleum Inc 1</v>
      </c>
      <c r="CA178" t="str">
        <v>blendSAF</v>
      </c>
      <c r="CB178" t="str">
        <v/>
      </c>
      <c r="CC178" t="str">
        <v/>
      </c>
      <c r="CD178" t="str">
        <v/>
      </c>
      <c r="CE178" t="str">
        <v/>
      </c>
      <c r="CF178" t="str">
        <v/>
      </c>
    </row>
    <row r="179" spans="58:84" x14ac:dyDescent="0.3">
      <c r="BF179" t="str">
        <v>processor</v>
      </c>
      <c r="BG179" t="str">
        <v>Petroleum Fuel &amp; Terminal Co 8</v>
      </c>
      <c r="BH179" t="str">
        <v>blendSAF</v>
      </c>
      <c r="BI179" t="str">
        <v/>
      </c>
      <c r="BJ179" t="str">
        <v/>
      </c>
      <c r="BK179" t="str">
        <v/>
      </c>
      <c r="BL179" t="str">
        <v/>
      </c>
      <c r="BM179" t="str">
        <v/>
      </c>
      <c r="BY179" t="str">
        <v>processor</v>
      </c>
      <c r="BZ179" t="str">
        <v>Buckeye Terminals Llc 109</v>
      </c>
      <c r="CA179" t="str">
        <v>blendSAF</v>
      </c>
      <c r="CB179" t="str">
        <v/>
      </c>
      <c r="CC179" t="str">
        <v/>
      </c>
      <c r="CD179" t="str">
        <v/>
      </c>
      <c r="CE179" t="str">
        <v/>
      </c>
      <c r="CF179" t="str">
        <v/>
      </c>
    </row>
    <row r="180" spans="58:84" x14ac:dyDescent="0.3">
      <c r="BF180" t="str">
        <v>processor</v>
      </c>
      <c r="BG180" t="str">
        <v>Murphy Oil Usa Inc 56</v>
      </c>
      <c r="BH180" t="str">
        <v>blendSAF</v>
      </c>
      <c r="BI180" t="str">
        <v/>
      </c>
      <c r="BJ180" t="str">
        <v/>
      </c>
      <c r="BK180" t="str">
        <v/>
      </c>
      <c r="BL180" t="str">
        <v/>
      </c>
      <c r="BM180" t="str">
        <v/>
      </c>
      <c r="BY180" t="str">
        <v>processor</v>
      </c>
      <c r="BZ180" t="str">
        <v>Buckeye Terminals Llc 53</v>
      </c>
      <c r="CA180" t="str">
        <v>blendSAF</v>
      </c>
      <c r="CB180" t="str">
        <v/>
      </c>
      <c r="CC180" t="str">
        <v/>
      </c>
      <c r="CD180" t="str">
        <v/>
      </c>
      <c r="CE180" t="str">
        <v/>
      </c>
      <c r="CF180" t="str">
        <v/>
      </c>
    </row>
    <row r="181" spans="58:84" x14ac:dyDescent="0.3">
      <c r="BF181" t="str">
        <v>processor</v>
      </c>
      <c r="BG181" t="str">
        <v>Murphy Oil Usa Inc 51</v>
      </c>
      <c r="BH181" t="str">
        <v>blendSAF</v>
      </c>
      <c r="BI181" t="str">
        <v/>
      </c>
      <c r="BJ181" t="str">
        <v/>
      </c>
      <c r="BK181" t="str">
        <v/>
      </c>
      <c r="BL181" t="str">
        <v/>
      </c>
      <c r="BM181" t="str">
        <v/>
      </c>
      <c r="BY181" t="str">
        <v>processor</v>
      </c>
      <c r="BZ181" t="str">
        <v>Buckeye Terminals Llc 73</v>
      </c>
      <c r="CA181" t="str">
        <v>blendSAF</v>
      </c>
      <c r="CB181" t="str">
        <v/>
      </c>
      <c r="CC181" t="str">
        <v/>
      </c>
      <c r="CD181" t="str">
        <v/>
      </c>
      <c r="CE181" t="str">
        <v/>
      </c>
      <c r="CF181" t="str">
        <v/>
      </c>
    </row>
    <row r="182" spans="58:84" x14ac:dyDescent="0.3">
      <c r="BF182" t="str">
        <v>processor</v>
      </c>
      <c r="BG182" t="str">
        <v>Associated Asphalt Lake City Llc</v>
      </c>
      <c r="BH182" t="str">
        <v>blendSAF</v>
      </c>
      <c r="BI182" t="str">
        <v/>
      </c>
      <c r="BJ182" t="str">
        <v/>
      </c>
      <c r="BK182" t="str">
        <v/>
      </c>
      <c r="BL182" t="str">
        <v/>
      </c>
      <c r="BM182" t="str">
        <v/>
      </c>
      <c r="BY182" t="str">
        <v>processor</v>
      </c>
      <c r="BZ182" t="str">
        <v>Buckeye Terminals Llc 74</v>
      </c>
      <c r="CA182" t="str">
        <v>blendSAF</v>
      </c>
      <c r="CB182" t="str">
        <v/>
      </c>
      <c r="CC182" t="str">
        <v/>
      </c>
      <c r="CD182" t="str">
        <v/>
      </c>
      <c r="CE182" t="str">
        <v/>
      </c>
      <c r="CF182" t="str">
        <v/>
      </c>
    </row>
    <row r="183" spans="58:84" x14ac:dyDescent="0.3">
      <c r="BF183" t="str">
        <v>processor</v>
      </c>
      <c r="BG183" t="str">
        <v>Associated Asphalt Tampa Llc</v>
      </c>
      <c r="BH183" t="str">
        <v>blendSAF</v>
      </c>
      <c r="BI183" t="str">
        <v/>
      </c>
      <c r="BJ183" t="str">
        <v/>
      </c>
      <c r="BK183" t="str">
        <v/>
      </c>
      <c r="BL183" t="str">
        <v/>
      </c>
      <c r="BM183" t="str">
        <v/>
      </c>
      <c r="BY183" t="str">
        <v>processor</v>
      </c>
      <c r="BZ183" t="str">
        <v>Buckeye Terminals Llc 75</v>
      </c>
      <c r="CA183" t="str">
        <v>blendSAF</v>
      </c>
      <c r="CB183" t="str">
        <v/>
      </c>
      <c r="CC183" t="str">
        <v/>
      </c>
      <c r="CD183" t="str">
        <v/>
      </c>
      <c r="CE183" t="str">
        <v/>
      </c>
      <c r="CF183" t="str">
        <v/>
      </c>
    </row>
    <row r="184" spans="58:84" x14ac:dyDescent="0.3">
      <c r="BF184" t="str">
        <v>processor</v>
      </c>
      <c r="BG184" t="str">
        <v>Buckeye Terminals Llc 101</v>
      </c>
      <c r="BH184" t="str">
        <v>blendSAF</v>
      </c>
      <c r="BI184" t="str">
        <v/>
      </c>
      <c r="BJ184" t="str">
        <v/>
      </c>
      <c r="BK184" t="str">
        <v/>
      </c>
      <c r="BL184" t="str">
        <v/>
      </c>
      <c r="BM184" t="str">
        <v/>
      </c>
      <c r="BY184" t="str">
        <v>processor</v>
      </c>
      <c r="BZ184" t="str">
        <v>Global Co Llc 11</v>
      </c>
      <c r="CA184" t="str">
        <v>blendSAF</v>
      </c>
      <c r="CB184" t="str">
        <v/>
      </c>
      <c r="CC184" t="str">
        <v/>
      </c>
      <c r="CD184" t="str">
        <v/>
      </c>
      <c r="CE184" t="str">
        <v/>
      </c>
      <c r="CF184" t="str">
        <v/>
      </c>
    </row>
    <row r="185" spans="58:84" x14ac:dyDescent="0.3">
      <c r="BF185" t="str">
        <v>processor</v>
      </c>
      <c r="BG185" t="str">
        <v>Buckeye Terminals Llc 49</v>
      </c>
      <c r="BH185" t="str">
        <v>blendSAF</v>
      </c>
      <c r="BI185" t="str">
        <v/>
      </c>
      <c r="BJ185" t="str">
        <v/>
      </c>
      <c r="BK185" t="str">
        <v/>
      </c>
      <c r="BL185" t="str">
        <v/>
      </c>
      <c r="BM185" t="str">
        <v/>
      </c>
      <c r="BY185" t="str">
        <v>processor</v>
      </c>
      <c r="BZ185" t="str">
        <v>Global Co Llc 1</v>
      </c>
      <c r="CA185" t="str">
        <v>blendSAF</v>
      </c>
      <c r="CB185" t="str">
        <v/>
      </c>
      <c r="CC185" t="str">
        <v/>
      </c>
      <c r="CD185" t="str">
        <v/>
      </c>
      <c r="CE185" t="str">
        <v/>
      </c>
      <c r="CF185" t="str">
        <v/>
      </c>
    </row>
    <row r="186" spans="58:84" x14ac:dyDescent="0.3">
      <c r="BF186" t="str">
        <v>processor</v>
      </c>
      <c r="BG186" t="str">
        <v>Buckeye Terminals Llc 60</v>
      </c>
      <c r="BH186" t="str">
        <v>blendSAF</v>
      </c>
      <c r="BI186" t="str">
        <v/>
      </c>
      <c r="BJ186" t="str">
        <v/>
      </c>
      <c r="BK186" t="str">
        <v/>
      </c>
      <c r="BL186" t="str">
        <v/>
      </c>
      <c r="BM186" t="str">
        <v/>
      </c>
      <c r="BY186" t="str">
        <v>processor</v>
      </c>
      <c r="BZ186" t="str">
        <v>Harborview Terminals Inc</v>
      </c>
      <c r="CA186" t="str">
        <v>blendSAF</v>
      </c>
      <c r="CB186" t="str">
        <v/>
      </c>
      <c r="CC186" t="str">
        <v/>
      </c>
      <c r="CD186" t="str">
        <v/>
      </c>
      <c r="CE186" t="str">
        <v/>
      </c>
      <c r="CF186" t="str">
        <v/>
      </c>
    </row>
    <row r="187" spans="58:84" x14ac:dyDescent="0.3">
      <c r="BF187" t="str">
        <v>processor</v>
      </c>
      <c r="BG187" t="str">
        <v>Buckeye Terminals Llc 102</v>
      </c>
      <c r="BH187" t="str">
        <v>blendSAF</v>
      </c>
      <c r="BI187" t="str">
        <v/>
      </c>
      <c r="BJ187" t="str">
        <v/>
      </c>
      <c r="BK187" t="str">
        <v/>
      </c>
      <c r="BL187" t="str">
        <v/>
      </c>
      <c r="BM187" t="str">
        <v/>
      </c>
      <c r="BY187" t="str">
        <v>processor</v>
      </c>
      <c r="BZ187" t="str">
        <v>Sprague Operating Resources Llc 13</v>
      </c>
      <c r="CA187" t="str">
        <v>blendSAF</v>
      </c>
      <c r="CB187" t="str">
        <v/>
      </c>
      <c r="CC187" t="str">
        <v/>
      </c>
      <c r="CD187" t="str">
        <v/>
      </c>
      <c r="CE187" t="str">
        <v/>
      </c>
      <c r="CF187" t="str">
        <v/>
      </c>
    </row>
    <row r="188" spans="58:84" x14ac:dyDescent="0.3">
      <c r="BF188" t="str">
        <v>processor</v>
      </c>
      <c r="BG188" t="str">
        <v>Sunoco Llc 8</v>
      </c>
      <c r="BH188" t="str">
        <v>blendSAF</v>
      </c>
      <c r="BI188" t="str">
        <v/>
      </c>
      <c r="BJ188" t="str">
        <v/>
      </c>
      <c r="BK188" t="str">
        <v/>
      </c>
      <c r="BL188" t="str">
        <v/>
      </c>
      <c r="BM188" t="str">
        <v/>
      </c>
      <c r="BY188" t="str">
        <v>processor</v>
      </c>
      <c r="BZ188" t="str">
        <v>Sprague Operating Resources Llc 1</v>
      </c>
      <c r="CA188" t="str">
        <v>blendSAF</v>
      </c>
      <c r="CB188" t="str">
        <v/>
      </c>
      <c r="CC188" t="str">
        <v/>
      </c>
      <c r="CD188" t="str">
        <v/>
      </c>
      <c r="CE188" t="str">
        <v/>
      </c>
      <c r="CF188" t="str">
        <v/>
      </c>
    </row>
    <row r="189" spans="58:84" x14ac:dyDescent="0.3">
      <c r="BF189" t="str">
        <v>processor</v>
      </c>
      <c r="BG189" t="str">
        <v>Exxonmobil Pl Co 3</v>
      </c>
      <c r="BH189" t="str">
        <v>blendSAF</v>
      </c>
      <c r="BI189" t="str">
        <v/>
      </c>
      <c r="BJ189" t="str">
        <v/>
      </c>
      <c r="BK189" t="str">
        <v/>
      </c>
      <c r="BL189" t="str">
        <v/>
      </c>
      <c r="BM189" t="str">
        <v/>
      </c>
      <c r="BY189" t="str">
        <v>processor</v>
      </c>
      <c r="BZ189" t="str">
        <v>Hop Energy Llc 9</v>
      </c>
      <c r="CA189" t="str">
        <v>blendSAF</v>
      </c>
      <c r="CB189" t="str">
        <v/>
      </c>
      <c r="CC189" t="str">
        <v/>
      </c>
      <c r="CD189" t="str">
        <v/>
      </c>
      <c r="CE189" t="str">
        <v/>
      </c>
      <c r="CF189" t="str">
        <v/>
      </c>
    </row>
    <row r="190" spans="58:84" x14ac:dyDescent="0.3">
      <c r="BF190" t="str">
        <v>processor</v>
      </c>
      <c r="BG190" t="str">
        <v>Kindermorgan 2</v>
      </c>
      <c r="BH190" t="str">
        <v>blendSAF</v>
      </c>
      <c r="BI190" t="str">
        <v/>
      </c>
      <c r="BJ190" t="str">
        <v/>
      </c>
      <c r="BK190" t="str">
        <v/>
      </c>
      <c r="BL190" t="str">
        <v/>
      </c>
      <c r="BM190" t="str">
        <v/>
      </c>
      <c r="BY190" t="str">
        <v>processor</v>
      </c>
      <c r="BZ190" t="str">
        <v>Ace Energy Llc</v>
      </c>
      <c r="CA190" t="str">
        <v>blendSAF</v>
      </c>
      <c r="CB190" t="str">
        <v/>
      </c>
      <c r="CC190" t="str">
        <v/>
      </c>
      <c r="CD190" t="str">
        <v/>
      </c>
      <c r="CE190" t="str">
        <v/>
      </c>
      <c r="CF190" t="str">
        <v/>
      </c>
    </row>
    <row r="191" spans="58:84" x14ac:dyDescent="0.3">
      <c r="BF191" t="str">
        <v>processor</v>
      </c>
      <c r="BG191" t="str">
        <v>Kinder Morgan Se Trmnls Llc 2</v>
      </c>
      <c r="BH191" t="str">
        <v>blendSAF</v>
      </c>
      <c r="BI191" t="str">
        <v/>
      </c>
      <c r="BJ191" t="str">
        <v/>
      </c>
      <c r="BK191" t="str">
        <v/>
      </c>
      <c r="BL191" t="str">
        <v/>
      </c>
      <c r="BM191" t="str">
        <v/>
      </c>
      <c r="BY191" t="str">
        <v>processor</v>
      </c>
      <c r="BZ191" t="str">
        <v>New Haven Terminal Inc 1</v>
      </c>
      <c r="CA191" t="str">
        <v>blendSAF</v>
      </c>
      <c r="CB191" t="str">
        <v/>
      </c>
      <c r="CC191" t="str">
        <v/>
      </c>
      <c r="CD191" t="str">
        <v/>
      </c>
      <c r="CE191" t="str">
        <v/>
      </c>
      <c r="CF191" t="str">
        <v/>
      </c>
    </row>
    <row r="192" spans="58:84" x14ac:dyDescent="0.3">
      <c r="BF192" t="str">
        <v>processor</v>
      </c>
      <c r="BG192" t="str">
        <v>Marathon Petroleum Co Llc 20</v>
      </c>
      <c r="BH192" t="str">
        <v>blendSAF</v>
      </c>
      <c r="BI192" t="str">
        <v/>
      </c>
      <c r="BJ192" t="str">
        <v/>
      </c>
      <c r="BK192" t="str">
        <v/>
      </c>
      <c r="BL192" t="str">
        <v/>
      </c>
      <c r="BM192" t="str">
        <v/>
      </c>
      <c r="BY192" t="str">
        <v>processor</v>
      </c>
      <c r="BZ192" t="str">
        <v>New Haven Terminal Inc 2</v>
      </c>
      <c r="CA192" t="str">
        <v>blendSAF</v>
      </c>
      <c r="CB192" t="str">
        <v/>
      </c>
      <c r="CC192" t="str">
        <v/>
      </c>
      <c r="CD192" t="str">
        <v/>
      </c>
      <c r="CE192" t="str">
        <v/>
      </c>
      <c r="CF192" t="str">
        <v/>
      </c>
    </row>
    <row r="193" spans="58:84" x14ac:dyDescent="0.3">
      <c r="BF193" t="str">
        <v>processor</v>
      </c>
      <c r="BG193" t="str">
        <v>Mplx Terminals Llc 18</v>
      </c>
      <c r="BH193" t="str">
        <v>blendSAF</v>
      </c>
      <c r="BI193" t="str">
        <v/>
      </c>
      <c r="BJ193" t="str">
        <v/>
      </c>
      <c r="BK193" t="str">
        <v/>
      </c>
      <c r="BL193" t="str">
        <v/>
      </c>
      <c r="BM193" t="str">
        <v/>
      </c>
      <c r="BY193" t="str">
        <v>processor</v>
      </c>
      <c r="BZ193" t="str">
        <v>Citgo Petro Corp 23</v>
      </c>
      <c r="CA193" t="str">
        <v>blendSAF</v>
      </c>
      <c r="CB193" t="str">
        <v/>
      </c>
      <c r="CC193" t="str">
        <v/>
      </c>
      <c r="CD193" t="str">
        <v/>
      </c>
      <c r="CE193" t="str">
        <v/>
      </c>
      <c r="CF193" t="str">
        <v/>
      </c>
    </row>
    <row r="194" spans="58:84" x14ac:dyDescent="0.3">
      <c r="BF194" t="str">
        <v>processor</v>
      </c>
      <c r="BG194" t="str">
        <v>Mplx Terminals Llc 49</v>
      </c>
      <c r="BH194" t="str">
        <v>blendSAF</v>
      </c>
      <c r="BI194" t="str">
        <v/>
      </c>
      <c r="BJ194" t="str">
        <v/>
      </c>
      <c r="BK194" t="str">
        <v/>
      </c>
      <c r="BL194" t="str">
        <v/>
      </c>
      <c r="BM194" t="str">
        <v/>
      </c>
      <c r="BY194" t="str">
        <v>processor</v>
      </c>
      <c r="BZ194" t="str">
        <v>Shell Oil Products Us 9</v>
      </c>
      <c r="CA194" t="str">
        <v>blendSAF</v>
      </c>
      <c r="CB194" t="str">
        <v/>
      </c>
      <c r="CC194" t="str">
        <v/>
      </c>
      <c r="CD194" t="str">
        <v/>
      </c>
      <c r="CE194" t="str">
        <v/>
      </c>
      <c r="CF194" t="str">
        <v/>
      </c>
    </row>
    <row r="195" spans="58:84" x14ac:dyDescent="0.3">
      <c r="BF195" t="str">
        <v>processor</v>
      </c>
      <c r="BG195" t="str">
        <v>Mplx Terminals Llc 19</v>
      </c>
      <c r="BH195" t="str">
        <v>blendSAF</v>
      </c>
      <c r="BI195" t="str">
        <v/>
      </c>
      <c r="BJ195" t="str">
        <v/>
      </c>
      <c r="BK195" t="str">
        <v/>
      </c>
      <c r="BL195" t="str">
        <v/>
      </c>
      <c r="BM195" t="str">
        <v/>
      </c>
      <c r="BY195" t="str">
        <v>processor</v>
      </c>
      <c r="BZ195" t="str">
        <v>Inland Fuel</v>
      </c>
      <c r="CA195" t="str">
        <v>blendSAF</v>
      </c>
      <c r="CB195" t="str">
        <v/>
      </c>
      <c r="CC195" t="str">
        <v/>
      </c>
      <c r="CD195" t="str">
        <v/>
      </c>
      <c r="CE195" t="str">
        <v/>
      </c>
      <c r="CF195" t="str">
        <v/>
      </c>
    </row>
    <row r="196" spans="58:84" x14ac:dyDescent="0.3">
      <c r="BF196" t="str">
        <v>processor</v>
      </c>
      <c r="BG196" t="str">
        <v>Martin Midstream Partnership Lp</v>
      </c>
      <c r="BH196" t="str">
        <v>blendSAF</v>
      </c>
      <c r="BI196" t="str">
        <v/>
      </c>
      <c r="BJ196" t="str">
        <v/>
      </c>
      <c r="BK196" t="str">
        <v/>
      </c>
      <c r="BL196" t="str">
        <v/>
      </c>
      <c r="BM196" t="str">
        <v/>
      </c>
      <c r="BY196" t="str">
        <v>processor</v>
      </c>
      <c r="BZ196" t="str">
        <v>Waterfront Enterprises Inc</v>
      </c>
      <c r="CA196" t="str">
        <v>blendSAF</v>
      </c>
      <c r="CB196" t="str">
        <v/>
      </c>
      <c r="CC196" t="str">
        <v/>
      </c>
      <c r="CD196" t="str">
        <v/>
      </c>
      <c r="CE196" t="str">
        <v/>
      </c>
      <c r="CF196" t="str">
        <v/>
      </c>
    </row>
    <row r="197" spans="58:84" x14ac:dyDescent="0.3">
      <c r="BF197" t="str">
        <v>processor</v>
      </c>
      <c r="BG197" t="str">
        <v>Mck Terminals Llc 2</v>
      </c>
      <c r="BH197" t="str">
        <v>blendSAF</v>
      </c>
      <c r="BI197" t="str">
        <v/>
      </c>
      <c r="BJ197" t="str">
        <v/>
      </c>
      <c r="BK197" t="str">
        <v/>
      </c>
      <c r="BL197" t="str">
        <v/>
      </c>
      <c r="BM197" t="str">
        <v/>
      </c>
      <c r="BY197" t="str">
        <v>processor</v>
      </c>
      <c r="BZ197" t="str">
        <v>Buckeye Terminals Llc 112</v>
      </c>
      <c r="CA197" t="str">
        <v>blendSAF</v>
      </c>
      <c r="CB197" t="str">
        <v/>
      </c>
      <c r="CC197" t="str">
        <v/>
      </c>
      <c r="CD197" t="str">
        <v/>
      </c>
      <c r="CE197" t="str">
        <v/>
      </c>
      <c r="CF197" t="str">
        <v/>
      </c>
    </row>
    <row r="198" spans="58:84" x14ac:dyDescent="0.3">
      <c r="BF198" t="str">
        <v>processor</v>
      </c>
      <c r="BG198" t="str">
        <v>Omega Partners Iii Llc 3</v>
      </c>
      <c r="BH198" t="str">
        <v>blendSAF</v>
      </c>
      <c r="BI198" t="str">
        <v/>
      </c>
      <c r="BJ198" t="str">
        <v/>
      </c>
      <c r="BK198" t="str">
        <v/>
      </c>
      <c r="BL198" t="str">
        <v/>
      </c>
      <c r="BM198" t="str">
        <v/>
      </c>
      <c r="BY198" t="str">
        <v>processor</v>
      </c>
      <c r="BZ198" t="str">
        <v>Chevron Usa Inc Panama City</v>
      </c>
      <c r="CA198" t="str">
        <v>blendSAF</v>
      </c>
      <c r="CB198" t="str">
        <v/>
      </c>
      <c r="CC198" t="str">
        <v/>
      </c>
      <c r="CD198" t="str">
        <v/>
      </c>
      <c r="CE198" t="str">
        <v/>
      </c>
      <c r="CF198" t="str">
        <v/>
      </c>
    </row>
    <row r="199" spans="58:84" x14ac:dyDescent="0.3">
      <c r="BF199" t="str">
        <v>processor</v>
      </c>
      <c r="BG199" t="str">
        <v>Citgo Petroleum Corp 38</v>
      </c>
      <c r="BH199" t="str">
        <v>blendSAF</v>
      </c>
      <c r="BI199" t="str">
        <v/>
      </c>
      <c r="BJ199" t="str">
        <v/>
      </c>
      <c r="BK199" t="str">
        <v/>
      </c>
      <c r="BL199" t="str">
        <v/>
      </c>
      <c r="BM199" t="str">
        <v/>
      </c>
      <c r="BY199" t="str">
        <v>processor</v>
      </c>
      <c r="BZ199" t="str">
        <v>Chevron Usa Inc Tampa</v>
      </c>
      <c r="CA199" t="str">
        <v>blendSAF</v>
      </c>
      <c r="CB199" t="str">
        <v/>
      </c>
      <c r="CC199" t="str">
        <v/>
      </c>
      <c r="CD199" t="str">
        <v/>
      </c>
      <c r="CE199" t="str">
        <v/>
      </c>
      <c r="CF199" t="str">
        <v/>
      </c>
    </row>
    <row r="200" spans="58:84" x14ac:dyDescent="0.3">
      <c r="BF200" t="str">
        <v>processor</v>
      </c>
      <c r="BG200" t="str">
        <v>Citgo Petroleum Corp 29</v>
      </c>
      <c r="BH200" t="str">
        <v>blendSAF</v>
      </c>
      <c r="BI200" t="str">
        <v/>
      </c>
      <c r="BJ200" t="str">
        <v/>
      </c>
      <c r="BK200" t="str">
        <v/>
      </c>
      <c r="BL200" t="str">
        <v/>
      </c>
      <c r="BM200" t="str">
        <v/>
      </c>
      <c r="BY200" t="str">
        <v>processor</v>
      </c>
      <c r="BZ200" t="str">
        <v>Chevron Usa Inc Fort Lauderdale</v>
      </c>
      <c r="CA200" t="str">
        <v>blendSAF</v>
      </c>
      <c r="CB200" t="str">
        <v/>
      </c>
      <c r="CC200" t="str">
        <v/>
      </c>
      <c r="CD200" t="str">
        <v/>
      </c>
      <c r="CE200" t="str">
        <v/>
      </c>
      <c r="CF200" t="str">
        <v/>
      </c>
    </row>
    <row r="201" spans="58:84" x14ac:dyDescent="0.3">
      <c r="BF201" t="str">
        <v>processor</v>
      </c>
      <c r="BG201" t="str">
        <v>Citgo Petroleum Corp 33</v>
      </c>
      <c r="BH201" t="str">
        <v>blendSAF</v>
      </c>
      <c r="BI201" t="str">
        <v/>
      </c>
      <c r="BJ201" t="str">
        <v/>
      </c>
      <c r="BK201" t="str">
        <v/>
      </c>
      <c r="BL201" t="str">
        <v/>
      </c>
      <c r="BM201" t="str">
        <v/>
      </c>
      <c r="BY201" t="str">
        <v>processor</v>
      </c>
      <c r="BZ201" t="str">
        <v>Petroleum Fuel &amp; Terminal Co 8</v>
      </c>
      <c r="CA201" t="str">
        <v>blendSAF</v>
      </c>
      <c r="CB201" t="str">
        <v/>
      </c>
      <c r="CC201" t="str">
        <v/>
      </c>
      <c r="CD201" t="str">
        <v/>
      </c>
      <c r="CE201" t="str">
        <v/>
      </c>
      <c r="CF201" t="str">
        <v/>
      </c>
    </row>
    <row r="202" spans="58:84" x14ac:dyDescent="0.3">
      <c r="BF202" t="str">
        <v>processor</v>
      </c>
      <c r="BG202" t="str">
        <v>Plains Lpg Services Lp 8</v>
      </c>
      <c r="BH202" t="str">
        <v>blendSAF</v>
      </c>
      <c r="BI202" t="str">
        <v/>
      </c>
      <c r="BJ202" t="str">
        <v/>
      </c>
      <c r="BK202" t="str">
        <v/>
      </c>
      <c r="BL202" t="str">
        <v/>
      </c>
      <c r="BM202" t="str">
        <v/>
      </c>
      <c r="BY202" t="str">
        <v>processor</v>
      </c>
      <c r="BZ202" t="str">
        <v>Murphy Oil Usa Inc 56</v>
      </c>
      <c r="CA202" t="str">
        <v>blendSAF</v>
      </c>
      <c r="CB202" t="str">
        <v/>
      </c>
      <c r="CC202" t="str">
        <v/>
      </c>
      <c r="CD202" t="str">
        <v/>
      </c>
      <c r="CE202" t="str">
        <v/>
      </c>
      <c r="CF202" t="str">
        <v/>
      </c>
    </row>
    <row r="203" spans="58:84" x14ac:dyDescent="0.3">
      <c r="BF203" t="str">
        <v>processor</v>
      </c>
      <c r="BG203" t="str">
        <v>Motiva Enterprises Llc 22</v>
      </c>
      <c r="BH203" t="str">
        <v>blendSAF</v>
      </c>
      <c r="BI203" t="str">
        <v/>
      </c>
      <c r="BJ203" t="str">
        <v/>
      </c>
      <c r="BK203" t="str">
        <v/>
      </c>
      <c r="BL203" t="str">
        <v/>
      </c>
      <c r="BM203" t="str">
        <v/>
      </c>
      <c r="BY203" t="str">
        <v>processor</v>
      </c>
      <c r="BZ203" t="str">
        <v>Murphy Oil Usa Inc 51</v>
      </c>
      <c r="CA203" t="str">
        <v>blendSAF</v>
      </c>
      <c r="CB203" t="str">
        <v/>
      </c>
      <c r="CC203" t="str">
        <v/>
      </c>
      <c r="CD203" t="str">
        <v/>
      </c>
      <c r="CE203" t="str">
        <v/>
      </c>
      <c r="CF203" t="str">
        <v/>
      </c>
    </row>
    <row r="204" spans="58:84" x14ac:dyDescent="0.3">
      <c r="BF204" t="str">
        <v>processor</v>
      </c>
      <c r="BG204" t="str">
        <v>Motiva Enterprises Llc 12</v>
      </c>
      <c r="BH204" t="str">
        <v>blendSAF</v>
      </c>
      <c r="BI204" t="str">
        <v/>
      </c>
      <c r="BJ204" t="str">
        <v/>
      </c>
      <c r="BK204" t="str">
        <v/>
      </c>
      <c r="BL204" t="str">
        <v/>
      </c>
      <c r="BM204" t="str">
        <v/>
      </c>
      <c r="BY204" t="str">
        <v>processor</v>
      </c>
      <c r="BZ204" t="str">
        <v>Associated Asphalt Lake City Llc</v>
      </c>
      <c r="CA204" t="str">
        <v>blendSAF</v>
      </c>
      <c r="CB204" t="str">
        <v/>
      </c>
      <c r="CC204" t="str">
        <v/>
      </c>
      <c r="CD204" t="str">
        <v/>
      </c>
      <c r="CE204" t="str">
        <v/>
      </c>
      <c r="CF204" t="str">
        <v/>
      </c>
    </row>
    <row r="205" spans="58:84" x14ac:dyDescent="0.3">
      <c r="BF205" t="str">
        <v>processor</v>
      </c>
      <c r="BG205" t="str">
        <v>Motiva Enterprises Llc 13</v>
      </c>
      <c r="BH205" t="str">
        <v>blendSAF</v>
      </c>
      <c r="BI205" t="str">
        <v/>
      </c>
      <c r="BJ205" t="str">
        <v/>
      </c>
      <c r="BK205" t="str">
        <v/>
      </c>
      <c r="BL205" t="str">
        <v/>
      </c>
      <c r="BM205" t="str">
        <v/>
      </c>
      <c r="BY205" t="str">
        <v>processor</v>
      </c>
      <c r="BZ205" t="str">
        <v>Associated Asphalt Tampa Llc</v>
      </c>
      <c r="CA205" t="str">
        <v>blendSAF</v>
      </c>
      <c r="CB205" t="str">
        <v/>
      </c>
      <c r="CC205" t="str">
        <v/>
      </c>
      <c r="CD205" t="str">
        <v/>
      </c>
      <c r="CE205" t="str">
        <v/>
      </c>
      <c r="CF205" t="str">
        <v/>
      </c>
    </row>
    <row r="206" spans="58:84" x14ac:dyDescent="0.3">
      <c r="BF206" t="str">
        <v>processor</v>
      </c>
      <c r="BG206" t="str">
        <v>Motiva Enterprises Llc 14</v>
      </c>
      <c r="BH206" t="str">
        <v>blendSAF</v>
      </c>
      <c r="BI206" t="str">
        <v/>
      </c>
      <c r="BJ206" t="str">
        <v/>
      </c>
      <c r="BK206" t="str">
        <v/>
      </c>
      <c r="BL206" t="str">
        <v/>
      </c>
      <c r="BM206" t="str">
        <v/>
      </c>
      <c r="BY206" t="str">
        <v>processor</v>
      </c>
      <c r="BZ206" t="str">
        <v>Buckeye Terminals Llc 101</v>
      </c>
      <c r="CA206" t="str">
        <v>blendSAF</v>
      </c>
      <c r="CB206" t="str">
        <v/>
      </c>
      <c r="CC206" t="str">
        <v/>
      </c>
      <c r="CD206" t="str">
        <v/>
      </c>
      <c r="CE206" t="str">
        <v/>
      </c>
      <c r="CF206" t="str">
        <v/>
      </c>
    </row>
    <row r="207" spans="58:84" x14ac:dyDescent="0.3">
      <c r="BF207" t="str">
        <v>processor</v>
      </c>
      <c r="BG207" t="str">
        <v>South Florida Materials Corp 10</v>
      </c>
      <c r="BH207" t="str">
        <v>blendSAF</v>
      </c>
      <c r="BI207" t="str">
        <v/>
      </c>
      <c r="BJ207" t="str">
        <v/>
      </c>
      <c r="BK207" t="str">
        <v/>
      </c>
      <c r="BL207" t="str">
        <v/>
      </c>
      <c r="BM207" t="str">
        <v/>
      </c>
      <c r="BY207" t="str">
        <v>processor</v>
      </c>
      <c r="BZ207" t="str">
        <v>Buckeye Terminals Llc 49</v>
      </c>
      <c r="CA207" t="str">
        <v>blendSAF</v>
      </c>
      <c r="CB207" t="str">
        <v/>
      </c>
      <c r="CC207" t="str">
        <v/>
      </c>
      <c r="CD207" t="str">
        <v/>
      </c>
      <c r="CE207" t="str">
        <v/>
      </c>
      <c r="CF207" t="str">
        <v/>
      </c>
    </row>
    <row r="208" spans="58:84" x14ac:dyDescent="0.3">
      <c r="BF208" t="str">
        <v>processor</v>
      </c>
      <c r="BG208" t="str">
        <v>South Florida Materials Corp 14</v>
      </c>
      <c r="BH208" t="str">
        <v>blendSAF</v>
      </c>
      <c r="BI208" t="str">
        <v/>
      </c>
      <c r="BJ208" t="str">
        <v/>
      </c>
      <c r="BK208" t="str">
        <v/>
      </c>
      <c r="BL208" t="str">
        <v/>
      </c>
      <c r="BM208" t="str">
        <v/>
      </c>
      <c r="BY208" t="str">
        <v>processor</v>
      </c>
      <c r="BZ208" t="str">
        <v>Buckeye Terminals Llc 60</v>
      </c>
      <c r="CA208" t="str">
        <v>blendSAF</v>
      </c>
      <c r="CB208" t="str">
        <v/>
      </c>
      <c r="CC208" t="str">
        <v/>
      </c>
      <c r="CD208" t="str">
        <v/>
      </c>
      <c r="CE208" t="str">
        <v/>
      </c>
      <c r="CF208" t="str">
        <v/>
      </c>
    </row>
    <row r="209" spans="58:84" x14ac:dyDescent="0.3">
      <c r="BF209" t="str">
        <v>processor</v>
      </c>
      <c r="BG209" t="str">
        <v>South Florida Materials Corp 11</v>
      </c>
      <c r="BH209" t="str">
        <v>blendSAF</v>
      </c>
      <c r="BI209" t="str">
        <v/>
      </c>
      <c r="BJ209" t="str">
        <v/>
      </c>
      <c r="BK209" t="str">
        <v/>
      </c>
      <c r="BL209" t="str">
        <v/>
      </c>
      <c r="BM209" t="str">
        <v/>
      </c>
      <c r="BY209" t="str">
        <v>processor</v>
      </c>
      <c r="BZ209" t="str">
        <v>Buckeye Terminals Llc 102</v>
      </c>
      <c r="CA209" t="str">
        <v>blendSAF</v>
      </c>
      <c r="CB209" t="str">
        <v/>
      </c>
      <c r="CC209" t="str">
        <v/>
      </c>
      <c r="CD209" t="str">
        <v/>
      </c>
      <c r="CE209" t="str">
        <v/>
      </c>
      <c r="CF209" t="str">
        <v/>
      </c>
    </row>
    <row r="210" spans="58:84" x14ac:dyDescent="0.3">
      <c r="BF210" t="str">
        <v>processor</v>
      </c>
      <c r="BG210" t="str">
        <v>Targa Midstream Services Llc 6</v>
      </c>
      <c r="BH210" t="str">
        <v>blendSAF</v>
      </c>
      <c r="BI210" t="str">
        <v/>
      </c>
      <c r="BJ210" t="str">
        <v/>
      </c>
      <c r="BK210" t="str">
        <v/>
      </c>
      <c r="BL210" t="str">
        <v/>
      </c>
      <c r="BM210" t="str">
        <v/>
      </c>
      <c r="BY210" t="str">
        <v>processor</v>
      </c>
      <c r="BZ210" t="str">
        <v>Sunoco Llc 8</v>
      </c>
      <c r="CA210" t="str">
        <v>blendSAF</v>
      </c>
      <c r="CB210" t="str">
        <v/>
      </c>
      <c r="CC210" t="str">
        <v/>
      </c>
      <c r="CD210" t="str">
        <v/>
      </c>
      <c r="CE210" t="str">
        <v/>
      </c>
      <c r="CF210" t="str">
        <v/>
      </c>
    </row>
    <row r="211" spans="58:84" x14ac:dyDescent="0.3">
      <c r="BF211" t="str">
        <v>processor</v>
      </c>
      <c r="BG211" t="str">
        <v>Transmontaigne Operating Company 32</v>
      </c>
      <c r="BH211" t="str">
        <v>blendSAF</v>
      </c>
      <c r="BI211" t="str">
        <v/>
      </c>
      <c r="BJ211" t="str">
        <v/>
      </c>
      <c r="BK211" t="str">
        <v/>
      </c>
      <c r="BL211" t="str">
        <v/>
      </c>
      <c r="BM211" t="str">
        <v/>
      </c>
      <c r="BY211" t="str">
        <v>processor</v>
      </c>
      <c r="BZ211" t="str">
        <v>Exxonmobil Pl Co 3</v>
      </c>
      <c r="CA211" t="str">
        <v>blendSAF</v>
      </c>
      <c r="CB211" t="str">
        <v/>
      </c>
      <c r="CC211" t="str">
        <v/>
      </c>
      <c r="CD211" t="str">
        <v/>
      </c>
      <c r="CE211" t="str">
        <v/>
      </c>
      <c r="CF211" t="str">
        <v/>
      </c>
    </row>
    <row r="212" spans="58:84" x14ac:dyDescent="0.3">
      <c r="BF212" t="str">
        <v>processor</v>
      </c>
      <c r="BG212" t="str">
        <v>Transmontaigne Operating Company 27</v>
      </c>
      <c r="BH212" t="str">
        <v>blendSAF</v>
      </c>
      <c r="BI212" t="str">
        <v/>
      </c>
      <c r="BJ212" t="str">
        <v/>
      </c>
      <c r="BK212" t="str">
        <v/>
      </c>
      <c r="BL212" t="str">
        <v/>
      </c>
      <c r="BM212" t="str">
        <v/>
      </c>
      <c r="BY212" t="str">
        <v>processor</v>
      </c>
      <c r="BZ212" t="str">
        <v>Kindermorgan 2</v>
      </c>
      <c r="CA212" t="str">
        <v>blendSAF</v>
      </c>
      <c r="CB212" t="str">
        <v/>
      </c>
      <c r="CC212" t="str">
        <v/>
      </c>
      <c r="CD212" t="str">
        <v/>
      </c>
      <c r="CE212" t="str">
        <v/>
      </c>
      <c r="CF212" t="str">
        <v/>
      </c>
    </row>
    <row r="213" spans="58:84" x14ac:dyDescent="0.3">
      <c r="BF213" t="str">
        <v>processor</v>
      </c>
      <c r="BG213" t="str">
        <v>Transmontaigne Operating Company 39</v>
      </c>
      <c r="BH213" t="str">
        <v>blendSAF</v>
      </c>
      <c r="BI213" t="str">
        <v/>
      </c>
      <c r="BJ213" t="str">
        <v/>
      </c>
      <c r="BK213" t="str">
        <v/>
      </c>
      <c r="BL213" t="str">
        <v/>
      </c>
      <c r="BM213" t="str">
        <v/>
      </c>
      <c r="BY213" t="str">
        <v>processor</v>
      </c>
      <c r="BZ213" t="str">
        <v>Kinder Morgan Se Trmnls Llc 2</v>
      </c>
      <c r="CA213" t="str">
        <v>blendSAF</v>
      </c>
      <c r="CB213" t="str">
        <v/>
      </c>
      <c r="CC213" t="str">
        <v/>
      </c>
      <c r="CD213" t="str">
        <v/>
      </c>
      <c r="CE213" t="str">
        <v/>
      </c>
      <c r="CF213" t="str">
        <v/>
      </c>
    </row>
    <row r="214" spans="58:84" x14ac:dyDescent="0.3">
      <c r="BF214" t="str">
        <v>processor</v>
      </c>
      <c r="BG214" t="str">
        <v>Transmontaigne Operating Company 40</v>
      </c>
      <c r="BH214" t="str">
        <v>blendSAF</v>
      </c>
      <c r="BI214" t="str">
        <v/>
      </c>
      <c r="BJ214" t="str">
        <v/>
      </c>
      <c r="BK214" t="str">
        <v/>
      </c>
      <c r="BL214" t="str">
        <v/>
      </c>
      <c r="BM214" t="str">
        <v/>
      </c>
      <c r="BY214" t="str">
        <v>processor</v>
      </c>
      <c r="BZ214" t="str">
        <v>Marathon Petroleum Co Llc 20</v>
      </c>
      <c r="CA214" t="str">
        <v>blendSAF</v>
      </c>
      <c r="CB214" t="str">
        <v/>
      </c>
      <c r="CC214" t="str">
        <v/>
      </c>
      <c r="CD214" t="str">
        <v/>
      </c>
      <c r="CE214" t="str">
        <v/>
      </c>
      <c r="CF214" t="str">
        <v/>
      </c>
    </row>
    <row r="215" spans="58:84" x14ac:dyDescent="0.3">
      <c r="BF215" t="str">
        <v>processor</v>
      </c>
      <c r="BG215" t="str">
        <v>Transmontaigne Operating Company 21</v>
      </c>
      <c r="BH215" t="str">
        <v>blendSAF</v>
      </c>
      <c r="BI215" t="str">
        <v/>
      </c>
      <c r="BJ215" t="str">
        <v/>
      </c>
      <c r="BK215" t="str">
        <v/>
      </c>
      <c r="BL215" t="str">
        <v/>
      </c>
      <c r="BM215" t="str">
        <v/>
      </c>
      <c r="BY215" t="str">
        <v>processor</v>
      </c>
      <c r="BZ215" t="str">
        <v>Mplx Terminals Llc 18</v>
      </c>
      <c r="CA215" t="str">
        <v>blendSAF</v>
      </c>
      <c r="CB215" t="str">
        <v/>
      </c>
      <c r="CC215" t="str">
        <v/>
      </c>
      <c r="CD215" t="str">
        <v/>
      </c>
      <c r="CE215" t="str">
        <v/>
      </c>
      <c r="CF215" t="str">
        <v/>
      </c>
    </row>
    <row r="216" spans="58:84" x14ac:dyDescent="0.3">
      <c r="BF216" t="str">
        <v>processor</v>
      </c>
      <c r="BG216" t="str">
        <v>Transmontaigne Operating Company 22</v>
      </c>
      <c r="BH216" t="str">
        <v>blendSAF</v>
      </c>
      <c r="BI216" t="str">
        <v/>
      </c>
      <c r="BJ216" t="str">
        <v/>
      </c>
      <c r="BK216" t="str">
        <v/>
      </c>
      <c r="BL216" t="str">
        <v/>
      </c>
      <c r="BM216" t="str">
        <v/>
      </c>
      <c r="BY216" t="str">
        <v>processor</v>
      </c>
      <c r="BZ216" t="str">
        <v>Mplx Terminals Llc 49</v>
      </c>
      <c r="CA216" t="str">
        <v>blendSAF</v>
      </c>
      <c r="CB216" t="str">
        <v/>
      </c>
      <c r="CC216" t="str">
        <v/>
      </c>
      <c r="CD216" t="str">
        <v/>
      </c>
      <c r="CE216" t="str">
        <v/>
      </c>
      <c r="CF216" t="str">
        <v/>
      </c>
    </row>
    <row r="217" spans="58:84" x14ac:dyDescent="0.3">
      <c r="BF217" t="str">
        <v>processor</v>
      </c>
      <c r="BG217" t="str">
        <v>Transmontaigne Operating Company 48</v>
      </c>
      <c r="BH217" t="str">
        <v>blendSAF</v>
      </c>
      <c r="BI217" t="str">
        <v/>
      </c>
      <c r="BJ217" t="str">
        <v/>
      </c>
      <c r="BK217" t="str">
        <v/>
      </c>
      <c r="BL217" t="str">
        <v/>
      </c>
      <c r="BM217" t="str">
        <v/>
      </c>
      <c r="BY217" t="str">
        <v>processor</v>
      </c>
      <c r="BZ217" t="str">
        <v>Mplx Terminals Llc 19</v>
      </c>
      <c r="CA217" t="str">
        <v>blendSAF</v>
      </c>
      <c r="CB217" t="str">
        <v/>
      </c>
      <c r="CC217" t="str">
        <v/>
      </c>
      <c r="CD217" t="str">
        <v/>
      </c>
      <c r="CE217" t="str">
        <v/>
      </c>
      <c r="CF217" t="str">
        <v/>
      </c>
    </row>
    <row r="218" spans="58:84" x14ac:dyDescent="0.3">
      <c r="BF218" t="str">
        <v>processor</v>
      </c>
      <c r="BG218" t="str">
        <v>Transmontaigne Operating Company 13</v>
      </c>
      <c r="BH218" t="str">
        <v>blendSAF</v>
      </c>
      <c r="BI218" t="str">
        <v/>
      </c>
      <c r="BJ218" t="str">
        <v/>
      </c>
      <c r="BK218" t="str">
        <v/>
      </c>
      <c r="BL218" t="str">
        <v/>
      </c>
      <c r="BM218" t="str">
        <v/>
      </c>
      <c r="BY218" t="str">
        <v>processor</v>
      </c>
      <c r="BZ218" t="str">
        <v>Martin Midstream Partnership Lp</v>
      </c>
      <c r="CA218" t="str">
        <v>blendSAF</v>
      </c>
      <c r="CB218" t="str">
        <v/>
      </c>
      <c r="CC218" t="str">
        <v/>
      </c>
      <c r="CD218" t="str">
        <v/>
      </c>
      <c r="CE218" t="str">
        <v/>
      </c>
      <c r="CF218" t="str">
        <v/>
      </c>
    </row>
    <row r="219" spans="58:84" x14ac:dyDescent="0.3">
      <c r="BF219" t="str">
        <v>processor</v>
      </c>
      <c r="BG219" t="str">
        <v>Owens Corning 5</v>
      </c>
      <c r="BH219" t="str">
        <v>blendSAF</v>
      </c>
      <c r="BI219" t="str">
        <v/>
      </c>
      <c r="BJ219" t="str">
        <v/>
      </c>
      <c r="BK219" t="str">
        <v/>
      </c>
      <c r="BL219" t="str">
        <v/>
      </c>
      <c r="BM219" t="str">
        <v/>
      </c>
      <c r="BY219" t="str">
        <v>processor</v>
      </c>
      <c r="BZ219" t="str">
        <v>Mck Terminals Llc 2</v>
      </c>
      <c r="CA219" t="str">
        <v>blendSAF</v>
      </c>
      <c r="CB219" t="str">
        <v/>
      </c>
      <c r="CC219" t="str">
        <v/>
      </c>
      <c r="CD219" t="str">
        <v/>
      </c>
      <c r="CE219" t="str">
        <v/>
      </c>
      <c r="CF219" t="str">
        <v/>
      </c>
    </row>
    <row r="220" spans="58:84" x14ac:dyDescent="0.3">
      <c r="BF220" t="str">
        <v>processor</v>
      </c>
      <c r="BG220" t="str">
        <v>Seaport Canaveral Corp</v>
      </c>
      <c r="BH220" t="str">
        <v>blendSAF</v>
      </c>
      <c r="BI220" t="str">
        <v/>
      </c>
      <c r="BJ220" t="str">
        <v/>
      </c>
      <c r="BK220" t="str">
        <v/>
      </c>
      <c r="BL220" t="str">
        <v/>
      </c>
      <c r="BM220" t="str">
        <v/>
      </c>
      <c r="BY220" t="str">
        <v>processor</v>
      </c>
      <c r="BZ220" t="str">
        <v>Omega Partners Iii Llc 3</v>
      </c>
      <c r="CA220" t="str">
        <v>blendSAF</v>
      </c>
      <c r="CB220" t="str">
        <v/>
      </c>
      <c r="CC220" t="str">
        <v/>
      </c>
      <c r="CD220" t="str">
        <v/>
      </c>
      <c r="CE220" t="str">
        <v/>
      </c>
      <c r="CF220" t="str">
        <v/>
      </c>
    </row>
    <row r="221" spans="58:84" x14ac:dyDescent="0.3">
      <c r="BF221" t="str">
        <v>processor</v>
      </c>
      <c r="BG221" t="str">
        <v>Chevron Usa Inc Doraville</v>
      </c>
      <c r="BH221" t="str">
        <v>blendSAF</v>
      </c>
      <c r="BI221" t="str">
        <v/>
      </c>
      <c r="BJ221" t="str">
        <v/>
      </c>
      <c r="BK221" t="str">
        <v/>
      </c>
      <c r="BL221" t="str">
        <v/>
      </c>
      <c r="BM221" t="str">
        <v/>
      </c>
      <c r="BY221" t="str">
        <v>processor</v>
      </c>
      <c r="BZ221" t="str">
        <v>Citgo Petroleum Corp 38</v>
      </c>
      <c r="CA221" t="str">
        <v>blendSAF</v>
      </c>
      <c r="CB221" t="str">
        <v/>
      </c>
      <c r="CC221" t="str">
        <v/>
      </c>
      <c r="CD221" t="str">
        <v/>
      </c>
      <c r="CE221" t="str">
        <v/>
      </c>
      <c r="CF221" t="str">
        <v/>
      </c>
    </row>
    <row r="222" spans="58:84" x14ac:dyDescent="0.3">
      <c r="BF222" t="str">
        <v>processor</v>
      </c>
      <c r="BG222" t="str">
        <v>Colonial Terminals Inc</v>
      </c>
      <c r="BH222" t="str">
        <v>blendSAF</v>
      </c>
      <c r="BI222" t="str">
        <v/>
      </c>
      <c r="BJ222" t="str">
        <v/>
      </c>
      <c r="BK222" t="str">
        <v/>
      </c>
      <c r="BL222" t="str">
        <v/>
      </c>
      <c r="BM222" t="str">
        <v/>
      </c>
      <c r="BY222" t="str">
        <v>processor</v>
      </c>
      <c r="BZ222" t="str">
        <v>Citgo Petroleum Corp 29</v>
      </c>
      <c r="CA222" t="str">
        <v>blendSAF</v>
      </c>
      <c r="CB222" t="str">
        <v/>
      </c>
      <c r="CC222" t="str">
        <v/>
      </c>
      <c r="CD222" t="str">
        <v/>
      </c>
      <c r="CE222" t="str">
        <v/>
      </c>
      <c r="CF222" t="str">
        <v/>
      </c>
    </row>
    <row r="223" spans="58:84" x14ac:dyDescent="0.3">
      <c r="BF223" t="str">
        <v>processor</v>
      </c>
      <c r="BG223" t="str">
        <v>Cti Wahlstrom Terminal Inc</v>
      </c>
      <c r="BH223" t="str">
        <v>blendSAF</v>
      </c>
      <c r="BI223" t="str">
        <v/>
      </c>
      <c r="BJ223" t="str">
        <v/>
      </c>
      <c r="BK223" t="str">
        <v/>
      </c>
      <c r="BL223" t="str">
        <v/>
      </c>
      <c r="BM223" t="str">
        <v/>
      </c>
      <c r="BY223" t="str">
        <v>processor</v>
      </c>
      <c r="BZ223" t="str">
        <v>Citgo Petroleum Corp 33</v>
      </c>
      <c r="CA223" t="str">
        <v>blendSAF</v>
      </c>
      <c r="CB223" t="str">
        <v/>
      </c>
      <c r="CC223" t="str">
        <v/>
      </c>
      <c r="CD223" t="str">
        <v/>
      </c>
      <c r="CE223" t="str">
        <v/>
      </c>
      <c r="CF223" t="str">
        <v/>
      </c>
    </row>
    <row r="224" spans="58:84" x14ac:dyDescent="0.3">
      <c r="BF224" t="str">
        <v>processor</v>
      </c>
      <c r="BG224" t="str">
        <v>Cti Foundation Terminal Inc</v>
      </c>
      <c r="BH224" t="str">
        <v>blendSAF</v>
      </c>
      <c r="BI224" t="str">
        <v/>
      </c>
      <c r="BJ224" t="str">
        <v/>
      </c>
      <c r="BK224" t="str">
        <v/>
      </c>
      <c r="BL224" t="str">
        <v/>
      </c>
      <c r="BM224" t="str">
        <v/>
      </c>
      <c r="BY224" t="str">
        <v>processor</v>
      </c>
      <c r="BZ224" t="str">
        <v>Plains Lpg Services Lp 8</v>
      </c>
      <c r="CA224" t="str">
        <v>blendSAF</v>
      </c>
      <c r="CB224" t="str">
        <v/>
      </c>
      <c r="CC224" t="str">
        <v/>
      </c>
      <c r="CD224" t="str">
        <v/>
      </c>
      <c r="CE224" t="str">
        <v/>
      </c>
      <c r="CF224" t="str">
        <v/>
      </c>
    </row>
    <row r="225" spans="58:84" x14ac:dyDescent="0.3">
      <c r="BF225" t="str">
        <v>processor</v>
      </c>
      <c r="BG225" t="str">
        <v>Ergon Asphalt &amp; Emulsions Inc 4</v>
      </c>
      <c r="BH225" t="str">
        <v>blendSAF</v>
      </c>
      <c r="BI225" t="str">
        <v/>
      </c>
      <c r="BJ225" t="str">
        <v/>
      </c>
      <c r="BK225" t="str">
        <v/>
      </c>
      <c r="BL225" t="str">
        <v/>
      </c>
      <c r="BM225" t="str">
        <v/>
      </c>
      <c r="BY225" t="str">
        <v>processor</v>
      </c>
      <c r="BZ225" t="str">
        <v>Motiva Enterprises Llc 22</v>
      </c>
      <c r="CA225" t="str">
        <v>blendSAF</v>
      </c>
      <c r="CB225" t="str">
        <v/>
      </c>
      <c r="CC225" t="str">
        <v/>
      </c>
      <c r="CD225" t="str">
        <v/>
      </c>
      <c r="CE225" t="str">
        <v/>
      </c>
      <c r="CF225" t="str">
        <v/>
      </c>
    </row>
    <row r="226" spans="58:84" x14ac:dyDescent="0.3">
      <c r="BF226" t="str">
        <v>processor</v>
      </c>
      <c r="BG226" t="str">
        <v>Bkep Materials Llc 1</v>
      </c>
      <c r="BH226" t="str">
        <v>blendSAF</v>
      </c>
      <c r="BI226" t="str">
        <v/>
      </c>
      <c r="BJ226" t="str">
        <v/>
      </c>
      <c r="BK226" t="str">
        <v/>
      </c>
      <c r="BL226" t="str">
        <v/>
      </c>
      <c r="BM226" t="str">
        <v/>
      </c>
      <c r="BY226" t="str">
        <v>processor</v>
      </c>
      <c r="BZ226" t="str">
        <v>Motiva Enterprises Llc 12</v>
      </c>
      <c r="CA226" t="str">
        <v>blendSAF</v>
      </c>
      <c r="CB226" t="str">
        <v/>
      </c>
      <c r="CC226" t="str">
        <v/>
      </c>
      <c r="CD226" t="str">
        <v/>
      </c>
      <c r="CE226" t="str">
        <v/>
      </c>
      <c r="CF226" t="str">
        <v/>
      </c>
    </row>
    <row r="227" spans="58:84" x14ac:dyDescent="0.3">
      <c r="BF227" t="str">
        <v>processor</v>
      </c>
      <c r="BG227" t="str">
        <v>Saratoga Rp East Llc 2</v>
      </c>
      <c r="BH227" t="str">
        <v>blendSAF</v>
      </c>
      <c r="BI227" t="str">
        <v/>
      </c>
      <c r="BJ227" t="str">
        <v/>
      </c>
      <c r="BK227" t="str">
        <v/>
      </c>
      <c r="BL227" t="str">
        <v/>
      </c>
      <c r="BM227" t="str">
        <v/>
      </c>
      <c r="BY227" t="str">
        <v>processor</v>
      </c>
      <c r="BZ227" t="str">
        <v>Motiva Enterprises Llc 13</v>
      </c>
      <c r="CA227" t="str">
        <v>blendSAF</v>
      </c>
      <c r="CB227" t="str">
        <v/>
      </c>
      <c r="CC227" t="str">
        <v/>
      </c>
      <c r="CD227" t="str">
        <v/>
      </c>
      <c r="CE227" t="str">
        <v/>
      </c>
      <c r="CF227" t="str">
        <v/>
      </c>
    </row>
    <row r="228" spans="58:84" x14ac:dyDescent="0.3">
      <c r="BF228" t="str">
        <v>processor</v>
      </c>
      <c r="BG228" t="str">
        <v>Saratoga Rp East Llc 1</v>
      </c>
      <c r="BH228" t="str">
        <v>blendSAF</v>
      </c>
      <c r="BI228" t="str">
        <v/>
      </c>
      <c r="BJ228" t="str">
        <v/>
      </c>
      <c r="BK228" t="str">
        <v/>
      </c>
      <c r="BL228" t="str">
        <v/>
      </c>
      <c r="BM228" t="str">
        <v/>
      </c>
      <c r="BY228" t="str">
        <v>processor</v>
      </c>
      <c r="BZ228" t="str">
        <v>Motiva Enterprises Llc 14</v>
      </c>
      <c r="CA228" t="str">
        <v>blendSAF</v>
      </c>
      <c r="CB228" t="str">
        <v/>
      </c>
      <c r="CC228" t="str">
        <v/>
      </c>
      <c r="CD228" t="str">
        <v/>
      </c>
      <c r="CE228" t="str">
        <v/>
      </c>
      <c r="CF228" t="str">
        <v/>
      </c>
    </row>
    <row r="229" spans="58:84" x14ac:dyDescent="0.3">
      <c r="BF229" t="str">
        <v>processor</v>
      </c>
      <c r="BG229" t="str">
        <v>Associated Asphalt Gainsville Llc</v>
      </c>
      <c r="BH229" t="str">
        <v>blendSAF</v>
      </c>
      <c r="BI229" t="str">
        <v/>
      </c>
      <c r="BJ229" t="str">
        <v/>
      </c>
      <c r="BK229" t="str">
        <v/>
      </c>
      <c r="BL229" t="str">
        <v/>
      </c>
      <c r="BM229" t="str">
        <v/>
      </c>
      <c r="BY229" t="str">
        <v>processor</v>
      </c>
      <c r="BZ229" t="str">
        <v>South Florida Materials Corp 10</v>
      </c>
      <c r="CA229" t="str">
        <v>blendSAF</v>
      </c>
      <c r="CB229" t="str">
        <v/>
      </c>
      <c r="CC229" t="str">
        <v/>
      </c>
      <c r="CD229" t="str">
        <v/>
      </c>
      <c r="CE229" t="str">
        <v/>
      </c>
      <c r="CF229" t="str">
        <v/>
      </c>
    </row>
    <row r="230" spans="58:84" x14ac:dyDescent="0.3">
      <c r="BF230" t="str">
        <v>processor</v>
      </c>
      <c r="BG230" t="str">
        <v>Buckeye Se Terminals Lp 8</v>
      </c>
      <c r="BH230" t="str">
        <v>blendSAF</v>
      </c>
      <c r="BI230" t="str">
        <v/>
      </c>
      <c r="BJ230" t="str">
        <v/>
      </c>
      <c r="BK230" t="str">
        <v/>
      </c>
      <c r="BL230" t="str">
        <v/>
      </c>
      <c r="BM230" t="str">
        <v/>
      </c>
      <c r="BY230" t="str">
        <v>processor</v>
      </c>
      <c r="BZ230" t="str">
        <v>South Florida Materials Corp 14</v>
      </c>
      <c r="CA230" t="str">
        <v>blendSAF</v>
      </c>
      <c r="CB230" t="str">
        <v/>
      </c>
      <c r="CC230" t="str">
        <v/>
      </c>
      <c r="CD230" t="str">
        <v/>
      </c>
      <c r="CE230" t="str">
        <v/>
      </c>
      <c r="CF230" t="str">
        <v/>
      </c>
    </row>
    <row r="231" spans="58:84" x14ac:dyDescent="0.3">
      <c r="BF231" t="str">
        <v>processor</v>
      </c>
      <c r="BG231" t="str">
        <v>Buckeye Se Terminals Lp 13</v>
      </c>
      <c r="BH231" t="str">
        <v>blendSAF</v>
      </c>
      <c r="BI231" t="str">
        <v/>
      </c>
      <c r="BJ231" t="str">
        <v/>
      </c>
      <c r="BK231" t="str">
        <v/>
      </c>
      <c r="BL231" t="str">
        <v/>
      </c>
      <c r="BM231" t="str">
        <v/>
      </c>
      <c r="BY231" t="str">
        <v>processor</v>
      </c>
      <c r="BZ231" t="str">
        <v>South Florida Materials Corp 11</v>
      </c>
      <c r="CA231" t="str">
        <v>blendSAF</v>
      </c>
      <c r="CB231" t="str">
        <v/>
      </c>
      <c r="CC231" t="str">
        <v/>
      </c>
      <c r="CD231" t="str">
        <v/>
      </c>
      <c r="CE231" t="str">
        <v/>
      </c>
      <c r="CF231" t="str">
        <v/>
      </c>
    </row>
    <row r="232" spans="58:84" x14ac:dyDescent="0.3">
      <c r="BF232" t="str">
        <v>processor</v>
      </c>
      <c r="BG232" t="str">
        <v>Buckeye Se Terminals Lp 1</v>
      </c>
      <c r="BH232" t="str">
        <v>blendSAF</v>
      </c>
      <c r="BI232" t="str">
        <v/>
      </c>
      <c r="BJ232" t="str">
        <v/>
      </c>
      <c r="BK232" t="str">
        <v/>
      </c>
      <c r="BL232" t="str">
        <v/>
      </c>
      <c r="BM232" t="str">
        <v/>
      </c>
      <c r="BY232" t="str">
        <v>processor</v>
      </c>
      <c r="BZ232" t="str">
        <v>Targa Midstream Services Llc 6</v>
      </c>
      <c r="CA232" t="str">
        <v>blendSAF</v>
      </c>
      <c r="CB232" t="str">
        <v/>
      </c>
      <c r="CC232" t="str">
        <v/>
      </c>
      <c r="CD232" t="str">
        <v/>
      </c>
      <c r="CE232" t="str">
        <v/>
      </c>
      <c r="CF232" t="str">
        <v/>
      </c>
    </row>
    <row r="233" spans="58:84" x14ac:dyDescent="0.3">
      <c r="BF233" t="str">
        <v>processor</v>
      </c>
      <c r="BG233" t="str">
        <v>Buckeye Se Terminals Lp 9</v>
      </c>
      <c r="BH233" t="str">
        <v>blendSAF</v>
      </c>
      <c r="BI233" t="str">
        <v/>
      </c>
      <c r="BJ233" t="str">
        <v/>
      </c>
      <c r="BK233" t="str">
        <v/>
      </c>
      <c r="BL233" t="str">
        <v/>
      </c>
      <c r="BM233" t="str">
        <v/>
      </c>
      <c r="BY233" t="str">
        <v>processor</v>
      </c>
      <c r="BZ233" t="str">
        <v>Transmontaigne Operating Company 32</v>
      </c>
      <c r="CA233" t="str">
        <v>blendSAF</v>
      </c>
      <c r="CB233" t="str">
        <v/>
      </c>
      <c r="CC233" t="str">
        <v/>
      </c>
      <c r="CD233" t="str">
        <v/>
      </c>
      <c r="CE233" t="str">
        <v/>
      </c>
      <c r="CF233" t="str">
        <v/>
      </c>
    </row>
    <row r="234" spans="58:84" x14ac:dyDescent="0.3">
      <c r="BF234" t="str">
        <v>processor</v>
      </c>
      <c r="BG234" t="str">
        <v>Buckeye Se Terminals Lp 2</v>
      </c>
      <c r="BH234" t="str">
        <v>blendSAF</v>
      </c>
      <c r="BI234" t="str">
        <v/>
      </c>
      <c r="BJ234" t="str">
        <v/>
      </c>
      <c r="BK234" t="str">
        <v/>
      </c>
      <c r="BL234" t="str">
        <v/>
      </c>
      <c r="BM234" t="str">
        <v/>
      </c>
      <c r="BY234" t="str">
        <v>processor</v>
      </c>
      <c r="BZ234" t="str">
        <v>Transmontaigne Operating Company 27</v>
      </c>
      <c r="CA234" t="str">
        <v>blendSAF</v>
      </c>
      <c r="CB234" t="str">
        <v/>
      </c>
      <c r="CC234" t="str">
        <v/>
      </c>
      <c r="CD234" t="str">
        <v/>
      </c>
      <c r="CE234" t="str">
        <v/>
      </c>
      <c r="CF234" t="str">
        <v/>
      </c>
    </row>
    <row r="235" spans="58:84" x14ac:dyDescent="0.3">
      <c r="BF235" t="str">
        <v>processor</v>
      </c>
      <c r="BG235" t="str">
        <v>Colonial Terminals Operating Co Llc 1</v>
      </c>
      <c r="BH235" t="str">
        <v>blendSAF</v>
      </c>
      <c r="BI235" t="str">
        <v/>
      </c>
      <c r="BJ235" t="str">
        <v/>
      </c>
      <c r="BK235" t="str">
        <v/>
      </c>
      <c r="BL235" t="str">
        <v/>
      </c>
      <c r="BM235" t="str">
        <v/>
      </c>
      <c r="BY235" t="str">
        <v>processor</v>
      </c>
      <c r="BZ235" t="str">
        <v>Transmontaigne Operating Company 39</v>
      </c>
      <c r="CA235" t="str">
        <v>blendSAF</v>
      </c>
      <c r="CB235" t="str">
        <v/>
      </c>
      <c r="CC235" t="str">
        <v/>
      </c>
      <c r="CD235" t="str">
        <v/>
      </c>
      <c r="CE235" t="str">
        <v/>
      </c>
      <c r="CF235" t="str">
        <v/>
      </c>
    </row>
    <row r="236" spans="58:84" x14ac:dyDescent="0.3">
      <c r="BF236" t="str">
        <v>processor</v>
      </c>
      <c r="BG236" t="str">
        <v>Colonial Pipeline Co</v>
      </c>
      <c r="BH236" t="str">
        <v>blendSAF</v>
      </c>
      <c r="BI236" t="str">
        <v/>
      </c>
      <c r="BJ236" t="str">
        <v/>
      </c>
      <c r="BK236" t="str">
        <v/>
      </c>
      <c r="BL236" t="str">
        <v/>
      </c>
      <c r="BM236" t="str">
        <v/>
      </c>
      <c r="BY236" t="str">
        <v>processor</v>
      </c>
      <c r="BZ236" t="str">
        <v>Transmontaigne Operating Company 40</v>
      </c>
      <c r="CA236" t="str">
        <v>blendSAF</v>
      </c>
      <c r="CB236" t="str">
        <v/>
      </c>
      <c r="CC236" t="str">
        <v/>
      </c>
      <c r="CD236" t="str">
        <v/>
      </c>
      <c r="CE236" t="str">
        <v/>
      </c>
      <c r="CF236" t="str">
        <v/>
      </c>
    </row>
    <row r="237" spans="58:84" x14ac:dyDescent="0.3">
      <c r="BF237" t="str">
        <v>processor</v>
      </c>
      <c r="BG237" t="str">
        <v>Phillips 66 4</v>
      </c>
      <c r="BH237" t="str">
        <v>blendSAF</v>
      </c>
      <c r="BI237" t="str">
        <v/>
      </c>
      <c r="BJ237" t="str">
        <v/>
      </c>
      <c r="BK237" t="str">
        <v/>
      </c>
      <c r="BL237" t="str">
        <v/>
      </c>
      <c r="BM237" t="str">
        <v/>
      </c>
      <c r="BY237" t="str">
        <v>processor</v>
      </c>
      <c r="BZ237" t="str">
        <v>Transmontaigne Operating Company 21</v>
      </c>
      <c r="CA237" t="str">
        <v>blendSAF</v>
      </c>
      <c r="CB237" t="str">
        <v/>
      </c>
      <c r="CC237" t="str">
        <v/>
      </c>
      <c r="CD237" t="str">
        <v/>
      </c>
      <c r="CE237" t="str">
        <v/>
      </c>
      <c r="CF237" t="str">
        <v/>
      </c>
    </row>
    <row r="238" spans="58:84" x14ac:dyDescent="0.3">
      <c r="BF238" t="str">
        <v>processor</v>
      </c>
      <c r="BG238" t="str">
        <v>Eco-Energy Distribution Services Llc 2</v>
      </c>
      <c r="BH238" t="str">
        <v>blendSAF</v>
      </c>
      <c r="BI238" t="str">
        <v/>
      </c>
      <c r="BJ238" t="str">
        <v/>
      </c>
      <c r="BK238" t="str">
        <v/>
      </c>
      <c r="BL238" t="str">
        <v/>
      </c>
      <c r="BM238" t="str">
        <v/>
      </c>
      <c r="BY238" t="str">
        <v>processor</v>
      </c>
      <c r="BZ238" t="str">
        <v>Transmontaigne Operating Company 22</v>
      </c>
      <c r="CA238" t="str">
        <v>blendSAF</v>
      </c>
      <c r="CB238" t="str">
        <v/>
      </c>
      <c r="CC238" t="str">
        <v/>
      </c>
      <c r="CD238" t="str">
        <v/>
      </c>
      <c r="CE238" t="str">
        <v/>
      </c>
      <c r="CF238" t="str">
        <v/>
      </c>
    </row>
    <row r="239" spans="58:84" x14ac:dyDescent="0.3">
      <c r="BF239" t="str">
        <v>processor</v>
      </c>
      <c r="BG239" t="str">
        <v>Eco-Energy Distribution Services Llc 1</v>
      </c>
      <c r="BH239" t="str">
        <v>blendSAF</v>
      </c>
      <c r="BI239" t="str">
        <v/>
      </c>
      <c r="BJ239" t="str">
        <v/>
      </c>
      <c r="BK239" t="str">
        <v/>
      </c>
      <c r="BL239" t="str">
        <v/>
      </c>
      <c r="BM239" t="str">
        <v/>
      </c>
      <c r="BY239" t="str">
        <v>processor</v>
      </c>
      <c r="BZ239" t="str">
        <v>Transmontaigne Operating Company 48</v>
      </c>
      <c r="CA239" t="str">
        <v>blendSAF</v>
      </c>
      <c r="CB239" t="str">
        <v/>
      </c>
      <c r="CC239" t="str">
        <v/>
      </c>
      <c r="CD239" t="str">
        <v/>
      </c>
      <c r="CE239" t="str">
        <v/>
      </c>
      <c r="CF239" t="str">
        <v/>
      </c>
    </row>
    <row r="240" spans="58:84" x14ac:dyDescent="0.3">
      <c r="BF240" t="str">
        <v>processor</v>
      </c>
      <c r="BG240" t="str">
        <v>Ent Propane Terminals &amp; Storage Llc 7</v>
      </c>
      <c r="BH240" t="str">
        <v>blendSAF</v>
      </c>
      <c r="BI240" t="str">
        <v/>
      </c>
      <c r="BJ240" t="str">
        <v/>
      </c>
      <c r="BK240" t="str">
        <v/>
      </c>
      <c r="BL240" t="str">
        <v/>
      </c>
      <c r="BM240" t="str">
        <v/>
      </c>
      <c r="BY240" t="str">
        <v>processor</v>
      </c>
      <c r="BZ240" t="str">
        <v>Transmontaigne Operating Company 13</v>
      </c>
      <c r="CA240" t="str">
        <v>blendSAF</v>
      </c>
      <c r="CB240" t="str">
        <v/>
      </c>
      <c r="CC240" t="str">
        <v/>
      </c>
      <c r="CD240" t="str">
        <v/>
      </c>
      <c r="CE240" t="str">
        <v/>
      </c>
      <c r="CF240" t="str">
        <v/>
      </c>
    </row>
    <row r="241" spans="58:84" x14ac:dyDescent="0.3">
      <c r="BF241" t="str">
        <v>processor</v>
      </c>
      <c r="BG241" t="str">
        <v>Ent Propane Terminals &amp; Storage Llc 1</v>
      </c>
      <c r="BH241" t="str">
        <v>blendSAF</v>
      </c>
      <c r="BI241" t="str">
        <v/>
      </c>
      <c r="BJ241" t="str">
        <v/>
      </c>
      <c r="BK241" t="str">
        <v/>
      </c>
      <c r="BL241" t="str">
        <v/>
      </c>
      <c r="BM241" t="str">
        <v/>
      </c>
      <c r="BY241" t="str">
        <v>processor</v>
      </c>
      <c r="BZ241" t="str">
        <v>Owens Corning 5</v>
      </c>
      <c r="CA241" t="str">
        <v>blendSAF</v>
      </c>
      <c r="CB241" t="str">
        <v/>
      </c>
      <c r="CC241" t="str">
        <v/>
      </c>
      <c r="CD241" t="str">
        <v/>
      </c>
      <c r="CE241" t="str">
        <v/>
      </c>
      <c r="CF241" t="str">
        <v/>
      </c>
    </row>
    <row r="242" spans="58:84" x14ac:dyDescent="0.3">
      <c r="BF242" t="str">
        <v>processor</v>
      </c>
      <c r="BG242" t="str">
        <v>Ent Propane Terminals &amp; Storage Llc 2</v>
      </c>
      <c r="BH242" t="str">
        <v>blendSAF</v>
      </c>
      <c r="BI242" t="str">
        <v/>
      </c>
      <c r="BJ242" t="str">
        <v/>
      </c>
      <c r="BK242" t="str">
        <v/>
      </c>
      <c r="BL242" t="str">
        <v/>
      </c>
      <c r="BM242" t="str">
        <v/>
      </c>
      <c r="BY242" t="str">
        <v>processor</v>
      </c>
      <c r="BZ242" t="str">
        <v>Seaport Canaveral Corp</v>
      </c>
      <c r="CA242" t="str">
        <v>blendSAF</v>
      </c>
      <c r="CB242" t="str">
        <v/>
      </c>
      <c r="CC242" t="str">
        <v/>
      </c>
      <c r="CD242" t="str">
        <v/>
      </c>
      <c r="CE242" t="str">
        <v/>
      </c>
      <c r="CF242" t="str">
        <v/>
      </c>
    </row>
    <row r="243" spans="58:84" x14ac:dyDescent="0.3">
      <c r="BF243" t="str">
        <v>processor</v>
      </c>
      <c r="BG243" t="str">
        <v>E R Snell Contractor Inc</v>
      </c>
      <c r="BH243" t="str">
        <v>blendSAF</v>
      </c>
      <c r="BI243" t="str">
        <v/>
      </c>
      <c r="BJ243" t="str">
        <v/>
      </c>
      <c r="BK243" t="str">
        <v/>
      </c>
      <c r="BL243" t="str">
        <v/>
      </c>
      <c r="BM243" t="str">
        <v/>
      </c>
      <c r="BY243" t="str">
        <v>processor</v>
      </c>
      <c r="BZ243" t="str">
        <v>Chevron Usa Inc Doraville</v>
      </c>
      <c r="CA243" t="str">
        <v>blendSAF</v>
      </c>
      <c r="CB243" t="str">
        <v/>
      </c>
      <c r="CC243" t="str">
        <v/>
      </c>
      <c r="CD243" t="str">
        <v/>
      </c>
      <c r="CE243" t="str">
        <v/>
      </c>
      <c r="CF243" t="str">
        <v/>
      </c>
    </row>
    <row r="244" spans="58:84" x14ac:dyDescent="0.3">
      <c r="BF244" t="str">
        <v>processor</v>
      </c>
      <c r="BG244" t="str">
        <v>Kinder Morgan Liq Termls Llc 1</v>
      </c>
      <c r="BH244" t="str">
        <v>blendSAF</v>
      </c>
      <c r="BI244" t="str">
        <v/>
      </c>
      <c r="BJ244" t="str">
        <v/>
      </c>
      <c r="BK244" t="str">
        <v/>
      </c>
      <c r="BL244" t="str">
        <v/>
      </c>
      <c r="BM244" t="str">
        <v/>
      </c>
      <c r="BY244" t="str">
        <v>processor</v>
      </c>
      <c r="BZ244" t="str">
        <v>Colonial Terminals Inc</v>
      </c>
      <c r="CA244" t="str">
        <v>blendSAF</v>
      </c>
      <c r="CB244" t="str">
        <v/>
      </c>
      <c r="CC244" t="str">
        <v/>
      </c>
      <c r="CD244" t="str">
        <v/>
      </c>
      <c r="CE244" t="str">
        <v/>
      </c>
      <c r="CF244" t="str">
        <v/>
      </c>
    </row>
    <row r="245" spans="58:84" x14ac:dyDescent="0.3">
      <c r="BF245" t="str">
        <v>processor</v>
      </c>
      <c r="BG245" t="str">
        <v>Kinder Morgan Liq Termls Llc 8</v>
      </c>
      <c r="BH245" t="str">
        <v>blendSAF</v>
      </c>
      <c r="BI245" t="str">
        <v/>
      </c>
      <c r="BJ245" t="str">
        <v/>
      </c>
      <c r="BK245" t="str">
        <v/>
      </c>
      <c r="BL245" t="str">
        <v/>
      </c>
      <c r="BM245" t="str">
        <v/>
      </c>
      <c r="BY245" t="str">
        <v>processor</v>
      </c>
      <c r="BZ245" t="str">
        <v>Cti Wahlstrom Terminal Inc</v>
      </c>
      <c r="CA245" t="str">
        <v>blendSAF</v>
      </c>
      <c r="CB245" t="str">
        <v/>
      </c>
      <c r="CC245" t="str">
        <v/>
      </c>
      <c r="CD245" t="str">
        <v/>
      </c>
      <c r="CE245" t="str">
        <v/>
      </c>
      <c r="CF245" t="str">
        <v/>
      </c>
    </row>
    <row r="246" spans="58:84" x14ac:dyDescent="0.3">
      <c r="BF246" t="str">
        <v>processor</v>
      </c>
      <c r="BG246" t="str">
        <v>Kinder Morgan Liq Termls Llc 9</v>
      </c>
      <c r="BH246" t="str">
        <v>blendSAF</v>
      </c>
      <c r="BI246" t="str">
        <v/>
      </c>
      <c r="BJ246" t="str">
        <v/>
      </c>
      <c r="BK246" t="str">
        <v/>
      </c>
      <c r="BL246" t="str">
        <v/>
      </c>
      <c r="BM246" t="str">
        <v/>
      </c>
      <c r="BY246" t="str">
        <v>processor</v>
      </c>
      <c r="BZ246" t="str">
        <v>Cti Foundation Terminal Inc</v>
      </c>
      <c r="CA246" t="str">
        <v>blendSAF</v>
      </c>
      <c r="CB246" t="str">
        <v/>
      </c>
      <c r="CC246" t="str">
        <v/>
      </c>
      <c r="CD246" t="str">
        <v/>
      </c>
      <c r="CE246" t="str">
        <v/>
      </c>
      <c r="CF246" t="str">
        <v/>
      </c>
    </row>
    <row r="247" spans="58:84" x14ac:dyDescent="0.3">
      <c r="BF247" t="str">
        <v>processor</v>
      </c>
      <c r="BG247" t="str">
        <v>Kinder Morgan Southeast Terminal 3</v>
      </c>
      <c r="BH247" t="str">
        <v>blendSAF</v>
      </c>
      <c r="BI247" t="str">
        <v/>
      </c>
      <c r="BJ247" t="str">
        <v/>
      </c>
      <c r="BK247" t="str">
        <v/>
      </c>
      <c r="BL247" t="str">
        <v/>
      </c>
      <c r="BM247" t="str">
        <v/>
      </c>
      <c r="BY247" t="str">
        <v>processor</v>
      </c>
      <c r="BZ247" t="str">
        <v>Ergon Asphalt &amp; Emulsions Inc 4</v>
      </c>
      <c r="CA247" t="str">
        <v>blendSAF</v>
      </c>
      <c r="CB247" t="str">
        <v/>
      </c>
      <c r="CC247" t="str">
        <v/>
      </c>
      <c r="CD247" t="str">
        <v/>
      </c>
      <c r="CE247" t="str">
        <v/>
      </c>
      <c r="CF247" t="str">
        <v/>
      </c>
    </row>
    <row r="248" spans="58:84" x14ac:dyDescent="0.3">
      <c r="BF248" t="str">
        <v>processor</v>
      </c>
      <c r="BG248" t="str">
        <v>Imtt Epic Llc 2</v>
      </c>
      <c r="BH248" t="str">
        <v>blendSAF</v>
      </c>
      <c r="BI248" t="str">
        <v/>
      </c>
      <c r="BJ248" t="str">
        <v/>
      </c>
      <c r="BK248" t="str">
        <v/>
      </c>
      <c r="BL248" t="str">
        <v/>
      </c>
      <c r="BM248" t="str">
        <v/>
      </c>
      <c r="BY248" t="str">
        <v>processor</v>
      </c>
      <c r="BZ248" t="str">
        <v>Bkep Materials Llc 1</v>
      </c>
      <c r="CA248" t="str">
        <v>blendSAF</v>
      </c>
      <c r="CB248" t="str">
        <v/>
      </c>
      <c r="CC248" t="str">
        <v/>
      </c>
      <c r="CD248" t="str">
        <v/>
      </c>
      <c r="CE248" t="str">
        <v/>
      </c>
      <c r="CF248" t="str">
        <v/>
      </c>
    </row>
    <row r="249" spans="58:84" x14ac:dyDescent="0.3">
      <c r="BF249" t="str">
        <v>processor</v>
      </c>
      <c r="BG249" t="str">
        <v>Imtt Epic Llc 3</v>
      </c>
      <c r="BH249" t="str">
        <v>blendSAF</v>
      </c>
      <c r="BI249" t="str">
        <v/>
      </c>
      <c r="BJ249" t="str">
        <v/>
      </c>
      <c r="BK249" t="str">
        <v/>
      </c>
      <c r="BL249" t="str">
        <v/>
      </c>
      <c r="BM249" t="str">
        <v/>
      </c>
      <c r="BY249" t="str">
        <v>processor</v>
      </c>
      <c r="BZ249" t="str">
        <v>Saratoga Rp East Llc 2</v>
      </c>
      <c r="CA249" t="str">
        <v>blendSAF</v>
      </c>
      <c r="CB249" t="str">
        <v/>
      </c>
      <c r="CC249" t="str">
        <v/>
      </c>
      <c r="CD249" t="str">
        <v/>
      </c>
      <c r="CE249" t="str">
        <v/>
      </c>
      <c r="CF249" t="str">
        <v/>
      </c>
    </row>
    <row r="250" spans="58:84" x14ac:dyDescent="0.3">
      <c r="BF250" t="str">
        <v>processor</v>
      </c>
      <c r="BG250" t="str">
        <v>Marathon Petroleum Co Llc 5</v>
      </c>
      <c r="BH250" t="str">
        <v>blendSAF</v>
      </c>
      <c r="BI250" t="str">
        <v/>
      </c>
      <c r="BJ250" t="str">
        <v/>
      </c>
      <c r="BK250" t="str">
        <v/>
      </c>
      <c r="BL250" t="str">
        <v/>
      </c>
      <c r="BM250" t="str">
        <v/>
      </c>
      <c r="BY250" t="str">
        <v>processor</v>
      </c>
      <c r="BZ250" t="str">
        <v>Saratoga Rp East Llc 1</v>
      </c>
      <c r="CA250" t="str">
        <v>blendSAF</v>
      </c>
      <c r="CB250" t="str">
        <v/>
      </c>
      <c r="CC250" t="str">
        <v/>
      </c>
      <c r="CD250" t="str">
        <v/>
      </c>
      <c r="CE250" t="str">
        <v/>
      </c>
      <c r="CF250" t="str">
        <v/>
      </c>
    </row>
    <row r="251" spans="58:84" x14ac:dyDescent="0.3">
      <c r="BF251" t="str">
        <v>processor</v>
      </c>
      <c r="BG251" t="str">
        <v>Mplx Terminals Llc 16</v>
      </c>
      <c r="BH251" t="str">
        <v>blendSAF</v>
      </c>
      <c r="BI251" t="str">
        <v/>
      </c>
      <c r="BJ251" t="str">
        <v/>
      </c>
      <c r="BK251" t="str">
        <v/>
      </c>
      <c r="BL251" t="str">
        <v/>
      </c>
      <c r="BM251" t="str">
        <v/>
      </c>
      <c r="BY251" t="str">
        <v>processor</v>
      </c>
      <c r="BZ251" t="str">
        <v>Associated Asphalt Gainsville Llc</v>
      </c>
      <c r="CA251" t="str">
        <v>blendSAF</v>
      </c>
      <c r="CB251" t="str">
        <v/>
      </c>
      <c r="CC251" t="str">
        <v/>
      </c>
      <c r="CD251" t="str">
        <v/>
      </c>
      <c r="CE251" t="str">
        <v/>
      </c>
      <c r="CF251" t="str">
        <v/>
      </c>
    </row>
    <row r="252" spans="58:84" x14ac:dyDescent="0.3">
      <c r="BF252" t="str">
        <v>processor</v>
      </c>
      <c r="BG252" t="str">
        <v>Mplx Terminals Llc 1</v>
      </c>
      <c r="BH252" t="str">
        <v>blendSAF</v>
      </c>
      <c r="BI252" t="str">
        <v/>
      </c>
      <c r="BJ252" t="str">
        <v/>
      </c>
      <c r="BK252" t="str">
        <v/>
      </c>
      <c r="BL252" t="str">
        <v/>
      </c>
      <c r="BM252" t="str">
        <v/>
      </c>
      <c r="BY252" t="str">
        <v>processor</v>
      </c>
      <c r="BZ252" t="str">
        <v>Buckeye Se Terminals Lp 8</v>
      </c>
      <c r="CA252" t="str">
        <v>blendSAF</v>
      </c>
      <c r="CB252" t="str">
        <v/>
      </c>
      <c r="CC252" t="str">
        <v/>
      </c>
      <c r="CD252" t="str">
        <v/>
      </c>
      <c r="CE252" t="str">
        <v/>
      </c>
      <c r="CF252" t="str">
        <v/>
      </c>
    </row>
    <row r="253" spans="58:84" x14ac:dyDescent="0.3">
      <c r="BF253" t="str">
        <v>processor</v>
      </c>
      <c r="BG253" t="str">
        <v>Mplx Terminals Llc 33</v>
      </c>
      <c r="BH253" t="str">
        <v>blendSAF</v>
      </c>
      <c r="BI253" t="str">
        <v/>
      </c>
      <c r="BJ253" t="str">
        <v/>
      </c>
      <c r="BK253" t="str">
        <v/>
      </c>
      <c r="BL253" t="str">
        <v/>
      </c>
      <c r="BM253" t="str">
        <v/>
      </c>
      <c r="BY253" t="str">
        <v>processor</v>
      </c>
      <c r="BZ253" t="str">
        <v>Buckeye Se Terminals Lp 13</v>
      </c>
      <c r="CA253" t="str">
        <v>blendSAF</v>
      </c>
      <c r="CB253" t="str">
        <v/>
      </c>
      <c r="CC253" t="str">
        <v/>
      </c>
      <c r="CD253" t="str">
        <v/>
      </c>
      <c r="CE253" t="str">
        <v/>
      </c>
      <c r="CF253" t="str">
        <v/>
      </c>
    </row>
    <row r="254" spans="58:84" x14ac:dyDescent="0.3">
      <c r="BF254" t="str">
        <v>processor</v>
      </c>
      <c r="BG254" t="str">
        <v>Cw Matthews Contracting Co Inc</v>
      </c>
      <c r="BH254" t="str">
        <v>blendSAF</v>
      </c>
      <c r="BI254" t="str">
        <v/>
      </c>
      <c r="BJ254" t="str">
        <v/>
      </c>
      <c r="BK254" t="str">
        <v/>
      </c>
      <c r="BL254" t="str">
        <v/>
      </c>
      <c r="BM254" t="str">
        <v/>
      </c>
      <c r="BY254" t="str">
        <v>processor</v>
      </c>
      <c r="BZ254" t="str">
        <v>Buckeye Se Terminals Lp 1</v>
      </c>
      <c r="CA254" t="str">
        <v>blendSAF</v>
      </c>
      <c r="CB254" t="str">
        <v/>
      </c>
      <c r="CC254" t="str">
        <v/>
      </c>
      <c r="CD254" t="str">
        <v/>
      </c>
      <c r="CE254" t="str">
        <v/>
      </c>
      <c r="CF254" t="str">
        <v/>
      </c>
    </row>
    <row r="255" spans="58:84" x14ac:dyDescent="0.3">
      <c r="BF255" t="str">
        <v>processor</v>
      </c>
      <c r="BG255" t="str">
        <v>Omega Ptnrs Iii Llc</v>
      </c>
      <c r="BH255" t="str">
        <v>blendSAF</v>
      </c>
      <c r="BI255" t="str">
        <v/>
      </c>
      <c r="BJ255" t="str">
        <v/>
      </c>
      <c r="BK255" t="str">
        <v/>
      </c>
      <c r="BL255" t="str">
        <v/>
      </c>
      <c r="BM255" t="str">
        <v/>
      </c>
      <c r="BY255" t="str">
        <v>processor</v>
      </c>
      <c r="BZ255" t="str">
        <v>Buckeye Se Terminals Lp 9</v>
      </c>
      <c r="CA255" t="str">
        <v>blendSAF</v>
      </c>
      <c r="CB255" t="str">
        <v/>
      </c>
      <c r="CC255" t="str">
        <v/>
      </c>
      <c r="CD255" t="str">
        <v/>
      </c>
      <c r="CE255" t="str">
        <v/>
      </c>
      <c r="CF255" t="str">
        <v/>
      </c>
    </row>
    <row r="256" spans="58:84" x14ac:dyDescent="0.3">
      <c r="BF256" t="str">
        <v>processor</v>
      </c>
      <c r="BG256" t="str">
        <v>Citgo Petro Corp 12</v>
      </c>
      <c r="BH256" t="str">
        <v>blendSAF</v>
      </c>
      <c r="BI256" t="str">
        <v/>
      </c>
      <c r="BJ256" t="str">
        <v/>
      </c>
      <c r="BK256" t="str">
        <v/>
      </c>
      <c r="BL256" t="str">
        <v/>
      </c>
      <c r="BM256" t="str">
        <v/>
      </c>
      <c r="BY256" t="str">
        <v>processor</v>
      </c>
      <c r="BZ256" t="str">
        <v>Buckeye Se Terminals Lp 2</v>
      </c>
      <c r="CA256" t="str">
        <v>blendSAF</v>
      </c>
      <c r="CB256" t="str">
        <v/>
      </c>
      <c r="CC256" t="str">
        <v/>
      </c>
      <c r="CD256" t="str">
        <v/>
      </c>
      <c r="CE256" t="str">
        <v/>
      </c>
      <c r="CF256" t="str">
        <v/>
      </c>
    </row>
    <row r="257" spans="58:84" x14ac:dyDescent="0.3">
      <c r="BF257" t="str">
        <v>processor</v>
      </c>
      <c r="BG257" t="str">
        <v>Poet Biorefining Camilla Llc</v>
      </c>
      <c r="BH257" t="str">
        <v>blendSAF</v>
      </c>
      <c r="BI257" t="str">
        <v/>
      </c>
      <c r="BJ257" t="str">
        <v/>
      </c>
      <c r="BK257" t="str">
        <v/>
      </c>
      <c r="BL257" t="str">
        <v/>
      </c>
      <c r="BM257" t="str">
        <v/>
      </c>
      <c r="BY257" t="str">
        <v>processor</v>
      </c>
      <c r="BZ257" t="str">
        <v>Colonial Terminals Operating Co Llc 1</v>
      </c>
      <c r="CA257" t="str">
        <v>blendSAF</v>
      </c>
      <c r="CB257" t="str">
        <v/>
      </c>
      <c r="CC257" t="str">
        <v/>
      </c>
      <c r="CD257" t="str">
        <v/>
      </c>
      <c r="CE257" t="str">
        <v/>
      </c>
      <c r="CF257" t="str">
        <v/>
      </c>
    </row>
    <row r="258" spans="58:84" x14ac:dyDescent="0.3">
      <c r="BF258" t="str">
        <v>processor</v>
      </c>
      <c r="BG258" t="str">
        <v>Powder Springs Logistics Llc</v>
      </c>
      <c r="BH258" t="str">
        <v>blendSAF</v>
      </c>
      <c r="BI258" t="str">
        <v/>
      </c>
      <c r="BJ258" t="str">
        <v/>
      </c>
      <c r="BK258" t="str">
        <v/>
      </c>
      <c r="BL258" t="str">
        <v/>
      </c>
      <c r="BM258" t="str">
        <v/>
      </c>
      <c r="BY258" t="str">
        <v>processor</v>
      </c>
      <c r="BZ258" t="str">
        <v>Colonial Pipeline Co</v>
      </c>
      <c r="CA258" t="str">
        <v>blendSAF</v>
      </c>
      <c r="CB258" t="str">
        <v/>
      </c>
      <c r="CC258" t="str">
        <v/>
      </c>
      <c r="CD258" t="str">
        <v/>
      </c>
      <c r="CE258" t="str">
        <v/>
      </c>
      <c r="CF258" t="str">
        <v/>
      </c>
    </row>
    <row r="259" spans="58:84" x14ac:dyDescent="0.3">
      <c r="BF259" t="str">
        <v>processor</v>
      </c>
      <c r="BG259" t="str">
        <v>Motiva Enterprises Llc 8</v>
      </c>
      <c r="BH259" t="str">
        <v>blendSAF</v>
      </c>
      <c r="BI259" t="str">
        <v/>
      </c>
      <c r="BJ259" t="str">
        <v/>
      </c>
      <c r="BK259" t="str">
        <v/>
      </c>
      <c r="BL259" t="str">
        <v/>
      </c>
      <c r="BM259" t="str">
        <v/>
      </c>
      <c r="BY259" t="str">
        <v>processor</v>
      </c>
      <c r="BZ259" t="str">
        <v>Phillips 66 4</v>
      </c>
      <c r="CA259" t="str">
        <v>blendSAF</v>
      </c>
      <c r="CB259" t="str">
        <v/>
      </c>
      <c r="CC259" t="str">
        <v/>
      </c>
      <c r="CD259" t="str">
        <v/>
      </c>
      <c r="CE259" t="str">
        <v/>
      </c>
      <c r="CF259" t="str">
        <v/>
      </c>
    </row>
    <row r="260" spans="58:84" x14ac:dyDescent="0.3">
      <c r="BF260" t="str">
        <v>processor</v>
      </c>
      <c r="BG260" t="str">
        <v>Motiva Enterprises Llc 2</v>
      </c>
      <c r="BH260" t="str">
        <v>blendSAF</v>
      </c>
      <c r="BI260" t="str">
        <v/>
      </c>
      <c r="BJ260" t="str">
        <v/>
      </c>
      <c r="BK260" t="str">
        <v/>
      </c>
      <c r="BL260" t="str">
        <v/>
      </c>
      <c r="BM260" t="str">
        <v/>
      </c>
      <c r="BY260" t="str">
        <v>processor</v>
      </c>
      <c r="BZ260" t="str">
        <v>Eco-Energy Distribution Services Llc 2</v>
      </c>
      <c r="CA260" t="str">
        <v>blendSAF</v>
      </c>
      <c r="CB260" t="str">
        <v/>
      </c>
      <c r="CC260" t="str">
        <v/>
      </c>
      <c r="CD260" t="str">
        <v/>
      </c>
      <c r="CE260" t="str">
        <v/>
      </c>
      <c r="CF260" t="str">
        <v/>
      </c>
    </row>
    <row r="261" spans="58:84" x14ac:dyDescent="0.3">
      <c r="BF261" t="str">
        <v>processor</v>
      </c>
      <c r="BG261" t="str">
        <v>Motiva Enterprises Llc 9</v>
      </c>
      <c r="BH261" t="str">
        <v>blendSAF</v>
      </c>
      <c r="BI261" t="str">
        <v/>
      </c>
      <c r="BJ261" t="str">
        <v/>
      </c>
      <c r="BK261" t="str">
        <v/>
      </c>
      <c r="BL261" t="str">
        <v/>
      </c>
      <c r="BM261" t="str">
        <v/>
      </c>
      <c r="BY261" t="str">
        <v>processor</v>
      </c>
      <c r="BZ261" t="str">
        <v>Eco-Energy Distribution Services Llc 1</v>
      </c>
      <c r="CA261" t="str">
        <v>blendSAF</v>
      </c>
      <c r="CB261" t="str">
        <v/>
      </c>
      <c r="CC261" t="str">
        <v/>
      </c>
      <c r="CD261" t="str">
        <v/>
      </c>
      <c r="CE261" t="str">
        <v/>
      </c>
      <c r="CF261" t="str">
        <v/>
      </c>
    </row>
    <row r="262" spans="58:84" x14ac:dyDescent="0.3">
      <c r="BF262" t="str">
        <v>processor</v>
      </c>
      <c r="BG262" t="str">
        <v>South Florida Materials Corp 12</v>
      </c>
      <c r="BH262" t="str">
        <v>blendSAF</v>
      </c>
      <c r="BI262" t="str">
        <v/>
      </c>
      <c r="BJ262" t="str">
        <v/>
      </c>
      <c r="BK262" t="str">
        <v/>
      </c>
      <c r="BL262" t="str">
        <v/>
      </c>
      <c r="BM262" t="str">
        <v/>
      </c>
      <c r="BY262" t="str">
        <v>processor</v>
      </c>
      <c r="BZ262" t="str">
        <v>Ent Propane Terminals &amp; Storage Llc 7</v>
      </c>
      <c r="CA262" t="str">
        <v>blendSAF</v>
      </c>
      <c r="CB262" t="str">
        <v/>
      </c>
      <c r="CC262" t="str">
        <v/>
      </c>
      <c r="CD262" t="str">
        <v/>
      </c>
      <c r="CE262" t="str">
        <v/>
      </c>
      <c r="CF262" t="str">
        <v/>
      </c>
    </row>
    <row r="263" spans="58:84" x14ac:dyDescent="0.3">
      <c r="BF263" t="str">
        <v>processor</v>
      </c>
      <c r="BG263" t="str">
        <v>Southeast Emulsions Inc 1</v>
      </c>
      <c r="BH263" t="str">
        <v>blendSAF</v>
      </c>
      <c r="BI263" t="str">
        <v/>
      </c>
      <c r="BJ263" t="str">
        <v/>
      </c>
      <c r="BK263" t="str">
        <v/>
      </c>
      <c r="BL263" t="str">
        <v/>
      </c>
      <c r="BM263" t="str">
        <v/>
      </c>
      <c r="BY263" t="str">
        <v>processor</v>
      </c>
      <c r="BZ263" t="str">
        <v>Ent Propane Terminals &amp; Storage Llc 1</v>
      </c>
      <c r="CA263" t="str">
        <v>blendSAF</v>
      </c>
      <c r="CB263" t="str">
        <v/>
      </c>
      <c r="CC263" t="str">
        <v/>
      </c>
      <c r="CD263" t="str">
        <v/>
      </c>
      <c r="CE263" t="str">
        <v/>
      </c>
      <c r="CF263" t="str">
        <v/>
      </c>
    </row>
    <row r="264" spans="58:84" x14ac:dyDescent="0.3">
      <c r="BF264" t="str">
        <v>processor</v>
      </c>
      <c r="BG264" t="str">
        <v>Transmontaigne Operating Company 3</v>
      </c>
      <c r="BH264" t="str">
        <v>blendSAF</v>
      </c>
      <c r="BI264" t="str">
        <v/>
      </c>
      <c r="BJ264" t="str">
        <v/>
      </c>
      <c r="BK264" t="str">
        <v/>
      </c>
      <c r="BL264" t="str">
        <v/>
      </c>
      <c r="BM264" t="str">
        <v/>
      </c>
      <c r="BY264" t="str">
        <v>processor</v>
      </c>
      <c r="BZ264" t="str">
        <v>Ent Propane Terminals &amp; Storage Llc 2</v>
      </c>
      <c r="CA264" t="str">
        <v>blendSAF</v>
      </c>
      <c r="CB264" t="str">
        <v/>
      </c>
      <c r="CC264" t="str">
        <v/>
      </c>
      <c r="CD264" t="str">
        <v/>
      </c>
      <c r="CE264" t="str">
        <v/>
      </c>
      <c r="CF264" t="str">
        <v/>
      </c>
    </row>
    <row r="265" spans="58:84" x14ac:dyDescent="0.3">
      <c r="BF265" t="str">
        <v>processor</v>
      </c>
      <c r="BG265" t="str">
        <v>Transmontaigne Operating Company 4</v>
      </c>
      <c r="BH265" t="str">
        <v>blendSAF</v>
      </c>
      <c r="BI265" t="str">
        <v/>
      </c>
      <c r="BJ265" t="str">
        <v/>
      </c>
      <c r="BK265" t="str">
        <v/>
      </c>
      <c r="BL265" t="str">
        <v/>
      </c>
      <c r="BM265" t="str">
        <v/>
      </c>
      <c r="BY265" t="str">
        <v>processor</v>
      </c>
      <c r="BZ265" t="str">
        <v>E R Snell Contractor Inc</v>
      </c>
      <c r="CA265" t="str">
        <v>blendSAF</v>
      </c>
      <c r="CB265" t="str">
        <v/>
      </c>
      <c r="CC265" t="str">
        <v/>
      </c>
      <c r="CD265" t="str">
        <v/>
      </c>
      <c r="CE265" t="str">
        <v/>
      </c>
      <c r="CF265" t="str">
        <v/>
      </c>
    </row>
    <row r="266" spans="58:84" x14ac:dyDescent="0.3">
      <c r="BF266" t="str">
        <v>processor</v>
      </c>
      <c r="BG266" t="str">
        <v>Transmontaigne Operating Company 6</v>
      </c>
      <c r="BH266" t="str">
        <v>blendSAF</v>
      </c>
      <c r="BI266" t="str">
        <v/>
      </c>
      <c r="BJ266" t="str">
        <v/>
      </c>
      <c r="BK266" t="str">
        <v/>
      </c>
      <c r="BL266" t="str">
        <v/>
      </c>
      <c r="BM266" t="str">
        <v/>
      </c>
      <c r="BY266" t="str">
        <v>processor</v>
      </c>
      <c r="BZ266" t="str">
        <v>Kinder Morgan Liq Termls Llc 1</v>
      </c>
      <c r="CA266" t="str">
        <v>blendSAF</v>
      </c>
      <c r="CB266" t="str">
        <v/>
      </c>
      <c r="CC266" t="str">
        <v/>
      </c>
      <c r="CD266" t="str">
        <v/>
      </c>
      <c r="CE266" t="str">
        <v/>
      </c>
      <c r="CF266" t="str">
        <v/>
      </c>
    </row>
    <row r="267" spans="58:84" x14ac:dyDescent="0.3">
      <c r="BF267" t="str">
        <v>processor</v>
      </c>
      <c r="BG267" t="str">
        <v>Transmontaigne Operating Company 7</v>
      </c>
      <c r="BH267" t="str">
        <v>blendSAF</v>
      </c>
      <c r="BI267" t="str">
        <v/>
      </c>
      <c r="BJ267" t="str">
        <v/>
      </c>
      <c r="BK267" t="str">
        <v/>
      </c>
      <c r="BL267" t="str">
        <v/>
      </c>
      <c r="BM267" t="str">
        <v/>
      </c>
      <c r="BY267" t="str">
        <v>processor</v>
      </c>
      <c r="BZ267" t="str">
        <v>Kinder Morgan Liq Termls Llc 8</v>
      </c>
      <c r="CA267" t="str">
        <v>blendSAF</v>
      </c>
      <c r="CB267" t="str">
        <v/>
      </c>
      <c r="CC267" t="str">
        <v/>
      </c>
      <c r="CD267" t="str">
        <v/>
      </c>
      <c r="CE267" t="str">
        <v/>
      </c>
      <c r="CF267" t="str">
        <v/>
      </c>
    </row>
    <row r="268" spans="58:84" x14ac:dyDescent="0.3">
      <c r="BF268" t="str">
        <v>processor</v>
      </c>
      <c r="BG268" t="str">
        <v>Transmontaigne Operating Company 17</v>
      </c>
      <c r="BH268" t="str">
        <v>blendSAF</v>
      </c>
      <c r="BI268" t="str">
        <v/>
      </c>
      <c r="BJ268" t="str">
        <v/>
      </c>
      <c r="BK268" t="str">
        <v/>
      </c>
      <c r="BL268" t="str">
        <v/>
      </c>
      <c r="BM268" t="str">
        <v/>
      </c>
      <c r="BY268" t="str">
        <v>processor</v>
      </c>
      <c r="BZ268" t="str">
        <v>Kinder Morgan Liq Termls Llc 9</v>
      </c>
      <c r="CA268" t="str">
        <v>blendSAF</v>
      </c>
      <c r="CB268" t="str">
        <v/>
      </c>
      <c r="CC268" t="str">
        <v/>
      </c>
      <c r="CD268" t="str">
        <v/>
      </c>
      <c r="CE268" t="str">
        <v/>
      </c>
      <c r="CF268" t="str">
        <v/>
      </c>
    </row>
    <row r="269" spans="58:84" x14ac:dyDescent="0.3">
      <c r="BF269" t="str">
        <v>processor</v>
      </c>
      <c r="BG269" t="str">
        <v>Transmontaigne Operating Company 25</v>
      </c>
      <c r="BH269" t="str">
        <v>blendSAF</v>
      </c>
      <c r="BI269" t="str">
        <v/>
      </c>
      <c r="BJ269" t="str">
        <v/>
      </c>
      <c r="BK269" t="str">
        <v/>
      </c>
      <c r="BL269" t="str">
        <v/>
      </c>
      <c r="BM269" t="str">
        <v/>
      </c>
      <c r="BY269" t="str">
        <v>processor</v>
      </c>
      <c r="BZ269" t="str">
        <v>Kinder Morgan Southeast Terminal 3</v>
      </c>
      <c r="CA269" t="str">
        <v>blendSAF</v>
      </c>
      <c r="CB269" t="str">
        <v/>
      </c>
      <c r="CC269" t="str">
        <v/>
      </c>
      <c r="CD269" t="str">
        <v/>
      </c>
      <c r="CE269" t="str">
        <v/>
      </c>
      <c r="CF269" t="str">
        <v/>
      </c>
    </row>
    <row r="270" spans="58:84" x14ac:dyDescent="0.3">
      <c r="BF270" t="str">
        <v>processor</v>
      </c>
      <c r="BG270" t="str">
        <v>Transmontaigne Operating Company 29</v>
      </c>
      <c r="BH270" t="str">
        <v>blendSAF</v>
      </c>
      <c r="BI270" t="str">
        <v/>
      </c>
      <c r="BJ270" t="str">
        <v/>
      </c>
      <c r="BK270" t="str">
        <v/>
      </c>
      <c r="BL270" t="str">
        <v/>
      </c>
      <c r="BM270" t="str">
        <v/>
      </c>
      <c r="BY270" t="str">
        <v>processor</v>
      </c>
      <c r="BZ270" t="str">
        <v>Imtt Epic Llc 2</v>
      </c>
      <c r="CA270" t="str">
        <v>blendSAF</v>
      </c>
      <c r="CB270" t="str">
        <v/>
      </c>
      <c r="CC270" t="str">
        <v/>
      </c>
      <c r="CD270" t="str">
        <v/>
      </c>
      <c r="CE270" t="str">
        <v/>
      </c>
      <c r="CF270" t="str">
        <v/>
      </c>
    </row>
    <row r="271" spans="58:84" x14ac:dyDescent="0.3">
      <c r="BF271" t="str">
        <v>processor</v>
      </c>
      <c r="BG271" t="str">
        <v>Transmontaigne Operating Company 44</v>
      </c>
      <c r="BH271" t="str">
        <v>blendSAF</v>
      </c>
      <c r="BI271" t="str">
        <v/>
      </c>
      <c r="BJ271" t="str">
        <v/>
      </c>
      <c r="BK271" t="str">
        <v/>
      </c>
      <c r="BL271" t="str">
        <v/>
      </c>
      <c r="BM271" t="str">
        <v/>
      </c>
      <c r="BY271" t="str">
        <v>processor</v>
      </c>
      <c r="BZ271" t="str">
        <v>Imtt Epic Llc 3</v>
      </c>
      <c r="CA271" t="str">
        <v>blendSAF</v>
      </c>
      <c r="CB271" t="str">
        <v/>
      </c>
      <c r="CC271" t="str">
        <v/>
      </c>
      <c r="CD271" t="str">
        <v/>
      </c>
      <c r="CE271" t="str">
        <v/>
      </c>
      <c r="CF271" t="str">
        <v/>
      </c>
    </row>
    <row r="272" spans="58:84" x14ac:dyDescent="0.3">
      <c r="BF272" t="str">
        <v>processor</v>
      </c>
      <c r="BG272" t="str">
        <v>Transmontaigne Operating Company 45</v>
      </c>
      <c r="BH272" t="str">
        <v>blendSAF</v>
      </c>
      <c r="BI272" t="str">
        <v/>
      </c>
      <c r="BJ272" t="str">
        <v/>
      </c>
      <c r="BK272" t="str">
        <v/>
      </c>
      <c r="BL272" t="str">
        <v/>
      </c>
      <c r="BM272" t="str">
        <v/>
      </c>
      <c r="BY272" t="str">
        <v>processor</v>
      </c>
      <c r="BZ272" t="str">
        <v>Marathon Petroleum Co Llc 5</v>
      </c>
      <c r="CA272" t="str">
        <v>blendSAF</v>
      </c>
      <c r="CB272" t="str">
        <v/>
      </c>
      <c r="CC272" t="str">
        <v/>
      </c>
      <c r="CD272" t="str">
        <v/>
      </c>
      <c r="CE272" t="str">
        <v/>
      </c>
      <c r="CF272" t="str">
        <v/>
      </c>
    </row>
    <row r="273" spans="58:84" x14ac:dyDescent="0.3">
      <c r="BF273" t="str">
        <v>processor</v>
      </c>
      <c r="BG273" t="str">
        <v>Owens Corning 1</v>
      </c>
      <c r="BH273" t="str">
        <v>blendSAF</v>
      </c>
      <c r="BI273" t="str">
        <v/>
      </c>
      <c r="BJ273" t="str">
        <v/>
      </c>
      <c r="BK273" t="str">
        <v/>
      </c>
      <c r="BL273" t="str">
        <v/>
      </c>
      <c r="BM273" t="str">
        <v/>
      </c>
      <c r="BY273" t="str">
        <v>processor</v>
      </c>
      <c r="BZ273" t="str">
        <v>Mplx Terminals Llc 16</v>
      </c>
      <c r="CA273" t="str">
        <v>blendSAF</v>
      </c>
      <c r="CB273" t="str">
        <v/>
      </c>
      <c r="CC273" t="str">
        <v/>
      </c>
      <c r="CD273" t="str">
        <v/>
      </c>
      <c r="CE273" t="str">
        <v/>
      </c>
      <c r="CF273" t="str">
        <v/>
      </c>
    </row>
    <row r="274" spans="58:84" x14ac:dyDescent="0.3">
      <c r="BF274" t="str">
        <v>processor</v>
      </c>
      <c r="BG274" t="str">
        <v>Vopak Terminals North Amer Inc 2</v>
      </c>
      <c r="BH274" t="str">
        <v>blendSAF</v>
      </c>
      <c r="BI274" t="str">
        <v/>
      </c>
      <c r="BJ274" t="str">
        <v/>
      </c>
      <c r="BK274" t="str">
        <v/>
      </c>
      <c r="BL274" t="str">
        <v/>
      </c>
      <c r="BM274" t="str">
        <v/>
      </c>
      <c r="BY274" t="str">
        <v>processor</v>
      </c>
      <c r="BZ274" t="str">
        <v>Mplx Terminals Llc 1</v>
      </c>
      <c r="CA274" t="str">
        <v>blendSAF</v>
      </c>
      <c r="CB274" t="str">
        <v/>
      </c>
      <c r="CC274" t="str">
        <v/>
      </c>
      <c r="CD274" t="str">
        <v/>
      </c>
      <c r="CE274" t="str">
        <v/>
      </c>
      <c r="CF274" t="str">
        <v/>
      </c>
    </row>
    <row r="275" spans="58:84" x14ac:dyDescent="0.3">
      <c r="BF275" t="str">
        <v>processor</v>
      </c>
      <c r="BG275" t="str">
        <v>Ergon Asphalt &amp; Emulsions Inc 2</v>
      </c>
      <c r="BH275" t="str">
        <v>blendSAF</v>
      </c>
      <c r="BI275" t="str">
        <v/>
      </c>
      <c r="BJ275" t="str">
        <v/>
      </c>
      <c r="BK275" t="str">
        <v/>
      </c>
      <c r="BL275" t="str">
        <v/>
      </c>
      <c r="BM275" t="str">
        <v/>
      </c>
      <c r="BY275" t="str">
        <v>processor</v>
      </c>
      <c r="BZ275" t="str">
        <v>Mplx Terminals Llc 33</v>
      </c>
      <c r="CA275" t="str">
        <v>blendSAF</v>
      </c>
      <c r="CB275" t="str">
        <v/>
      </c>
      <c r="CC275" t="str">
        <v/>
      </c>
      <c r="CD275" t="str">
        <v/>
      </c>
      <c r="CE275" t="str">
        <v/>
      </c>
      <c r="CF275" t="str">
        <v/>
      </c>
    </row>
    <row r="276" spans="58:84" x14ac:dyDescent="0.3">
      <c r="BF276" t="str">
        <v>processor</v>
      </c>
      <c r="BG276" t="str">
        <v>Sinclair Oil Corp 1</v>
      </c>
      <c r="BH276" t="str">
        <v>blendSAF</v>
      </c>
      <c r="BI276" t="str">
        <v/>
      </c>
      <c r="BJ276" t="str">
        <v/>
      </c>
      <c r="BK276" t="str">
        <v/>
      </c>
      <c r="BL276" t="str">
        <v/>
      </c>
      <c r="BM276" t="str">
        <v/>
      </c>
      <c r="BY276" t="str">
        <v>processor</v>
      </c>
      <c r="BZ276" t="str">
        <v>Cw Matthews Contracting Co Inc</v>
      </c>
      <c r="CA276" t="str">
        <v>blendSAF</v>
      </c>
      <c r="CB276" t="str">
        <v/>
      </c>
      <c r="CC276" t="str">
        <v/>
      </c>
      <c r="CD276" t="str">
        <v/>
      </c>
      <c r="CE276" t="str">
        <v/>
      </c>
      <c r="CF276" t="str">
        <v/>
      </c>
    </row>
    <row r="277" spans="58:84" x14ac:dyDescent="0.3">
      <c r="BF277" t="str">
        <v>processor</v>
      </c>
      <c r="BG277" t="str">
        <v>Sinclair Oil Corp 3</v>
      </c>
      <c r="BH277" t="str">
        <v>blendSAF</v>
      </c>
      <c r="BI277" t="str">
        <v/>
      </c>
      <c r="BJ277" t="str">
        <v/>
      </c>
      <c r="BK277" t="str">
        <v/>
      </c>
      <c r="BL277" t="str">
        <v/>
      </c>
      <c r="BM277" t="str">
        <v/>
      </c>
      <c r="BY277" t="str">
        <v>processor</v>
      </c>
      <c r="BZ277" t="str">
        <v>Omega Ptnrs Iii Llc</v>
      </c>
      <c r="CA277" t="str">
        <v>blendSAF</v>
      </c>
      <c r="CB277" t="str">
        <v/>
      </c>
      <c r="CC277" t="str">
        <v/>
      </c>
      <c r="CD277" t="str">
        <v/>
      </c>
      <c r="CE277" t="str">
        <v/>
      </c>
      <c r="CF277" t="str">
        <v/>
      </c>
    </row>
    <row r="278" spans="58:84" x14ac:dyDescent="0.3">
      <c r="BF278" t="str">
        <v>processor</v>
      </c>
      <c r="BG278" t="str">
        <v>Sinclair Oil Corp 2</v>
      </c>
      <c r="BH278" t="str">
        <v>blendSAF</v>
      </c>
      <c r="BI278" t="str">
        <v/>
      </c>
      <c r="BJ278" t="str">
        <v/>
      </c>
      <c r="BK278" t="str">
        <v/>
      </c>
      <c r="BL278" t="str">
        <v/>
      </c>
      <c r="BM278" t="str">
        <v/>
      </c>
      <c r="BY278" t="str">
        <v>processor</v>
      </c>
      <c r="BZ278" t="str">
        <v>Citgo Petro Corp 12</v>
      </c>
      <c r="CA278" t="str">
        <v>blendSAF</v>
      </c>
      <c r="CB278" t="str">
        <v/>
      </c>
      <c r="CC278" t="str">
        <v/>
      </c>
      <c r="CD278" t="str">
        <v/>
      </c>
      <c r="CE278" t="str">
        <v/>
      </c>
      <c r="CF278" t="str">
        <v/>
      </c>
    </row>
    <row r="279" spans="58:84" x14ac:dyDescent="0.3">
      <c r="BF279" t="str">
        <v>processor</v>
      </c>
      <c r="BG279" t="str">
        <v>Andeavor Logistics Lp 7</v>
      </c>
      <c r="BH279" t="str">
        <v>blendSAF</v>
      </c>
      <c r="BI279" t="str">
        <v/>
      </c>
      <c r="BJ279" t="str">
        <v/>
      </c>
      <c r="BK279" t="str">
        <v/>
      </c>
      <c r="BL279" t="str">
        <v/>
      </c>
      <c r="BM279" t="str">
        <v/>
      </c>
      <c r="BY279" t="str">
        <v>processor</v>
      </c>
      <c r="BZ279" t="str">
        <v>Poet Biorefining Camilla Llc</v>
      </c>
      <c r="CA279" t="str">
        <v>blendSAF</v>
      </c>
      <c r="CB279" t="str">
        <v/>
      </c>
      <c r="CC279" t="str">
        <v/>
      </c>
      <c r="CD279" t="str">
        <v/>
      </c>
      <c r="CE279" t="str">
        <v/>
      </c>
      <c r="CF279" t="str">
        <v/>
      </c>
    </row>
    <row r="280" spans="58:84" x14ac:dyDescent="0.3">
      <c r="BF280" t="str">
        <v>processor</v>
      </c>
      <c r="BG280" t="str">
        <v>Andeavor Logistics Lp 6</v>
      </c>
      <c r="BH280" t="str">
        <v>blendSAF</v>
      </c>
      <c r="BI280" t="str">
        <v/>
      </c>
      <c r="BJ280" t="str">
        <v/>
      </c>
      <c r="BK280" t="str">
        <v/>
      </c>
      <c r="BL280" t="str">
        <v/>
      </c>
      <c r="BM280" t="str">
        <v/>
      </c>
      <c r="BY280" t="str">
        <v>processor</v>
      </c>
      <c r="BZ280" t="str">
        <v>Powder Springs Logistics Llc</v>
      </c>
      <c r="CA280" t="str">
        <v>blendSAF</v>
      </c>
      <c r="CB280" t="str">
        <v/>
      </c>
      <c r="CC280" t="str">
        <v/>
      </c>
      <c r="CD280" t="str">
        <v/>
      </c>
      <c r="CE280" t="str">
        <v/>
      </c>
      <c r="CF280" t="str">
        <v/>
      </c>
    </row>
    <row r="281" spans="58:84" x14ac:dyDescent="0.3">
      <c r="BF281" t="str">
        <v>processor</v>
      </c>
      <c r="BG281" t="str">
        <v>Andeavor Logistics Lp 18</v>
      </c>
      <c r="BH281" t="str">
        <v>blendSAF</v>
      </c>
      <c r="BI281" t="str">
        <v/>
      </c>
      <c r="BJ281" t="str">
        <v/>
      </c>
      <c r="BK281" t="str">
        <v/>
      </c>
      <c r="BL281" t="str">
        <v/>
      </c>
      <c r="BM281" t="str">
        <v/>
      </c>
      <c r="BY281" t="str">
        <v>processor</v>
      </c>
      <c r="BZ281" t="str">
        <v>Motiva Enterprises Llc 8</v>
      </c>
      <c r="CA281" t="str">
        <v>blendSAF</v>
      </c>
      <c r="CB281" t="str">
        <v/>
      </c>
      <c r="CC281" t="str">
        <v/>
      </c>
      <c r="CD281" t="str">
        <v/>
      </c>
      <c r="CE281" t="str">
        <v/>
      </c>
      <c r="CF281" t="str">
        <v/>
      </c>
    </row>
    <row r="282" spans="58:84" x14ac:dyDescent="0.3">
      <c r="BF282" t="str">
        <v>processor</v>
      </c>
      <c r="BG282" t="str">
        <v>Christensen Inc</v>
      </c>
      <c r="BH282" t="str">
        <v>blendSAF</v>
      </c>
      <c r="BI282" t="str">
        <v/>
      </c>
      <c r="BJ282" t="str">
        <v/>
      </c>
      <c r="BK282" t="str">
        <v/>
      </c>
      <c r="BL282" t="str">
        <v/>
      </c>
      <c r="BM282" t="str">
        <v/>
      </c>
      <c r="BY282" t="str">
        <v>processor</v>
      </c>
      <c r="BZ282" t="str">
        <v>Motiva Enterprises Llc 2</v>
      </c>
      <c r="CA282" t="str">
        <v>blendSAF</v>
      </c>
      <c r="CB282" t="str">
        <v/>
      </c>
      <c r="CC282" t="str">
        <v/>
      </c>
      <c r="CD282" t="str">
        <v/>
      </c>
      <c r="CE282" t="str">
        <v/>
      </c>
      <c r="CF282" t="str">
        <v/>
      </c>
    </row>
    <row r="283" spans="58:84" x14ac:dyDescent="0.3">
      <c r="BF283" t="str">
        <v>processor</v>
      </c>
      <c r="BG283" t="str">
        <v>Valvoline Llc 40</v>
      </c>
      <c r="BH283" t="str">
        <v>blendSAF</v>
      </c>
      <c r="BI283" t="str">
        <v/>
      </c>
      <c r="BJ283" t="str">
        <v/>
      </c>
      <c r="BK283" t="str">
        <v/>
      </c>
      <c r="BL283" t="str">
        <v/>
      </c>
      <c r="BM283" t="str">
        <v/>
      </c>
      <c r="BY283" t="str">
        <v>processor</v>
      </c>
      <c r="BZ283" t="str">
        <v>Motiva Enterprises Llc 9</v>
      </c>
      <c r="CA283" t="str">
        <v>blendSAF</v>
      </c>
      <c r="CB283" t="str">
        <v/>
      </c>
      <c r="CC283" t="str">
        <v/>
      </c>
      <c r="CD283" t="str">
        <v/>
      </c>
      <c r="CE283" t="str">
        <v/>
      </c>
      <c r="CF283" t="str">
        <v/>
      </c>
    </row>
    <row r="284" spans="58:84" x14ac:dyDescent="0.3">
      <c r="BF284" t="str">
        <v>processor</v>
      </c>
      <c r="BG284" t="str">
        <v>Petroleum Fuel And Terminal Company 19</v>
      </c>
      <c r="BH284" t="str">
        <v>blendSAF</v>
      </c>
      <c r="BI284" t="str">
        <v/>
      </c>
      <c r="BJ284" t="str">
        <v/>
      </c>
      <c r="BK284" t="str">
        <v/>
      </c>
      <c r="BL284" t="str">
        <v/>
      </c>
      <c r="BM284" t="str">
        <v/>
      </c>
      <c r="BY284" t="str">
        <v>processor</v>
      </c>
      <c r="BZ284" t="str">
        <v>South Florida Materials Corp 12</v>
      </c>
      <c r="CA284" t="str">
        <v>blendSAF</v>
      </c>
      <c r="CB284" t="str">
        <v/>
      </c>
      <c r="CC284" t="str">
        <v/>
      </c>
      <c r="CD284" t="str">
        <v/>
      </c>
      <c r="CE284" t="str">
        <v/>
      </c>
      <c r="CF284" t="str">
        <v/>
      </c>
    </row>
    <row r="285" spans="58:84" x14ac:dyDescent="0.3">
      <c r="BF285" t="str">
        <v>processor</v>
      </c>
      <c r="BG285" t="str">
        <v>Petroleum Fuel &amp; Terminal Co 6</v>
      </c>
      <c r="BH285" t="str">
        <v>blendSAF</v>
      </c>
      <c r="BI285" t="str">
        <v/>
      </c>
      <c r="BJ285" t="str">
        <v/>
      </c>
      <c r="BK285" t="str">
        <v/>
      </c>
      <c r="BL285" t="str">
        <v/>
      </c>
      <c r="BM285" t="str">
        <v/>
      </c>
      <c r="BY285" t="str">
        <v>processor</v>
      </c>
      <c r="BZ285" t="str">
        <v>Southeast Emulsions Inc 1</v>
      </c>
      <c r="CA285" t="str">
        <v>blendSAF</v>
      </c>
      <c r="CB285" t="str">
        <v/>
      </c>
      <c r="CC285" t="str">
        <v/>
      </c>
      <c r="CD285" t="str">
        <v/>
      </c>
      <c r="CE285" t="str">
        <v/>
      </c>
      <c r="CF285" t="str">
        <v/>
      </c>
    </row>
    <row r="286" spans="58:84" x14ac:dyDescent="0.3">
      <c r="BF286" t="str">
        <v>processor</v>
      </c>
      <c r="BG286" t="str">
        <v>Emulsicoat Of Southern Illinois Llc 1</v>
      </c>
      <c r="BH286" t="str">
        <v>blendSAF</v>
      </c>
      <c r="BI286" t="str">
        <v/>
      </c>
      <c r="BJ286" t="str">
        <v/>
      </c>
      <c r="BK286" t="str">
        <v/>
      </c>
      <c r="BL286" t="str">
        <v/>
      </c>
      <c r="BM286" t="str">
        <v/>
      </c>
      <c r="BY286" t="str">
        <v>processor</v>
      </c>
      <c r="BZ286" t="str">
        <v>Transmontaigne Operating Company 3</v>
      </c>
      <c r="CA286" t="str">
        <v>blendSAF</v>
      </c>
      <c r="CB286" t="str">
        <v/>
      </c>
      <c r="CC286" t="str">
        <v/>
      </c>
      <c r="CD286" t="str">
        <v/>
      </c>
      <c r="CE286" t="str">
        <v/>
      </c>
      <c r="CF286" t="str">
        <v/>
      </c>
    </row>
    <row r="287" spans="58:84" x14ac:dyDescent="0.3">
      <c r="BF287" t="str">
        <v>processor</v>
      </c>
      <c r="BG287" t="str">
        <v>Emulsicoat Of Southern Illinois Llc 2</v>
      </c>
      <c r="BH287" t="str">
        <v>blendSAF</v>
      </c>
      <c r="BI287" t="str">
        <v/>
      </c>
      <c r="BJ287" t="str">
        <v/>
      </c>
      <c r="BK287" t="str">
        <v/>
      </c>
      <c r="BL287" t="str">
        <v/>
      </c>
      <c r="BM287" t="str">
        <v/>
      </c>
      <c r="BY287" t="str">
        <v>processor</v>
      </c>
      <c r="BZ287" t="str">
        <v>Transmontaigne Operating Company 4</v>
      </c>
      <c r="CA287" t="str">
        <v>blendSAF</v>
      </c>
      <c r="CB287" t="str">
        <v/>
      </c>
      <c r="CC287" t="str">
        <v/>
      </c>
      <c r="CD287" t="str">
        <v/>
      </c>
      <c r="CE287" t="str">
        <v/>
      </c>
      <c r="CF287" t="str">
        <v/>
      </c>
    </row>
    <row r="288" spans="58:84" x14ac:dyDescent="0.3">
      <c r="BF288" t="str">
        <v>processor</v>
      </c>
      <c r="BG288" t="str">
        <v>Valero Terminaling &amp; Distr Co 33</v>
      </c>
      <c r="BH288" t="str">
        <v>blendSAF</v>
      </c>
      <c r="BI288" t="str">
        <v/>
      </c>
      <c r="BJ288" t="str">
        <v/>
      </c>
      <c r="BK288" t="str">
        <v/>
      </c>
      <c r="BL288" t="str">
        <v/>
      </c>
      <c r="BM288" t="str">
        <v/>
      </c>
      <c r="BY288" t="str">
        <v>processor</v>
      </c>
      <c r="BZ288" t="str">
        <v>Transmontaigne Operating Company 6</v>
      </c>
      <c r="CA288" t="str">
        <v>blendSAF</v>
      </c>
      <c r="CB288" t="str">
        <v/>
      </c>
      <c r="CC288" t="str">
        <v/>
      </c>
      <c r="CD288" t="str">
        <v/>
      </c>
      <c r="CE288" t="str">
        <v/>
      </c>
      <c r="CF288" t="str">
        <v/>
      </c>
    </row>
    <row r="289" spans="58:84" x14ac:dyDescent="0.3">
      <c r="BF289" t="str">
        <v>processor</v>
      </c>
      <c r="BG289" t="str">
        <v>Buckeye Terminals Llc 23</v>
      </c>
      <c r="BH289" t="str">
        <v>blendSAF</v>
      </c>
      <c r="BI289" t="str">
        <v/>
      </c>
      <c r="BJ289" t="str">
        <v/>
      </c>
      <c r="BK289" t="str">
        <v/>
      </c>
      <c r="BL289" t="str">
        <v/>
      </c>
      <c r="BM289" t="str">
        <v/>
      </c>
      <c r="BY289" t="str">
        <v>processor</v>
      </c>
      <c r="BZ289" t="str">
        <v>Transmontaigne Operating Company 7</v>
      </c>
      <c r="CA289" t="str">
        <v>blendSAF</v>
      </c>
      <c r="CB289" t="str">
        <v/>
      </c>
      <c r="CC289" t="str">
        <v/>
      </c>
      <c r="CD289" t="str">
        <v/>
      </c>
      <c r="CE289" t="str">
        <v/>
      </c>
      <c r="CF289" t="str">
        <v/>
      </c>
    </row>
    <row r="290" spans="58:84" x14ac:dyDescent="0.3">
      <c r="BF290" t="str">
        <v>processor</v>
      </c>
      <c r="BG290" t="str">
        <v>Buckeye Terminals Llc 94</v>
      </c>
      <c r="BH290" t="str">
        <v>blendSAF</v>
      </c>
      <c r="BI290" t="str">
        <v/>
      </c>
      <c r="BJ290" t="str">
        <v/>
      </c>
      <c r="BK290" t="str">
        <v/>
      </c>
      <c r="BL290" t="str">
        <v/>
      </c>
      <c r="BM290" t="str">
        <v/>
      </c>
      <c r="BY290" t="str">
        <v>processor</v>
      </c>
      <c r="BZ290" t="str">
        <v>Transmontaigne Operating Company 17</v>
      </c>
      <c r="CA290" t="str">
        <v>blendSAF</v>
      </c>
      <c r="CB290" t="str">
        <v/>
      </c>
      <c r="CC290" t="str">
        <v/>
      </c>
      <c r="CD290" t="str">
        <v/>
      </c>
      <c r="CE290" t="str">
        <v/>
      </c>
      <c r="CF290" t="str">
        <v/>
      </c>
    </row>
    <row r="291" spans="58:84" x14ac:dyDescent="0.3">
      <c r="BF291" t="str">
        <v>processor</v>
      </c>
      <c r="BG291" t="str">
        <v>Buckeye Terminals Llc 45</v>
      </c>
      <c r="BH291" t="str">
        <v>blendSAF</v>
      </c>
      <c r="BI291" t="str">
        <v/>
      </c>
      <c r="BJ291" t="str">
        <v/>
      </c>
      <c r="BK291" t="str">
        <v/>
      </c>
      <c r="BL291" t="str">
        <v/>
      </c>
      <c r="BM291" t="str">
        <v/>
      </c>
      <c r="BY291" t="str">
        <v>processor</v>
      </c>
      <c r="BZ291" t="str">
        <v>Transmontaigne Operating Company 25</v>
      </c>
      <c r="CA291" t="str">
        <v>blendSAF</v>
      </c>
      <c r="CB291" t="str">
        <v/>
      </c>
      <c r="CC291" t="str">
        <v/>
      </c>
      <c r="CD291" t="str">
        <v/>
      </c>
      <c r="CE291" t="str">
        <v/>
      </c>
      <c r="CF291" t="str">
        <v/>
      </c>
    </row>
    <row r="292" spans="58:84" x14ac:dyDescent="0.3">
      <c r="BF292" t="str">
        <v>processor</v>
      </c>
      <c r="BG292" t="str">
        <v>Buckeye Terminals Llc 40</v>
      </c>
      <c r="BH292" t="str">
        <v>blendSAF</v>
      </c>
      <c r="BI292" t="str">
        <v/>
      </c>
      <c r="BJ292" t="str">
        <v/>
      </c>
      <c r="BK292" t="str">
        <v/>
      </c>
      <c r="BL292" t="str">
        <v/>
      </c>
      <c r="BM292" t="str">
        <v/>
      </c>
      <c r="BY292" t="str">
        <v>processor</v>
      </c>
      <c r="BZ292" t="str">
        <v>Transmontaigne Operating Company 29</v>
      </c>
      <c r="CA292" t="str">
        <v>blendSAF</v>
      </c>
      <c r="CB292" t="str">
        <v/>
      </c>
      <c r="CC292" t="str">
        <v/>
      </c>
      <c r="CD292" t="str">
        <v/>
      </c>
      <c r="CE292" t="str">
        <v/>
      </c>
      <c r="CF292" t="str">
        <v/>
      </c>
    </row>
    <row r="293" spans="58:84" x14ac:dyDescent="0.3">
      <c r="BF293" t="str">
        <v>processor</v>
      </c>
      <c r="BG293" t="str">
        <v>Buckeye Terminals Llc 61</v>
      </c>
      <c r="BH293" t="str">
        <v>blendSAF</v>
      </c>
      <c r="BI293" t="str">
        <v/>
      </c>
      <c r="BJ293" t="str">
        <v/>
      </c>
      <c r="BK293" t="str">
        <v/>
      </c>
      <c r="BL293" t="str">
        <v/>
      </c>
      <c r="BM293" t="str">
        <v/>
      </c>
      <c r="BY293" t="str">
        <v>processor</v>
      </c>
      <c r="BZ293" t="str">
        <v>Transmontaigne Operating Company 44</v>
      </c>
      <c r="CA293" t="str">
        <v>blendSAF</v>
      </c>
      <c r="CB293" t="str">
        <v/>
      </c>
      <c r="CC293" t="str">
        <v/>
      </c>
      <c r="CD293" t="str">
        <v/>
      </c>
      <c r="CE293" t="str">
        <v/>
      </c>
      <c r="CF293" t="str">
        <v/>
      </c>
    </row>
    <row r="294" spans="58:84" x14ac:dyDescent="0.3">
      <c r="BF294" t="str">
        <v>processor</v>
      </c>
      <c r="BG294" t="str">
        <v>Buckeye Development &amp; Logistics 2</v>
      </c>
      <c r="BH294" t="str">
        <v>blendSAF</v>
      </c>
      <c r="BI294" t="str">
        <v/>
      </c>
      <c r="BJ294" t="str">
        <v/>
      </c>
      <c r="BK294" t="str">
        <v/>
      </c>
      <c r="BL294" t="str">
        <v/>
      </c>
      <c r="BM294" t="str">
        <v/>
      </c>
      <c r="BY294" t="str">
        <v>processor</v>
      </c>
      <c r="BZ294" t="str">
        <v>Transmontaigne Operating Company 45</v>
      </c>
      <c r="CA294" t="str">
        <v>blendSAF</v>
      </c>
      <c r="CB294" t="str">
        <v/>
      </c>
      <c r="CC294" t="str">
        <v/>
      </c>
      <c r="CD294" t="str">
        <v/>
      </c>
      <c r="CE294" t="str">
        <v/>
      </c>
      <c r="CF294" t="str">
        <v/>
      </c>
    </row>
    <row r="295" spans="58:84" x14ac:dyDescent="0.3">
      <c r="BF295" t="str">
        <v>processor</v>
      </c>
      <c r="BG295" t="str">
        <v>Phillips 66 2</v>
      </c>
      <c r="BH295" t="str">
        <v>blendSAF</v>
      </c>
      <c r="BI295" t="str">
        <v/>
      </c>
      <c r="BJ295" t="str">
        <v/>
      </c>
      <c r="BK295" t="str">
        <v/>
      </c>
      <c r="BL295" t="str">
        <v/>
      </c>
      <c r="BM295" t="str">
        <v/>
      </c>
      <c r="BY295" t="str">
        <v>processor</v>
      </c>
      <c r="BZ295" t="str">
        <v>Owens Corning 1</v>
      </c>
      <c r="CA295" t="str">
        <v>blendSAF</v>
      </c>
      <c r="CB295" t="str">
        <v/>
      </c>
      <c r="CC295" t="str">
        <v/>
      </c>
      <c r="CD295" t="str">
        <v/>
      </c>
      <c r="CE295" t="str">
        <v/>
      </c>
      <c r="CF295" t="str">
        <v/>
      </c>
    </row>
    <row r="296" spans="58:84" x14ac:dyDescent="0.3">
      <c r="BF296" t="str">
        <v>processor</v>
      </c>
      <c r="BG296" t="str">
        <v>Phillips 66 Pipeline Llc 4</v>
      </c>
      <c r="BH296" t="str">
        <v>blendSAF</v>
      </c>
      <c r="BI296" t="str">
        <v/>
      </c>
      <c r="BJ296" t="str">
        <v/>
      </c>
      <c r="BK296" t="str">
        <v/>
      </c>
      <c r="BL296" t="str">
        <v/>
      </c>
      <c r="BM296" t="str">
        <v/>
      </c>
      <c r="BY296" t="str">
        <v>processor</v>
      </c>
      <c r="BZ296" t="str">
        <v>Vopak Terminals North Amer Inc 2</v>
      </c>
      <c r="CA296" t="str">
        <v>blendSAF</v>
      </c>
      <c r="CB296" t="str">
        <v/>
      </c>
      <c r="CC296" t="str">
        <v/>
      </c>
      <c r="CD296" t="str">
        <v/>
      </c>
      <c r="CE296" t="str">
        <v/>
      </c>
      <c r="CF296" t="str">
        <v/>
      </c>
    </row>
    <row r="297" spans="58:84" x14ac:dyDescent="0.3">
      <c r="BF297" t="str">
        <v>processor</v>
      </c>
      <c r="BG297" t="str">
        <v>Phillips 66 Company 5</v>
      </c>
      <c r="BH297" t="str">
        <v>blendSAF</v>
      </c>
      <c r="BI297" t="str">
        <v/>
      </c>
      <c r="BJ297" t="str">
        <v/>
      </c>
      <c r="BK297" t="str">
        <v/>
      </c>
      <c r="BL297" t="str">
        <v/>
      </c>
      <c r="BM297" t="str">
        <v/>
      </c>
      <c r="BY297" t="str">
        <v>processor</v>
      </c>
      <c r="BZ297" t="str">
        <v>Ergon Asphalt &amp; Emulsions Inc 2</v>
      </c>
      <c r="CA297" t="str">
        <v>blendSAF</v>
      </c>
      <c r="CB297" t="str">
        <v/>
      </c>
      <c r="CC297" t="str">
        <v/>
      </c>
      <c r="CD297" t="str">
        <v/>
      </c>
      <c r="CE297" t="str">
        <v/>
      </c>
      <c r="CF297" t="str">
        <v/>
      </c>
    </row>
    <row r="298" spans="58:84" x14ac:dyDescent="0.3">
      <c r="BF298" t="str">
        <v>processor</v>
      </c>
      <c r="BG298" t="str">
        <v>Sunoco Llc 4</v>
      </c>
      <c r="BH298" t="str">
        <v>blendSAF</v>
      </c>
      <c r="BI298" t="str">
        <v/>
      </c>
      <c r="BJ298" t="str">
        <v/>
      </c>
      <c r="BK298" t="str">
        <v/>
      </c>
      <c r="BL298" t="str">
        <v/>
      </c>
      <c r="BM298" t="str">
        <v/>
      </c>
      <c r="BY298" t="str">
        <v>processor</v>
      </c>
      <c r="BZ298" t="str">
        <v>Sinclair Oil Corp 1</v>
      </c>
      <c r="CA298" t="str">
        <v>blendSAF</v>
      </c>
      <c r="CB298" t="str">
        <v/>
      </c>
      <c r="CC298" t="str">
        <v/>
      </c>
      <c r="CD298" t="str">
        <v/>
      </c>
      <c r="CE298" t="str">
        <v/>
      </c>
      <c r="CF298" t="str">
        <v/>
      </c>
    </row>
    <row r="299" spans="58:84" x14ac:dyDescent="0.3">
      <c r="BF299" t="str">
        <v>processor</v>
      </c>
      <c r="BG299" t="str">
        <v>Enterprise Terminals &amp; Storage Llc 24</v>
      </c>
      <c r="BH299" t="str">
        <v>blendSAF</v>
      </c>
      <c r="BI299" t="str">
        <v/>
      </c>
      <c r="BJ299" t="str">
        <v/>
      </c>
      <c r="BK299" t="str">
        <v/>
      </c>
      <c r="BL299" t="str">
        <v/>
      </c>
      <c r="BM299" t="str">
        <v/>
      </c>
      <c r="BY299" t="str">
        <v>processor</v>
      </c>
      <c r="BZ299" t="str">
        <v>Sinclair Oil Corp 3</v>
      </c>
      <c r="CA299" t="str">
        <v>blendSAF</v>
      </c>
      <c r="CB299" t="str">
        <v/>
      </c>
      <c r="CC299" t="str">
        <v/>
      </c>
      <c r="CD299" t="str">
        <v/>
      </c>
      <c r="CE299" t="str">
        <v/>
      </c>
      <c r="CF299" t="str">
        <v/>
      </c>
    </row>
    <row r="300" spans="58:84" x14ac:dyDescent="0.3">
      <c r="BF300" t="str">
        <v>processor</v>
      </c>
      <c r="BG300" t="str">
        <v>Enterprise Terminals &amp; Storage Llc 14</v>
      </c>
      <c r="BH300" t="str">
        <v>blendSAF</v>
      </c>
      <c r="BI300" t="str">
        <v/>
      </c>
      <c r="BJ300" t="str">
        <v/>
      </c>
      <c r="BK300" t="str">
        <v/>
      </c>
      <c r="BL300" t="str">
        <v/>
      </c>
      <c r="BM300" t="str">
        <v/>
      </c>
      <c r="BY300" t="str">
        <v>processor</v>
      </c>
      <c r="BZ300" t="str">
        <v>Sinclair Oil Corp 2</v>
      </c>
      <c r="CA300" t="str">
        <v>blendSAF</v>
      </c>
      <c r="CB300" t="str">
        <v/>
      </c>
      <c r="CC300" t="str">
        <v/>
      </c>
      <c r="CD300" t="str">
        <v/>
      </c>
      <c r="CE300" t="str">
        <v/>
      </c>
      <c r="CF300" t="str">
        <v/>
      </c>
    </row>
    <row r="301" spans="58:84" x14ac:dyDescent="0.3">
      <c r="BF301" t="str">
        <v>processor</v>
      </c>
      <c r="BG301" t="str">
        <v>Exxonmobil Corp</v>
      </c>
      <c r="BH301" t="str">
        <v>blendSAF</v>
      </c>
      <c r="BI301" t="str">
        <v/>
      </c>
      <c r="BJ301" t="str">
        <v/>
      </c>
      <c r="BK301" t="str">
        <v/>
      </c>
      <c r="BL301" t="str">
        <v/>
      </c>
      <c r="BM301" t="str">
        <v/>
      </c>
      <c r="BY301" t="str">
        <v>processor</v>
      </c>
      <c r="BZ301" t="str">
        <v>Andeavor Logistics Lp 7</v>
      </c>
      <c r="CA301" t="str">
        <v>blendSAF</v>
      </c>
      <c r="CB301" t="str">
        <v/>
      </c>
      <c r="CC301" t="str">
        <v/>
      </c>
      <c r="CD301" t="str">
        <v/>
      </c>
      <c r="CE301" t="str">
        <v/>
      </c>
      <c r="CF301" t="str">
        <v/>
      </c>
    </row>
    <row r="302" spans="58:84" x14ac:dyDescent="0.3">
      <c r="BF302" t="str">
        <v>processor</v>
      </c>
      <c r="BG302" t="str">
        <v>Exxonmobil Pipeline Co 1</v>
      </c>
      <c r="BH302" t="str">
        <v>blendSAF</v>
      </c>
      <c r="BI302" t="str">
        <v/>
      </c>
      <c r="BJ302" t="str">
        <v/>
      </c>
      <c r="BK302" t="str">
        <v/>
      </c>
      <c r="BL302" t="str">
        <v/>
      </c>
      <c r="BM302" t="str">
        <v/>
      </c>
      <c r="BY302" t="str">
        <v>processor</v>
      </c>
      <c r="BZ302" t="str">
        <v>Andeavor Logistics Lp 6</v>
      </c>
      <c r="CA302" t="str">
        <v>blendSAF</v>
      </c>
      <c r="CB302" t="str">
        <v/>
      </c>
      <c r="CC302" t="str">
        <v/>
      </c>
      <c r="CD302" t="str">
        <v/>
      </c>
      <c r="CE302" t="str">
        <v/>
      </c>
      <c r="CF302" t="str">
        <v/>
      </c>
    </row>
    <row r="303" spans="58:84" x14ac:dyDescent="0.3">
      <c r="BF303" t="str">
        <v>processor</v>
      </c>
      <c r="BG303" t="str">
        <v>Exxon Mobil Refg &amp; Sply Comp 4</v>
      </c>
      <c r="BH303" t="str">
        <v>blendSAF</v>
      </c>
      <c r="BI303" t="str">
        <v/>
      </c>
      <c r="BJ303" t="str">
        <v/>
      </c>
      <c r="BK303" t="str">
        <v/>
      </c>
      <c r="BL303" t="str">
        <v/>
      </c>
      <c r="BM303" t="str">
        <v/>
      </c>
      <c r="BY303" t="str">
        <v>processor</v>
      </c>
      <c r="BZ303" t="str">
        <v>Andeavor Logistics Lp 18</v>
      </c>
      <c r="CA303" t="str">
        <v>blendSAF</v>
      </c>
      <c r="CB303" t="str">
        <v/>
      </c>
      <c r="CC303" t="str">
        <v/>
      </c>
      <c r="CD303" t="str">
        <v/>
      </c>
      <c r="CE303" t="str">
        <v/>
      </c>
      <c r="CF303" t="str">
        <v/>
      </c>
    </row>
    <row r="304" spans="58:84" x14ac:dyDescent="0.3">
      <c r="BF304" t="str">
        <v>processor</v>
      </c>
      <c r="BG304" t="str">
        <v>Growmark Inc 7</v>
      </c>
      <c r="BH304" t="str">
        <v>blendSAF</v>
      </c>
      <c r="BI304" t="str">
        <v/>
      </c>
      <c r="BJ304" t="str">
        <v/>
      </c>
      <c r="BK304" t="str">
        <v/>
      </c>
      <c r="BL304" t="str">
        <v/>
      </c>
      <c r="BM304" t="str">
        <v/>
      </c>
      <c r="BY304" t="str">
        <v>processor</v>
      </c>
      <c r="BZ304" t="str">
        <v>Christensen Inc</v>
      </c>
      <c r="CA304" t="str">
        <v>blendSAF</v>
      </c>
      <c r="CB304" t="str">
        <v/>
      </c>
      <c r="CC304" t="str">
        <v/>
      </c>
      <c r="CD304" t="str">
        <v/>
      </c>
      <c r="CE304" t="str">
        <v/>
      </c>
      <c r="CF304" t="str">
        <v/>
      </c>
    </row>
    <row r="305" spans="58:84" x14ac:dyDescent="0.3">
      <c r="BF305" t="str">
        <v>processor</v>
      </c>
      <c r="BG305" t="str">
        <v>Growmark Inc 2</v>
      </c>
      <c r="BH305" t="str">
        <v>blendSAF</v>
      </c>
      <c r="BI305" t="str">
        <v/>
      </c>
      <c r="BJ305" t="str">
        <v/>
      </c>
      <c r="BK305" t="str">
        <v/>
      </c>
      <c r="BL305" t="str">
        <v/>
      </c>
      <c r="BM305" t="str">
        <v/>
      </c>
      <c r="BY305" t="str">
        <v>processor</v>
      </c>
      <c r="BZ305" t="str">
        <v>Valvoline Llc 40</v>
      </c>
      <c r="CA305" t="str">
        <v>blendSAF</v>
      </c>
      <c r="CB305" t="str">
        <v/>
      </c>
      <c r="CC305" t="str">
        <v/>
      </c>
      <c r="CD305" t="str">
        <v/>
      </c>
      <c r="CE305" t="str">
        <v/>
      </c>
      <c r="CF305" t="str">
        <v/>
      </c>
    </row>
    <row r="306" spans="58:84" x14ac:dyDescent="0.3">
      <c r="BF306" t="str">
        <v>processor</v>
      </c>
      <c r="BG306" t="str">
        <v>Growmark Inc 1</v>
      </c>
      <c r="BH306" t="str">
        <v>blendSAF</v>
      </c>
      <c r="BI306" t="str">
        <v/>
      </c>
      <c r="BJ306" t="str">
        <v/>
      </c>
      <c r="BK306" t="str">
        <v/>
      </c>
      <c r="BL306" t="str">
        <v/>
      </c>
      <c r="BM306" t="str">
        <v/>
      </c>
      <c r="BY306" t="str">
        <v>processor</v>
      </c>
      <c r="BZ306" t="str">
        <v>Petroleum Fuel And Terminal Company 19</v>
      </c>
      <c r="CA306" t="str">
        <v>blendSAF</v>
      </c>
      <c r="CB306" t="str">
        <v/>
      </c>
      <c r="CC306" t="str">
        <v/>
      </c>
      <c r="CD306" t="str">
        <v/>
      </c>
      <c r="CE306" t="str">
        <v/>
      </c>
      <c r="CF306" t="str">
        <v/>
      </c>
    </row>
    <row r="307" spans="58:84" x14ac:dyDescent="0.3">
      <c r="BF307" t="str">
        <v>processor</v>
      </c>
      <c r="BG307" t="str">
        <v>Growmark Inc 5</v>
      </c>
      <c r="BH307" t="str">
        <v>blendSAF</v>
      </c>
      <c r="BI307" t="str">
        <v/>
      </c>
      <c r="BJ307" t="str">
        <v/>
      </c>
      <c r="BK307" t="str">
        <v/>
      </c>
      <c r="BL307" t="str">
        <v/>
      </c>
      <c r="BM307" t="str">
        <v/>
      </c>
      <c r="BY307" t="str">
        <v>processor</v>
      </c>
      <c r="BZ307" t="str">
        <v>Petroleum Fuel &amp; Terminal Co 6</v>
      </c>
      <c r="CA307" t="str">
        <v>blendSAF</v>
      </c>
      <c r="CB307" t="str">
        <v/>
      </c>
      <c r="CC307" t="str">
        <v/>
      </c>
      <c r="CD307" t="str">
        <v/>
      </c>
      <c r="CE307" t="str">
        <v/>
      </c>
      <c r="CF307" t="str">
        <v/>
      </c>
    </row>
    <row r="308" spans="58:84" x14ac:dyDescent="0.3">
      <c r="BF308" t="str">
        <v>processor</v>
      </c>
      <c r="BG308" t="str">
        <v>Heritage Asphalt Llc 1</v>
      </c>
      <c r="BH308" t="str">
        <v>blendSAF</v>
      </c>
      <c r="BI308" t="str">
        <v/>
      </c>
      <c r="BJ308" t="str">
        <v/>
      </c>
      <c r="BK308" t="str">
        <v/>
      </c>
      <c r="BL308" t="str">
        <v/>
      </c>
      <c r="BM308" t="str">
        <v/>
      </c>
      <c r="BY308" t="str">
        <v>processor</v>
      </c>
      <c r="BZ308" t="str">
        <v>Emulsicoat Of Southern Illinois Llc 1</v>
      </c>
      <c r="CA308" t="str">
        <v>blendSAF</v>
      </c>
      <c r="CB308" t="str">
        <v/>
      </c>
      <c r="CC308" t="str">
        <v/>
      </c>
      <c r="CD308" t="str">
        <v/>
      </c>
      <c r="CE308" t="str">
        <v/>
      </c>
      <c r="CF308" t="str">
        <v/>
      </c>
    </row>
    <row r="309" spans="58:84" x14ac:dyDescent="0.3">
      <c r="BF309" t="str">
        <v>processor</v>
      </c>
      <c r="BG309" t="str">
        <v>Hwrt Oil Company Llc</v>
      </c>
      <c r="BH309" t="str">
        <v>blendSAF</v>
      </c>
      <c r="BI309" t="str">
        <v/>
      </c>
      <c r="BJ309" t="str">
        <v/>
      </c>
      <c r="BK309" t="str">
        <v/>
      </c>
      <c r="BL309" t="str">
        <v/>
      </c>
      <c r="BM309" t="str">
        <v/>
      </c>
      <c r="BY309" t="str">
        <v>processor</v>
      </c>
      <c r="BZ309" t="str">
        <v>Emulsicoat Of Southern Illinois Llc 2</v>
      </c>
      <c r="CA309" t="str">
        <v>blendSAF</v>
      </c>
      <c r="CB309" t="str">
        <v/>
      </c>
      <c r="CC309" t="str">
        <v/>
      </c>
      <c r="CD309" t="str">
        <v/>
      </c>
      <c r="CE309" t="str">
        <v/>
      </c>
      <c r="CF309" t="str">
        <v/>
      </c>
    </row>
    <row r="310" spans="58:84" x14ac:dyDescent="0.3">
      <c r="BF310" t="str">
        <v>processor</v>
      </c>
      <c r="BG310" t="str">
        <v>Hwrt Oil Co Llc 5</v>
      </c>
      <c r="BH310" t="str">
        <v>blendSAF</v>
      </c>
      <c r="BI310" t="str">
        <v/>
      </c>
      <c r="BJ310" t="str">
        <v/>
      </c>
      <c r="BK310" t="str">
        <v/>
      </c>
      <c r="BL310" t="str">
        <v/>
      </c>
      <c r="BM310" t="str">
        <v/>
      </c>
      <c r="BY310" t="str">
        <v>processor</v>
      </c>
      <c r="BZ310" t="str">
        <v>Valero Terminaling &amp; Distr Co 33</v>
      </c>
      <c r="CA310" t="str">
        <v>blendSAF</v>
      </c>
      <c r="CB310" t="str">
        <v/>
      </c>
      <c r="CC310" t="str">
        <v/>
      </c>
      <c r="CD310" t="str">
        <v/>
      </c>
      <c r="CE310" t="str">
        <v/>
      </c>
      <c r="CF310" t="str">
        <v/>
      </c>
    </row>
    <row r="311" spans="58:84" x14ac:dyDescent="0.3">
      <c r="BF311" t="str">
        <v>processor</v>
      </c>
      <c r="BG311" t="str">
        <v>Meredosia Terminal</v>
      </c>
      <c r="BH311" t="str">
        <v>blendSAF</v>
      </c>
      <c r="BI311" t="str">
        <v/>
      </c>
      <c r="BJ311" t="str">
        <v/>
      </c>
      <c r="BK311" t="str">
        <v/>
      </c>
      <c r="BL311" t="str">
        <v/>
      </c>
      <c r="BM311" t="str">
        <v/>
      </c>
      <c r="BY311" t="str">
        <v>processor</v>
      </c>
      <c r="BZ311" t="str">
        <v>Buckeye Terminals Llc 23</v>
      </c>
      <c r="CA311" t="str">
        <v>blendSAF</v>
      </c>
      <c r="CB311" t="str">
        <v/>
      </c>
      <c r="CC311" t="str">
        <v/>
      </c>
      <c r="CD311" t="str">
        <v/>
      </c>
      <c r="CE311" t="str">
        <v/>
      </c>
      <c r="CF311" t="str">
        <v/>
      </c>
    </row>
    <row r="312" spans="58:84" x14ac:dyDescent="0.3">
      <c r="BF312" t="str">
        <v>processor</v>
      </c>
      <c r="BG312" t="str">
        <v>Intl Matex Tank Terminals 2</v>
      </c>
      <c r="BH312" t="str">
        <v>blendSAF</v>
      </c>
      <c r="BI312" t="str">
        <v/>
      </c>
      <c r="BJ312" t="str">
        <v/>
      </c>
      <c r="BK312" t="str">
        <v/>
      </c>
      <c r="BL312" t="str">
        <v/>
      </c>
      <c r="BM312" t="str">
        <v/>
      </c>
      <c r="BY312" t="str">
        <v>processor</v>
      </c>
      <c r="BZ312" t="str">
        <v>Buckeye Terminals Llc 94</v>
      </c>
      <c r="CA312" t="str">
        <v>blendSAF</v>
      </c>
      <c r="CB312" t="str">
        <v/>
      </c>
      <c r="CC312" t="str">
        <v/>
      </c>
      <c r="CD312" t="str">
        <v/>
      </c>
      <c r="CE312" t="str">
        <v/>
      </c>
      <c r="CF312" t="str">
        <v/>
      </c>
    </row>
    <row r="313" spans="58:84" x14ac:dyDescent="0.3">
      <c r="BF313" t="str">
        <v>processor</v>
      </c>
      <c r="BG313" t="str">
        <v>Imtt-Illinois</v>
      </c>
      <c r="BH313" t="str">
        <v>blendSAF</v>
      </c>
      <c r="BI313" t="str">
        <v/>
      </c>
      <c r="BJ313" t="str">
        <v/>
      </c>
      <c r="BK313" t="str">
        <v/>
      </c>
      <c r="BL313" t="str">
        <v/>
      </c>
      <c r="BM313" t="str">
        <v/>
      </c>
      <c r="BY313" t="str">
        <v>processor</v>
      </c>
      <c r="BZ313" t="str">
        <v>Buckeye Terminals Llc 45</v>
      </c>
      <c r="CA313" t="str">
        <v>blendSAF</v>
      </c>
      <c r="CB313" t="str">
        <v/>
      </c>
      <c r="CC313" t="str">
        <v/>
      </c>
      <c r="CD313" t="str">
        <v/>
      </c>
      <c r="CE313" t="str">
        <v/>
      </c>
      <c r="CF313" t="str">
        <v/>
      </c>
    </row>
    <row r="314" spans="58:84" x14ac:dyDescent="0.3">
      <c r="BF314" t="str">
        <v>processor</v>
      </c>
      <c r="BG314" t="str">
        <v>Kinder Morgan Liquid Terminals</v>
      </c>
      <c r="BH314" t="str">
        <v>blendSAF</v>
      </c>
      <c r="BI314" t="str">
        <v/>
      </c>
      <c r="BJ314" t="str">
        <v/>
      </c>
      <c r="BK314" t="str">
        <v/>
      </c>
      <c r="BL314" t="str">
        <v/>
      </c>
      <c r="BM314" t="str">
        <v/>
      </c>
      <c r="BY314" t="str">
        <v>processor</v>
      </c>
      <c r="BZ314" t="str">
        <v>Buckeye Terminals Llc 40</v>
      </c>
      <c r="CA314" t="str">
        <v>blendSAF</v>
      </c>
      <c r="CB314" t="str">
        <v/>
      </c>
      <c r="CC314" t="str">
        <v/>
      </c>
      <c r="CD314" t="str">
        <v/>
      </c>
      <c r="CE314" t="str">
        <v/>
      </c>
      <c r="CF314" t="str">
        <v/>
      </c>
    </row>
    <row r="315" spans="58:84" x14ac:dyDescent="0.3">
      <c r="BF315" t="str">
        <v>processor</v>
      </c>
      <c r="BG315" t="str">
        <v>Kinder Morgan Liq Termls Llc 10</v>
      </c>
      <c r="BH315" t="str">
        <v>blendSAF</v>
      </c>
      <c r="BI315" t="str">
        <v/>
      </c>
      <c r="BJ315" t="str">
        <v/>
      </c>
      <c r="BK315" t="str">
        <v/>
      </c>
      <c r="BL315" t="str">
        <v/>
      </c>
      <c r="BM315" t="str">
        <v/>
      </c>
      <c r="BY315" t="str">
        <v>processor</v>
      </c>
      <c r="BZ315" t="str">
        <v>Buckeye Terminals Llc 61</v>
      </c>
      <c r="CA315" t="str">
        <v>blendSAF</v>
      </c>
      <c r="CB315" t="str">
        <v/>
      </c>
      <c r="CC315" t="str">
        <v/>
      </c>
      <c r="CD315" t="str">
        <v/>
      </c>
      <c r="CE315" t="str">
        <v/>
      </c>
      <c r="CF315" t="str">
        <v/>
      </c>
    </row>
    <row r="316" spans="58:84" x14ac:dyDescent="0.3">
      <c r="BF316" t="str">
        <v>processor</v>
      </c>
      <c r="BG316" t="str">
        <v>Kinder Morgan Phoenix Holdings Llc</v>
      </c>
      <c r="BH316" t="str">
        <v>blendSAF</v>
      </c>
      <c r="BI316" t="str">
        <v/>
      </c>
      <c r="BJ316" t="str">
        <v/>
      </c>
      <c r="BK316" t="str">
        <v/>
      </c>
      <c r="BL316" t="str">
        <v/>
      </c>
      <c r="BM316" t="str">
        <v/>
      </c>
      <c r="BY316" t="str">
        <v>processor</v>
      </c>
      <c r="BZ316" t="str">
        <v>Buckeye Development &amp; Logistics 2</v>
      </c>
      <c r="CA316" t="str">
        <v>blendSAF</v>
      </c>
      <c r="CB316" t="str">
        <v/>
      </c>
      <c r="CC316" t="str">
        <v/>
      </c>
      <c r="CD316" t="str">
        <v/>
      </c>
      <c r="CE316" t="str">
        <v/>
      </c>
      <c r="CF316" t="str">
        <v/>
      </c>
    </row>
    <row r="317" spans="58:84" x14ac:dyDescent="0.3">
      <c r="BF317" t="str">
        <v>processor</v>
      </c>
      <c r="BG317" t="str">
        <v>Kinder Morgan Liq Termls Llc 7</v>
      </c>
      <c r="BH317" t="str">
        <v>blendSAF</v>
      </c>
      <c r="BI317" t="str">
        <v/>
      </c>
      <c r="BJ317" t="str">
        <v/>
      </c>
      <c r="BK317" t="str">
        <v/>
      </c>
      <c r="BL317" t="str">
        <v/>
      </c>
      <c r="BM317" t="str">
        <v/>
      </c>
      <c r="BY317" t="str">
        <v>processor</v>
      </c>
      <c r="BZ317" t="str">
        <v>Phillips 66 2</v>
      </c>
      <c r="CA317" t="str">
        <v>blendSAF</v>
      </c>
      <c r="CB317" t="str">
        <v/>
      </c>
      <c r="CC317" t="str">
        <v/>
      </c>
      <c r="CD317" t="str">
        <v/>
      </c>
      <c r="CE317" t="str">
        <v/>
      </c>
      <c r="CF317" t="str">
        <v/>
      </c>
    </row>
    <row r="318" spans="58:84" x14ac:dyDescent="0.3">
      <c r="BF318" t="str">
        <v>processor</v>
      </c>
      <c r="BG318" t="str">
        <v>Kinder Morgan Liq Termls Llc 14</v>
      </c>
      <c r="BH318" t="str">
        <v>blendSAF</v>
      </c>
      <c r="BI318" t="str">
        <v/>
      </c>
      <c r="BJ318" t="str">
        <v/>
      </c>
      <c r="BK318" t="str">
        <v/>
      </c>
      <c r="BL318" t="str">
        <v/>
      </c>
      <c r="BM318" t="str">
        <v/>
      </c>
      <c r="BY318" t="str">
        <v>processor</v>
      </c>
      <c r="BZ318" t="str">
        <v>Phillips 66 Pipeline Llc 4</v>
      </c>
      <c r="CA318" t="str">
        <v>blendSAF</v>
      </c>
      <c r="CB318" t="str">
        <v/>
      </c>
      <c r="CC318" t="str">
        <v/>
      </c>
      <c r="CD318" t="str">
        <v/>
      </c>
      <c r="CE318" t="str">
        <v/>
      </c>
      <c r="CF318" t="str">
        <v/>
      </c>
    </row>
    <row r="319" spans="58:84" x14ac:dyDescent="0.3">
      <c r="BF319" t="str">
        <v>processor</v>
      </c>
      <c r="BG319" t="str">
        <v>Magellan Pipeline Co Lp 18</v>
      </c>
      <c r="BH319" t="str">
        <v>blendSAF</v>
      </c>
      <c r="BI319" t="str">
        <v/>
      </c>
      <c r="BJ319" t="str">
        <v/>
      </c>
      <c r="BK319" t="str">
        <v/>
      </c>
      <c r="BL319" t="str">
        <v/>
      </c>
      <c r="BM319" t="str">
        <v/>
      </c>
      <c r="BY319" t="str">
        <v>processor</v>
      </c>
      <c r="BZ319" t="str">
        <v>Phillips 66 Company 5</v>
      </c>
      <c r="CA319" t="str">
        <v>blendSAF</v>
      </c>
      <c r="CB319" t="str">
        <v/>
      </c>
      <c r="CC319" t="str">
        <v/>
      </c>
      <c r="CD319" t="str">
        <v/>
      </c>
      <c r="CE319" t="str">
        <v/>
      </c>
      <c r="CF319" t="str">
        <v/>
      </c>
    </row>
    <row r="320" spans="58:84" x14ac:dyDescent="0.3">
      <c r="BF320" t="str">
        <v>processor</v>
      </c>
      <c r="BG320" t="str">
        <v>Marathon Pipeline Llc 1</v>
      </c>
      <c r="BH320" t="str">
        <v>blendSAF</v>
      </c>
      <c r="BI320" t="str">
        <v/>
      </c>
      <c r="BJ320" t="str">
        <v/>
      </c>
      <c r="BK320" t="str">
        <v/>
      </c>
      <c r="BL320" t="str">
        <v/>
      </c>
      <c r="BM320" t="str">
        <v/>
      </c>
      <c r="BY320" t="str">
        <v>processor</v>
      </c>
      <c r="BZ320" t="str">
        <v>Sunoco Llc 4</v>
      </c>
      <c r="CA320" t="str">
        <v>blendSAF</v>
      </c>
      <c r="CB320" t="str">
        <v/>
      </c>
      <c r="CC320" t="str">
        <v/>
      </c>
      <c r="CD320" t="str">
        <v/>
      </c>
      <c r="CE320" t="str">
        <v/>
      </c>
      <c r="CF320" t="str">
        <v/>
      </c>
    </row>
    <row r="321" spans="58:84" x14ac:dyDescent="0.3">
      <c r="BF321" t="str">
        <v>processor</v>
      </c>
      <c r="BG321" t="str">
        <v>Marathon Pipeline Llc 2</v>
      </c>
      <c r="BH321" t="str">
        <v>blendSAF</v>
      </c>
      <c r="BI321" t="str">
        <v/>
      </c>
      <c r="BJ321" t="str">
        <v/>
      </c>
      <c r="BK321" t="str">
        <v/>
      </c>
      <c r="BL321" t="str">
        <v/>
      </c>
      <c r="BM321" t="str">
        <v/>
      </c>
      <c r="BY321" t="str">
        <v>processor</v>
      </c>
      <c r="BZ321" t="str">
        <v>Enterprise Terminals &amp; Storage Llc 24</v>
      </c>
      <c r="CA321" t="str">
        <v>blendSAF</v>
      </c>
      <c r="CB321" t="str">
        <v/>
      </c>
      <c r="CC321" t="str">
        <v/>
      </c>
      <c r="CD321" t="str">
        <v/>
      </c>
      <c r="CE321" t="str">
        <v/>
      </c>
      <c r="CF321" t="str">
        <v/>
      </c>
    </row>
    <row r="322" spans="58:84" x14ac:dyDescent="0.3">
      <c r="BF322" t="str">
        <v>processor</v>
      </c>
      <c r="BG322" t="str">
        <v>Mplx Terminals Llc 8</v>
      </c>
      <c r="BH322" t="str">
        <v>blendSAF</v>
      </c>
      <c r="BI322" t="str">
        <v/>
      </c>
      <c r="BJ322" t="str">
        <v/>
      </c>
      <c r="BK322" t="str">
        <v/>
      </c>
      <c r="BL322" t="str">
        <v/>
      </c>
      <c r="BM322" t="str">
        <v/>
      </c>
      <c r="BY322" t="str">
        <v>processor</v>
      </c>
      <c r="BZ322" t="str">
        <v>Enterprise Terminals &amp; Storage Llc 14</v>
      </c>
      <c r="CA322" t="str">
        <v>blendSAF</v>
      </c>
      <c r="CB322" t="str">
        <v/>
      </c>
      <c r="CC322" t="str">
        <v/>
      </c>
      <c r="CD322" t="str">
        <v/>
      </c>
      <c r="CE322" t="str">
        <v/>
      </c>
      <c r="CF322" t="str">
        <v/>
      </c>
    </row>
    <row r="323" spans="58:84" x14ac:dyDescent="0.3">
      <c r="BF323" t="str">
        <v>processor</v>
      </c>
      <c r="BG323" t="str">
        <v>Mplx Terminals Llc 45</v>
      </c>
      <c r="BH323" t="str">
        <v>blendSAF</v>
      </c>
      <c r="BI323" t="str">
        <v/>
      </c>
      <c r="BJ323" t="str">
        <v/>
      </c>
      <c r="BK323" t="str">
        <v/>
      </c>
      <c r="BL323" t="str">
        <v/>
      </c>
      <c r="BM323" t="str">
        <v/>
      </c>
      <c r="BY323" t="str">
        <v>processor</v>
      </c>
      <c r="BZ323" t="str">
        <v>Exxonmobil Corp</v>
      </c>
      <c r="CA323" t="str">
        <v>blendSAF</v>
      </c>
      <c r="CB323" t="str">
        <v/>
      </c>
      <c r="CC323" t="str">
        <v/>
      </c>
      <c r="CD323" t="str">
        <v/>
      </c>
      <c r="CE323" t="str">
        <v/>
      </c>
      <c r="CF323" t="str">
        <v/>
      </c>
    </row>
    <row r="324" spans="58:84" x14ac:dyDescent="0.3">
      <c r="BF324" t="str">
        <v>processor</v>
      </c>
      <c r="BG324" t="str">
        <v>Mck Terminals Llc 3</v>
      </c>
      <c r="BH324" t="str">
        <v>blendSAF</v>
      </c>
      <c r="BI324" t="str">
        <v/>
      </c>
      <c r="BJ324" t="str">
        <v/>
      </c>
      <c r="BK324" t="str">
        <v/>
      </c>
      <c r="BL324" t="str">
        <v/>
      </c>
      <c r="BM324" t="str">
        <v/>
      </c>
      <c r="BY324" t="str">
        <v>processor</v>
      </c>
      <c r="BZ324" t="str">
        <v>Exxonmobil Pipeline Co 1</v>
      </c>
      <c r="CA324" t="str">
        <v>blendSAF</v>
      </c>
      <c r="CB324" t="str">
        <v/>
      </c>
      <c r="CC324" t="str">
        <v/>
      </c>
      <c r="CD324" t="str">
        <v/>
      </c>
      <c r="CE324" t="str">
        <v/>
      </c>
      <c r="CF324" t="str">
        <v/>
      </c>
    </row>
    <row r="325" spans="58:84" x14ac:dyDescent="0.3">
      <c r="BF325" t="str">
        <v>processor</v>
      </c>
      <c r="BG325" t="str">
        <v>Mck Terminals Llc 4</v>
      </c>
      <c r="BH325" t="str">
        <v>blendSAF</v>
      </c>
      <c r="BI325" t="str">
        <v/>
      </c>
      <c r="BJ325" t="str">
        <v/>
      </c>
      <c r="BK325" t="str">
        <v/>
      </c>
      <c r="BL325" t="str">
        <v/>
      </c>
      <c r="BM325" t="str">
        <v/>
      </c>
      <c r="BY325" t="str">
        <v>processor</v>
      </c>
      <c r="BZ325" t="str">
        <v>Exxon Mobil Refg &amp; Sply Comp 4</v>
      </c>
      <c r="CA325" t="str">
        <v>blendSAF</v>
      </c>
      <c r="CB325" t="str">
        <v/>
      </c>
      <c r="CC325" t="str">
        <v/>
      </c>
      <c r="CD325" t="str">
        <v/>
      </c>
      <c r="CE325" t="str">
        <v/>
      </c>
      <c r="CF325" t="str">
        <v/>
      </c>
    </row>
    <row r="326" spans="58:84" x14ac:dyDescent="0.3">
      <c r="BF326" t="str">
        <v>processor</v>
      </c>
      <c r="BG326" t="str">
        <v>Omega Partners Iii Llc 1</v>
      </c>
      <c r="BH326" t="str">
        <v>blendSAF</v>
      </c>
      <c r="BI326" t="str">
        <v/>
      </c>
      <c r="BJ326" t="str">
        <v/>
      </c>
      <c r="BK326" t="str">
        <v/>
      </c>
      <c r="BL326" t="str">
        <v/>
      </c>
      <c r="BM326" t="str">
        <v/>
      </c>
      <c r="BY326" t="str">
        <v>processor</v>
      </c>
      <c r="BZ326" t="str">
        <v>Growmark Inc 7</v>
      </c>
      <c r="CA326" t="str">
        <v>blendSAF</v>
      </c>
      <c r="CB326" t="str">
        <v/>
      </c>
      <c r="CC326" t="str">
        <v/>
      </c>
      <c r="CD326" t="str">
        <v/>
      </c>
      <c r="CE326" t="str">
        <v/>
      </c>
      <c r="CF326" t="str">
        <v/>
      </c>
    </row>
    <row r="327" spans="58:84" x14ac:dyDescent="0.3">
      <c r="BF327" t="str">
        <v>processor</v>
      </c>
      <c r="BG327" t="str">
        <v>Oneok North System Llc 8</v>
      </c>
      <c r="BH327" t="str">
        <v>blendSAF</v>
      </c>
      <c r="BI327" t="str">
        <v/>
      </c>
      <c r="BJ327" t="str">
        <v/>
      </c>
      <c r="BK327" t="str">
        <v/>
      </c>
      <c r="BL327" t="str">
        <v/>
      </c>
      <c r="BM327" t="str">
        <v/>
      </c>
      <c r="BY327" t="str">
        <v>processor</v>
      </c>
      <c r="BZ327" t="str">
        <v>Growmark Inc 2</v>
      </c>
      <c r="CA327" t="str">
        <v>blendSAF</v>
      </c>
      <c r="CB327" t="str">
        <v/>
      </c>
      <c r="CC327" t="str">
        <v/>
      </c>
      <c r="CD327" t="str">
        <v/>
      </c>
      <c r="CE327" t="str">
        <v/>
      </c>
      <c r="CF327" t="str">
        <v/>
      </c>
    </row>
    <row r="328" spans="58:84" x14ac:dyDescent="0.3">
      <c r="BF328" t="str">
        <v>processor</v>
      </c>
      <c r="BG328" t="str">
        <v>Oneok North System Llc 12</v>
      </c>
      <c r="BH328" t="str">
        <v>blendSAF</v>
      </c>
      <c r="BI328" t="str">
        <v/>
      </c>
      <c r="BJ328" t="str">
        <v/>
      </c>
      <c r="BK328" t="str">
        <v/>
      </c>
      <c r="BL328" t="str">
        <v/>
      </c>
      <c r="BM328" t="str">
        <v/>
      </c>
      <c r="BY328" t="str">
        <v>processor</v>
      </c>
      <c r="BZ328" t="str">
        <v>Growmark Inc 1</v>
      </c>
      <c r="CA328" t="str">
        <v>blendSAF</v>
      </c>
      <c r="CB328" t="str">
        <v/>
      </c>
      <c r="CC328" t="str">
        <v/>
      </c>
      <c r="CD328" t="str">
        <v/>
      </c>
      <c r="CE328" t="str">
        <v/>
      </c>
      <c r="CF328" t="str">
        <v/>
      </c>
    </row>
    <row r="329" spans="58:84" x14ac:dyDescent="0.3">
      <c r="BF329" t="str">
        <v>processor</v>
      </c>
      <c r="BG329" t="str">
        <v>Oneok North System Llc 7</v>
      </c>
      <c r="BH329" t="str">
        <v>blendSAF</v>
      </c>
      <c r="BI329" t="str">
        <v/>
      </c>
      <c r="BJ329" t="str">
        <v/>
      </c>
      <c r="BK329" t="str">
        <v/>
      </c>
      <c r="BL329" t="str">
        <v/>
      </c>
      <c r="BM329" t="str">
        <v/>
      </c>
      <c r="BY329" t="str">
        <v>processor</v>
      </c>
      <c r="BZ329" t="str">
        <v>Growmark Inc 5</v>
      </c>
      <c r="CA329" t="str">
        <v>blendSAF</v>
      </c>
      <c r="CB329" t="str">
        <v/>
      </c>
      <c r="CC329" t="str">
        <v/>
      </c>
      <c r="CD329" t="str">
        <v/>
      </c>
      <c r="CE329" t="str">
        <v/>
      </c>
      <c r="CF329" t="str">
        <v/>
      </c>
    </row>
    <row r="330" spans="58:84" x14ac:dyDescent="0.3">
      <c r="BF330" t="str">
        <v>processor</v>
      </c>
      <c r="BG330" t="str">
        <v>Oneok North System Llc 11</v>
      </c>
      <c r="BH330" t="str">
        <v>blendSAF</v>
      </c>
      <c r="BI330" t="str">
        <v/>
      </c>
      <c r="BJ330" t="str">
        <v/>
      </c>
      <c r="BK330" t="str">
        <v/>
      </c>
      <c r="BL330" t="str">
        <v/>
      </c>
      <c r="BM330" t="str">
        <v/>
      </c>
      <c r="BY330" t="str">
        <v>processor</v>
      </c>
      <c r="BZ330" t="str">
        <v>Heritage Asphalt Llc 1</v>
      </c>
      <c r="CA330" t="str">
        <v>blendSAF</v>
      </c>
      <c r="CB330" t="str">
        <v/>
      </c>
      <c r="CC330" t="str">
        <v/>
      </c>
      <c r="CD330" t="str">
        <v/>
      </c>
      <c r="CE330" t="str">
        <v/>
      </c>
      <c r="CF330" t="str">
        <v/>
      </c>
    </row>
    <row r="331" spans="58:84" x14ac:dyDescent="0.3">
      <c r="BF331" t="str">
        <v>processor</v>
      </c>
      <c r="BG331" t="str">
        <v>Citgo Petro Corp 20</v>
      </c>
      <c r="BH331" t="str">
        <v>blendSAF</v>
      </c>
      <c r="BI331" t="str">
        <v/>
      </c>
      <c r="BJ331" t="str">
        <v/>
      </c>
      <c r="BK331" t="str">
        <v/>
      </c>
      <c r="BL331" t="str">
        <v/>
      </c>
      <c r="BM331" t="str">
        <v/>
      </c>
      <c r="BY331" t="str">
        <v>processor</v>
      </c>
      <c r="BZ331" t="str">
        <v>Hwrt Oil Company Llc</v>
      </c>
      <c r="CA331" t="str">
        <v>blendSAF</v>
      </c>
      <c r="CB331" t="str">
        <v/>
      </c>
      <c r="CC331" t="str">
        <v/>
      </c>
      <c r="CD331" t="str">
        <v/>
      </c>
      <c r="CE331" t="str">
        <v/>
      </c>
      <c r="CF331" t="str">
        <v/>
      </c>
    </row>
    <row r="332" spans="58:84" x14ac:dyDescent="0.3">
      <c r="BF332" t="str">
        <v>processor</v>
      </c>
      <c r="BG332" t="str">
        <v>Citgo Petro Corp 6</v>
      </c>
      <c r="BH332" t="str">
        <v>blendSAF</v>
      </c>
      <c r="BI332" t="str">
        <v/>
      </c>
      <c r="BJ332" t="str">
        <v/>
      </c>
      <c r="BK332" t="str">
        <v/>
      </c>
      <c r="BL332" t="str">
        <v/>
      </c>
      <c r="BM332" t="str">
        <v/>
      </c>
      <c r="BY332" t="str">
        <v>processor</v>
      </c>
      <c r="BZ332" t="str">
        <v>Hwrt Oil Co Llc 5</v>
      </c>
      <c r="CA332" t="str">
        <v>blendSAF</v>
      </c>
      <c r="CB332" t="str">
        <v/>
      </c>
      <c r="CC332" t="str">
        <v/>
      </c>
      <c r="CD332" t="str">
        <v/>
      </c>
      <c r="CE332" t="str">
        <v/>
      </c>
      <c r="CF332" t="str">
        <v/>
      </c>
    </row>
    <row r="333" spans="58:84" x14ac:dyDescent="0.3">
      <c r="BF333" t="str">
        <v>processor</v>
      </c>
      <c r="BG333" t="str">
        <v>Citgo Petro Corp 9</v>
      </c>
      <c r="BH333" t="str">
        <v>blendSAF</v>
      </c>
      <c r="BI333" t="str">
        <v/>
      </c>
      <c r="BJ333" t="str">
        <v/>
      </c>
      <c r="BK333" t="str">
        <v/>
      </c>
      <c r="BL333" t="str">
        <v/>
      </c>
      <c r="BM333" t="str">
        <v/>
      </c>
      <c r="BY333" t="str">
        <v>processor</v>
      </c>
      <c r="BZ333" t="str">
        <v>Meredosia Terminal</v>
      </c>
      <c r="CA333" t="str">
        <v>blendSAF</v>
      </c>
      <c r="CB333" t="str">
        <v/>
      </c>
      <c r="CC333" t="str">
        <v/>
      </c>
      <c r="CD333" t="str">
        <v/>
      </c>
      <c r="CE333" t="str">
        <v/>
      </c>
      <c r="CF333" t="str">
        <v/>
      </c>
    </row>
    <row r="334" spans="58:84" x14ac:dyDescent="0.3">
      <c r="BF334" t="str">
        <v>processor</v>
      </c>
      <c r="BG334" t="str">
        <v>Equilon Enterprises Llc 1</v>
      </c>
      <c r="BH334" t="str">
        <v>blendSAF</v>
      </c>
      <c r="BI334" t="str">
        <v/>
      </c>
      <c r="BJ334" t="str">
        <v/>
      </c>
      <c r="BK334" t="str">
        <v/>
      </c>
      <c r="BL334" t="str">
        <v/>
      </c>
      <c r="BM334" t="str">
        <v/>
      </c>
      <c r="BY334" t="str">
        <v>processor</v>
      </c>
      <c r="BZ334" t="str">
        <v>Intl Matex Tank Terminals 2</v>
      </c>
      <c r="CA334" t="str">
        <v>blendSAF</v>
      </c>
      <c r="CB334" t="str">
        <v/>
      </c>
      <c r="CC334" t="str">
        <v/>
      </c>
      <c r="CD334" t="str">
        <v/>
      </c>
      <c r="CE334" t="str">
        <v/>
      </c>
      <c r="CF334" t="str">
        <v/>
      </c>
    </row>
    <row r="335" spans="58:84" x14ac:dyDescent="0.3">
      <c r="BF335" t="str">
        <v>processor</v>
      </c>
      <c r="BG335" t="str">
        <v>Gateway Terminals Llc</v>
      </c>
      <c r="BH335" t="str">
        <v>blendSAF</v>
      </c>
      <c r="BI335" t="str">
        <v/>
      </c>
      <c r="BJ335" t="str">
        <v/>
      </c>
      <c r="BK335" t="str">
        <v/>
      </c>
      <c r="BL335" t="str">
        <v/>
      </c>
      <c r="BM335" t="str">
        <v/>
      </c>
      <c r="BY335" t="str">
        <v>processor</v>
      </c>
      <c r="BZ335" t="str">
        <v>Imtt-Illinois</v>
      </c>
      <c r="CA335" t="str">
        <v>blendSAF</v>
      </c>
      <c r="CB335" t="str">
        <v/>
      </c>
      <c r="CC335" t="str">
        <v/>
      </c>
      <c r="CD335" t="str">
        <v/>
      </c>
      <c r="CE335" t="str">
        <v/>
      </c>
      <c r="CF335" t="str">
        <v/>
      </c>
    </row>
    <row r="336" spans="58:84" x14ac:dyDescent="0.3">
      <c r="BF336" t="str">
        <v>processor</v>
      </c>
      <c r="BG336" t="str">
        <v>Owens Corning 12</v>
      </c>
      <c r="BH336" t="str">
        <v>blendSAF</v>
      </c>
      <c r="BI336" t="str">
        <v/>
      </c>
      <c r="BJ336" t="str">
        <v/>
      </c>
      <c r="BK336" t="str">
        <v/>
      </c>
      <c r="BL336" t="str">
        <v/>
      </c>
      <c r="BM336" t="str">
        <v/>
      </c>
      <c r="BY336" t="str">
        <v>processor</v>
      </c>
      <c r="BZ336" t="str">
        <v>Kinder Morgan Liquid Terminals</v>
      </c>
      <c r="CA336" t="str">
        <v>blendSAF</v>
      </c>
      <c r="CB336" t="str">
        <v/>
      </c>
      <c r="CC336" t="str">
        <v/>
      </c>
      <c r="CD336" t="str">
        <v/>
      </c>
      <c r="CE336" t="str">
        <v/>
      </c>
      <c r="CF336" t="str">
        <v/>
      </c>
    </row>
    <row r="337" spans="58:84" x14ac:dyDescent="0.3">
      <c r="BF337" t="str">
        <v>processor</v>
      </c>
      <c r="BG337" t="str">
        <v>Zenith Energy Terminals Joliet Hldg</v>
      </c>
      <c r="BH337" t="str">
        <v>blendSAF</v>
      </c>
      <c r="BI337" t="str">
        <v/>
      </c>
      <c r="BJ337" t="str">
        <v/>
      </c>
      <c r="BK337" t="str">
        <v/>
      </c>
      <c r="BL337" t="str">
        <v/>
      </c>
      <c r="BM337" t="str">
        <v/>
      </c>
      <c r="BY337" t="str">
        <v>processor</v>
      </c>
      <c r="BZ337" t="str">
        <v>Kinder Morgan Liq Termls Llc 10</v>
      </c>
      <c r="CA337" t="str">
        <v>blendSAF</v>
      </c>
      <c r="CB337" t="str">
        <v/>
      </c>
      <c r="CC337" t="str">
        <v/>
      </c>
      <c r="CD337" t="str">
        <v/>
      </c>
      <c r="CE337" t="str">
        <v/>
      </c>
      <c r="CF337" t="str">
        <v/>
      </c>
    </row>
    <row r="338" spans="58:84" x14ac:dyDescent="0.3">
      <c r="BF338" t="str">
        <v>processor</v>
      </c>
      <c r="BG338" t="str">
        <v>Us Venture Inc 14</v>
      </c>
      <c r="BH338" t="str">
        <v>blendSAF</v>
      </c>
      <c r="BI338" t="str">
        <v/>
      </c>
      <c r="BJ338" t="str">
        <v/>
      </c>
      <c r="BK338" t="str">
        <v/>
      </c>
      <c r="BL338" t="str">
        <v/>
      </c>
      <c r="BM338" t="str">
        <v/>
      </c>
      <c r="BY338" t="str">
        <v>processor</v>
      </c>
      <c r="BZ338" t="str">
        <v>Kinder Morgan Phoenix Holdings Llc</v>
      </c>
      <c r="CA338" t="str">
        <v>blendSAF</v>
      </c>
      <c r="CB338" t="str">
        <v/>
      </c>
      <c r="CC338" t="str">
        <v/>
      </c>
      <c r="CD338" t="str">
        <v/>
      </c>
      <c r="CE338" t="str">
        <v/>
      </c>
      <c r="CF338" t="str">
        <v/>
      </c>
    </row>
    <row r="339" spans="58:84" x14ac:dyDescent="0.3">
      <c r="BF339" t="str">
        <v>processor</v>
      </c>
      <c r="BG339" t="str">
        <v>Valero Terminaling &amp; Distr Co 34</v>
      </c>
      <c r="BH339" t="str">
        <v>blendSAF</v>
      </c>
      <c r="BI339" t="str">
        <v/>
      </c>
      <c r="BJ339" t="str">
        <v/>
      </c>
      <c r="BK339" t="str">
        <v/>
      </c>
      <c r="BL339" t="str">
        <v/>
      </c>
      <c r="BM339" t="str">
        <v/>
      </c>
      <c r="BY339" t="str">
        <v>processor</v>
      </c>
      <c r="BZ339" t="str">
        <v>Kinder Morgan Liq Termls Llc 7</v>
      </c>
      <c r="CA339" t="str">
        <v>blendSAF</v>
      </c>
      <c r="CB339" t="str">
        <v/>
      </c>
      <c r="CC339" t="str">
        <v/>
      </c>
      <c r="CD339" t="str">
        <v/>
      </c>
      <c r="CE339" t="str">
        <v/>
      </c>
      <c r="CF339" t="str">
        <v/>
      </c>
    </row>
    <row r="340" spans="58:84" x14ac:dyDescent="0.3">
      <c r="BF340" t="str">
        <v>processor</v>
      </c>
      <c r="BG340" t="str">
        <v>Buckeye Terminals Llc 96</v>
      </c>
      <c r="BH340" t="str">
        <v>blendSAF</v>
      </c>
      <c r="BI340" t="str">
        <v/>
      </c>
      <c r="BJ340" t="str">
        <v/>
      </c>
      <c r="BK340" t="str">
        <v/>
      </c>
      <c r="BL340" t="str">
        <v/>
      </c>
      <c r="BM340" t="str">
        <v/>
      </c>
      <c r="BY340" t="str">
        <v>processor</v>
      </c>
      <c r="BZ340" t="str">
        <v>Kinder Morgan Liq Termls Llc 14</v>
      </c>
      <c r="CA340" t="str">
        <v>blendSAF</v>
      </c>
      <c r="CB340" t="str">
        <v/>
      </c>
      <c r="CC340" t="str">
        <v/>
      </c>
      <c r="CD340" t="str">
        <v/>
      </c>
      <c r="CE340" t="str">
        <v/>
      </c>
      <c r="CF340" t="str">
        <v/>
      </c>
    </row>
    <row r="341" spans="58:84" x14ac:dyDescent="0.3">
      <c r="BF341" t="str">
        <v>processor</v>
      </c>
      <c r="BG341" t="str">
        <v>Buckeye Terminals Llc 72</v>
      </c>
      <c r="BH341" t="str">
        <v>blendSAF</v>
      </c>
      <c r="BI341" t="str">
        <v/>
      </c>
      <c r="BJ341" t="str">
        <v/>
      </c>
      <c r="BK341" t="str">
        <v/>
      </c>
      <c r="BL341" t="str">
        <v/>
      </c>
      <c r="BM341" t="str">
        <v/>
      </c>
      <c r="BY341" t="str">
        <v>processor</v>
      </c>
      <c r="BZ341" t="str">
        <v>Magellan Pipeline Co Lp 18</v>
      </c>
      <c r="CA341" t="str">
        <v>blendSAF</v>
      </c>
      <c r="CB341" t="str">
        <v/>
      </c>
      <c r="CC341" t="str">
        <v/>
      </c>
      <c r="CD341" t="str">
        <v/>
      </c>
      <c r="CE341" t="str">
        <v/>
      </c>
      <c r="CF341" t="str">
        <v/>
      </c>
    </row>
    <row r="342" spans="58:84" x14ac:dyDescent="0.3">
      <c r="BF342" t="str">
        <v>processor</v>
      </c>
      <c r="BG342" t="str">
        <v>Buckeye Terminals Llc 55</v>
      </c>
      <c r="BH342" t="str">
        <v>blendSAF</v>
      </c>
      <c r="BI342" t="str">
        <v/>
      </c>
      <c r="BJ342" t="str">
        <v/>
      </c>
      <c r="BK342" t="str">
        <v/>
      </c>
      <c r="BL342" t="str">
        <v/>
      </c>
      <c r="BM342" t="str">
        <v/>
      </c>
      <c r="BY342" t="str">
        <v>processor</v>
      </c>
      <c r="BZ342" t="str">
        <v>Marathon Pipeline Llc 1</v>
      </c>
      <c r="CA342" t="str">
        <v>blendSAF</v>
      </c>
      <c r="CB342" t="str">
        <v/>
      </c>
      <c r="CC342" t="str">
        <v/>
      </c>
      <c r="CD342" t="str">
        <v/>
      </c>
      <c r="CE342" t="str">
        <v/>
      </c>
      <c r="CF342" t="str">
        <v/>
      </c>
    </row>
    <row r="343" spans="58:84" x14ac:dyDescent="0.3">
      <c r="BF343" t="str">
        <v>processor</v>
      </c>
      <c r="BG343" t="str">
        <v>Buckeye Terminals Llc 54</v>
      </c>
      <c r="BH343" t="str">
        <v>blendSAF</v>
      </c>
      <c r="BI343" t="str">
        <v/>
      </c>
      <c r="BJ343" t="str">
        <v/>
      </c>
      <c r="BK343" t="str">
        <v/>
      </c>
      <c r="BL343" t="str">
        <v/>
      </c>
      <c r="BM343" t="str">
        <v/>
      </c>
      <c r="BY343" t="str">
        <v>processor</v>
      </c>
      <c r="BZ343" t="str">
        <v>Marathon Pipeline Llc 2</v>
      </c>
      <c r="CA343" t="str">
        <v>blendSAF</v>
      </c>
      <c r="CB343" t="str">
        <v/>
      </c>
      <c r="CC343" t="str">
        <v/>
      </c>
      <c r="CD343" t="str">
        <v/>
      </c>
      <c r="CE343" t="str">
        <v/>
      </c>
      <c r="CF343" t="str">
        <v/>
      </c>
    </row>
    <row r="344" spans="58:84" x14ac:dyDescent="0.3">
      <c r="BF344" t="str">
        <v>processor</v>
      </c>
      <c r="BG344" t="str">
        <v>Buckeye Terminals Llc 56</v>
      </c>
      <c r="BH344" t="str">
        <v>blendSAF</v>
      </c>
      <c r="BI344" t="str">
        <v/>
      </c>
      <c r="BJ344" t="str">
        <v/>
      </c>
      <c r="BK344" t="str">
        <v/>
      </c>
      <c r="BL344" t="str">
        <v/>
      </c>
      <c r="BM344" t="str">
        <v/>
      </c>
      <c r="BY344" t="str">
        <v>processor</v>
      </c>
      <c r="BZ344" t="str">
        <v>Mplx Terminals Llc 8</v>
      </c>
      <c r="CA344" t="str">
        <v>blendSAF</v>
      </c>
      <c r="CB344" t="str">
        <v/>
      </c>
      <c r="CC344" t="str">
        <v/>
      </c>
      <c r="CD344" t="str">
        <v/>
      </c>
      <c r="CE344" t="str">
        <v/>
      </c>
      <c r="CF344" t="str">
        <v/>
      </c>
    </row>
    <row r="345" spans="58:84" x14ac:dyDescent="0.3">
      <c r="BF345" t="str">
        <v>processor</v>
      </c>
      <c r="BG345" t="str">
        <v>Buckeye Terminals Llc 44</v>
      </c>
      <c r="BH345" t="str">
        <v>blendSAF</v>
      </c>
      <c r="BI345" t="str">
        <v/>
      </c>
      <c r="BJ345" t="str">
        <v/>
      </c>
      <c r="BK345" t="str">
        <v/>
      </c>
      <c r="BL345" t="str">
        <v/>
      </c>
      <c r="BM345" t="str">
        <v/>
      </c>
      <c r="BY345" t="str">
        <v>processor</v>
      </c>
      <c r="BZ345" t="str">
        <v>Mplx Terminals Llc 45</v>
      </c>
      <c r="CA345" t="str">
        <v>blendSAF</v>
      </c>
      <c r="CB345" t="str">
        <v/>
      </c>
      <c r="CC345" t="str">
        <v/>
      </c>
      <c r="CD345" t="str">
        <v/>
      </c>
      <c r="CE345" t="str">
        <v/>
      </c>
      <c r="CF345" t="str">
        <v/>
      </c>
    </row>
    <row r="346" spans="58:84" x14ac:dyDescent="0.3">
      <c r="BF346" t="str">
        <v>processor</v>
      </c>
      <c r="BG346" t="str">
        <v>Buckeye Terminals Llc 51</v>
      </c>
      <c r="BH346" t="str">
        <v>blendSAF</v>
      </c>
      <c r="BI346" t="str">
        <v/>
      </c>
      <c r="BJ346" t="str">
        <v/>
      </c>
      <c r="BK346" t="str">
        <v/>
      </c>
      <c r="BL346" t="str">
        <v/>
      </c>
      <c r="BM346" t="str">
        <v/>
      </c>
      <c r="BY346" t="str">
        <v>processor</v>
      </c>
      <c r="BZ346" t="str">
        <v>Mck Terminals Llc 3</v>
      </c>
      <c r="CA346" t="str">
        <v>blendSAF</v>
      </c>
      <c r="CB346" t="str">
        <v/>
      </c>
      <c r="CC346" t="str">
        <v/>
      </c>
      <c r="CD346" t="str">
        <v/>
      </c>
      <c r="CE346" t="str">
        <v/>
      </c>
      <c r="CF346" t="str">
        <v/>
      </c>
    </row>
    <row r="347" spans="58:84" x14ac:dyDescent="0.3">
      <c r="BF347" t="str">
        <v>processor</v>
      </c>
      <c r="BG347" t="str">
        <v>Buckeye Terminals Llc 57</v>
      </c>
      <c r="BH347" t="str">
        <v>blendSAF</v>
      </c>
      <c r="BI347" t="str">
        <v/>
      </c>
      <c r="BJ347" t="str">
        <v/>
      </c>
      <c r="BK347" t="str">
        <v/>
      </c>
      <c r="BL347" t="str">
        <v/>
      </c>
      <c r="BM347" t="str">
        <v/>
      </c>
      <c r="BY347" t="str">
        <v>processor</v>
      </c>
      <c r="BZ347" t="str">
        <v>Mck Terminals Llc 4</v>
      </c>
      <c r="CA347" t="str">
        <v>blendSAF</v>
      </c>
      <c r="CB347" t="str">
        <v/>
      </c>
      <c r="CC347" t="str">
        <v/>
      </c>
      <c r="CD347" t="str">
        <v/>
      </c>
      <c r="CE347" t="str">
        <v/>
      </c>
      <c r="CF347" t="str">
        <v/>
      </c>
    </row>
    <row r="348" spans="58:84" x14ac:dyDescent="0.3">
      <c r="BF348" t="str">
        <v>processor</v>
      </c>
      <c r="BG348" t="str">
        <v>Buckeye Development &amp; Logistics 1</v>
      </c>
      <c r="BH348" t="str">
        <v>blendSAF</v>
      </c>
      <c r="BI348" t="str">
        <v/>
      </c>
      <c r="BJ348" t="str">
        <v/>
      </c>
      <c r="BK348" t="str">
        <v/>
      </c>
      <c r="BL348" t="str">
        <v/>
      </c>
      <c r="BM348" t="str">
        <v/>
      </c>
      <c r="BY348" t="str">
        <v>processor</v>
      </c>
      <c r="BZ348" t="str">
        <v>Omega Partners Iii Llc 1</v>
      </c>
      <c r="CA348" t="str">
        <v>blendSAF</v>
      </c>
      <c r="CB348" t="str">
        <v/>
      </c>
      <c r="CC348" t="str">
        <v/>
      </c>
      <c r="CD348" t="str">
        <v/>
      </c>
      <c r="CE348" t="str">
        <v/>
      </c>
      <c r="CF348" t="str">
        <v/>
      </c>
    </row>
    <row r="349" spans="58:84" x14ac:dyDescent="0.3">
      <c r="BF349" t="str">
        <v>processor</v>
      </c>
      <c r="BG349" t="str">
        <v>Countrymark Refining &amp; Logistics Llc 2</v>
      </c>
      <c r="BH349" t="str">
        <v>blendSAF</v>
      </c>
      <c r="BI349" t="str">
        <v/>
      </c>
      <c r="BJ349" t="str">
        <v/>
      </c>
      <c r="BK349" t="str">
        <v/>
      </c>
      <c r="BL349" t="str">
        <v/>
      </c>
      <c r="BM349" t="str">
        <v/>
      </c>
      <c r="BY349" t="str">
        <v>processor</v>
      </c>
      <c r="BZ349" t="str">
        <v>Oneok North System Llc 8</v>
      </c>
      <c r="CA349" t="str">
        <v>blendSAF</v>
      </c>
      <c r="CB349" t="str">
        <v/>
      </c>
      <c r="CC349" t="str">
        <v/>
      </c>
      <c r="CD349" t="str">
        <v/>
      </c>
      <c r="CE349" t="str">
        <v/>
      </c>
      <c r="CF349" t="str">
        <v/>
      </c>
    </row>
    <row r="350" spans="58:84" x14ac:dyDescent="0.3">
      <c r="BF350" t="str">
        <v>processor</v>
      </c>
      <c r="BG350" t="str">
        <v>Countrymark Refining &amp; Logistics Llc 1</v>
      </c>
      <c r="BH350" t="str">
        <v>blendSAF</v>
      </c>
      <c r="BI350" t="str">
        <v/>
      </c>
      <c r="BJ350" t="str">
        <v/>
      </c>
      <c r="BK350" t="str">
        <v/>
      </c>
      <c r="BL350" t="str">
        <v/>
      </c>
      <c r="BM350" t="str">
        <v/>
      </c>
      <c r="BY350" t="str">
        <v>processor</v>
      </c>
      <c r="BZ350" t="str">
        <v>Oneok North System Llc 12</v>
      </c>
      <c r="CA350" t="str">
        <v>blendSAF</v>
      </c>
      <c r="CB350" t="str">
        <v/>
      </c>
      <c r="CC350" t="str">
        <v/>
      </c>
      <c r="CD350" t="str">
        <v/>
      </c>
      <c r="CE350" t="str">
        <v/>
      </c>
      <c r="CF350" t="str">
        <v/>
      </c>
    </row>
    <row r="351" spans="58:84" x14ac:dyDescent="0.3">
      <c r="BF351" t="str">
        <v>processor</v>
      </c>
      <c r="BG351" t="str">
        <v>Countrymark Refining &amp; Logistics Llc 3</v>
      </c>
      <c r="BH351" t="str">
        <v>blendSAF</v>
      </c>
      <c r="BI351" t="str">
        <v/>
      </c>
      <c r="BJ351" t="str">
        <v/>
      </c>
      <c r="BK351" t="str">
        <v/>
      </c>
      <c r="BL351" t="str">
        <v/>
      </c>
      <c r="BM351" t="str">
        <v/>
      </c>
      <c r="BY351" t="str">
        <v>processor</v>
      </c>
      <c r="BZ351" t="str">
        <v>Oneok North System Llc 7</v>
      </c>
      <c r="CA351" t="str">
        <v>blendSAF</v>
      </c>
      <c r="CB351" t="str">
        <v/>
      </c>
      <c r="CC351" t="str">
        <v/>
      </c>
      <c r="CD351" t="str">
        <v/>
      </c>
      <c r="CE351" t="str">
        <v/>
      </c>
      <c r="CF351" t="str">
        <v/>
      </c>
    </row>
    <row r="352" spans="58:84" x14ac:dyDescent="0.3">
      <c r="BF352" t="str">
        <v>processor</v>
      </c>
      <c r="BG352" t="str">
        <v>Sunoco Logistics 34</v>
      </c>
      <c r="BH352" t="str">
        <v>blendSAF</v>
      </c>
      <c r="BI352" t="str">
        <v/>
      </c>
      <c r="BJ352" t="str">
        <v/>
      </c>
      <c r="BK352" t="str">
        <v/>
      </c>
      <c r="BL352" t="str">
        <v/>
      </c>
      <c r="BM352" t="str">
        <v/>
      </c>
      <c r="BY352" t="str">
        <v>processor</v>
      </c>
      <c r="BZ352" t="str">
        <v>Oneok North System Llc 11</v>
      </c>
      <c r="CA352" t="str">
        <v>blendSAF</v>
      </c>
      <c r="CB352" t="str">
        <v/>
      </c>
      <c r="CC352" t="str">
        <v/>
      </c>
      <c r="CD352" t="str">
        <v/>
      </c>
      <c r="CE352" t="str">
        <v/>
      </c>
      <c r="CF352" t="str">
        <v/>
      </c>
    </row>
    <row r="353" spans="58:84" x14ac:dyDescent="0.3">
      <c r="BF353" t="str">
        <v>processor</v>
      </c>
      <c r="BG353" t="str">
        <v>Enterprise Refined Products Co Llc 6</v>
      </c>
      <c r="BH353" t="str">
        <v>blendSAF</v>
      </c>
      <c r="BI353" t="str">
        <v/>
      </c>
      <c r="BJ353" t="str">
        <v/>
      </c>
      <c r="BK353" t="str">
        <v/>
      </c>
      <c r="BL353" t="str">
        <v/>
      </c>
      <c r="BM353" t="str">
        <v/>
      </c>
      <c r="BY353" t="str">
        <v>processor</v>
      </c>
      <c r="BZ353" t="str">
        <v>Citgo Petro Corp 20</v>
      </c>
      <c r="CA353" t="str">
        <v>blendSAF</v>
      </c>
      <c r="CB353" t="str">
        <v/>
      </c>
      <c r="CC353" t="str">
        <v/>
      </c>
      <c r="CD353" t="str">
        <v/>
      </c>
      <c r="CE353" t="str">
        <v/>
      </c>
      <c r="CF353" t="str">
        <v/>
      </c>
    </row>
    <row r="354" spans="58:84" x14ac:dyDescent="0.3">
      <c r="BF354" t="str">
        <v>processor</v>
      </c>
      <c r="BG354" t="str">
        <v>Exxonmobil</v>
      </c>
      <c r="BH354" t="str">
        <v>blendSAF</v>
      </c>
      <c r="BI354" t="str">
        <v/>
      </c>
      <c r="BJ354" t="str">
        <v/>
      </c>
      <c r="BK354" t="str">
        <v/>
      </c>
      <c r="BL354" t="str">
        <v/>
      </c>
      <c r="BM354" t="str">
        <v/>
      </c>
      <c r="BY354" t="str">
        <v>processor</v>
      </c>
      <c r="BZ354" t="str">
        <v>Citgo Petro Corp 6</v>
      </c>
      <c r="CA354" t="str">
        <v>blendSAF</v>
      </c>
      <c r="CB354" t="str">
        <v/>
      </c>
      <c r="CC354" t="str">
        <v/>
      </c>
      <c r="CD354" t="str">
        <v/>
      </c>
      <c r="CE354" t="str">
        <v/>
      </c>
      <c r="CF354" t="str">
        <v/>
      </c>
    </row>
    <row r="355" spans="58:84" x14ac:dyDescent="0.3">
      <c r="BF355" t="str">
        <v>processor</v>
      </c>
      <c r="BG355" t="str">
        <v>Heritage Asphalt Llc 4</v>
      </c>
      <c r="BH355" t="str">
        <v>blendSAF</v>
      </c>
      <c r="BI355" t="str">
        <v/>
      </c>
      <c r="BJ355" t="str">
        <v/>
      </c>
      <c r="BK355" t="str">
        <v/>
      </c>
      <c r="BL355" t="str">
        <v/>
      </c>
      <c r="BM355" t="str">
        <v/>
      </c>
      <c r="BY355" t="str">
        <v>processor</v>
      </c>
      <c r="BZ355" t="str">
        <v>Citgo Petro Corp 9</v>
      </c>
      <c r="CA355" t="str">
        <v>blendSAF</v>
      </c>
      <c r="CB355" t="str">
        <v/>
      </c>
      <c r="CC355" t="str">
        <v/>
      </c>
      <c r="CD355" t="str">
        <v/>
      </c>
      <c r="CE355" t="str">
        <v/>
      </c>
      <c r="CF355" t="str">
        <v/>
      </c>
    </row>
    <row r="356" spans="58:84" x14ac:dyDescent="0.3">
      <c r="BF356" t="str">
        <v>processor</v>
      </c>
      <c r="BG356" t="str">
        <v>Heritage Asphalt Llc 3</v>
      </c>
      <c r="BH356" t="str">
        <v>blendSAF</v>
      </c>
      <c r="BI356" t="str">
        <v/>
      </c>
      <c r="BJ356" t="str">
        <v/>
      </c>
      <c r="BK356" t="str">
        <v/>
      </c>
      <c r="BL356" t="str">
        <v/>
      </c>
      <c r="BM356" t="str">
        <v/>
      </c>
      <c r="BY356" t="str">
        <v>processor</v>
      </c>
      <c r="BZ356" t="str">
        <v>Equilon Enterprises Llc 1</v>
      </c>
      <c r="CA356" t="str">
        <v>blendSAF</v>
      </c>
      <c r="CB356" t="str">
        <v/>
      </c>
      <c r="CC356" t="str">
        <v/>
      </c>
      <c r="CD356" t="str">
        <v/>
      </c>
      <c r="CE356" t="str">
        <v/>
      </c>
      <c r="CF356" t="str">
        <v/>
      </c>
    </row>
    <row r="357" spans="58:84" x14ac:dyDescent="0.3">
      <c r="BF357" t="str">
        <v>processor</v>
      </c>
      <c r="BG357" t="str">
        <v>Hwrt Oil Co Llc 7</v>
      </c>
      <c r="BH357" t="str">
        <v>blendSAF</v>
      </c>
      <c r="BI357" t="str">
        <v/>
      </c>
      <c r="BJ357" t="str">
        <v/>
      </c>
      <c r="BK357" t="str">
        <v/>
      </c>
      <c r="BL357" t="str">
        <v/>
      </c>
      <c r="BM357" t="str">
        <v/>
      </c>
      <c r="BY357" t="str">
        <v>processor</v>
      </c>
      <c r="BZ357" t="str">
        <v>Gateway Terminals Llc</v>
      </c>
      <c r="CA357" t="str">
        <v>blendSAF</v>
      </c>
      <c r="CB357" t="str">
        <v/>
      </c>
      <c r="CC357" t="str">
        <v/>
      </c>
      <c r="CD357" t="str">
        <v/>
      </c>
      <c r="CE357" t="str">
        <v/>
      </c>
      <c r="CF357" t="str">
        <v/>
      </c>
    </row>
    <row r="358" spans="58:84" x14ac:dyDescent="0.3">
      <c r="BF358" t="str">
        <v>processor</v>
      </c>
      <c r="BG358" t="str">
        <v>Kinder Morgan Liq Termls Llc 11</v>
      </c>
      <c r="BH358" t="str">
        <v>blendSAF</v>
      </c>
      <c r="BI358" t="str">
        <v/>
      </c>
      <c r="BJ358" t="str">
        <v/>
      </c>
      <c r="BK358" t="str">
        <v/>
      </c>
      <c r="BL358" t="str">
        <v/>
      </c>
      <c r="BM358" t="str">
        <v/>
      </c>
      <c r="BY358" t="str">
        <v>processor</v>
      </c>
      <c r="BZ358" t="str">
        <v>Owens Corning 12</v>
      </c>
      <c r="CA358" t="str">
        <v>blendSAF</v>
      </c>
      <c r="CB358" t="str">
        <v/>
      </c>
      <c r="CC358" t="str">
        <v/>
      </c>
      <c r="CD358" t="str">
        <v/>
      </c>
      <c r="CE358" t="str">
        <v/>
      </c>
      <c r="CF358" t="str">
        <v/>
      </c>
    </row>
    <row r="359" spans="58:84" x14ac:dyDescent="0.3">
      <c r="BF359" t="str">
        <v>processor</v>
      </c>
      <c r="BG359" t="str">
        <v>Lassus Brothers Oil Inc</v>
      </c>
      <c r="BH359" t="str">
        <v>blendSAF</v>
      </c>
      <c r="BI359" t="str">
        <v/>
      </c>
      <c r="BJ359" t="str">
        <v/>
      </c>
      <c r="BK359" t="str">
        <v/>
      </c>
      <c r="BL359" t="str">
        <v/>
      </c>
      <c r="BM359" t="str">
        <v/>
      </c>
      <c r="BY359" t="str">
        <v>processor</v>
      </c>
      <c r="BZ359" t="str">
        <v>Zenith Energy Terminals Joliet Hldg</v>
      </c>
      <c r="CA359" t="str">
        <v>blendSAF</v>
      </c>
      <c r="CB359" t="str">
        <v/>
      </c>
      <c r="CC359" t="str">
        <v/>
      </c>
      <c r="CD359" t="str">
        <v/>
      </c>
      <c r="CE359" t="str">
        <v/>
      </c>
      <c r="CF359" t="str">
        <v/>
      </c>
    </row>
    <row r="360" spans="58:84" x14ac:dyDescent="0.3">
      <c r="BF360" t="str">
        <v>processor</v>
      </c>
      <c r="BG360" t="str">
        <v>Marathon Petroleum Co Llc 9</v>
      </c>
      <c r="BH360" t="str">
        <v>blendSAF</v>
      </c>
      <c r="BI360" t="str">
        <v/>
      </c>
      <c r="BJ360" t="str">
        <v/>
      </c>
      <c r="BK360" t="str">
        <v/>
      </c>
      <c r="BL360" t="str">
        <v/>
      </c>
      <c r="BM360" t="str">
        <v/>
      </c>
      <c r="BY360" t="str">
        <v>processor</v>
      </c>
      <c r="BZ360" t="str">
        <v>Us Venture Inc 14</v>
      </c>
      <c r="CA360" t="str">
        <v>blendSAF</v>
      </c>
      <c r="CB360" t="str">
        <v/>
      </c>
      <c r="CC360" t="str">
        <v/>
      </c>
      <c r="CD360" t="str">
        <v/>
      </c>
      <c r="CE360" t="str">
        <v/>
      </c>
      <c r="CF360" t="str">
        <v/>
      </c>
    </row>
    <row r="361" spans="58:84" x14ac:dyDescent="0.3">
      <c r="BF361" t="str">
        <v>processor</v>
      </c>
      <c r="BG361" t="str">
        <v>Mplx Terminals Llc 21</v>
      </c>
      <c r="BH361" t="str">
        <v>blendSAF</v>
      </c>
      <c r="BI361" t="str">
        <v/>
      </c>
      <c r="BJ361" t="str">
        <v/>
      </c>
      <c r="BK361" t="str">
        <v/>
      </c>
      <c r="BL361" t="str">
        <v/>
      </c>
      <c r="BM361" t="str">
        <v/>
      </c>
      <c r="BY361" t="str">
        <v>processor</v>
      </c>
      <c r="BZ361" t="str">
        <v>Valero Terminaling &amp; Distr Co 34</v>
      </c>
      <c r="CA361" t="str">
        <v>blendSAF</v>
      </c>
      <c r="CB361" t="str">
        <v/>
      </c>
      <c r="CC361" t="str">
        <v/>
      </c>
      <c r="CD361" t="str">
        <v/>
      </c>
      <c r="CE361" t="str">
        <v/>
      </c>
      <c r="CF361" t="str">
        <v/>
      </c>
    </row>
    <row r="362" spans="58:84" x14ac:dyDescent="0.3">
      <c r="BF362" t="str">
        <v>processor</v>
      </c>
      <c r="BG362" t="str">
        <v>Mplx Terminals Llc 39</v>
      </c>
      <c r="BH362" t="str">
        <v>blendSAF</v>
      </c>
      <c r="BI362" t="str">
        <v/>
      </c>
      <c r="BJ362" t="str">
        <v/>
      </c>
      <c r="BK362" t="str">
        <v/>
      </c>
      <c r="BL362" t="str">
        <v/>
      </c>
      <c r="BM362" t="str">
        <v/>
      </c>
      <c r="BY362" t="str">
        <v>processor</v>
      </c>
      <c r="BZ362" t="str">
        <v>Buckeye Terminals Llc 96</v>
      </c>
      <c r="CA362" t="str">
        <v>blendSAF</v>
      </c>
      <c r="CB362" t="str">
        <v/>
      </c>
      <c r="CC362" t="str">
        <v/>
      </c>
      <c r="CD362" t="str">
        <v/>
      </c>
      <c r="CE362" t="str">
        <v/>
      </c>
      <c r="CF362" t="str">
        <v/>
      </c>
    </row>
    <row r="363" spans="58:84" x14ac:dyDescent="0.3">
      <c r="BF363" t="str">
        <v>processor</v>
      </c>
      <c r="BG363" t="str">
        <v>Mplx Terminals Llc 24</v>
      </c>
      <c r="BH363" t="str">
        <v>blendSAF</v>
      </c>
      <c r="BI363" t="str">
        <v/>
      </c>
      <c r="BJ363" t="str">
        <v/>
      </c>
      <c r="BK363" t="str">
        <v/>
      </c>
      <c r="BL363" t="str">
        <v/>
      </c>
      <c r="BM363" t="str">
        <v/>
      </c>
      <c r="BY363" t="str">
        <v>processor</v>
      </c>
      <c r="BZ363" t="str">
        <v>Buckeye Terminals Llc 72</v>
      </c>
      <c r="CA363" t="str">
        <v>blendSAF</v>
      </c>
      <c r="CB363" t="str">
        <v/>
      </c>
      <c r="CC363" t="str">
        <v/>
      </c>
      <c r="CD363" t="str">
        <v/>
      </c>
      <c r="CE363" t="str">
        <v/>
      </c>
      <c r="CF363" t="str">
        <v/>
      </c>
    </row>
    <row r="364" spans="58:84" x14ac:dyDescent="0.3">
      <c r="BF364" t="str">
        <v>processor</v>
      </c>
      <c r="BG364" t="str">
        <v>Mplx Terminals Llc 25</v>
      </c>
      <c r="BH364" t="str">
        <v>blendSAF</v>
      </c>
      <c r="BI364" t="str">
        <v/>
      </c>
      <c r="BJ364" t="str">
        <v/>
      </c>
      <c r="BK364" t="str">
        <v/>
      </c>
      <c r="BL364" t="str">
        <v/>
      </c>
      <c r="BM364" t="str">
        <v/>
      </c>
      <c r="BY364" t="str">
        <v>processor</v>
      </c>
      <c r="BZ364" t="str">
        <v>Buckeye Terminals Llc 55</v>
      </c>
      <c r="CA364" t="str">
        <v>blendSAF</v>
      </c>
      <c r="CB364" t="str">
        <v/>
      </c>
      <c r="CC364" t="str">
        <v/>
      </c>
      <c r="CD364" t="str">
        <v/>
      </c>
      <c r="CE364" t="str">
        <v/>
      </c>
      <c r="CF364" t="str">
        <v/>
      </c>
    </row>
    <row r="365" spans="58:84" x14ac:dyDescent="0.3">
      <c r="BF365" t="str">
        <v>processor</v>
      </c>
      <c r="BG365" t="str">
        <v>Mplx Terminals Llc 23</v>
      </c>
      <c r="BH365" t="str">
        <v>blendSAF</v>
      </c>
      <c r="BI365" t="str">
        <v/>
      </c>
      <c r="BJ365" t="str">
        <v/>
      </c>
      <c r="BK365" t="str">
        <v/>
      </c>
      <c r="BL365" t="str">
        <v/>
      </c>
      <c r="BM365" t="str">
        <v/>
      </c>
      <c r="BY365" t="str">
        <v>processor</v>
      </c>
      <c r="BZ365" t="str">
        <v>Buckeye Terminals Llc 54</v>
      </c>
      <c r="CA365" t="str">
        <v>blendSAF</v>
      </c>
      <c r="CB365" t="str">
        <v/>
      </c>
      <c r="CC365" t="str">
        <v/>
      </c>
      <c r="CD365" t="str">
        <v/>
      </c>
      <c r="CE365" t="str">
        <v/>
      </c>
      <c r="CF365" t="str">
        <v/>
      </c>
    </row>
    <row r="366" spans="58:84" x14ac:dyDescent="0.3">
      <c r="BF366" t="str">
        <v>processor</v>
      </c>
      <c r="BG366" t="str">
        <v>Mplx Terminals Llc 17</v>
      </c>
      <c r="BH366" t="str">
        <v>blendSAF</v>
      </c>
      <c r="BI366" t="str">
        <v/>
      </c>
      <c r="BJ366" t="str">
        <v/>
      </c>
      <c r="BK366" t="str">
        <v/>
      </c>
      <c r="BL366" t="str">
        <v/>
      </c>
      <c r="BM366" t="str">
        <v/>
      </c>
      <c r="BY366" t="str">
        <v>processor</v>
      </c>
      <c r="BZ366" t="str">
        <v>Buckeye Terminals Llc 56</v>
      </c>
      <c r="CA366" t="str">
        <v>blendSAF</v>
      </c>
      <c r="CB366" t="str">
        <v/>
      </c>
      <c r="CC366" t="str">
        <v/>
      </c>
      <c r="CD366" t="str">
        <v/>
      </c>
      <c r="CE366" t="str">
        <v/>
      </c>
      <c r="CF366" t="str">
        <v/>
      </c>
    </row>
    <row r="367" spans="58:84" x14ac:dyDescent="0.3">
      <c r="BF367" t="str">
        <v>processor</v>
      </c>
      <c r="BG367" t="str">
        <v>Mplx Terminals Llc 38</v>
      </c>
      <c r="BH367" t="str">
        <v>blendSAF</v>
      </c>
      <c r="BI367" t="str">
        <v/>
      </c>
      <c r="BJ367" t="str">
        <v/>
      </c>
      <c r="BK367" t="str">
        <v/>
      </c>
      <c r="BL367" t="str">
        <v/>
      </c>
      <c r="BM367" t="str">
        <v/>
      </c>
      <c r="BY367" t="str">
        <v>processor</v>
      </c>
      <c r="BZ367" t="str">
        <v>Buckeye Terminals Llc 44</v>
      </c>
      <c r="CA367" t="str">
        <v>blendSAF</v>
      </c>
      <c r="CB367" t="str">
        <v/>
      </c>
      <c r="CC367" t="str">
        <v/>
      </c>
      <c r="CD367" t="str">
        <v/>
      </c>
      <c r="CE367" t="str">
        <v/>
      </c>
      <c r="CF367" t="str">
        <v/>
      </c>
    </row>
    <row r="368" spans="58:84" x14ac:dyDescent="0.3">
      <c r="BF368" t="str">
        <v>processor</v>
      </c>
      <c r="BG368" t="str">
        <v>Ngl Supply Wholesale Llc 4</v>
      </c>
      <c r="BH368" t="str">
        <v>blendSAF</v>
      </c>
      <c r="BI368" t="str">
        <v/>
      </c>
      <c r="BJ368" t="str">
        <v/>
      </c>
      <c r="BK368" t="str">
        <v/>
      </c>
      <c r="BL368" t="str">
        <v/>
      </c>
      <c r="BM368" t="str">
        <v/>
      </c>
      <c r="BY368" t="str">
        <v>processor</v>
      </c>
      <c r="BZ368" t="str">
        <v>Buckeye Terminals Llc 51</v>
      </c>
      <c r="CA368" t="str">
        <v>blendSAF</v>
      </c>
      <c r="CB368" t="str">
        <v/>
      </c>
      <c r="CC368" t="str">
        <v/>
      </c>
      <c r="CD368" t="str">
        <v/>
      </c>
      <c r="CE368" t="str">
        <v/>
      </c>
      <c r="CF368" t="str">
        <v/>
      </c>
    </row>
    <row r="369" spans="58:84" x14ac:dyDescent="0.3">
      <c r="BF369" t="str">
        <v>processor</v>
      </c>
      <c r="BG369" t="str">
        <v>Pkm Cochin Llc 3</v>
      </c>
      <c r="BH369" t="str">
        <v>blendSAF</v>
      </c>
      <c r="BI369" t="str">
        <v/>
      </c>
      <c r="BJ369" t="str">
        <v/>
      </c>
      <c r="BK369" t="str">
        <v/>
      </c>
      <c r="BL369" t="str">
        <v/>
      </c>
      <c r="BM369" t="str">
        <v/>
      </c>
      <c r="BY369" t="str">
        <v>processor</v>
      </c>
      <c r="BZ369" t="str">
        <v>Buckeye Terminals Llc 57</v>
      </c>
      <c r="CA369" t="str">
        <v>blendSAF</v>
      </c>
      <c r="CB369" t="str">
        <v/>
      </c>
      <c r="CC369" t="str">
        <v/>
      </c>
      <c r="CD369" t="str">
        <v/>
      </c>
      <c r="CE369" t="str">
        <v/>
      </c>
      <c r="CF369" t="str">
        <v/>
      </c>
    </row>
    <row r="370" spans="58:84" x14ac:dyDescent="0.3">
      <c r="BF370" t="str">
        <v>processor</v>
      </c>
      <c r="BG370" t="str">
        <v>Petrogas Terminals Llc</v>
      </c>
      <c r="BH370" t="str">
        <v>blendSAF</v>
      </c>
      <c r="BI370" t="str">
        <v/>
      </c>
      <c r="BJ370" t="str">
        <v/>
      </c>
      <c r="BK370" t="str">
        <v/>
      </c>
      <c r="BL370" t="str">
        <v/>
      </c>
      <c r="BM370" t="str">
        <v/>
      </c>
      <c r="BY370" t="str">
        <v>processor</v>
      </c>
      <c r="BZ370" t="str">
        <v>Buckeye Development &amp; Logistics 1</v>
      </c>
      <c r="CA370" t="str">
        <v>blendSAF</v>
      </c>
      <c r="CB370" t="str">
        <v/>
      </c>
      <c r="CC370" t="str">
        <v/>
      </c>
      <c r="CD370" t="str">
        <v/>
      </c>
      <c r="CE370" t="str">
        <v/>
      </c>
      <c r="CF370" t="str">
        <v/>
      </c>
    </row>
    <row r="371" spans="58:84" x14ac:dyDescent="0.3">
      <c r="BF371" t="str">
        <v>processor</v>
      </c>
      <c r="BG371" t="str">
        <v>Citgo Petro Corp 16</v>
      </c>
      <c r="BH371" t="str">
        <v>blendSAF</v>
      </c>
      <c r="BI371" t="str">
        <v/>
      </c>
      <c r="BJ371" t="str">
        <v/>
      </c>
      <c r="BK371" t="str">
        <v/>
      </c>
      <c r="BL371" t="str">
        <v/>
      </c>
      <c r="BM371" t="str">
        <v/>
      </c>
      <c r="BY371" t="str">
        <v>processor</v>
      </c>
      <c r="BZ371" t="str">
        <v>Countrymark Refining &amp; Logistics Llc 2</v>
      </c>
      <c r="CA371" t="str">
        <v>blendSAF</v>
      </c>
      <c r="CB371" t="str">
        <v/>
      </c>
      <c r="CC371" t="str">
        <v/>
      </c>
      <c r="CD371" t="str">
        <v/>
      </c>
      <c r="CE371" t="str">
        <v/>
      </c>
      <c r="CF371" t="str">
        <v/>
      </c>
    </row>
    <row r="372" spans="58:84" x14ac:dyDescent="0.3">
      <c r="BF372" t="str">
        <v>processor</v>
      </c>
      <c r="BG372" t="str">
        <v>Citgo Holding Terminals Llc 2</v>
      </c>
      <c r="BH372" t="str">
        <v>blendSAF</v>
      </c>
      <c r="BI372" t="str">
        <v/>
      </c>
      <c r="BJ372" t="str">
        <v/>
      </c>
      <c r="BK372" t="str">
        <v/>
      </c>
      <c r="BL372" t="str">
        <v/>
      </c>
      <c r="BM372" t="str">
        <v/>
      </c>
      <c r="BY372" t="str">
        <v>processor</v>
      </c>
      <c r="BZ372" t="str">
        <v>Countrymark Refining &amp; Logistics Llc 1</v>
      </c>
      <c r="CA372" t="str">
        <v>blendSAF</v>
      </c>
      <c r="CB372" t="str">
        <v/>
      </c>
      <c r="CC372" t="str">
        <v/>
      </c>
      <c r="CD372" t="str">
        <v/>
      </c>
      <c r="CE372" t="str">
        <v/>
      </c>
      <c r="CF372" t="str">
        <v/>
      </c>
    </row>
    <row r="373" spans="58:84" x14ac:dyDescent="0.3">
      <c r="BF373" t="str">
        <v>processor</v>
      </c>
      <c r="BG373" t="str">
        <v>Transmontaigne Operating Company 35</v>
      </c>
      <c r="BH373" t="str">
        <v>blendSAF</v>
      </c>
      <c r="BI373" t="str">
        <v/>
      </c>
      <c r="BJ373" t="str">
        <v/>
      </c>
      <c r="BK373" t="str">
        <v/>
      </c>
      <c r="BL373" t="str">
        <v/>
      </c>
      <c r="BM373" t="str">
        <v/>
      </c>
      <c r="BY373" t="str">
        <v>processor</v>
      </c>
      <c r="BZ373" t="str">
        <v>Countrymark Refining &amp; Logistics Llc 3</v>
      </c>
      <c r="CA373" t="str">
        <v>blendSAF</v>
      </c>
      <c r="CB373" t="str">
        <v/>
      </c>
      <c r="CC373" t="str">
        <v/>
      </c>
      <c r="CD373" t="str">
        <v/>
      </c>
      <c r="CE373" t="str">
        <v/>
      </c>
      <c r="CF373" t="str">
        <v/>
      </c>
    </row>
    <row r="374" spans="58:84" x14ac:dyDescent="0.3">
      <c r="BF374" t="str">
        <v>processor</v>
      </c>
      <c r="BG374" t="str">
        <v>Transmontaigne Operating Company 19</v>
      </c>
      <c r="BH374" t="str">
        <v>blendSAF</v>
      </c>
      <c r="BI374" t="str">
        <v/>
      </c>
      <c r="BJ374" t="str">
        <v/>
      </c>
      <c r="BK374" t="str">
        <v/>
      </c>
      <c r="BL374" t="str">
        <v/>
      </c>
      <c r="BM374" t="str">
        <v/>
      </c>
      <c r="BY374" t="str">
        <v>processor</v>
      </c>
      <c r="BZ374" t="str">
        <v>Sunoco Logistics 34</v>
      </c>
      <c r="CA374" t="str">
        <v>blendSAF</v>
      </c>
      <c r="CB374" t="str">
        <v/>
      </c>
      <c r="CC374" t="str">
        <v/>
      </c>
      <c r="CD374" t="str">
        <v/>
      </c>
      <c r="CE374" t="str">
        <v/>
      </c>
      <c r="CF374" t="str">
        <v/>
      </c>
    </row>
    <row r="375" spans="58:84" x14ac:dyDescent="0.3">
      <c r="BF375" t="str">
        <v>processor</v>
      </c>
      <c r="BG375" t="str">
        <v>Benchmark Distribution Terminal Llc</v>
      </c>
      <c r="BH375" t="str">
        <v>blendSAF</v>
      </c>
      <c r="BI375" t="str">
        <v/>
      </c>
      <c r="BJ375" t="str">
        <v/>
      </c>
      <c r="BK375" t="str">
        <v/>
      </c>
      <c r="BL375" t="str">
        <v/>
      </c>
      <c r="BM375" t="str">
        <v/>
      </c>
      <c r="BY375" t="str">
        <v>processor</v>
      </c>
      <c r="BZ375" t="str">
        <v>Enterprise Refined Products Co Llc 6</v>
      </c>
      <c r="CA375" t="str">
        <v>blendSAF</v>
      </c>
      <c r="CB375" t="str">
        <v/>
      </c>
      <c r="CC375" t="str">
        <v/>
      </c>
      <c r="CD375" t="str">
        <v/>
      </c>
      <c r="CE375" t="str">
        <v/>
      </c>
      <c r="CF375" t="str">
        <v/>
      </c>
    </row>
    <row r="376" spans="58:84" x14ac:dyDescent="0.3">
      <c r="BF376" t="str">
        <v>processor</v>
      </c>
      <c r="BG376" t="str">
        <v>Wolf Lake Terminals</v>
      </c>
      <c r="BH376" t="str">
        <v>blendSAF</v>
      </c>
      <c r="BI376" t="str">
        <v/>
      </c>
      <c r="BJ376" t="str">
        <v/>
      </c>
      <c r="BK376" t="str">
        <v/>
      </c>
      <c r="BL376" t="str">
        <v/>
      </c>
      <c r="BM376" t="str">
        <v/>
      </c>
      <c r="BY376" t="str">
        <v>processor</v>
      </c>
      <c r="BZ376" t="str">
        <v>Exxonmobil</v>
      </c>
      <c r="CA376" t="str">
        <v>blendSAF</v>
      </c>
      <c r="CB376" t="str">
        <v/>
      </c>
      <c r="CC376" t="str">
        <v/>
      </c>
      <c r="CD376" t="str">
        <v/>
      </c>
      <c r="CE376" t="str">
        <v/>
      </c>
      <c r="CF376" t="str">
        <v/>
      </c>
    </row>
    <row r="377" spans="58:84" x14ac:dyDescent="0.3">
      <c r="BF377" t="str">
        <v>processor</v>
      </c>
      <c r="BG377" t="str">
        <v>Flint Hill Resources Lp 1</v>
      </c>
      <c r="BH377" t="str">
        <v>blendSAF</v>
      </c>
      <c r="BI377" t="str">
        <v/>
      </c>
      <c r="BJ377" t="str">
        <v/>
      </c>
      <c r="BK377" t="str">
        <v/>
      </c>
      <c r="BL377" t="str">
        <v/>
      </c>
      <c r="BM377" t="str">
        <v/>
      </c>
      <c r="BY377" t="str">
        <v>processor</v>
      </c>
      <c r="BZ377" t="str">
        <v>Heritage Asphalt Llc 4</v>
      </c>
      <c r="CA377" t="str">
        <v>blendSAF</v>
      </c>
      <c r="CB377" t="str">
        <v/>
      </c>
      <c r="CC377" t="str">
        <v/>
      </c>
      <c r="CD377" t="str">
        <v/>
      </c>
      <c r="CE377" t="str">
        <v/>
      </c>
      <c r="CF377" t="str">
        <v/>
      </c>
    </row>
    <row r="378" spans="58:84" x14ac:dyDescent="0.3">
      <c r="BF378" t="str">
        <v>processor</v>
      </c>
      <c r="BG378" t="str">
        <v>Flint Hills Resources Lp 10</v>
      </c>
      <c r="BH378" t="str">
        <v>blendSAF</v>
      </c>
      <c r="BI378" t="str">
        <v/>
      </c>
      <c r="BJ378" t="str">
        <v/>
      </c>
      <c r="BK378" t="str">
        <v/>
      </c>
      <c r="BL378" t="str">
        <v/>
      </c>
      <c r="BM378" t="str">
        <v/>
      </c>
      <c r="BY378" t="str">
        <v>processor</v>
      </c>
      <c r="BZ378" t="str">
        <v>Heritage Asphalt Llc 3</v>
      </c>
      <c r="CA378" t="str">
        <v>blendSAF</v>
      </c>
      <c r="CB378" t="str">
        <v/>
      </c>
      <c r="CC378" t="str">
        <v/>
      </c>
      <c r="CD378" t="str">
        <v/>
      </c>
      <c r="CE378" t="str">
        <v/>
      </c>
      <c r="CF378" t="str">
        <v/>
      </c>
    </row>
    <row r="379" spans="58:84" x14ac:dyDescent="0.3">
      <c r="BF379" t="str">
        <v>processor</v>
      </c>
      <c r="BG379" t="str">
        <v>Flint Hills Resources Lp 12</v>
      </c>
      <c r="BH379" t="str">
        <v>blendSAF</v>
      </c>
      <c r="BI379" t="str">
        <v/>
      </c>
      <c r="BJ379" t="str">
        <v/>
      </c>
      <c r="BK379" t="str">
        <v/>
      </c>
      <c r="BL379" t="str">
        <v/>
      </c>
      <c r="BM379" t="str">
        <v/>
      </c>
      <c r="BY379" t="str">
        <v>processor</v>
      </c>
      <c r="BZ379" t="str">
        <v>Hwrt Oil Co Llc 7</v>
      </c>
      <c r="CA379" t="str">
        <v>blendSAF</v>
      </c>
      <c r="CB379" t="str">
        <v/>
      </c>
      <c r="CC379" t="str">
        <v/>
      </c>
      <c r="CD379" t="str">
        <v/>
      </c>
      <c r="CE379" t="str">
        <v/>
      </c>
      <c r="CF379" t="str">
        <v/>
      </c>
    </row>
    <row r="380" spans="58:84" x14ac:dyDescent="0.3">
      <c r="BF380" t="str">
        <v>processor</v>
      </c>
      <c r="BG380" t="str">
        <v>Us Venture Inc 1</v>
      </c>
      <c r="BH380" t="str">
        <v>blendSAF</v>
      </c>
      <c r="BI380" t="str">
        <v/>
      </c>
      <c r="BJ380" t="str">
        <v/>
      </c>
      <c r="BK380" t="str">
        <v/>
      </c>
      <c r="BL380" t="str">
        <v/>
      </c>
      <c r="BM380" t="str">
        <v/>
      </c>
      <c r="BY380" t="str">
        <v>processor</v>
      </c>
      <c r="BZ380" t="str">
        <v>Kinder Morgan Liq Termls Llc 11</v>
      </c>
      <c r="CA380" t="str">
        <v>blendSAF</v>
      </c>
      <c r="CB380" t="str">
        <v/>
      </c>
      <c r="CC380" t="str">
        <v/>
      </c>
      <c r="CD380" t="str">
        <v/>
      </c>
      <c r="CE380" t="str">
        <v/>
      </c>
      <c r="CF380" t="str">
        <v/>
      </c>
    </row>
    <row r="381" spans="58:84" x14ac:dyDescent="0.3">
      <c r="BF381" t="str">
        <v>processor</v>
      </c>
      <c r="BG381" t="str">
        <v>Bp Products North America</v>
      </c>
      <c r="BH381" t="str">
        <v>blendSAF</v>
      </c>
      <c r="BI381" t="str">
        <v/>
      </c>
      <c r="BJ381" t="str">
        <v/>
      </c>
      <c r="BK381" t="str">
        <v/>
      </c>
      <c r="BL381" t="str">
        <v/>
      </c>
      <c r="BM381" t="str">
        <v/>
      </c>
      <c r="BY381" t="str">
        <v>processor</v>
      </c>
      <c r="BZ381" t="str">
        <v>Lassus Brothers Oil Inc</v>
      </c>
      <c r="CA381" t="str">
        <v>blendSAF</v>
      </c>
      <c r="CB381" t="str">
        <v/>
      </c>
      <c r="CC381" t="str">
        <v/>
      </c>
      <c r="CD381" t="str">
        <v/>
      </c>
      <c r="CE381" t="str">
        <v/>
      </c>
      <c r="CF381" t="str">
        <v/>
      </c>
    </row>
    <row r="382" spans="58:84" x14ac:dyDescent="0.3">
      <c r="BF382" t="str">
        <v>processor</v>
      </c>
      <c r="BG382" t="str">
        <v>Buckeye Terminals Llc 25</v>
      </c>
      <c r="BH382" t="str">
        <v>blendSAF</v>
      </c>
      <c r="BI382" t="str">
        <v/>
      </c>
      <c r="BJ382" t="str">
        <v/>
      </c>
      <c r="BK382" t="str">
        <v/>
      </c>
      <c r="BL382" t="str">
        <v/>
      </c>
      <c r="BM382" t="str">
        <v/>
      </c>
      <c r="BY382" t="str">
        <v>processor</v>
      </c>
      <c r="BZ382" t="str">
        <v>Marathon Petroleum Co Llc 9</v>
      </c>
      <c r="CA382" t="str">
        <v>blendSAF</v>
      </c>
      <c r="CB382" t="str">
        <v/>
      </c>
      <c r="CC382" t="str">
        <v/>
      </c>
      <c r="CD382" t="str">
        <v/>
      </c>
      <c r="CE382" t="str">
        <v/>
      </c>
      <c r="CF382" t="str">
        <v/>
      </c>
    </row>
    <row r="383" spans="58:84" x14ac:dyDescent="0.3">
      <c r="BF383" t="str">
        <v>processor</v>
      </c>
      <c r="BG383" t="str">
        <v>Buckeye Terminals Llc 81</v>
      </c>
      <c r="BH383" t="str">
        <v>blendSAF</v>
      </c>
      <c r="BI383" t="str">
        <v/>
      </c>
      <c r="BJ383" t="str">
        <v/>
      </c>
      <c r="BK383" t="str">
        <v/>
      </c>
      <c r="BL383" t="str">
        <v/>
      </c>
      <c r="BM383" t="str">
        <v/>
      </c>
      <c r="BY383" t="str">
        <v>processor</v>
      </c>
      <c r="BZ383" t="str">
        <v>Mplx Terminals Llc 21</v>
      </c>
      <c r="CA383" t="str">
        <v>blendSAF</v>
      </c>
      <c r="CB383" t="str">
        <v/>
      </c>
      <c r="CC383" t="str">
        <v/>
      </c>
      <c r="CD383" t="str">
        <v/>
      </c>
      <c r="CE383" t="str">
        <v/>
      </c>
      <c r="CF383" t="str">
        <v/>
      </c>
    </row>
    <row r="384" spans="58:84" x14ac:dyDescent="0.3">
      <c r="BF384" t="str">
        <v>processor</v>
      </c>
      <c r="BG384" t="str">
        <v>Buckeye Terminals Llc 41</v>
      </c>
      <c r="BH384" t="str">
        <v>blendSAF</v>
      </c>
      <c r="BI384" t="str">
        <v/>
      </c>
      <c r="BJ384" t="str">
        <v/>
      </c>
      <c r="BK384" t="str">
        <v/>
      </c>
      <c r="BL384" t="str">
        <v/>
      </c>
      <c r="BM384" t="str">
        <v/>
      </c>
      <c r="BY384" t="str">
        <v>processor</v>
      </c>
      <c r="BZ384" t="str">
        <v>Mplx Terminals Llc 39</v>
      </c>
      <c r="CA384" t="str">
        <v>blendSAF</v>
      </c>
      <c r="CB384" t="str">
        <v/>
      </c>
      <c r="CC384" t="str">
        <v/>
      </c>
      <c r="CD384" t="str">
        <v/>
      </c>
      <c r="CE384" t="str">
        <v/>
      </c>
      <c r="CF384" t="str">
        <v/>
      </c>
    </row>
    <row r="385" spans="58:84" x14ac:dyDescent="0.3">
      <c r="BF385" t="str">
        <v>processor</v>
      </c>
      <c r="BG385" t="str">
        <v>Buckeye Terminals Llc 38</v>
      </c>
      <c r="BH385" t="str">
        <v>blendSAF</v>
      </c>
      <c r="BI385" t="str">
        <v/>
      </c>
      <c r="BJ385" t="str">
        <v/>
      </c>
      <c r="BK385" t="str">
        <v/>
      </c>
      <c r="BL385" t="str">
        <v/>
      </c>
      <c r="BM385" t="str">
        <v/>
      </c>
      <c r="BY385" t="str">
        <v>processor</v>
      </c>
      <c r="BZ385" t="str">
        <v>Mplx Terminals Llc 24</v>
      </c>
      <c r="CA385" t="str">
        <v>blendSAF</v>
      </c>
      <c r="CB385" t="str">
        <v/>
      </c>
      <c r="CC385" t="str">
        <v/>
      </c>
      <c r="CD385" t="str">
        <v/>
      </c>
      <c r="CE385" t="str">
        <v/>
      </c>
      <c r="CF385" t="str">
        <v/>
      </c>
    </row>
    <row r="386" spans="58:84" x14ac:dyDescent="0.3">
      <c r="BF386" t="str">
        <v>processor</v>
      </c>
      <c r="BG386" t="str">
        <v>Buckeye Terminals Llc 83</v>
      </c>
      <c r="BH386" t="str">
        <v>blendSAF</v>
      </c>
      <c r="BI386" t="str">
        <v/>
      </c>
      <c r="BJ386" t="str">
        <v/>
      </c>
      <c r="BK386" t="str">
        <v/>
      </c>
      <c r="BL386" t="str">
        <v/>
      </c>
      <c r="BM386" t="str">
        <v/>
      </c>
      <c r="BY386" t="str">
        <v>processor</v>
      </c>
      <c r="BZ386" t="str">
        <v>Mplx Terminals Llc 25</v>
      </c>
      <c r="CA386" t="str">
        <v>blendSAF</v>
      </c>
      <c r="CB386" t="str">
        <v/>
      </c>
      <c r="CC386" t="str">
        <v/>
      </c>
      <c r="CD386" t="str">
        <v/>
      </c>
      <c r="CE386" t="str">
        <v/>
      </c>
      <c r="CF386" t="str">
        <v/>
      </c>
    </row>
    <row r="387" spans="58:84" x14ac:dyDescent="0.3">
      <c r="BF387" t="str">
        <v>processor</v>
      </c>
      <c r="BG387" t="str">
        <v>Phillips 66 Co</v>
      </c>
      <c r="BH387" t="str">
        <v>blendSAF</v>
      </c>
      <c r="BI387" t="str">
        <v/>
      </c>
      <c r="BJ387" t="str">
        <v/>
      </c>
      <c r="BK387" t="str">
        <v/>
      </c>
      <c r="BL387" t="str">
        <v/>
      </c>
      <c r="BM387" t="str">
        <v/>
      </c>
      <c r="BY387" t="str">
        <v>processor</v>
      </c>
      <c r="BZ387" t="str">
        <v>Mplx Terminals Llc 23</v>
      </c>
      <c r="CA387" t="str">
        <v>blendSAF</v>
      </c>
      <c r="CB387" t="str">
        <v/>
      </c>
      <c r="CC387" t="str">
        <v/>
      </c>
      <c r="CD387" t="str">
        <v/>
      </c>
      <c r="CE387" t="str">
        <v/>
      </c>
      <c r="CF387" t="str">
        <v/>
      </c>
    </row>
    <row r="388" spans="58:84" x14ac:dyDescent="0.3">
      <c r="BF388" t="str">
        <v>processor</v>
      </c>
      <c r="BG388" t="str">
        <v>Mid-America Pipeline Co Llcente</v>
      </c>
      <c r="BH388" t="str">
        <v>blendSAF</v>
      </c>
      <c r="BI388" t="str">
        <v/>
      </c>
      <c r="BJ388" t="str">
        <v/>
      </c>
      <c r="BK388" t="str">
        <v/>
      </c>
      <c r="BL388" t="str">
        <v/>
      </c>
      <c r="BM388" t="str">
        <v/>
      </c>
      <c r="BY388" t="str">
        <v>processor</v>
      </c>
      <c r="BZ388" t="str">
        <v>Mplx Terminals Llc 17</v>
      </c>
      <c r="CA388" t="str">
        <v>blendSAF</v>
      </c>
      <c r="CB388" t="str">
        <v/>
      </c>
      <c r="CC388" t="str">
        <v/>
      </c>
      <c r="CD388" t="str">
        <v/>
      </c>
      <c r="CE388" t="str">
        <v/>
      </c>
      <c r="CF388" t="str">
        <v/>
      </c>
    </row>
    <row r="389" spans="58:84" x14ac:dyDescent="0.3">
      <c r="BF389" t="str">
        <v>processor</v>
      </c>
      <c r="BG389" t="str">
        <v>Enterprise Terminals &amp; Storage Llc 12</v>
      </c>
      <c r="BH389" t="str">
        <v>blendSAF</v>
      </c>
      <c r="BI389" t="str">
        <v/>
      </c>
      <c r="BJ389" t="str">
        <v/>
      </c>
      <c r="BK389" t="str">
        <v/>
      </c>
      <c r="BL389" t="str">
        <v/>
      </c>
      <c r="BM389" t="str">
        <v/>
      </c>
      <c r="BY389" t="str">
        <v>processor</v>
      </c>
      <c r="BZ389" t="str">
        <v>Mplx Terminals Llc 38</v>
      </c>
      <c r="CA389" t="str">
        <v>blendSAF</v>
      </c>
      <c r="CB389" t="str">
        <v/>
      </c>
      <c r="CC389" t="str">
        <v/>
      </c>
      <c r="CD389" t="str">
        <v/>
      </c>
      <c r="CE389" t="str">
        <v/>
      </c>
      <c r="CF389" t="str">
        <v/>
      </c>
    </row>
    <row r="390" spans="58:84" x14ac:dyDescent="0.3">
      <c r="BF390" t="str">
        <v>processor</v>
      </c>
      <c r="BG390" t="str">
        <v>Enterprise Terminals &amp; Storage Llc 31</v>
      </c>
      <c r="BH390" t="str">
        <v>blendSAF</v>
      </c>
      <c r="BI390" t="str">
        <v/>
      </c>
      <c r="BJ390" t="str">
        <v/>
      </c>
      <c r="BK390" t="str">
        <v/>
      </c>
      <c r="BL390" t="str">
        <v/>
      </c>
      <c r="BM390" t="str">
        <v/>
      </c>
      <c r="BY390" t="str">
        <v>processor</v>
      </c>
      <c r="BZ390" t="str">
        <v>Ngl Supply Wholesale Llc 4</v>
      </c>
      <c r="CA390" t="str">
        <v>blendSAF</v>
      </c>
      <c r="CB390" t="str">
        <v/>
      </c>
      <c r="CC390" t="str">
        <v/>
      </c>
      <c r="CD390" t="str">
        <v/>
      </c>
      <c r="CE390" t="str">
        <v/>
      </c>
      <c r="CF390" t="str">
        <v/>
      </c>
    </row>
    <row r="391" spans="58:84" x14ac:dyDescent="0.3">
      <c r="BF391" t="str">
        <v>processor</v>
      </c>
      <c r="BG391" t="str">
        <v>Enterprise Terminals &amp; Storage Llc 10</v>
      </c>
      <c r="BH391" t="str">
        <v>blendSAF</v>
      </c>
      <c r="BI391" t="str">
        <v/>
      </c>
      <c r="BJ391" t="str">
        <v/>
      </c>
      <c r="BK391" t="str">
        <v/>
      </c>
      <c r="BL391" t="str">
        <v/>
      </c>
      <c r="BM391" t="str">
        <v/>
      </c>
      <c r="BY391" t="str">
        <v>processor</v>
      </c>
      <c r="BZ391" t="str">
        <v>Pkm Cochin Llc 3</v>
      </c>
      <c r="CA391" t="str">
        <v>blendSAF</v>
      </c>
      <c r="CB391" t="str">
        <v/>
      </c>
      <c r="CC391" t="str">
        <v/>
      </c>
      <c r="CD391" t="str">
        <v/>
      </c>
      <c r="CE391" t="str">
        <v/>
      </c>
      <c r="CF391" t="str">
        <v/>
      </c>
    </row>
    <row r="392" spans="58:84" x14ac:dyDescent="0.3">
      <c r="BF392" t="str">
        <v>processor</v>
      </c>
      <c r="BG392" t="str">
        <v>Enterprise Terminals &amp; Storage Llc 26</v>
      </c>
      <c r="BH392" t="str">
        <v>blendSAF</v>
      </c>
      <c r="BI392" t="str">
        <v/>
      </c>
      <c r="BJ392" t="str">
        <v/>
      </c>
      <c r="BK392" t="str">
        <v/>
      </c>
      <c r="BL392" t="str">
        <v/>
      </c>
      <c r="BM392" t="str">
        <v/>
      </c>
      <c r="BY392" t="str">
        <v>processor</v>
      </c>
      <c r="BZ392" t="str">
        <v>Petrogas Terminals Llc</v>
      </c>
      <c r="CA392" t="str">
        <v>blendSAF</v>
      </c>
      <c r="CB392" t="str">
        <v/>
      </c>
      <c r="CC392" t="str">
        <v/>
      </c>
      <c r="CD392" t="str">
        <v/>
      </c>
      <c r="CE392" t="str">
        <v/>
      </c>
      <c r="CF392" t="str">
        <v/>
      </c>
    </row>
    <row r="393" spans="58:84" x14ac:dyDescent="0.3">
      <c r="BF393" t="str">
        <v>processor</v>
      </c>
      <c r="BG393" t="str">
        <v>Enterprise Terminals &amp; Storage Llc 30</v>
      </c>
      <c r="BH393" t="str">
        <v>blendSAF</v>
      </c>
      <c r="BI393" t="str">
        <v/>
      </c>
      <c r="BJ393" t="str">
        <v/>
      </c>
      <c r="BK393" t="str">
        <v/>
      </c>
      <c r="BL393" t="str">
        <v/>
      </c>
      <c r="BM393" t="str">
        <v/>
      </c>
      <c r="BY393" t="str">
        <v>processor</v>
      </c>
      <c r="BZ393" t="str">
        <v>Citgo Petro Corp 16</v>
      </c>
      <c r="CA393" t="str">
        <v>blendSAF</v>
      </c>
      <c r="CB393" t="str">
        <v/>
      </c>
      <c r="CC393" t="str">
        <v/>
      </c>
      <c r="CD393" t="str">
        <v/>
      </c>
      <c r="CE393" t="str">
        <v/>
      </c>
      <c r="CF393" t="str">
        <v/>
      </c>
    </row>
    <row r="394" spans="58:84" x14ac:dyDescent="0.3">
      <c r="BF394" t="str">
        <v>processor</v>
      </c>
      <c r="BG394" t="str">
        <v>Growmark Inc 3</v>
      </c>
      <c r="BH394" t="str">
        <v>blendSAF</v>
      </c>
      <c r="BI394" t="str">
        <v/>
      </c>
      <c r="BJ394" t="str">
        <v/>
      </c>
      <c r="BK394" t="str">
        <v/>
      </c>
      <c r="BL394" t="str">
        <v/>
      </c>
      <c r="BM394" t="str">
        <v/>
      </c>
      <c r="BY394" t="str">
        <v>processor</v>
      </c>
      <c r="BZ394" t="str">
        <v>Citgo Holding Terminals Llc 2</v>
      </c>
      <c r="CA394" t="str">
        <v>blendSAF</v>
      </c>
      <c r="CB394" t="str">
        <v/>
      </c>
      <c r="CC394" t="str">
        <v/>
      </c>
      <c r="CD394" t="str">
        <v/>
      </c>
      <c r="CE394" t="str">
        <v/>
      </c>
      <c r="CF394" t="str">
        <v/>
      </c>
    </row>
    <row r="395" spans="58:84" x14ac:dyDescent="0.3">
      <c r="BF395" t="str">
        <v>processor</v>
      </c>
      <c r="BG395" t="str">
        <v>Growmark Inc 6</v>
      </c>
      <c r="BH395" t="str">
        <v>blendSAF</v>
      </c>
      <c r="BI395" t="str">
        <v/>
      </c>
      <c r="BJ395" t="str">
        <v/>
      </c>
      <c r="BK395" t="str">
        <v/>
      </c>
      <c r="BL395" t="str">
        <v/>
      </c>
      <c r="BM395" t="str">
        <v/>
      </c>
      <c r="BY395" t="str">
        <v>processor</v>
      </c>
      <c r="BZ395" t="str">
        <v>Transmontaigne Operating Company 35</v>
      </c>
      <c r="CA395" t="str">
        <v>blendSAF</v>
      </c>
      <c r="CB395" t="str">
        <v/>
      </c>
      <c r="CC395" t="str">
        <v/>
      </c>
      <c r="CD395" t="str">
        <v/>
      </c>
      <c r="CE395" t="str">
        <v/>
      </c>
      <c r="CF395" t="str">
        <v/>
      </c>
    </row>
    <row r="396" spans="58:84" x14ac:dyDescent="0.3">
      <c r="BF396" t="str">
        <v>processor</v>
      </c>
      <c r="BG396" t="str">
        <v>Growmark Inc 4</v>
      </c>
      <c r="BH396" t="str">
        <v>blendSAF</v>
      </c>
      <c r="BI396" t="str">
        <v/>
      </c>
      <c r="BJ396" t="str">
        <v/>
      </c>
      <c r="BK396" t="str">
        <v/>
      </c>
      <c r="BL396" t="str">
        <v/>
      </c>
      <c r="BM396" t="str">
        <v/>
      </c>
      <c r="BY396" t="str">
        <v>processor</v>
      </c>
      <c r="BZ396" t="str">
        <v>Transmontaigne Operating Company 19</v>
      </c>
      <c r="CA396" t="str">
        <v>blendSAF</v>
      </c>
      <c r="CB396" t="str">
        <v/>
      </c>
      <c r="CC396" t="str">
        <v/>
      </c>
      <c r="CD396" t="str">
        <v/>
      </c>
      <c r="CE396" t="str">
        <v/>
      </c>
      <c r="CF396" t="str">
        <v/>
      </c>
    </row>
    <row r="397" spans="58:84" x14ac:dyDescent="0.3">
      <c r="BF397" t="str">
        <v>processor</v>
      </c>
      <c r="BG397" t="str">
        <v>Sinclair Oil Corp 7</v>
      </c>
      <c r="BH397" t="str">
        <v>blendSAF</v>
      </c>
      <c r="BI397" t="str">
        <v/>
      </c>
      <c r="BJ397" t="str">
        <v/>
      </c>
      <c r="BK397" t="str">
        <v/>
      </c>
      <c r="BL397" t="str">
        <v/>
      </c>
      <c r="BM397" t="str">
        <v/>
      </c>
      <c r="BY397" t="str">
        <v>processor</v>
      </c>
      <c r="BZ397" t="str">
        <v>Benchmark Distribution Terminal Llc</v>
      </c>
      <c r="CA397" t="str">
        <v>blendSAF</v>
      </c>
      <c r="CB397" t="str">
        <v/>
      </c>
      <c r="CC397" t="str">
        <v/>
      </c>
      <c r="CD397" t="str">
        <v/>
      </c>
      <c r="CE397" t="str">
        <v/>
      </c>
      <c r="CF397" t="str">
        <v/>
      </c>
    </row>
    <row r="398" spans="58:84" x14ac:dyDescent="0.3">
      <c r="BF398" t="str">
        <v>processor</v>
      </c>
      <c r="BG398" t="str">
        <v>Manly Terminal Llc</v>
      </c>
      <c r="BH398" t="str">
        <v>blendSAF</v>
      </c>
      <c r="BI398" t="str">
        <v/>
      </c>
      <c r="BJ398" t="str">
        <v/>
      </c>
      <c r="BK398" t="str">
        <v/>
      </c>
      <c r="BL398" t="str">
        <v/>
      </c>
      <c r="BM398" t="str">
        <v/>
      </c>
      <c r="BY398" t="str">
        <v>processor</v>
      </c>
      <c r="BZ398" t="str">
        <v>Wolf Lake Terminals</v>
      </c>
      <c r="CA398" t="str">
        <v>blendSAF</v>
      </c>
      <c r="CB398" t="str">
        <v/>
      </c>
      <c r="CC398" t="str">
        <v/>
      </c>
      <c r="CD398" t="str">
        <v/>
      </c>
      <c r="CE398" t="str">
        <v/>
      </c>
      <c r="CF398" t="str">
        <v/>
      </c>
    </row>
    <row r="399" spans="58:84" x14ac:dyDescent="0.3">
      <c r="BF399" t="str">
        <v>processor</v>
      </c>
      <c r="BG399" t="str">
        <v>Jebro Incorporated 3</v>
      </c>
      <c r="BH399" t="str">
        <v>blendSAF</v>
      </c>
      <c r="BI399" t="str">
        <v/>
      </c>
      <c r="BJ399" t="str">
        <v/>
      </c>
      <c r="BK399" t="str">
        <v/>
      </c>
      <c r="BL399" t="str">
        <v/>
      </c>
      <c r="BM399" t="str">
        <v/>
      </c>
      <c r="BY399" t="str">
        <v>processor</v>
      </c>
      <c r="BZ399" t="str">
        <v>Flint Hill Resources Lp 1</v>
      </c>
      <c r="CA399" t="str">
        <v>blendSAF</v>
      </c>
      <c r="CB399" t="str">
        <v/>
      </c>
      <c r="CC399" t="str">
        <v/>
      </c>
      <c r="CD399" t="str">
        <v/>
      </c>
      <c r="CE399" t="str">
        <v/>
      </c>
      <c r="CF399" t="str">
        <v/>
      </c>
    </row>
    <row r="400" spans="58:84" x14ac:dyDescent="0.3">
      <c r="BF400" t="str">
        <v>processor</v>
      </c>
      <c r="BG400" t="str">
        <v>Magellan Pipeline Co Lp 8</v>
      </c>
      <c r="BH400" t="str">
        <v>blendSAF</v>
      </c>
      <c r="BI400" t="str">
        <v/>
      </c>
      <c r="BJ400" t="str">
        <v/>
      </c>
      <c r="BK400" t="str">
        <v/>
      </c>
      <c r="BL400" t="str">
        <v/>
      </c>
      <c r="BM400" t="str">
        <v/>
      </c>
      <c r="BY400" t="str">
        <v>processor</v>
      </c>
      <c r="BZ400" t="str">
        <v>Flint Hills Resources Lp 10</v>
      </c>
      <c r="CA400" t="str">
        <v>blendSAF</v>
      </c>
      <c r="CB400" t="str">
        <v/>
      </c>
      <c r="CC400" t="str">
        <v/>
      </c>
      <c r="CD400" t="str">
        <v/>
      </c>
      <c r="CE400" t="str">
        <v/>
      </c>
      <c r="CF400" t="str">
        <v/>
      </c>
    </row>
    <row r="401" spans="58:84" x14ac:dyDescent="0.3">
      <c r="BF401" t="str">
        <v>processor</v>
      </c>
      <c r="BG401" t="str">
        <v>Magellan Pipeline Co Lp 19</v>
      </c>
      <c r="BH401" t="str">
        <v>blendSAF</v>
      </c>
      <c r="BI401" t="str">
        <v/>
      </c>
      <c r="BJ401" t="str">
        <v/>
      </c>
      <c r="BK401" t="str">
        <v/>
      </c>
      <c r="BL401" t="str">
        <v/>
      </c>
      <c r="BM401" t="str">
        <v/>
      </c>
      <c r="BY401" t="str">
        <v>processor</v>
      </c>
      <c r="BZ401" t="str">
        <v>Flint Hills Resources Lp 12</v>
      </c>
      <c r="CA401" t="str">
        <v>blendSAF</v>
      </c>
      <c r="CB401" t="str">
        <v/>
      </c>
      <c r="CC401" t="str">
        <v/>
      </c>
      <c r="CD401" t="str">
        <v/>
      </c>
      <c r="CE401" t="str">
        <v/>
      </c>
      <c r="CF401" t="str">
        <v/>
      </c>
    </row>
    <row r="402" spans="58:84" x14ac:dyDescent="0.3">
      <c r="BF402" t="str">
        <v>processor</v>
      </c>
      <c r="BG402" t="str">
        <v>Magellan Pipeline Co Lp 25</v>
      </c>
      <c r="BH402" t="str">
        <v>blendSAF</v>
      </c>
      <c r="BI402" t="str">
        <v/>
      </c>
      <c r="BJ402" t="str">
        <v/>
      </c>
      <c r="BK402" t="str">
        <v/>
      </c>
      <c r="BL402" t="str">
        <v/>
      </c>
      <c r="BM402" t="str">
        <v/>
      </c>
      <c r="BY402" t="str">
        <v>processor</v>
      </c>
      <c r="BZ402" t="str">
        <v>Us Venture Inc 1</v>
      </c>
      <c r="CA402" t="str">
        <v>blendSAF</v>
      </c>
      <c r="CB402" t="str">
        <v/>
      </c>
      <c r="CC402" t="str">
        <v/>
      </c>
      <c r="CD402" t="str">
        <v/>
      </c>
      <c r="CE402" t="str">
        <v/>
      </c>
      <c r="CF402" t="str">
        <v/>
      </c>
    </row>
    <row r="403" spans="58:84" x14ac:dyDescent="0.3">
      <c r="BF403" t="str">
        <v>processor</v>
      </c>
      <c r="BG403" t="str">
        <v>Magellan Pipeline Co Lp 27</v>
      </c>
      <c r="BH403" t="str">
        <v>blendSAF</v>
      </c>
      <c r="BI403" t="str">
        <v/>
      </c>
      <c r="BJ403" t="str">
        <v/>
      </c>
      <c r="BK403" t="str">
        <v/>
      </c>
      <c r="BL403" t="str">
        <v/>
      </c>
      <c r="BM403" t="str">
        <v/>
      </c>
      <c r="BY403" t="str">
        <v>processor</v>
      </c>
      <c r="BZ403" t="str">
        <v>Bp Products North America</v>
      </c>
      <c r="CA403" t="str">
        <v>blendSAF</v>
      </c>
      <c r="CB403" t="str">
        <v/>
      </c>
      <c r="CC403" t="str">
        <v/>
      </c>
      <c r="CD403" t="str">
        <v/>
      </c>
      <c r="CE403" t="str">
        <v/>
      </c>
      <c r="CF403" t="str">
        <v/>
      </c>
    </row>
    <row r="404" spans="58:84" x14ac:dyDescent="0.3">
      <c r="BF404" t="str">
        <v>processor</v>
      </c>
      <c r="BG404" t="str">
        <v>Magellan Pipeline Co Lp 42</v>
      </c>
      <c r="BH404" t="str">
        <v>blendSAF</v>
      </c>
      <c r="BI404" t="str">
        <v/>
      </c>
      <c r="BJ404" t="str">
        <v/>
      </c>
      <c r="BK404" t="str">
        <v/>
      </c>
      <c r="BL404" t="str">
        <v/>
      </c>
      <c r="BM404" t="str">
        <v/>
      </c>
      <c r="BY404" t="str">
        <v>processor</v>
      </c>
      <c r="BZ404" t="str">
        <v>Buckeye Terminals Llc 25</v>
      </c>
      <c r="CA404" t="str">
        <v>blendSAF</v>
      </c>
      <c r="CB404" t="str">
        <v/>
      </c>
      <c r="CC404" t="str">
        <v/>
      </c>
      <c r="CD404" t="str">
        <v/>
      </c>
      <c r="CE404" t="str">
        <v/>
      </c>
      <c r="CF404" t="str">
        <v/>
      </c>
    </row>
    <row r="405" spans="58:84" x14ac:dyDescent="0.3">
      <c r="BF405" t="str">
        <v>processor</v>
      </c>
      <c r="BG405" t="str">
        <v>Magellan Pipeline Co Lp 47</v>
      </c>
      <c r="BH405" t="str">
        <v>blendSAF</v>
      </c>
      <c r="BI405" t="str">
        <v/>
      </c>
      <c r="BJ405" t="str">
        <v/>
      </c>
      <c r="BK405" t="str">
        <v/>
      </c>
      <c r="BL405" t="str">
        <v/>
      </c>
      <c r="BM405" t="str">
        <v/>
      </c>
      <c r="BY405" t="str">
        <v>processor</v>
      </c>
      <c r="BZ405" t="str">
        <v>Buckeye Terminals Llc 81</v>
      </c>
      <c r="CA405" t="str">
        <v>blendSAF</v>
      </c>
      <c r="CB405" t="str">
        <v/>
      </c>
      <c r="CC405" t="str">
        <v/>
      </c>
      <c r="CD405" t="str">
        <v/>
      </c>
      <c r="CE405" t="str">
        <v/>
      </c>
      <c r="CF405" t="str">
        <v/>
      </c>
    </row>
    <row r="406" spans="58:84" x14ac:dyDescent="0.3">
      <c r="BF406" t="str">
        <v>processor</v>
      </c>
      <c r="BG406" t="str">
        <v>Magellan Pl Co 2</v>
      </c>
      <c r="BH406" t="str">
        <v>blendSAF</v>
      </c>
      <c r="BI406" t="str">
        <v/>
      </c>
      <c r="BJ406" t="str">
        <v/>
      </c>
      <c r="BK406" t="str">
        <v/>
      </c>
      <c r="BL406" t="str">
        <v/>
      </c>
      <c r="BM406" t="str">
        <v/>
      </c>
      <c r="BY406" t="str">
        <v>processor</v>
      </c>
      <c r="BZ406" t="str">
        <v>Buckeye Terminals Llc 41</v>
      </c>
      <c r="CA406" t="str">
        <v>blendSAF</v>
      </c>
      <c r="CB406" t="str">
        <v/>
      </c>
      <c r="CC406" t="str">
        <v/>
      </c>
      <c r="CD406" t="str">
        <v/>
      </c>
      <c r="CE406" t="str">
        <v/>
      </c>
      <c r="CF406" t="str">
        <v/>
      </c>
    </row>
    <row r="407" spans="58:84" x14ac:dyDescent="0.3">
      <c r="BF407" t="str">
        <v>processor</v>
      </c>
      <c r="BG407" t="str">
        <v>Magellan Pipeline Co Lp 39</v>
      </c>
      <c r="BH407" t="str">
        <v>blendSAF</v>
      </c>
      <c r="BI407" t="str">
        <v/>
      </c>
      <c r="BJ407" t="str">
        <v/>
      </c>
      <c r="BK407" t="str">
        <v/>
      </c>
      <c r="BL407" t="str">
        <v/>
      </c>
      <c r="BM407" t="str">
        <v/>
      </c>
      <c r="BY407" t="str">
        <v>processor</v>
      </c>
      <c r="BZ407" t="str">
        <v>Buckeye Terminals Llc 38</v>
      </c>
      <c r="CA407" t="str">
        <v>blendSAF</v>
      </c>
      <c r="CB407" t="str">
        <v/>
      </c>
      <c r="CC407" t="str">
        <v/>
      </c>
      <c r="CD407" t="str">
        <v/>
      </c>
      <c r="CE407" t="str">
        <v/>
      </c>
      <c r="CF407" t="str">
        <v/>
      </c>
    </row>
    <row r="408" spans="58:84" x14ac:dyDescent="0.3">
      <c r="BF408" t="str">
        <v>processor</v>
      </c>
      <c r="BG408" t="str">
        <v>Nustar Energy Lp 34</v>
      </c>
      <c r="BH408" t="str">
        <v>blendSAF</v>
      </c>
      <c r="BI408" t="str">
        <v/>
      </c>
      <c r="BJ408" t="str">
        <v/>
      </c>
      <c r="BK408" t="str">
        <v/>
      </c>
      <c r="BL408" t="str">
        <v/>
      </c>
      <c r="BM408" t="str">
        <v/>
      </c>
      <c r="BY408" t="str">
        <v>processor</v>
      </c>
      <c r="BZ408" t="str">
        <v>Buckeye Terminals Llc 83</v>
      </c>
      <c r="CA408" t="str">
        <v>blendSAF</v>
      </c>
      <c r="CB408" t="str">
        <v/>
      </c>
      <c r="CC408" t="str">
        <v/>
      </c>
      <c r="CD408" t="str">
        <v/>
      </c>
      <c r="CE408" t="str">
        <v/>
      </c>
      <c r="CF408" t="str">
        <v/>
      </c>
    </row>
    <row r="409" spans="58:84" x14ac:dyDescent="0.3">
      <c r="BF409" t="str">
        <v>processor</v>
      </c>
      <c r="BG409" t="str">
        <v>Nustar Energy Lp 23</v>
      </c>
      <c r="BH409" t="str">
        <v>blendSAF</v>
      </c>
      <c r="BI409" t="str">
        <v/>
      </c>
      <c r="BJ409" t="str">
        <v/>
      </c>
      <c r="BK409" t="str">
        <v/>
      </c>
      <c r="BL409" t="str">
        <v/>
      </c>
      <c r="BM409" t="str">
        <v/>
      </c>
      <c r="BY409" t="str">
        <v>processor</v>
      </c>
      <c r="BZ409" t="str">
        <v>Phillips 66 Co</v>
      </c>
      <c r="CA409" t="str">
        <v>blendSAF</v>
      </c>
      <c r="CB409" t="str">
        <v/>
      </c>
      <c r="CC409" t="str">
        <v/>
      </c>
      <c r="CD409" t="str">
        <v/>
      </c>
      <c r="CE409" t="str">
        <v/>
      </c>
      <c r="CF409" t="str">
        <v/>
      </c>
    </row>
    <row r="410" spans="58:84" x14ac:dyDescent="0.3">
      <c r="BF410" t="str">
        <v>processor</v>
      </c>
      <c r="BG410" t="str">
        <v>Nustar Energy Lp 25</v>
      </c>
      <c r="BH410" t="str">
        <v>blendSAF</v>
      </c>
      <c r="BI410" t="str">
        <v/>
      </c>
      <c r="BJ410" t="str">
        <v/>
      </c>
      <c r="BK410" t="str">
        <v/>
      </c>
      <c r="BL410" t="str">
        <v/>
      </c>
      <c r="BM410" t="str">
        <v/>
      </c>
      <c r="BY410" t="str">
        <v>processor</v>
      </c>
      <c r="BZ410" t="str">
        <v>Mid-America Pipeline Co Llcente</v>
      </c>
      <c r="CA410" t="str">
        <v>blendSAF</v>
      </c>
      <c r="CB410" t="str">
        <v/>
      </c>
      <c r="CC410" t="str">
        <v/>
      </c>
      <c r="CD410" t="str">
        <v/>
      </c>
      <c r="CE410" t="str">
        <v/>
      </c>
      <c r="CF410" t="str">
        <v/>
      </c>
    </row>
    <row r="411" spans="58:84" x14ac:dyDescent="0.3">
      <c r="BF411" t="str">
        <v>processor</v>
      </c>
      <c r="BG411" t="str">
        <v>Nustar Energy Lp 11</v>
      </c>
      <c r="BH411" t="str">
        <v>blendSAF</v>
      </c>
      <c r="BI411" t="str">
        <v/>
      </c>
      <c r="BJ411" t="str">
        <v/>
      </c>
      <c r="BK411" t="str">
        <v/>
      </c>
      <c r="BL411" t="str">
        <v/>
      </c>
      <c r="BM411" t="str">
        <v/>
      </c>
      <c r="BY411" t="str">
        <v>processor</v>
      </c>
      <c r="BZ411" t="str">
        <v>Enterprise Terminals &amp; Storage Llc 12</v>
      </c>
      <c r="CA411" t="str">
        <v>blendSAF</v>
      </c>
      <c r="CB411" t="str">
        <v/>
      </c>
      <c r="CC411" t="str">
        <v/>
      </c>
      <c r="CD411" t="str">
        <v/>
      </c>
      <c r="CE411" t="str">
        <v/>
      </c>
      <c r="CF411" t="str">
        <v/>
      </c>
    </row>
    <row r="412" spans="58:84" x14ac:dyDescent="0.3">
      <c r="BF412" t="str">
        <v>processor</v>
      </c>
      <c r="BG412" t="str">
        <v>Oneok North System Llc 10</v>
      </c>
      <c r="BH412" t="str">
        <v>blendSAF</v>
      </c>
      <c r="BI412" t="str">
        <v/>
      </c>
      <c r="BJ412" t="str">
        <v/>
      </c>
      <c r="BK412" t="str">
        <v/>
      </c>
      <c r="BL412" t="str">
        <v/>
      </c>
      <c r="BM412" t="str">
        <v/>
      </c>
      <c r="BY412" t="str">
        <v>processor</v>
      </c>
      <c r="BZ412" t="str">
        <v>Enterprise Terminals &amp; Storage Llc 31</v>
      </c>
      <c r="CA412" t="str">
        <v>blendSAF</v>
      </c>
      <c r="CB412" t="str">
        <v/>
      </c>
      <c r="CC412" t="str">
        <v/>
      </c>
      <c r="CD412" t="str">
        <v/>
      </c>
      <c r="CE412" t="str">
        <v/>
      </c>
      <c r="CF412" t="str">
        <v/>
      </c>
    </row>
    <row r="413" spans="58:84" x14ac:dyDescent="0.3">
      <c r="BF413" t="str">
        <v>processor</v>
      </c>
      <c r="BG413" t="str">
        <v>Oneok North System Llc 6</v>
      </c>
      <c r="BH413" t="str">
        <v>blendSAF</v>
      </c>
      <c r="BI413" t="str">
        <v/>
      </c>
      <c r="BJ413" t="str">
        <v/>
      </c>
      <c r="BK413" t="str">
        <v/>
      </c>
      <c r="BL413" t="str">
        <v/>
      </c>
      <c r="BM413" t="str">
        <v/>
      </c>
      <c r="BY413" t="str">
        <v>processor</v>
      </c>
      <c r="BZ413" t="str">
        <v>Enterprise Terminals &amp; Storage Llc 10</v>
      </c>
      <c r="CA413" t="str">
        <v>blendSAF</v>
      </c>
      <c r="CB413" t="str">
        <v/>
      </c>
      <c r="CC413" t="str">
        <v/>
      </c>
      <c r="CD413" t="str">
        <v/>
      </c>
      <c r="CE413" t="str">
        <v/>
      </c>
      <c r="CF413" t="str">
        <v/>
      </c>
    </row>
    <row r="414" spans="58:84" x14ac:dyDescent="0.3">
      <c r="BF414" t="str">
        <v>processor</v>
      </c>
      <c r="BG414" t="str">
        <v>Oneok North System Llc 5</v>
      </c>
      <c r="BH414" t="str">
        <v>blendSAF</v>
      </c>
      <c r="BI414" t="str">
        <v/>
      </c>
      <c r="BJ414" t="str">
        <v/>
      </c>
      <c r="BK414" t="str">
        <v/>
      </c>
      <c r="BL414" t="str">
        <v/>
      </c>
      <c r="BM414" t="str">
        <v/>
      </c>
      <c r="BY414" t="str">
        <v>processor</v>
      </c>
      <c r="BZ414" t="str">
        <v>Enterprise Terminals &amp; Storage Llc 26</v>
      </c>
      <c r="CA414" t="str">
        <v>blendSAF</v>
      </c>
      <c r="CB414" t="str">
        <v/>
      </c>
      <c r="CC414" t="str">
        <v/>
      </c>
      <c r="CD414" t="str">
        <v/>
      </c>
      <c r="CE414" t="str">
        <v/>
      </c>
      <c r="CF414" t="str">
        <v/>
      </c>
    </row>
    <row r="415" spans="58:84" x14ac:dyDescent="0.3">
      <c r="BF415" t="str">
        <v>processor</v>
      </c>
      <c r="BG415" t="str">
        <v>Texpar Energy Llc</v>
      </c>
      <c r="BH415" t="str">
        <v>blendSAF</v>
      </c>
      <c r="BI415" t="str">
        <v/>
      </c>
      <c r="BJ415" t="str">
        <v/>
      </c>
      <c r="BK415" t="str">
        <v/>
      </c>
      <c r="BL415" t="str">
        <v/>
      </c>
      <c r="BM415" t="str">
        <v/>
      </c>
      <c r="BY415" t="str">
        <v>processor</v>
      </c>
      <c r="BZ415" t="str">
        <v>Enterprise Terminals &amp; Storage Llc 30</v>
      </c>
      <c r="CA415" t="str">
        <v>blendSAF</v>
      </c>
      <c r="CB415" t="str">
        <v/>
      </c>
      <c r="CC415" t="str">
        <v/>
      </c>
      <c r="CD415" t="str">
        <v/>
      </c>
      <c r="CE415" t="str">
        <v/>
      </c>
      <c r="CF415" t="str">
        <v/>
      </c>
    </row>
    <row r="416" spans="58:84" x14ac:dyDescent="0.3">
      <c r="BF416" t="str">
        <v>processor</v>
      </c>
      <c r="BG416" t="str">
        <v>Ergon Asphalt &amp; Emulsions Inc 6</v>
      </c>
      <c r="BH416" t="str">
        <v>blendSAF</v>
      </c>
      <c r="BI416" t="str">
        <v/>
      </c>
      <c r="BJ416" t="str">
        <v/>
      </c>
      <c r="BK416" t="str">
        <v/>
      </c>
      <c r="BL416" t="str">
        <v/>
      </c>
      <c r="BM416" t="str">
        <v/>
      </c>
      <c r="BY416" t="str">
        <v>processor</v>
      </c>
      <c r="BZ416" t="str">
        <v>Growmark Inc 3</v>
      </c>
      <c r="CA416" t="str">
        <v>blendSAF</v>
      </c>
      <c r="CB416" t="str">
        <v/>
      </c>
      <c r="CC416" t="str">
        <v/>
      </c>
      <c r="CD416" t="str">
        <v/>
      </c>
      <c r="CE416" t="str">
        <v/>
      </c>
      <c r="CF416" t="str">
        <v/>
      </c>
    </row>
    <row r="417" spans="58:84" x14ac:dyDescent="0.3">
      <c r="BF417" t="str">
        <v>processor</v>
      </c>
      <c r="BG417" t="str">
        <v>Ergon Asphalt And Emulsions 3</v>
      </c>
      <c r="BH417" t="str">
        <v>blendSAF</v>
      </c>
      <c r="BI417" t="str">
        <v/>
      </c>
      <c r="BJ417" t="str">
        <v/>
      </c>
      <c r="BK417" t="str">
        <v/>
      </c>
      <c r="BL417" t="str">
        <v/>
      </c>
      <c r="BM417" t="str">
        <v/>
      </c>
      <c r="BY417" t="str">
        <v>processor</v>
      </c>
      <c r="BZ417" t="str">
        <v>Growmark Inc 6</v>
      </c>
      <c r="CA417" t="str">
        <v>blendSAF</v>
      </c>
      <c r="CB417" t="str">
        <v/>
      </c>
      <c r="CC417" t="str">
        <v/>
      </c>
      <c r="CD417" t="str">
        <v/>
      </c>
      <c r="CE417" t="str">
        <v/>
      </c>
      <c r="CF417" t="str">
        <v/>
      </c>
    </row>
    <row r="418" spans="58:84" x14ac:dyDescent="0.3">
      <c r="BF418" t="str">
        <v>processor</v>
      </c>
      <c r="BG418" t="str">
        <v>Ergon Asphalt And Emulsions 4</v>
      </c>
      <c r="BH418" t="str">
        <v>blendSAF</v>
      </c>
      <c r="BI418" t="str">
        <v/>
      </c>
      <c r="BJ418" t="str">
        <v/>
      </c>
      <c r="BK418" t="str">
        <v/>
      </c>
      <c r="BL418" t="str">
        <v/>
      </c>
      <c r="BM418" t="str">
        <v/>
      </c>
      <c r="BY418" t="str">
        <v>processor</v>
      </c>
      <c r="BZ418" t="str">
        <v>Growmark Inc 4</v>
      </c>
      <c r="CA418" t="str">
        <v>blendSAF</v>
      </c>
      <c r="CB418" t="str">
        <v/>
      </c>
      <c r="CC418" t="str">
        <v/>
      </c>
      <c r="CD418" t="str">
        <v/>
      </c>
      <c r="CE418" t="str">
        <v/>
      </c>
      <c r="CF418" t="str">
        <v/>
      </c>
    </row>
    <row r="419" spans="58:84" x14ac:dyDescent="0.3">
      <c r="BF419" t="str">
        <v>processor</v>
      </c>
      <c r="BG419" t="str">
        <v>Ergon Asphalt And Emulsions 7</v>
      </c>
      <c r="BH419" t="str">
        <v>blendSAF</v>
      </c>
      <c r="BI419" t="str">
        <v/>
      </c>
      <c r="BJ419" t="str">
        <v/>
      </c>
      <c r="BK419" t="str">
        <v/>
      </c>
      <c r="BL419" t="str">
        <v/>
      </c>
      <c r="BM419" t="str">
        <v/>
      </c>
      <c r="BY419" t="str">
        <v>processor</v>
      </c>
      <c r="BZ419" t="str">
        <v>Sinclair Oil Corp 7</v>
      </c>
      <c r="CA419" t="str">
        <v>blendSAF</v>
      </c>
      <c r="CB419" t="str">
        <v/>
      </c>
      <c r="CC419" t="str">
        <v/>
      </c>
      <c r="CD419" t="str">
        <v/>
      </c>
      <c r="CE419" t="str">
        <v/>
      </c>
      <c r="CF419" t="str">
        <v/>
      </c>
    </row>
    <row r="420" spans="58:84" x14ac:dyDescent="0.3">
      <c r="BF420" t="str">
        <v>processor</v>
      </c>
      <c r="BG420" t="str">
        <v>Ergon Asphalt And Emulsions 13</v>
      </c>
      <c r="BH420" t="str">
        <v>blendSAF</v>
      </c>
      <c r="BI420" t="str">
        <v/>
      </c>
      <c r="BJ420" t="str">
        <v/>
      </c>
      <c r="BK420" t="str">
        <v/>
      </c>
      <c r="BL420" t="str">
        <v/>
      </c>
      <c r="BM420" t="str">
        <v/>
      </c>
      <c r="BY420" t="str">
        <v>processor</v>
      </c>
      <c r="BZ420" t="str">
        <v>Manly Terminal Llc</v>
      </c>
      <c r="CA420" t="str">
        <v>blendSAF</v>
      </c>
      <c r="CB420" t="str">
        <v/>
      </c>
      <c r="CC420" t="str">
        <v/>
      </c>
      <c r="CD420" t="str">
        <v/>
      </c>
      <c r="CE420" t="str">
        <v/>
      </c>
      <c r="CF420" t="str">
        <v/>
      </c>
    </row>
    <row r="421" spans="58:84" x14ac:dyDescent="0.3">
      <c r="BF421" t="str">
        <v>processor</v>
      </c>
      <c r="BG421" t="str">
        <v>Premcor Refining Group Inc 1</v>
      </c>
      <c r="BH421" t="str">
        <v>blendSAF</v>
      </c>
      <c r="BI421" t="str">
        <v/>
      </c>
      <c r="BJ421" t="str">
        <v/>
      </c>
      <c r="BK421" t="str">
        <v/>
      </c>
      <c r="BL421" t="str">
        <v/>
      </c>
      <c r="BM421" t="str">
        <v/>
      </c>
      <c r="BY421" t="str">
        <v>processor</v>
      </c>
      <c r="BZ421" t="str">
        <v>Jebro Incorporated 3</v>
      </c>
      <c r="CA421" t="str">
        <v>blendSAF</v>
      </c>
      <c r="CB421" t="str">
        <v/>
      </c>
      <c r="CC421" t="str">
        <v/>
      </c>
      <c r="CD421" t="str">
        <v/>
      </c>
      <c r="CE421" t="str">
        <v/>
      </c>
      <c r="CF421" t="str">
        <v/>
      </c>
    </row>
    <row r="422" spans="58:84" x14ac:dyDescent="0.3">
      <c r="BF422" t="str">
        <v>processor</v>
      </c>
      <c r="BG422" t="str">
        <v>Phillips 66 Company 26</v>
      </c>
      <c r="BH422" t="str">
        <v>blendSAF</v>
      </c>
      <c r="BI422" t="str">
        <v/>
      </c>
      <c r="BJ422" t="str">
        <v/>
      </c>
      <c r="BK422" t="str">
        <v/>
      </c>
      <c r="BL422" t="str">
        <v/>
      </c>
      <c r="BM422" t="str">
        <v/>
      </c>
      <c r="BY422" t="str">
        <v>processor</v>
      </c>
      <c r="BZ422" t="str">
        <v>Magellan Pipeline Co Lp 8</v>
      </c>
      <c r="CA422" t="str">
        <v>blendSAF</v>
      </c>
      <c r="CB422" t="str">
        <v/>
      </c>
      <c r="CC422" t="str">
        <v/>
      </c>
      <c r="CD422" t="str">
        <v/>
      </c>
      <c r="CE422" t="str">
        <v/>
      </c>
      <c r="CF422" t="str">
        <v/>
      </c>
    </row>
    <row r="423" spans="58:84" x14ac:dyDescent="0.3">
      <c r="BF423" t="str">
        <v>processor</v>
      </c>
      <c r="BG423" t="str">
        <v>Phillips 66 Carrier Llc 5</v>
      </c>
      <c r="BH423" t="str">
        <v>blendSAF</v>
      </c>
      <c r="BI423" t="str">
        <v/>
      </c>
      <c r="BJ423" t="str">
        <v/>
      </c>
      <c r="BK423" t="str">
        <v/>
      </c>
      <c r="BL423" t="str">
        <v/>
      </c>
      <c r="BM423" t="str">
        <v/>
      </c>
      <c r="BY423" t="str">
        <v>processor</v>
      </c>
      <c r="BZ423" t="str">
        <v>Magellan Pipeline Co Lp 19</v>
      </c>
      <c r="CA423" t="str">
        <v>blendSAF</v>
      </c>
      <c r="CB423" t="str">
        <v/>
      </c>
      <c r="CC423" t="str">
        <v/>
      </c>
      <c r="CD423" t="str">
        <v/>
      </c>
      <c r="CE423" t="str">
        <v/>
      </c>
      <c r="CF423" t="str">
        <v/>
      </c>
    </row>
    <row r="424" spans="58:84" x14ac:dyDescent="0.3">
      <c r="BF424" t="str">
        <v>processor</v>
      </c>
      <c r="BG424" t="str">
        <v>Phillips 66 Carrier Llc 3</v>
      </c>
      <c r="BH424" t="str">
        <v>blendSAF</v>
      </c>
      <c r="BI424" t="str">
        <v/>
      </c>
      <c r="BJ424" t="str">
        <v/>
      </c>
      <c r="BK424" t="str">
        <v/>
      </c>
      <c r="BL424" t="str">
        <v/>
      </c>
      <c r="BM424" t="str">
        <v/>
      </c>
      <c r="BY424" t="str">
        <v>processor</v>
      </c>
      <c r="BZ424" t="str">
        <v>Magellan Pipeline Co Lp 25</v>
      </c>
      <c r="CA424" t="str">
        <v>blendSAF</v>
      </c>
      <c r="CB424" t="str">
        <v/>
      </c>
      <c r="CC424" t="str">
        <v/>
      </c>
      <c r="CD424" t="str">
        <v/>
      </c>
      <c r="CE424" t="str">
        <v/>
      </c>
      <c r="CF424" t="str">
        <v/>
      </c>
    </row>
    <row r="425" spans="58:84" x14ac:dyDescent="0.3">
      <c r="BF425" t="str">
        <v>processor</v>
      </c>
      <c r="BG425" t="str">
        <v>Phillips 66 Carrier Llc 4</v>
      </c>
      <c r="BH425" t="str">
        <v>blendSAF</v>
      </c>
      <c r="BI425" t="str">
        <v/>
      </c>
      <c r="BJ425" t="str">
        <v/>
      </c>
      <c r="BK425" t="str">
        <v/>
      </c>
      <c r="BL425" t="str">
        <v/>
      </c>
      <c r="BM425" t="str">
        <v/>
      </c>
      <c r="BY425" t="str">
        <v>processor</v>
      </c>
      <c r="BZ425" t="str">
        <v>Magellan Pipeline Co Lp 27</v>
      </c>
      <c r="CA425" t="str">
        <v>blendSAF</v>
      </c>
      <c r="CB425" t="str">
        <v/>
      </c>
      <c r="CC425" t="str">
        <v/>
      </c>
      <c r="CD425" t="str">
        <v/>
      </c>
      <c r="CE425" t="str">
        <v/>
      </c>
      <c r="CF425" t="str">
        <v/>
      </c>
    </row>
    <row r="426" spans="58:84" x14ac:dyDescent="0.3">
      <c r="BF426" t="str">
        <v>processor</v>
      </c>
      <c r="BG426" t="str">
        <v>Enterprise Products Operating Llc 8</v>
      </c>
      <c r="BH426" t="str">
        <v>blendSAF</v>
      </c>
      <c r="BI426" t="str">
        <v/>
      </c>
      <c r="BJ426" t="str">
        <v/>
      </c>
      <c r="BK426" t="str">
        <v/>
      </c>
      <c r="BL426" t="str">
        <v/>
      </c>
      <c r="BM426" t="str">
        <v/>
      </c>
      <c r="BY426" t="str">
        <v>processor</v>
      </c>
      <c r="BZ426" t="str">
        <v>Magellan Pipeline Co Lp 42</v>
      </c>
      <c r="CA426" t="str">
        <v>blendSAF</v>
      </c>
      <c r="CB426" t="str">
        <v/>
      </c>
      <c r="CC426" t="str">
        <v/>
      </c>
      <c r="CD426" t="str">
        <v/>
      </c>
      <c r="CE426" t="str">
        <v/>
      </c>
      <c r="CF426" t="str">
        <v/>
      </c>
    </row>
    <row r="427" spans="58:84" x14ac:dyDescent="0.3">
      <c r="BF427" t="str">
        <v>processor</v>
      </c>
      <c r="BG427" t="str">
        <v>Mid-America Pipeline Co Llc</v>
      </c>
      <c r="BH427" t="str">
        <v>blendSAF</v>
      </c>
      <c r="BI427" t="str">
        <v/>
      </c>
      <c r="BJ427" t="str">
        <v/>
      </c>
      <c r="BK427" t="str">
        <v/>
      </c>
      <c r="BL427" t="str">
        <v/>
      </c>
      <c r="BM427" t="str">
        <v/>
      </c>
      <c r="BY427" t="str">
        <v>processor</v>
      </c>
      <c r="BZ427" t="str">
        <v>Magellan Pipeline Co Lp 47</v>
      </c>
      <c r="CA427" t="str">
        <v>blendSAF</v>
      </c>
      <c r="CB427" t="str">
        <v/>
      </c>
      <c r="CC427" t="str">
        <v/>
      </c>
      <c r="CD427" t="str">
        <v/>
      </c>
      <c r="CE427" t="str">
        <v/>
      </c>
      <c r="CF427" t="str">
        <v/>
      </c>
    </row>
    <row r="428" spans="58:84" x14ac:dyDescent="0.3">
      <c r="BF428" t="str">
        <v>processor</v>
      </c>
      <c r="BG428" t="str">
        <v>Growmark Inc 8</v>
      </c>
      <c r="BH428" t="str">
        <v>blendSAF</v>
      </c>
      <c r="BI428" t="str">
        <v/>
      </c>
      <c r="BJ428" t="str">
        <v/>
      </c>
      <c r="BK428" t="str">
        <v/>
      </c>
      <c r="BL428" t="str">
        <v/>
      </c>
      <c r="BM428" t="str">
        <v/>
      </c>
      <c r="BY428" t="str">
        <v>processor</v>
      </c>
      <c r="BZ428" t="str">
        <v>Magellan Pl Co 2</v>
      </c>
      <c r="CA428" t="str">
        <v>blendSAF</v>
      </c>
      <c r="CB428" t="str">
        <v/>
      </c>
      <c r="CC428" t="str">
        <v/>
      </c>
      <c r="CD428" t="str">
        <v/>
      </c>
      <c r="CE428" t="str">
        <v/>
      </c>
      <c r="CF428" t="str">
        <v/>
      </c>
    </row>
    <row r="429" spans="58:84" x14ac:dyDescent="0.3">
      <c r="BF429" t="str">
        <v>processor</v>
      </c>
      <c r="BG429" t="str">
        <v>Sinclair Oil Corp 8</v>
      </c>
      <c r="BH429" t="str">
        <v>blendSAF</v>
      </c>
      <c r="BI429" t="str">
        <v/>
      </c>
      <c r="BJ429" t="str">
        <v/>
      </c>
      <c r="BK429" t="str">
        <v/>
      </c>
      <c r="BL429" t="str">
        <v/>
      </c>
      <c r="BM429" t="str">
        <v/>
      </c>
      <c r="BY429" t="str">
        <v>processor</v>
      </c>
      <c r="BZ429" t="str">
        <v>Magellan Pipeline Co Lp 39</v>
      </c>
      <c r="CA429" t="str">
        <v>blendSAF</v>
      </c>
      <c r="CB429" t="str">
        <v/>
      </c>
      <c r="CC429" t="str">
        <v/>
      </c>
      <c r="CD429" t="str">
        <v/>
      </c>
      <c r="CE429" t="str">
        <v/>
      </c>
      <c r="CF429" t="str">
        <v/>
      </c>
    </row>
    <row r="430" spans="58:84" x14ac:dyDescent="0.3">
      <c r="BF430" t="str">
        <v>processor</v>
      </c>
      <c r="BG430" t="str">
        <v>Magellan Pipeline Co Lp 21</v>
      </c>
      <c r="BH430" t="str">
        <v>blendSAF</v>
      </c>
      <c r="BI430" t="str">
        <v/>
      </c>
      <c r="BJ430" t="str">
        <v/>
      </c>
      <c r="BK430" t="str">
        <v/>
      </c>
      <c r="BL430" t="str">
        <v/>
      </c>
      <c r="BM430" t="str">
        <v/>
      </c>
      <c r="BY430" t="str">
        <v>processor</v>
      </c>
      <c r="BZ430" t="str">
        <v>Nustar Energy Lp 34</v>
      </c>
      <c r="CA430" t="str">
        <v>blendSAF</v>
      </c>
      <c r="CB430" t="str">
        <v/>
      </c>
      <c r="CC430" t="str">
        <v/>
      </c>
      <c r="CD430" t="str">
        <v/>
      </c>
      <c r="CE430" t="str">
        <v/>
      </c>
      <c r="CF430" t="str">
        <v/>
      </c>
    </row>
    <row r="431" spans="58:84" x14ac:dyDescent="0.3">
      <c r="BF431" t="str">
        <v>processor</v>
      </c>
      <c r="BG431" t="str">
        <v>Magellan Pipeline Co Lp 44</v>
      </c>
      <c r="BH431" t="str">
        <v>blendSAF</v>
      </c>
      <c r="BI431" t="str">
        <v/>
      </c>
      <c r="BJ431" t="str">
        <v/>
      </c>
      <c r="BK431" t="str">
        <v/>
      </c>
      <c r="BL431" t="str">
        <v/>
      </c>
      <c r="BM431" t="str">
        <v/>
      </c>
      <c r="BY431" t="str">
        <v>processor</v>
      </c>
      <c r="BZ431" t="str">
        <v>Nustar Energy Lp 23</v>
      </c>
      <c r="CA431" t="str">
        <v>blendSAF</v>
      </c>
      <c r="CB431" t="str">
        <v/>
      </c>
      <c r="CC431" t="str">
        <v/>
      </c>
      <c r="CD431" t="str">
        <v/>
      </c>
      <c r="CE431" t="str">
        <v/>
      </c>
      <c r="CF431" t="str">
        <v/>
      </c>
    </row>
    <row r="432" spans="58:84" x14ac:dyDescent="0.3">
      <c r="BF432" t="str">
        <v>processor</v>
      </c>
      <c r="BG432" t="str">
        <v>Magellan Pipeline Co Lp 35</v>
      </c>
      <c r="BH432" t="str">
        <v>blendSAF</v>
      </c>
      <c r="BI432" t="str">
        <v/>
      </c>
      <c r="BJ432" t="str">
        <v/>
      </c>
      <c r="BK432" t="str">
        <v/>
      </c>
      <c r="BL432" t="str">
        <v/>
      </c>
      <c r="BM432" t="str">
        <v/>
      </c>
      <c r="BY432" t="str">
        <v>processor</v>
      </c>
      <c r="BZ432" t="str">
        <v>Nustar Energy Lp 25</v>
      </c>
      <c r="CA432" t="str">
        <v>blendSAF</v>
      </c>
      <c r="CB432" t="str">
        <v/>
      </c>
      <c r="CC432" t="str">
        <v/>
      </c>
      <c r="CD432" t="str">
        <v/>
      </c>
      <c r="CE432" t="str">
        <v/>
      </c>
      <c r="CF432" t="str">
        <v/>
      </c>
    </row>
    <row r="433" spans="58:84" x14ac:dyDescent="0.3">
      <c r="BF433" t="str">
        <v>processor</v>
      </c>
      <c r="BG433" t="str">
        <v>Magellan Pipeline Co Lp 46</v>
      </c>
      <c r="BH433" t="str">
        <v>blendSAF</v>
      </c>
      <c r="BI433" t="str">
        <v/>
      </c>
      <c r="BJ433" t="str">
        <v/>
      </c>
      <c r="BK433" t="str">
        <v/>
      </c>
      <c r="BL433" t="str">
        <v/>
      </c>
      <c r="BM433" t="str">
        <v/>
      </c>
      <c r="BY433" t="str">
        <v>processor</v>
      </c>
      <c r="BZ433" t="str">
        <v>Nustar Energy Lp 11</v>
      </c>
      <c r="CA433" t="str">
        <v>blendSAF</v>
      </c>
      <c r="CB433" t="str">
        <v/>
      </c>
      <c r="CC433" t="str">
        <v/>
      </c>
      <c r="CD433" t="str">
        <v/>
      </c>
      <c r="CE433" t="str">
        <v/>
      </c>
      <c r="CF433" t="str">
        <v/>
      </c>
    </row>
    <row r="434" spans="58:84" x14ac:dyDescent="0.3">
      <c r="BF434" t="str">
        <v>processor</v>
      </c>
      <c r="BG434" t="str">
        <v>Magellan Pl Co 5</v>
      </c>
      <c r="BH434" t="str">
        <v>blendSAF</v>
      </c>
      <c r="BI434" t="str">
        <v/>
      </c>
      <c r="BJ434" t="str">
        <v/>
      </c>
      <c r="BK434" t="str">
        <v/>
      </c>
      <c r="BL434" t="str">
        <v/>
      </c>
      <c r="BM434" t="str">
        <v/>
      </c>
      <c r="BY434" t="str">
        <v>processor</v>
      </c>
      <c r="BZ434" t="str">
        <v>Oneok North System Llc 10</v>
      </c>
      <c r="CA434" t="str">
        <v>blendSAF</v>
      </c>
      <c r="CB434" t="str">
        <v/>
      </c>
      <c r="CC434" t="str">
        <v/>
      </c>
      <c r="CD434" t="str">
        <v/>
      </c>
      <c r="CE434" t="str">
        <v/>
      </c>
      <c r="CF434" t="str">
        <v/>
      </c>
    </row>
    <row r="435" spans="58:84" x14ac:dyDescent="0.3">
      <c r="BF435" t="str">
        <v>processor</v>
      </c>
      <c r="BG435" t="str">
        <v>Magellan Pipeline Co Lp 17</v>
      </c>
      <c r="BH435" t="str">
        <v>blendSAF</v>
      </c>
      <c r="BI435" t="str">
        <v/>
      </c>
      <c r="BJ435" t="str">
        <v/>
      </c>
      <c r="BK435" t="str">
        <v/>
      </c>
      <c r="BL435" t="str">
        <v/>
      </c>
      <c r="BM435" t="str">
        <v/>
      </c>
      <c r="BY435" t="str">
        <v>processor</v>
      </c>
      <c r="BZ435" t="str">
        <v>Oneok North System Llc 6</v>
      </c>
      <c r="CA435" t="str">
        <v>blendSAF</v>
      </c>
      <c r="CB435" t="str">
        <v/>
      </c>
      <c r="CC435" t="str">
        <v/>
      </c>
      <c r="CD435" t="str">
        <v/>
      </c>
      <c r="CE435" t="str">
        <v/>
      </c>
      <c r="CF435" t="str">
        <v/>
      </c>
    </row>
    <row r="436" spans="58:84" x14ac:dyDescent="0.3">
      <c r="BF436" t="str">
        <v>processor</v>
      </c>
      <c r="BG436" t="str">
        <v>Nustar Energy Lp 36</v>
      </c>
      <c r="BH436" t="str">
        <v>blendSAF</v>
      </c>
      <c r="BI436" t="str">
        <v/>
      </c>
      <c r="BJ436" t="str">
        <v/>
      </c>
      <c r="BK436" t="str">
        <v/>
      </c>
      <c r="BL436" t="str">
        <v/>
      </c>
      <c r="BM436" t="str">
        <v/>
      </c>
      <c r="BY436" t="str">
        <v>processor</v>
      </c>
      <c r="BZ436" t="str">
        <v>Oneok North System Llc 5</v>
      </c>
      <c r="CA436" t="str">
        <v>blendSAF</v>
      </c>
      <c r="CB436" t="str">
        <v/>
      </c>
      <c r="CC436" t="str">
        <v/>
      </c>
      <c r="CD436" t="str">
        <v/>
      </c>
      <c r="CE436" t="str">
        <v/>
      </c>
      <c r="CF436" t="str">
        <v/>
      </c>
    </row>
    <row r="437" spans="58:84" x14ac:dyDescent="0.3">
      <c r="BF437" t="str">
        <v>processor</v>
      </c>
      <c r="BG437" t="str">
        <v>Nustar Energy Lp 20</v>
      </c>
      <c r="BH437" t="str">
        <v>blendSAF</v>
      </c>
      <c r="BI437" t="str">
        <v/>
      </c>
      <c r="BJ437" t="str">
        <v/>
      </c>
      <c r="BK437" t="str">
        <v/>
      </c>
      <c r="BL437" t="str">
        <v/>
      </c>
      <c r="BM437" t="str">
        <v/>
      </c>
      <c r="BY437" t="str">
        <v>processor</v>
      </c>
      <c r="BZ437" t="str">
        <v>Texpar Energy Llc</v>
      </c>
      <c r="CA437" t="str">
        <v>blendSAF</v>
      </c>
      <c r="CB437" t="str">
        <v/>
      </c>
      <c r="CC437" t="str">
        <v/>
      </c>
      <c r="CD437" t="str">
        <v/>
      </c>
      <c r="CE437" t="str">
        <v/>
      </c>
      <c r="CF437" t="str">
        <v/>
      </c>
    </row>
    <row r="438" spans="58:84" x14ac:dyDescent="0.3">
      <c r="BF438" t="str">
        <v>processor</v>
      </c>
      <c r="BG438" t="str">
        <v>Nustar Energy Lp 8</v>
      </c>
      <c r="BH438" t="str">
        <v>blendSAF</v>
      </c>
      <c r="BI438" t="str">
        <v/>
      </c>
      <c r="BJ438" t="str">
        <v/>
      </c>
      <c r="BK438" t="str">
        <v/>
      </c>
      <c r="BL438" t="str">
        <v/>
      </c>
      <c r="BM438" t="str">
        <v/>
      </c>
      <c r="BY438" t="str">
        <v>processor</v>
      </c>
      <c r="BZ438" t="str">
        <v>Ergon Asphalt &amp; Emulsions Inc 6</v>
      </c>
      <c r="CA438" t="str">
        <v>blendSAF</v>
      </c>
      <c r="CB438" t="str">
        <v/>
      </c>
      <c r="CC438" t="str">
        <v/>
      </c>
      <c r="CD438" t="str">
        <v/>
      </c>
      <c r="CE438" t="str">
        <v/>
      </c>
      <c r="CF438" t="str">
        <v/>
      </c>
    </row>
    <row r="439" spans="58:84" x14ac:dyDescent="0.3">
      <c r="BF439" t="str">
        <v>processor</v>
      </c>
      <c r="BG439" t="str">
        <v>Nustar Energy Lp 15</v>
      </c>
      <c r="BH439" t="str">
        <v>blendSAF</v>
      </c>
      <c r="BI439" t="str">
        <v/>
      </c>
      <c r="BJ439" t="str">
        <v/>
      </c>
      <c r="BK439" t="str">
        <v/>
      </c>
      <c r="BL439" t="str">
        <v/>
      </c>
      <c r="BM439" t="str">
        <v/>
      </c>
      <c r="BY439" t="str">
        <v>processor</v>
      </c>
      <c r="BZ439" t="str">
        <v>Ergon Asphalt And Emulsions 3</v>
      </c>
      <c r="CA439" t="str">
        <v>blendSAF</v>
      </c>
      <c r="CB439" t="str">
        <v/>
      </c>
      <c r="CC439" t="str">
        <v/>
      </c>
      <c r="CD439" t="str">
        <v/>
      </c>
      <c r="CE439" t="str">
        <v/>
      </c>
      <c r="CF439" t="str">
        <v/>
      </c>
    </row>
    <row r="440" spans="58:84" x14ac:dyDescent="0.3">
      <c r="BF440" t="str">
        <v>processor</v>
      </c>
      <c r="BG440" t="str">
        <v>Nustar Energy Lp 24</v>
      </c>
      <c r="BH440" t="str">
        <v>blendSAF</v>
      </c>
      <c r="BI440" t="str">
        <v/>
      </c>
      <c r="BJ440" t="str">
        <v/>
      </c>
      <c r="BK440" t="str">
        <v/>
      </c>
      <c r="BL440" t="str">
        <v/>
      </c>
      <c r="BM440" t="str">
        <v/>
      </c>
      <c r="BY440" t="str">
        <v>processor</v>
      </c>
      <c r="BZ440" t="str">
        <v>Ergon Asphalt And Emulsions 4</v>
      </c>
      <c r="CA440" t="str">
        <v>blendSAF</v>
      </c>
      <c r="CB440" t="str">
        <v/>
      </c>
      <c r="CC440" t="str">
        <v/>
      </c>
      <c r="CD440" t="str">
        <v/>
      </c>
      <c r="CE440" t="str">
        <v/>
      </c>
      <c r="CF440" t="str">
        <v/>
      </c>
    </row>
    <row r="441" spans="58:84" x14ac:dyDescent="0.3">
      <c r="BF441" t="str">
        <v>processor</v>
      </c>
      <c r="BG441" t="str">
        <v>Oneok Hydrocarbon Lp 1</v>
      </c>
      <c r="BH441" t="str">
        <v>blendSAF</v>
      </c>
      <c r="BI441" t="str">
        <v/>
      </c>
      <c r="BJ441" t="str">
        <v/>
      </c>
      <c r="BK441" t="str">
        <v/>
      </c>
      <c r="BL441" t="str">
        <v/>
      </c>
      <c r="BM441" t="str">
        <v/>
      </c>
      <c r="BY441" t="str">
        <v>processor</v>
      </c>
      <c r="BZ441" t="str">
        <v>Ergon Asphalt And Emulsions 7</v>
      </c>
      <c r="CA441" t="str">
        <v>blendSAF</v>
      </c>
      <c r="CB441" t="str">
        <v/>
      </c>
      <c r="CC441" t="str">
        <v/>
      </c>
      <c r="CD441" t="str">
        <v/>
      </c>
      <c r="CE441" t="str">
        <v/>
      </c>
      <c r="CF441" t="str">
        <v/>
      </c>
    </row>
    <row r="442" spans="58:84" x14ac:dyDescent="0.3">
      <c r="BF442" t="str">
        <v>processor</v>
      </c>
      <c r="BG442" t="str">
        <v>Oneok Hydrocarbon Lp 2</v>
      </c>
      <c r="BH442" t="str">
        <v>blendSAF</v>
      </c>
      <c r="BI442" t="str">
        <v/>
      </c>
      <c r="BJ442" t="str">
        <v/>
      </c>
      <c r="BK442" t="str">
        <v/>
      </c>
      <c r="BL442" t="str">
        <v/>
      </c>
      <c r="BM442" t="str">
        <v/>
      </c>
      <c r="BY442" t="str">
        <v>processor</v>
      </c>
      <c r="BZ442" t="str">
        <v>Ergon Asphalt And Emulsions 13</v>
      </c>
      <c r="CA442" t="str">
        <v>blendSAF</v>
      </c>
      <c r="CB442" t="str">
        <v/>
      </c>
      <c r="CC442" t="str">
        <v/>
      </c>
      <c r="CD442" t="str">
        <v/>
      </c>
      <c r="CE442" t="str">
        <v/>
      </c>
      <c r="CF442" t="str">
        <v/>
      </c>
    </row>
    <row r="443" spans="58:84" x14ac:dyDescent="0.3">
      <c r="BF443" t="str">
        <v>processor</v>
      </c>
      <c r="BG443" t="str">
        <v>Oneok Hydrocarbon Lp 3</v>
      </c>
      <c r="BH443" t="str">
        <v>blendSAF</v>
      </c>
      <c r="BI443" t="str">
        <v/>
      </c>
      <c r="BJ443" t="str">
        <v/>
      </c>
      <c r="BK443" t="str">
        <v/>
      </c>
      <c r="BL443" t="str">
        <v/>
      </c>
      <c r="BM443" t="str">
        <v/>
      </c>
      <c r="BY443" t="str">
        <v>processor</v>
      </c>
      <c r="BZ443" t="str">
        <v>Premcor Refining Group Inc 1</v>
      </c>
      <c r="CA443" t="str">
        <v>blendSAF</v>
      </c>
      <c r="CB443" t="str">
        <v/>
      </c>
      <c r="CC443" t="str">
        <v/>
      </c>
      <c r="CD443" t="str">
        <v/>
      </c>
      <c r="CE443" t="str">
        <v/>
      </c>
      <c r="CF443" t="str">
        <v/>
      </c>
    </row>
    <row r="444" spans="58:84" x14ac:dyDescent="0.3">
      <c r="BF444" t="str">
        <v>processor</v>
      </c>
      <c r="BG444" t="str">
        <v>Oneok North System Llc 13</v>
      </c>
      <c r="BH444" t="str">
        <v>blendSAF</v>
      </c>
      <c r="BI444" t="str">
        <v/>
      </c>
      <c r="BJ444" t="str">
        <v/>
      </c>
      <c r="BK444" t="str">
        <v/>
      </c>
      <c r="BL444" t="str">
        <v/>
      </c>
      <c r="BM444" t="str">
        <v/>
      </c>
      <c r="BY444" t="str">
        <v>processor</v>
      </c>
      <c r="BZ444" t="str">
        <v>Phillips 66 Company 26</v>
      </c>
      <c r="CA444" t="str">
        <v>blendSAF</v>
      </c>
      <c r="CB444" t="str">
        <v/>
      </c>
      <c r="CC444" t="str">
        <v/>
      </c>
      <c r="CD444" t="str">
        <v/>
      </c>
      <c r="CE444" t="str">
        <v/>
      </c>
      <c r="CF444" t="str">
        <v/>
      </c>
    </row>
    <row r="445" spans="58:84" x14ac:dyDescent="0.3">
      <c r="BF445" t="str">
        <v>processor</v>
      </c>
      <c r="BG445" t="str">
        <v>Mid Continent Frac &amp; Storage</v>
      </c>
      <c r="BH445" t="str">
        <v>blendSAF</v>
      </c>
      <c r="BI445" t="str">
        <v/>
      </c>
      <c r="BJ445" t="str">
        <v/>
      </c>
      <c r="BK445" t="str">
        <v/>
      </c>
      <c r="BL445" t="str">
        <v/>
      </c>
      <c r="BM445" t="str">
        <v/>
      </c>
      <c r="BY445" t="str">
        <v>processor</v>
      </c>
      <c r="BZ445" t="str">
        <v>Phillips 66 Carrier Llc 5</v>
      </c>
      <c r="CA445" t="str">
        <v>blendSAF</v>
      </c>
      <c r="CB445" t="str">
        <v/>
      </c>
      <c r="CC445" t="str">
        <v/>
      </c>
      <c r="CD445" t="str">
        <v/>
      </c>
      <c r="CE445" t="str">
        <v/>
      </c>
      <c r="CF445" t="str">
        <v/>
      </c>
    </row>
    <row r="446" spans="58:84" x14ac:dyDescent="0.3">
      <c r="BF446" t="str">
        <v>processor</v>
      </c>
      <c r="BG446" t="str">
        <v>Williams Hutch Rail Company Llc</v>
      </c>
      <c r="BH446" t="str">
        <v>blendSAF</v>
      </c>
      <c r="BI446" t="str">
        <v/>
      </c>
      <c r="BJ446" t="str">
        <v/>
      </c>
      <c r="BK446" t="str">
        <v/>
      </c>
      <c r="BL446" t="str">
        <v/>
      </c>
      <c r="BM446" t="str">
        <v/>
      </c>
      <c r="BY446" t="str">
        <v>processor</v>
      </c>
      <c r="BZ446" t="str">
        <v>Phillips 66 Carrier Llc 3</v>
      </c>
      <c r="CA446" t="str">
        <v>blendSAF</v>
      </c>
      <c r="CB446" t="str">
        <v/>
      </c>
      <c r="CC446" t="str">
        <v/>
      </c>
      <c r="CD446" t="str">
        <v/>
      </c>
      <c r="CE446" t="str">
        <v/>
      </c>
      <c r="CF446" t="str">
        <v/>
      </c>
    </row>
    <row r="447" spans="58:84" x14ac:dyDescent="0.3">
      <c r="BF447" t="str">
        <v>processor</v>
      </c>
      <c r="BG447" t="str">
        <v>Southern States Cooperative Inc</v>
      </c>
      <c r="BH447" t="str">
        <v>blendSAF</v>
      </c>
      <c r="BI447" t="str">
        <v/>
      </c>
      <c r="BJ447" t="str">
        <v/>
      </c>
      <c r="BK447" t="str">
        <v/>
      </c>
      <c r="BL447" t="str">
        <v/>
      </c>
      <c r="BM447" t="str">
        <v/>
      </c>
      <c r="BY447" t="str">
        <v>processor</v>
      </c>
      <c r="BZ447" t="str">
        <v>Phillips 66 Carrier Llc 4</v>
      </c>
      <c r="CA447" t="str">
        <v>blendSAF</v>
      </c>
      <c r="CB447" t="str">
        <v/>
      </c>
      <c r="CC447" t="str">
        <v/>
      </c>
      <c r="CD447" t="str">
        <v/>
      </c>
      <c r="CE447" t="str">
        <v/>
      </c>
      <c r="CF447" t="str">
        <v/>
      </c>
    </row>
    <row r="448" spans="58:84" x14ac:dyDescent="0.3">
      <c r="BF448" t="str">
        <v>processor</v>
      </c>
      <c r="BG448" t="str">
        <v>Valero Terminaling And Distr Co 36</v>
      </c>
      <c r="BH448" t="str">
        <v>blendSAF</v>
      </c>
      <c r="BI448" t="str">
        <v/>
      </c>
      <c r="BJ448" t="str">
        <v/>
      </c>
      <c r="BK448" t="str">
        <v/>
      </c>
      <c r="BL448" t="str">
        <v/>
      </c>
      <c r="BM448" t="str">
        <v/>
      </c>
      <c r="BY448" t="str">
        <v>processor</v>
      </c>
      <c r="BZ448" t="str">
        <v>Enterprise Products Operating Llc 8</v>
      </c>
      <c r="CA448" t="str">
        <v>blendSAF</v>
      </c>
      <c r="CB448" t="str">
        <v/>
      </c>
      <c r="CC448" t="str">
        <v/>
      </c>
      <c r="CD448" t="str">
        <v/>
      </c>
      <c r="CE448" t="str">
        <v/>
      </c>
      <c r="CF448" t="str">
        <v/>
      </c>
    </row>
    <row r="449" spans="58:84" x14ac:dyDescent="0.3">
      <c r="BF449" t="str">
        <v>processor</v>
      </c>
      <c r="BG449" t="str">
        <v>Valero Terminaling And Distr Co 35</v>
      </c>
      <c r="BH449" t="str">
        <v>blendSAF</v>
      </c>
      <c r="BI449" t="str">
        <v/>
      </c>
      <c r="BJ449" t="str">
        <v/>
      </c>
      <c r="BK449" t="str">
        <v/>
      </c>
      <c r="BL449" t="str">
        <v/>
      </c>
      <c r="BM449" t="str">
        <v/>
      </c>
      <c r="BY449" t="str">
        <v>processor</v>
      </c>
      <c r="BZ449" t="str">
        <v>Mid-America Pipeline Co Llc</v>
      </c>
      <c r="CA449" t="str">
        <v>blendSAF</v>
      </c>
      <c r="CB449" t="str">
        <v/>
      </c>
      <c r="CC449" t="str">
        <v/>
      </c>
      <c r="CD449" t="str">
        <v/>
      </c>
      <c r="CE449" t="str">
        <v/>
      </c>
      <c r="CF449" t="str">
        <v/>
      </c>
    </row>
    <row r="450" spans="58:84" x14ac:dyDescent="0.3">
      <c r="BF450" t="str">
        <v>processor</v>
      </c>
      <c r="BG450" t="str">
        <v>Bp Oil</v>
      </c>
      <c r="BH450" t="str">
        <v>blendSAF</v>
      </c>
      <c r="BI450" t="str">
        <v/>
      </c>
      <c r="BJ450" t="str">
        <v/>
      </c>
      <c r="BK450" t="str">
        <v/>
      </c>
      <c r="BL450" t="str">
        <v/>
      </c>
      <c r="BM450" t="str">
        <v/>
      </c>
      <c r="BY450" t="str">
        <v>processor</v>
      </c>
      <c r="BZ450" t="str">
        <v>Growmark Inc 8</v>
      </c>
      <c r="CA450" t="str">
        <v>blendSAF</v>
      </c>
      <c r="CB450" t="str">
        <v/>
      </c>
      <c r="CC450" t="str">
        <v/>
      </c>
      <c r="CD450" t="str">
        <v/>
      </c>
      <c r="CE450" t="str">
        <v/>
      </c>
      <c r="CF450" t="str">
        <v/>
      </c>
    </row>
    <row r="451" spans="58:84" x14ac:dyDescent="0.3">
      <c r="BF451" t="str">
        <v>processor</v>
      </c>
      <c r="BG451" t="str">
        <v>Buckeye Terminals Llc 64</v>
      </c>
      <c r="BH451" t="str">
        <v>blendSAF</v>
      </c>
      <c r="BI451" t="str">
        <v/>
      </c>
      <c r="BJ451" t="str">
        <v/>
      </c>
      <c r="BK451" t="str">
        <v/>
      </c>
      <c r="BL451" t="str">
        <v/>
      </c>
      <c r="BM451" t="str">
        <v/>
      </c>
      <c r="BY451" t="str">
        <v>processor</v>
      </c>
      <c r="BZ451" t="str">
        <v>Sinclair Oil Corp 8</v>
      </c>
      <c r="CA451" t="str">
        <v>blendSAF</v>
      </c>
      <c r="CB451" t="str">
        <v/>
      </c>
      <c r="CC451" t="str">
        <v/>
      </c>
      <c r="CD451" t="str">
        <v/>
      </c>
      <c r="CE451" t="str">
        <v/>
      </c>
      <c r="CF451" t="str">
        <v/>
      </c>
    </row>
    <row r="452" spans="58:84" x14ac:dyDescent="0.3">
      <c r="BF452" t="str">
        <v>processor</v>
      </c>
      <c r="BG452" t="str">
        <v>Marathon Petroleum Co Llc 17</v>
      </c>
      <c r="BH452" t="str">
        <v>blendSAF</v>
      </c>
      <c r="BI452" t="str">
        <v/>
      </c>
      <c r="BJ452" t="str">
        <v/>
      </c>
      <c r="BK452" t="str">
        <v/>
      </c>
      <c r="BL452" t="str">
        <v/>
      </c>
      <c r="BM452" t="str">
        <v/>
      </c>
      <c r="BY452" t="str">
        <v>processor</v>
      </c>
      <c r="BZ452" t="str">
        <v>Magellan Pipeline Co Lp 21</v>
      </c>
      <c r="CA452" t="str">
        <v>blendSAF</v>
      </c>
      <c r="CB452" t="str">
        <v/>
      </c>
      <c r="CC452" t="str">
        <v/>
      </c>
      <c r="CD452" t="str">
        <v/>
      </c>
      <c r="CE452" t="str">
        <v/>
      </c>
      <c r="CF452" t="str">
        <v/>
      </c>
    </row>
    <row r="453" spans="58:84" x14ac:dyDescent="0.3">
      <c r="BF453" t="str">
        <v>processor</v>
      </c>
      <c r="BG453" t="str">
        <v>Marathon Petroleum Co Llc 3</v>
      </c>
      <c r="BH453" t="str">
        <v>blendSAF</v>
      </c>
      <c r="BI453" t="str">
        <v/>
      </c>
      <c r="BJ453" t="str">
        <v/>
      </c>
      <c r="BK453" t="str">
        <v/>
      </c>
      <c r="BL453" t="str">
        <v/>
      </c>
      <c r="BM453" t="str">
        <v/>
      </c>
      <c r="BY453" t="str">
        <v>processor</v>
      </c>
      <c r="BZ453" t="str">
        <v>Magellan Pipeline Co Lp 44</v>
      </c>
      <c r="CA453" t="str">
        <v>blendSAF</v>
      </c>
      <c r="CB453" t="str">
        <v/>
      </c>
      <c r="CC453" t="str">
        <v/>
      </c>
      <c r="CD453" t="str">
        <v/>
      </c>
      <c r="CE453" t="str">
        <v/>
      </c>
      <c r="CF453" t="str">
        <v/>
      </c>
    </row>
    <row r="454" spans="58:84" x14ac:dyDescent="0.3">
      <c r="BF454" t="str">
        <v>processor</v>
      </c>
      <c r="BG454" t="str">
        <v>Marathon Petroleum Co Llc 11</v>
      </c>
      <c r="BH454" t="str">
        <v>blendSAF</v>
      </c>
      <c r="BI454" t="str">
        <v/>
      </c>
      <c r="BJ454" t="str">
        <v/>
      </c>
      <c r="BK454" t="str">
        <v/>
      </c>
      <c r="BL454" t="str">
        <v/>
      </c>
      <c r="BM454" t="str">
        <v/>
      </c>
      <c r="BY454" t="str">
        <v>processor</v>
      </c>
      <c r="BZ454" t="str">
        <v>Magellan Pipeline Co Lp 35</v>
      </c>
      <c r="CA454" t="str">
        <v>blendSAF</v>
      </c>
      <c r="CB454" t="str">
        <v/>
      </c>
      <c r="CC454" t="str">
        <v/>
      </c>
      <c r="CD454" t="str">
        <v/>
      </c>
      <c r="CE454" t="str">
        <v/>
      </c>
      <c r="CF454" t="str">
        <v/>
      </c>
    </row>
    <row r="455" spans="58:84" x14ac:dyDescent="0.3">
      <c r="BF455" t="str">
        <v>processor</v>
      </c>
      <c r="BG455" t="str">
        <v>Marathon Petroleum Co Llc 12</v>
      </c>
      <c r="BH455" t="str">
        <v>blendSAF</v>
      </c>
      <c r="BI455" t="str">
        <v/>
      </c>
      <c r="BJ455" t="str">
        <v/>
      </c>
      <c r="BK455" t="str">
        <v/>
      </c>
      <c r="BL455" t="str">
        <v/>
      </c>
      <c r="BM455" t="str">
        <v/>
      </c>
      <c r="BY455" t="str">
        <v>processor</v>
      </c>
      <c r="BZ455" t="str">
        <v>Magellan Pipeline Co Lp 46</v>
      </c>
      <c r="CA455" t="str">
        <v>blendSAF</v>
      </c>
      <c r="CB455" t="str">
        <v/>
      </c>
      <c r="CC455" t="str">
        <v/>
      </c>
      <c r="CD455" t="str">
        <v/>
      </c>
      <c r="CE455" t="str">
        <v/>
      </c>
      <c r="CF455" t="str">
        <v/>
      </c>
    </row>
    <row r="456" spans="58:84" x14ac:dyDescent="0.3">
      <c r="BF456" t="str">
        <v>processor</v>
      </c>
      <c r="BG456" t="str">
        <v>Mplx Terminals Llc 31</v>
      </c>
      <c r="BH456" t="str">
        <v>blendSAF</v>
      </c>
      <c r="BI456" t="str">
        <v/>
      </c>
      <c r="BJ456" t="str">
        <v/>
      </c>
      <c r="BK456" t="str">
        <v/>
      </c>
      <c r="BL456" t="str">
        <v/>
      </c>
      <c r="BM456" t="str">
        <v/>
      </c>
      <c r="BY456" t="str">
        <v>processor</v>
      </c>
      <c r="BZ456" t="str">
        <v>Magellan Pl Co 5</v>
      </c>
      <c r="CA456" t="str">
        <v>blendSAF</v>
      </c>
      <c r="CB456" t="str">
        <v/>
      </c>
      <c r="CC456" t="str">
        <v/>
      </c>
      <c r="CD456" t="str">
        <v/>
      </c>
      <c r="CE456" t="str">
        <v/>
      </c>
      <c r="CF456" t="str">
        <v/>
      </c>
    </row>
    <row r="457" spans="58:84" x14ac:dyDescent="0.3">
      <c r="BF457" t="str">
        <v>processor</v>
      </c>
      <c r="BG457" t="str">
        <v>Mplx Terminals Llc 14</v>
      </c>
      <c r="BH457" t="str">
        <v>blendSAF</v>
      </c>
      <c r="BI457" t="str">
        <v/>
      </c>
      <c r="BJ457" t="str">
        <v/>
      </c>
      <c r="BK457" t="str">
        <v/>
      </c>
      <c r="BL457" t="str">
        <v/>
      </c>
      <c r="BM457" t="str">
        <v/>
      </c>
      <c r="BY457" t="str">
        <v>processor</v>
      </c>
      <c r="BZ457" t="str">
        <v>Magellan Pipeline Co Lp 17</v>
      </c>
      <c r="CA457" t="str">
        <v>blendSAF</v>
      </c>
      <c r="CB457" t="str">
        <v/>
      </c>
      <c r="CC457" t="str">
        <v/>
      </c>
      <c r="CD457" t="str">
        <v/>
      </c>
      <c r="CE457" t="str">
        <v/>
      </c>
      <c r="CF457" t="str">
        <v/>
      </c>
    </row>
    <row r="458" spans="58:84" x14ac:dyDescent="0.3">
      <c r="BF458" t="str">
        <v>processor</v>
      </c>
      <c r="BG458" t="str">
        <v>Mplx Terminals Llc 7</v>
      </c>
      <c r="BH458" t="str">
        <v>blendSAF</v>
      </c>
      <c r="BI458" t="str">
        <v/>
      </c>
      <c r="BJ458" t="str">
        <v/>
      </c>
      <c r="BK458" t="str">
        <v/>
      </c>
      <c r="BL458" t="str">
        <v/>
      </c>
      <c r="BM458" t="str">
        <v/>
      </c>
      <c r="BY458" t="str">
        <v>processor</v>
      </c>
      <c r="BZ458" t="str">
        <v>Nustar Energy Lp 36</v>
      </c>
      <c r="CA458" t="str">
        <v>blendSAF</v>
      </c>
      <c r="CB458" t="str">
        <v/>
      </c>
      <c r="CC458" t="str">
        <v/>
      </c>
      <c r="CD458" t="str">
        <v/>
      </c>
      <c r="CE458" t="str">
        <v/>
      </c>
      <c r="CF458" t="str">
        <v/>
      </c>
    </row>
    <row r="459" spans="58:84" x14ac:dyDescent="0.3">
      <c r="BF459" t="str">
        <v>processor</v>
      </c>
      <c r="BG459" t="str">
        <v>Mplx Terminals Llc 29</v>
      </c>
      <c r="BH459" t="str">
        <v>blendSAF</v>
      </c>
      <c r="BI459" t="str">
        <v/>
      </c>
      <c r="BJ459" t="str">
        <v/>
      </c>
      <c r="BK459" t="str">
        <v/>
      </c>
      <c r="BL459" t="str">
        <v/>
      </c>
      <c r="BM459" t="str">
        <v/>
      </c>
      <c r="BY459" t="str">
        <v>processor</v>
      </c>
      <c r="BZ459" t="str">
        <v>Nustar Energy Lp 20</v>
      </c>
      <c r="CA459" t="str">
        <v>blendSAF</v>
      </c>
      <c r="CB459" t="str">
        <v/>
      </c>
      <c r="CC459" t="str">
        <v/>
      </c>
      <c r="CD459" t="str">
        <v/>
      </c>
      <c r="CE459" t="str">
        <v/>
      </c>
      <c r="CF459" t="str">
        <v/>
      </c>
    </row>
    <row r="460" spans="58:84" x14ac:dyDescent="0.3">
      <c r="BF460" t="str">
        <v>processor</v>
      </c>
      <c r="BG460" t="str">
        <v>Mplx Terminals Llc 32</v>
      </c>
      <c r="BH460" t="str">
        <v>blendSAF</v>
      </c>
      <c r="BI460" t="str">
        <v/>
      </c>
      <c r="BJ460" t="str">
        <v/>
      </c>
      <c r="BK460" t="str">
        <v/>
      </c>
      <c r="BL460" t="str">
        <v/>
      </c>
      <c r="BM460" t="str">
        <v/>
      </c>
      <c r="BY460" t="str">
        <v>processor</v>
      </c>
      <c r="BZ460" t="str">
        <v>Nustar Energy Lp 8</v>
      </c>
      <c r="CA460" t="str">
        <v>blendSAF</v>
      </c>
      <c r="CB460" t="str">
        <v/>
      </c>
      <c r="CC460" t="str">
        <v/>
      </c>
      <c r="CD460" t="str">
        <v/>
      </c>
      <c r="CE460" t="str">
        <v/>
      </c>
      <c r="CF460" t="str">
        <v/>
      </c>
    </row>
    <row r="461" spans="58:84" x14ac:dyDescent="0.3">
      <c r="BF461" t="str">
        <v>processor</v>
      </c>
      <c r="BG461" t="str">
        <v>Omega Partners Iii Llc 2</v>
      </c>
      <c r="BH461" t="str">
        <v>blendSAF</v>
      </c>
      <c r="BI461" t="str">
        <v/>
      </c>
      <c r="BJ461" t="str">
        <v/>
      </c>
      <c r="BK461" t="str">
        <v/>
      </c>
      <c r="BL461" t="str">
        <v/>
      </c>
      <c r="BM461" t="str">
        <v/>
      </c>
      <c r="BY461" t="str">
        <v>processor</v>
      </c>
      <c r="BZ461" t="str">
        <v>Nustar Energy Lp 15</v>
      </c>
      <c r="CA461" t="str">
        <v>blendSAF</v>
      </c>
      <c r="CB461" t="str">
        <v/>
      </c>
      <c r="CC461" t="str">
        <v/>
      </c>
      <c r="CD461" t="str">
        <v/>
      </c>
      <c r="CE461" t="str">
        <v/>
      </c>
      <c r="CF461" t="str">
        <v/>
      </c>
    </row>
    <row r="462" spans="58:84" x14ac:dyDescent="0.3">
      <c r="BF462" t="str">
        <v>processor</v>
      </c>
      <c r="BG462" t="str">
        <v>Transmontaigne Operating Company 26</v>
      </c>
      <c r="BH462" t="str">
        <v>blendSAF</v>
      </c>
      <c r="BI462" t="str">
        <v/>
      </c>
      <c r="BJ462" t="str">
        <v/>
      </c>
      <c r="BK462" t="str">
        <v/>
      </c>
      <c r="BL462" t="str">
        <v/>
      </c>
      <c r="BM462" t="str">
        <v/>
      </c>
      <c r="BY462" t="str">
        <v>processor</v>
      </c>
      <c r="BZ462" t="str">
        <v>Nustar Energy Lp 24</v>
      </c>
      <c r="CA462" t="str">
        <v>blendSAF</v>
      </c>
      <c r="CB462" t="str">
        <v/>
      </c>
      <c r="CC462" t="str">
        <v/>
      </c>
      <c r="CD462" t="str">
        <v/>
      </c>
      <c r="CE462" t="str">
        <v/>
      </c>
      <c r="CF462" t="str">
        <v/>
      </c>
    </row>
    <row r="463" spans="58:84" x14ac:dyDescent="0.3">
      <c r="BF463" t="str">
        <v>processor</v>
      </c>
      <c r="BG463" t="str">
        <v>Transmontaigne Operating Company 28</v>
      </c>
      <c r="BH463" t="str">
        <v>blendSAF</v>
      </c>
      <c r="BI463" t="str">
        <v/>
      </c>
      <c r="BJ463" t="str">
        <v/>
      </c>
      <c r="BK463" t="str">
        <v/>
      </c>
      <c r="BL463" t="str">
        <v/>
      </c>
      <c r="BM463" t="str">
        <v/>
      </c>
      <c r="BY463" t="str">
        <v>processor</v>
      </c>
      <c r="BZ463" t="str">
        <v>Oneok Hydrocarbon Lp 1</v>
      </c>
      <c r="CA463" t="str">
        <v>blendSAF</v>
      </c>
      <c r="CB463" t="str">
        <v/>
      </c>
      <c r="CC463" t="str">
        <v/>
      </c>
      <c r="CD463" t="str">
        <v/>
      </c>
      <c r="CE463" t="str">
        <v/>
      </c>
      <c r="CF463" t="str">
        <v/>
      </c>
    </row>
    <row r="464" spans="58:84" x14ac:dyDescent="0.3">
      <c r="BF464" t="str">
        <v>processor</v>
      </c>
      <c r="BG464" t="str">
        <v>Transmontaigne Operation Company</v>
      </c>
      <c r="BH464" t="str">
        <v>blendSAF</v>
      </c>
      <c r="BI464" t="str">
        <v/>
      </c>
      <c r="BJ464" t="str">
        <v/>
      </c>
      <c r="BK464" t="str">
        <v/>
      </c>
      <c r="BL464" t="str">
        <v/>
      </c>
      <c r="BM464" t="str">
        <v/>
      </c>
      <c r="BY464" t="str">
        <v>processor</v>
      </c>
      <c r="BZ464" t="str">
        <v>Oneok Hydrocarbon Lp 2</v>
      </c>
      <c r="CA464" t="str">
        <v>blendSAF</v>
      </c>
      <c r="CB464" t="str">
        <v/>
      </c>
      <c r="CC464" t="str">
        <v/>
      </c>
      <c r="CD464" t="str">
        <v/>
      </c>
      <c r="CE464" t="str">
        <v/>
      </c>
      <c r="CF464" t="str">
        <v/>
      </c>
    </row>
    <row r="465" spans="58:84" x14ac:dyDescent="0.3">
      <c r="BF465" t="str">
        <v>processor</v>
      </c>
      <c r="BG465" t="str">
        <v>Transmontaigne Operating Company 38</v>
      </c>
      <c r="BH465" t="str">
        <v>blendSAF</v>
      </c>
      <c r="BI465" t="str">
        <v/>
      </c>
      <c r="BJ465" t="str">
        <v/>
      </c>
      <c r="BK465" t="str">
        <v/>
      </c>
      <c r="BL465" t="str">
        <v/>
      </c>
      <c r="BM465" t="str">
        <v/>
      </c>
      <c r="BY465" t="str">
        <v>processor</v>
      </c>
      <c r="BZ465" t="str">
        <v>Oneok Hydrocarbon Lp 3</v>
      </c>
      <c r="CA465" t="str">
        <v>blendSAF</v>
      </c>
      <c r="CB465" t="str">
        <v/>
      </c>
      <c r="CC465" t="str">
        <v/>
      </c>
      <c r="CD465" t="str">
        <v/>
      </c>
      <c r="CE465" t="str">
        <v/>
      </c>
      <c r="CF465" t="str">
        <v/>
      </c>
    </row>
    <row r="466" spans="58:84" x14ac:dyDescent="0.3">
      <c r="BF466" t="str">
        <v>processor</v>
      </c>
      <c r="BG466" t="str">
        <v>Transmontaigne Operating Co 1</v>
      </c>
      <c r="BH466" t="str">
        <v>blendSAF</v>
      </c>
      <c r="BI466" t="str">
        <v/>
      </c>
      <c r="BJ466" t="str">
        <v/>
      </c>
      <c r="BK466" t="str">
        <v/>
      </c>
      <c r="BL466" t="str">
        <v/>
      </c>
      <c r="BM466" t="str">
        <v/>
      </c>
      <c r="BY466" t="str">
        <v>processor</v>
      </c>
      <c r="BZ466" t="str">
        <v>Oneok North System Llc 13</v>
      </c>
      <c r="CA466" t="str">
        <v>blendSAF</v>
      </c>
      <c r="CB466" t="str">
        <v/>
      </c>
      <c r="CC466" t="str">
        <v/>
      </c>
      <c r="CD466" t="str">
        <v/>
      </c>
      <c r="CE466" t="str">
        <v/>
      </c>
      <c r="CF466" t="str">
        <v/>
      </c>
    </row>
    <row r="467" spans="58:84" x14ac:dyDescent="0.3">
      <c r="BF467" t="str">
        <v>processor</v>
      </c>
      <c r="BG467" t="str">
        <v>Chevron Usa Inc Arcadia</v>
      </c>
      <c r="BH467" t="str">
        <v>blendSAF</v>
      </c>
      <c r="BI467" t="str">
        <v/>
      </c>
      <c r="BJ467" t="str">
        <v/>
      </c>
      <c r="BK467" t="str">
        <v/>
      </c>
      <c r="BL467" t="str">
        <v/>
      </c>
      <c r="BM467" t="str">
        <v/>
      </c>
      <c r="BY467" t="str">
        <v>processor</v>
      </c>
      <c r="BZ467" t="str">
        <v>Mid Continent Frac &amp; Storage</v>
      </c>
      <c r="CA467" t="str">
        <v>blendSAF</v>
      </c>
      <c r="CB467" t="str">
        <v/>
      </c>
      <c r="CC467" t="str">
        <v/>
      </c>
      <c r="CD467" t="str">
        <v/>
      </c>
      <c r="CE467" t="str">
        <v/>
      </c>
      <c r="CF467" t="str">
        <v/>
      </c>
    </row>
    <row r="468" spans="58:84" x14ac:dyDescent="0.3">
      <c r="BF468" t="str">
        <v>processor</v>
      </c>
      <c r="BG468" t="str">
        <v>Apex Oil Company Inc 25</v>
      </c>
      <c r="BH468" t="str">
        <v>blendSAF</v>
      </c>
      <c r="BI468" t="str">
        <v/>
      </c>
      <c r="BJ468" t="str">
        <v/>
      </c>
      <c r="BK468" t="str">
        <v/>
      </c>
      <c r="BL468" t="str">
        <v/>
      </c>
      <c r="BM468" t="str">
        <v/>
      </c>
      <c r="BY468" t="str">
        <v>processor</v>
      </c>
      <c r="BZ468" t="str">
        <v>Williams Hutch Rail Company Llc</v>
      </c>
      <c r="CA468" t="str">
        <v>blendSAF</v>
      </c>
      <c r="CB468" t="str">
        <v/>
      </c>
      <c r="CC468" t="str">
        <v/>
      </c>
      <c r="CD468" t="str">
        <v/>
      </c>
      <c r="CE468" t="str">
        <v/>
      </c>
      <c r="CF468" t="str">
        <v/>
      </c>
    </row>
    <row r="469" spans="58:84" x14ac:dyDescent="0.3">
      <c r="BF469" t="str">
        <v>processor</v>
      </c>
      <c r="BG469" t="str">
        <v>Petroleum Fuel &amp; Terminal Co 2</v>
      </c>
      <c r="BH469" t="str">
        <v>blendSAF</v>
      </c>
      <c r="BI469" t="str">
        <v/>
      </c>
      <c r="BJ469" t="str">
        <v/>
      </c>
      <c r="BK469" t="str">
        <v/>
      </c>
      <c r="BL469" t="str">
        <v/>
      </c>
      <c r="BM469" t="str">
        <v/>
      </c>
      <c r="BY469" t="str">
        <v>processor</v>
      </c>
      <c r="BZ469" t="str">
        <v>Southern States Cooperative Inc</v>
      </c>
      <c r="CA469" t="str">
        <v>blendSAF</v>
      </c>
      <c r="CB469" t="str">
        <v/>
      </c>
      <c r="CC469" t="str">
        <v/>
      </c>
      <c r="CD469" t="str">
        <v/>
      </c>
      <c r="CE469" t="str">
        <v/>
      </c>
      <c r="CF469" t="str">
        <v/>
      </c>
    </row>
    <row r="470" spans="58:84" x14ac:dyDescent="0.3">
      <c r="BF470" t="str">
        <v>processor</v>
      </c>
      <c r="BG470" t="str">
        <v>Alexandria Terminal Co Llc</v>
      </c>
      <c r="BH470" t="str">
        <v>blendSAF</v>
      </c>
      <c r="BI470" t="str">
        <v/>
      </c>
      <c r="BJ470" t="str">
        <v/>
      </c>
      <c r="BK470" t="str">
        <v/>
      </c>
      <c r="BL470" t="str">
        <v/>
      </c>
      <c r="BM470" t="str">
        <v/>
      </c>
      <c r="BY470" t="str">
        <v>processor</v>
      </c>
      <c r="BZ470" t="str">
        <v>Valero Terminaling And Distr Co 36</v>
      </c>
      <c r="CA470" t="str">
        <v>blendSAF</v>
      </c>
      <c r="CB470" t="str">
        <v/>
      </c>
      <c r="CC470" t="str">
        <v/>
      </c>
      <c r="CD470" t="str">
        <v/>
      </c>
      <c r="CE470" t="str">
        <v/>
      </c>
      <c r="CF470" t="str">
        <v/>
      </c>
    </row>
    <row r="471" spans="58:84" x14ac:dyDescent="0.3">
      <c r="BF471" t="str">
        <v>processor</v>
      </c>
      <c r="BG471" t="str">
        <v>Monroe Terminal Company Llc</v>
      </c>
      <c r="BH471" t="str">
        <v>blendSAF</v>
      </c>
      <c r="BI471" t="str">
        <v/>
      </c>
      <c r="BJ471" t="str">
        <v/>
      </c>
      <c r="BK471" t="str">
        <v/>
      </c>
      <c r="BL471" t="str">
        <v/>
      </c>
      <c r="BM471" t="str">
        <v/>
      </c>
      <c r="BY471" t="str">
        <v>processor</v>
      </c>
      <c r="BZ471" t="str">
        <v>Valero Terminaling And Distr Co 35</v>
      </c>
      <c r="CA471" t="str">
        <v>blendSAF</v>
      </c>
      <c r="CB471" t="str">
        <v/>
      </c>
      <c r="CC471" t="str">
        <v/>
      </c>
      <c r="CD471" t="str">
        <v/>
      </c>
      <c r="CE471" t="str">
        <v/>
      </c>
      <c r="CF471" t="str">
        <v/>
      </c>
    </row>
    <row r="472" spans="58:84" x14ac:dyDescent="0.3">
      <c r="BF472" t="str">
        <v>processor</v>
      </c>
      <c r="BG472" t="str">
        <v>Vrm</v>
      </c>
      <c r="BH472" t="str">
        <v>blendSAF</v>
      </c>
      <c r="BI472" t="str">
        <v/>
      </c>
      <c r="BJ472" t="str">
        <v/>
      </c>
      <c r="BK472" t="str">
        <v/>
      </c>
      <c r="BL472" t="str">
        <v/>
      </c>
      <c r="BM472" t="str">
        <v/>
      </c>
      <c r="BY472" t="str">
        <v>processor</v>
      </c>
      <c r="BZ472" t="str">
        <v>Bp Oil</v>
      </c>
      <c r="CA472" t="str">
        <v>blendSAF</v>
      </c>
      <c r="CB472" t="str">
        <v/>
      </c>
      <c r="CC472" t="str">
        <v/>
      </c>
      <c r="CD472" t="str">
        <v/>
      </c>
      <c r="CE472" t="str">
        <v/>
      </c>
      <c r="CF472" t="str">
        <v/>
      </c>
    </row>
    <row r="473" spans="58:84" x14ac:dyDescent="0.3">
      <c r="BF473" t="str">
        <v>processor</v>
      </c>
      <c r="BG473" t="str">
        <v>Boardwalk Louisiana Midstream Llc 1</v>
      </c>
      <c r="BH473" t="str">
        <v>blendSAF</v>
      </c>
      <c r="BI473" t="str">
        <v/>
      </c>
      <c r="BJ473" t="str">
        <v/>
      </c>
      <c r="BK473" t="str">
        <v/>
      </c>
      <c r="BL473" t="str">
        <v/>
      </c>
      <c r="BM473" t="str">
        <v/>
      </c>
      <c r="BY473" t="str">
        <v>processor</v>
      </c>
      <c r="BZ473" t="str">
        <v>Buckeye Terminals Llc 64</v>
      </c>
      <c r="CA473" t="str">
        <v>blendSAF</v>
      </c>
      <c r="CB473" t="str">
        <v/>
      </c>
      <c r="CC473" t="str">
        <v/>
      </c>
      <c r="CD473" t="str">
        <v/>
      </c>
      <c r="CE473" t="str">
        <v/>
      </c>
      <c r="CF473" t="str">
        <v/>
      </c>
    </row>
    <row r="474" spans="58:84" x14ac:dyDescent="0.3">
      <c r="BF474" t="str">
        <v>processor</v>
      </c>
      <c r="BG474" t="str">
        <v>Boardwalk Louisiana Midstream Llc 2</v>
      </c>
      <c r="BH474" t="str">
        <v>blendSAF</v>
      </c>
      <c r="BI474" t="str">
        <v/>
      </c>
      <c r="BJ474" t="str">
        <v/>
      </c>
      <c r="BK474" t="str">
        <v/>
      </c>
      <c r="BL474" t="str">
        <v/>
      </c>
      <c r="BM474" t="str">
        <v/>
      </c>
      <c r="BY474" t="str">
        <v>processor</v>
      </c>
      <c r="BZ474" t="str">
        <v>Marathon Petroleum Co Llc 17</v>
      </c>
      <c r="CA474" t="str">
        <v>blendSAF</v>
      </c>
      <c r="CB474" t="str">
        <v/>
      </c>
      <c r="CC474" t="str">
        <v/>
      </c>
      <c r="CD474" t="str">
        <v/>
      </c>
      <c r="CE474" t="str">
        <v/>
      </c>
      <c r="CF474" t="str">
        <v/>
      </c>
    </row>
    <row r="475" spans="58:84" x14ac:dyDescent="0.3">
      <c r="BF475" t="str">
        <v>processor</v>
      </c>
      <c r="BG475" t="str">
        <v>Bp Lubricants Usa Inc</v>
      </c>
      <c r="BH475" t="str">
        <v>blendSAF</v>
      </c>
      <c r="BI475" t="str">
        <v/>
      </c>
      <c r="BJ475" t="str">
        <v/>
      </c>
      <c r="BK475" t="str">
        <v/>
      </c>
      <c r="BL475" t="str">
        <v/>
      </c>
      <c r="BM475" t="str">
        <v/>
      </c>
      <c r="BY475" t="str">
        <v>processor</v>
      </c>
      <c r="BZ475" t="str">
        <v>Marathon Petroleum Co Llc 3</v>
      </c>
      <c r="CA475" t="str">
        <v>blendSAF</v>
      </c>
      <c r="CB475" t="str">
        <v/>
      </c>
      <c r="CC475" t="str">
        <v/>
      </c>
      <c r="CD475" t="str">
        <v/>
      </c>
      <c r="CE475" t="str">
        <v/>
      </c>
      <c r="CF475" t="str">
        <v/>
      </c>
    </row>
    <row r="476" spans="58:84" x14ac:dyDescent="0.3">
      <c r="BF476" t="str">
        <v>processor</v>
      </c>
      <c r="BG476" t="str">
        <v>Buckeye Terminals Llc 82</v>
      </c>
      <c r="BH476" t="str">
        <v>blendSAF</v>
      </c>
      <c r="BI476" t="str">
        <v/>
      </c>
      <c r="BJ476" t="str">
        <v/>
      </c>
      <c r="BK476" t="str">
        <v/>
      </c>
      <c r="BL476" t="str">
        <v/>
      </c>
      <c r="BM476" t="str">
        <v/>
      </c>
      <c r="BY476" t="str">
        <v>processor</v>
      </c>
      <c r="BZ476" t="str">
        <v>Marathon Petroleum Co Llc 11</v>
      </c>
      <c r="CA476" t="str">
        <v>blendSAF</v>
      </c>
      <c r="CB476" t="str">
        <v/>
      </c>
      <c r="CC476" t="str">
        <v/>
      </c>
      <c r="CD476" t="str">
        <v/>
      </c>
      <c r="CE476" t="str">
        <v/>
      </c>
      <c r="CF476" t="str">
        <v/>
      </c>
    </row>
    <row r="477" spans="58:84" x14ac:dyDescent="0.3">
      <c r="BF477" t="str">
        <v>processor</v>
      </c>
      <c r="BG477" t="str">
        <v>Buckeye Terminals Llc 68</v>
      </c>
      <c r="BH477" t="str">
        <v>blendSAF</v>
      </c>
      <c r="BI477" t="str">
        <v/>
      </c>
      <c r="BJ477" t="str">
        <v/>
      </c>
      <c r="BK477" t="str">
        <v/>
      </c>
      <c r="BL477" t="str">
        <v/>
      </c>
      <c r="BM477" t="str">
        <v/>
      </c>
      <c r="BY477" t="str">
        <v>processor</v>
      </c>
      <c r="BZ477" t="str">
        <v>Marathon Petroleum Co Llc 12</v>
      </c>
      <c r="CA477" t="str">
        <v>blendSAF</v>
      </c>
      <c r="CB477" t="str">
        <v/>
      </c>
      <c r="CC477" t="str">
        <v/>
      </c>
      <c r="CD477" t="str">
        <v/>
      </c>
      <c r="CE477" t="str">
        <v/>
      </c>
      <c r="CF477" t="str">
        <v/>
      </c>
    </row>
    <row r="478" spans="58:84" x14ac:dyDescent="0.3">
      <c r="BF478" t="str">
        <v>processor</v>
      </c>
      <c r="BG478" t="str">
        <v>C-Portstone Llc 1</v>
      </c>
      <c r="BH478" t="str">
        <v>blendSAF</v>
      </c>
      <c r="BI478" t="str">
        <v/>
      </c>
      <c r="BJ478" t="str">
        <v/>
      </c>
      <c r="BK478" t="str">
        <v/>
      </c>
      <c r="BL478" t="str">
        <v/>
      </c>
      <c r="BM478" t="str">
        <v/>
      </c>
      <c r="BY478" t="str">
        <v>processor</v>
      </c>
      <c r="BZ478" t="str">
        <v>Mplx Terminals Llc 31</v>
      </c>
      <c r="CA478" t="str">
        <v>blendSAF</v>
      </c>
      <c r="CB478" t="str">
        <v/>
      </c>
      <c r="CC478" t="str">
        <v/>
      </c>
      <c r="CD478" t="str">
        <v/>
      </c>
      <c r="CE478" t="str">
        <v/>
      </c>
      <c r="CF478" t="str">
        <v/>
      </c>
    </row>
    <row r="479" spans="58:84" x14ac:dyDescent="0.3">
      <c r="BF479" t="str">
        <v>processor</v>
      </c>
      <c r="BG479" t="str">
        <v>C-Portstone Llc 2</v>
      </c>
      <c r="BH479" t="str">
        <v>blendSAF</v>
      </c>
      <c r="BI479" t="str">
        <v/>
      </c>
      <c r="BJ479" t="str">
        <v/>
      </c>
      <c r="BK479" t="str">
        <v/>
      </c>
      <c r="BL479" t="str">
        <v/>
      </c>
      <c r="BM479" t="str">
        <v/>
      </c>
      <c r="BY479" t="str">
        <v>processor</v>
      </c>
      <c r="BZ479" t="str">
        <v>Mplx Terminals Llc 14</v>
      </c>
      <c r="CA479" t="str">
        <v>blendSAF</v>
      </c>
      <c r="CB479" t="str">
        <v/>
      </c>
      <c r="CC479" t="str">
        <v/>
      </c>
      <c r="CD479" t="str">
        <v/>
      </c>
      <c r="CE479" t="str">
        <v/>
      </c>
      <c r="CF479" t="str">
        <v/>
      </c>
    </row>
    <row r="480" spans="58:84" x14ac:dyDescent="0.3">
      <c r="BF480" t="str">
        <v>processor</v>
      </c>
      <c r="BG480" t="str">
        <v>Energy Logistics Solutions Llc</v>
      </c>
      <c r="BH480" t="str">
        <v>blendSAF</v>
      </c>
      <c r="BI480" t="str">
        <v/>
      </c>
      <c r="BJ480" t="str">
        <v/>
      </c>
      <c r="BK480" t="str">
        <v/>
      </c>
      <c r="BL480" t="str">
        <v/>
      </c>
      <c r="BM480" t="str">
        <v/>
      </c>
      <c r="BY480" t="str">
        <v>processor</v>
      </c>
      <c r="BZ480" t="str">
        <v>Mplx Terminals Llc 7</v>
      </c>
      <c r="CA480" t="str">
        <v>blendSAF</v>
      </c>
      <c r="CB480" t="str">
        <v/>
      </c>
      <c r="CC480" t="str">
        <v/>
      </c>
      <c r="CD480" t="str">
        <v/>
      </c>
      <c r="CE480" t="str">
        <v/>
      </c>
      <c r="CF480" t="str">
        <v/>
      </c>
    </row>
    <row r="481" spans="58:84" x14ac:dyDescent="0.3">
      <c r="BF481" t="str">
        <v>processor</v>
      </c>
      <c r="BG481" t="str">
        <v>Phillips 66 Company 25</v>
      </c>
      <c r="BH481" t="str">
        <v>blendSAF</v>
      </c>
      <c r="BI481" t="str">
        <v/>
      </c>
      <c r="BJ481" t="str">
        <v/>
      </c>
      <c r="BK481" t="str">
        <v/>
      </c>
      <c r="BL481" t="str">
        <v/>
      </c>
      <c r="BM481" t="str">
        <v/>
      </c>
      <c r="BY481" t="str">
        <v>processor</v>
      </c>
      <c r="BZ481" t="str">
        <v>Mplx Terminals Llc 29</v>
      </c>
      <c r="CA481" t="str">
        <v>blendSAF</v>
      </c>
      <c r="CB481" t="str">
        <v/>
      </c>
      <c r="CC481" t="str">
        <v/>
      </c>
      <c r="CD481" t="str">
        <v/>
      </c>
      <c r="CE481" t="str">
        <v/>
      </c>
      <c r="CF481" t="str">
        <v/>
      </c>
    </row>
    <row r="482" spans="58:84" x14ac:dyDescent="0.3">
      <c r="BF482" t="str">
        <v>processor</v>
      </c>
      <c r="BG482" t="str">
        <v>Phillips 66 5</v>
      </c>
      <c r="BH482" t="str">
        <v>blendSAF</v>
      </c>
      <c r="BI482" t="str">
        <v/>
      </c>
      <c r="BJ482" t="str">
        <v/>
      </c>
      <c r="BK482" t="str">
        <v/>
      </c>
      <c r="BL482" t="str">
        <v/>
      </c>
      <c r="BM482" t="str">
        <v/>
      </c>
      <c r="BY482" t="str">
        <v>processor</v>
      </c>
      <c r="BZ482" t="str">
        <v>Mplx Terminals Llc 32</v>
      </c>
      <c r="CA482" t="str">
        <v>blendSAF</v>
      </c>
      <c r="CB482" t="str">
        <v/>
      </c>
      <c r="CC482" t="str">
        <v/>
      </c>
      <c r="CD482" t="str">
        <v/>
      </c>
      <c r="CE482" t="str">
        <v/>
      </c>
      <c r="CF482" t="str">
        <v/>
      </c>
    </row>
    <row r="483" spans="58:84" x14ac:dyDescent="0.3">
      <c r="BF483" t="str">
        <v>processor</v>
      </c>
      <c r="BG483" t="str">
        <v>Dow Hydrocarbons &amp; Resrcs Llc 9</v>
      </c>
      <c r="BH483" t="str">
        <v>blendSAF</v>
      </c>
      <c r="BI483" t="str">
        <v/>
      </c>
      <c r="BJ483" t="str">
        <v/>
      </c>
      <c r="BK483" t="str">
        <v/>
      </c>
      <c r="BL483" t="str">
        <v/>
      </c>
      <c r="BM483" t="str">
        <v/>
      </c>
      <c r="BY483" t="str">
        <v>processor</v>
      </c>
      <c r="BZ483" t="str">
        <v>Omega Partners Iii Llc 2</v>
      </c>
      <c r="CA483" t="str">
        <v>blendSAF</v>
      </c>
      <c r="CB483" t="str">
        <v/>
      </c>
      <c r="CC483" t="str">
        <v/>
      </c>
      <c r="CD483" t="str">
        <v/>
      </c>
      <c r="CE483" t="str">
        <v/>
      </c>
      <c r="CF483" t="str">
        <v/>
      </c>
    </row>
    <row r="484" spans="58:84" x14ac:dyDescent="0.3">
      <c r="BF484" t="str">
        <v>processor</v>
      </c>
      <c r="BG484" t="str">
        <v>Five Star Fuels</v>
      </c>
      <c r="BH484" t="str">
        <v>blendSAF</v>
      </c>
      <c r="BI484" t="str">
        <v/>
      </c>
      <c r="BJ484" t="str">
        <v/>
      </c>
      <c r="BK484" t="str">
        <v/>
      </c>
      <c r="BL484" t="str">
        <v/>
      </c>
      <c r="BM484" t="str">
        <v/>
      </c>
      <c r="BY484" t="str">
        <v>processor</v>
      </c>
      <c r="BZ484" t="str">
        <v>Transmontaigne Operating Company 26</v>
      </c>
      <c r="CA484" t="str">
        <v>blendSAF</v>
      </c>
      <c r="CB484" t="str">
        <v/>
      </c>
      <c r="CC484" t="str">
        <v/>
      </c>
      <c r="CD484" t="str">
        <v/>
      </c>
      <c r="CE484" t="str">
        <v/>
      </c>
      <c r="CF484" t="str">
        <v/>
      </c>
    </row>
    <row r="485" spans="58:84" x14ac:dyDescent="0.3">
      <c r="BF485" t="str">
        <v>processor</v>
      </c>
      <c r="BG485" t="str">
        <v>Economy/Stone Midstream Fuel Llc</v>
      </c>
      <c r="BH485" t="str">
        <v>blendSAF</v>
      </c>
      <c r="BI485" t="str">
        <v/>
      </c>
      <c r="BJ485" t="str">
        <v/>
      </c>
      <c r="BK485" t="str">
        <v/>
      </c>
      <c r="BL485" t="str">
        <v/>
      </c>
      <c r="BM485" t="str">
        <v/>
      </c>
      <c r="BY485" t="str">
        <v>processor</v>
      </c>
      <c r="BZ485" t="str">
        <v>Transmontaigne Operating Company 28</v>
      </c>
      <c r="CA485" t="str">
        <v>blendSAF</v>
      </c>
      <c r="CB485" t="str">
        <v/>
      </c>
      <c r="CC485" t="str">
        <v/>
      </c>
      <c r="CD485" t="str">
        <v/>
      </c>
      <c r="CE485" t="str">
        <v/>
      </c>
      <c r="CF485" t="str">
        <v/>
      </c>
    </row>
    <row r="486" spans="58:84" x14ac:dyDescent="0.3">
      <c r="BF486" t="str">
        <v>processor</v>
      </c>
      <c r="BG486" t="str">
        <v>Sunoco Logistics 18</v>
      </c>
      <c r="BH486" t="str">
        <v>blendSAF</v>
      </c>
      <c r="BI486" t="str">
        <v/>
      </c>
      <c r="BJ486" t="str">
        <v/>
      </c>
      <c r="BK486" t="str">
        <v/>
      </c>
      <c r="BL486" t="str">
        <v/>
      </c>
      <c r="BM486" t="str">
        <v/>
      </c>
      <c r="BY486" t="str">
        <v>processor</v>
      </c>
      <c r="BZ486" t="str">
        <v>Transmontaigne Operation Company</v>
      </c>
      <c r="CA486" t="str">
        <v>blendSAF</v>
      </c>
      <c r="CB486" t="str">
        <v/>
      </c>
      <c r="CC486" t="str">
        <v/>
      </c>
      <c r="CD486" t="str">
        <v/>
      </c>
      <c r="CE486" t="str">
        <v/>
      </c>
      <c r="CF486" t="str">
        <v/>
      </c>
    </row>
    <row r="487" spans="58:84" x14ac:dyDescent="0.3">
      <c r="BF487" t="str">
        <v>processor</v>
      </c>
      <c r="BG487" t="str">
        <v>Enterprise Field Services Llc</v>
      </c>
      <c r="BH487" t="str">
        <v>blendSAF</v>
      </c>
      <c r="BI487" t="str">
        <v/>
      </c>
      <c r="BJ487" t="str">
        <v/>
      </c>
      <c r="BK487" t="str">
        <v/>
      </c>
      <c r="BL487" t="str">
        <v/>
      </c>
      <c r="BM487" t="str">
        <v/>
      </c>
      <c r="BY487" t="str">
        <v>processor</v>
      </c>
      <c r="BZ487" t="str">
        <v>Transmontaigne Operating Company 38</v>
      </c>
      <c r="CA487" t="str">
        <v>blendSAF</v>
      </c>
      <c r="CB487" t="str">
        <v/>
      </c>
      <c r="CC487" t="str">
        <v/>
      </c>
      <c r="CD487" t="str">
        <v/>
      </c>
      <c r="CE487" t="str">
        <v/>
      </c>
      <c r="CF487" t="str">
        <v/>
      </c>
    </row>
    <row r="488" spans="58:84" x14ac:dyDescent="0.3">
      <c r="BF488" t="str">
        <v>processor</v>
      </c>
      <c r="BG488" t="str">
        <v>Enterprise Products Operating Llc 6</v>
      </c>
      <c r="BH488" t="str">
        <v>blendSAF</v>
      </c>
      <c r="BI488" t="str">
        <v/>
      </c>
      <c r="BJ488" t="str">
        <v/>
      </c>
      <c r="BK488" t="str">
        <v/>
      </c>
      <c r="BL488" t="str">
        <v/>
      </c>
      <c r="BM488" t="str">
        <v/>
      </c>
      <c r="BY488" t="str">
        <v>processor</v>
      </c>
      <c r="BZ488" t="str">
        <v>Transmontaigne Operating Co 1</v>
      </c>
      <c r="CA488" t="str">
        <v>blendSAF</v>
      </c>
      <c r="CB488" t="str">
        <v/>
      </c>
      <c r="CC488" t="str">
        <v/>
      </c>
      <c r="CD488" t="str">
        <v/>
      </c>
      <c r="CE488" t="str">
        <v/>
      </c>
      <c r="CF488" t="str">
        <v/>
      </c>
    </row>
    <row r="489" spans="58:84" x14ac:dyDescent="0.3">
      <c r="BF489" t="str">
        <v>processor</v>
      </c>
      <c r="BG489" t="str">
        <v>Enterprise Refined Products Co Llc 3</v>
      </c>
      <c r="BH489" t="str">
        <v>blendSAF</v>
      </c>
      <c r="BI489" t="str">
        <v/>
      </c>
      <c r="BJ489" t="str">
        <v/>
      </c>
      <c r="BK489" t="str">
        <v/>
      </c>
      <c r="BL489" t="str">
        <v/>
      </c>
      <c r="BM489" t="str">
        <v/>
      </c>
      <c r="BY489" t="str">
        <v>processor</v>
      </c>
      <c r="BZ489" t="str">
        <v>Chevron Usa Inc Arcadia</v>
      </c>
      <c r="CA489" t="str">
        <v>blendSAF</v>
      </c>
      <c r="CB489" t="str">
        <v/>
      </c>
      <c r="CC489" t="str">
        <v/>
      </c>
      <c r="CD489" t="str">
        <v/>
      </c>
      <c r="CE489" t="str">
        <v/>
      </c>
      <c r="CF489" t="str">
        <v/>
      </c>
    </row>
    <row r="490" spans="58:84" x14ac:dyDescent="0.3">
      <c r="BF490" t="str">
        <v>processor</v>
      </c>
      <c r="BG490" t="str">
        <v>Exxon Mobil Refg &amp; Sply Comp 1</v>
      </c>
      <c r="BH490" t="str">
        <v>blendSAF</v>
      </c>
      <c r="BI490" t="str">
        <v/>
      </c>
      <c r="BJ490" t="str">
        <v/>
      </c>
      <c r="BK490" t="str">
        <v/>
      </c>
      <c r="BL490" t="str">
        <v/>
      </c>
      <c r="BM490" t="str">
        <v/>
      </c>
      <c r="BY490" t="str">
        <v>processor</v>
      </c>
      <c r="BZ490" t="str">
        <v>Apex Oil Company Inc 25</v>
      </c>
      <c r="CA490" t="str">
        <v>blendSAF</v>
      </c>
      <c r="CB490" t="str">
        <v/>
      </c>
      <c r="CC490" t="str">
        <v/>
      </c>
      <c r="CD490" t="str">
        <v/>
      </c>
      <c r="CE490" t="str">
        <v/>
      </c>
      <c r="CF490" t="str">
        <v/>
      </c>
    </row>
    <row r="491" spans="58:84" x14ac:dyDescent="0.3">
      <c r="BF491" t="str">
        <v>processor</v>
      </c>
      <c r="BG491" t="str">
        <v>Exxonmobil Chemical Company</v>
      </c>
      <c r="BH491" t="str">
        <v>blendSAF</v>
      </c>
      <c r="BI491" t="str">
        <v/>
      </c>
      <c r="BJ491" t="str">
        <v/>
      </c>
      <c r="BK491" t="str">
        <v/>
      </c>
      <c r="BL491" t="str">
        <v/>
      </c>
      <c r="BM491" t="str">
        <v/>
      </c>
      <c r="BY491" t="str">
        <v>processor</v>
      </c>
      <c r="BZ491" t="str">
        <v>Petroleum Fuel &amp; Terminal Co 2</v>
      </c>
      <c r="CA491" t="str">
        <v>blendSAF</v>
      </c>
      <c r="CB491" t="str">
        <v/>
      </c>
      <c r="CC491" t="str">
        <v/>
      </c>
      <c r="CD491" t="str">
        <v/>
      </c>
      <c r="CE491" t="str">
        <v/>
      </c>
      <c r="CF491" t="str">
        <v/>
      </c>
    </row>
    <row r="492" spans="58:84" x14ac:dyDescent="0.3">
      <c r="BF492" t="str">
        <v>processor</v>
      </c>
      <c r="BG492" t="str">
        <v>Exxonmobil Port Allen Lubricants B</v>
      </c>
      <c r="BH492" t="str">
        <v>blendSAF</v>
      </c>
      <c r="BI492" t="str">
        <v/>
      </c>
      <c r="BJ492" t="str">
        <v/>
      </c>
      <c r="BK492" t="str">
        <v/>
      </c>
      <c r="BL492" t="str">
        <v/>
      </c>
      <c r="BM492" t="str">
        <v/>
      </c>
      <c r="BY492" t="str">
        <v>processor</v>
      </c>
      <c r="BZ492" t="str">
        <v>Alexandria Terminal Co Llc</v>
      </c>
      <c r="CA492" t="str">
        <v>blendSAF</v>
      </c>
      <c r="CB492" t="str">
        <v/>
      </c>
      <c r="CC492" t="str">
        <v/>
      </c>
      <c r="CD492" t="str">
        <v/>
      </c>
      <c r="CE492" t="str">
        <v/>
      </c>
      <c r="CF492" t="str">
        <v/>
      </c>
    </row>
    <row r="493" spans="58:84" x14ac:dyDescent="0.3">
      <c r="BF493" t="str">
        <v>processor</v>
      </c>
      <c r="BG493" t="str">
        <v>Exxonmobil Pipeline Co 2</v>
      </c>
      <c r="BH493" t="str">
        <v>blendSAF</v>
      </c>
      <c r="BI493" t="str">
        <v/>
      </c>
      <c r="BJ493" t="str">
        <v/>
      </c>
      <c r="BK493" t="str">
        <v/>
      </c>
      <c r="BL493" t="str">
        <v/>
      </c>
      <c r="BM493" t="str">
        <v/>
      </c>
      <c r="BY493" t="str">
        <v>processor</v>
      </c>
      <c r="BZ493" t="str">
        <v>Monroe Terminal Company Llc</v>
      </c>
      <c r="CA493" t="str">
        <v>blendSAF</v>
      </c>
      <c r="CB493" t="str">
        <v/>
      </c>
      <c r="CC493" t="str">
        <v/>
      </c>
      <c r="CD493" t="str">
        <v/>
      </c>
      <c r="CE493" t="str">
        <v/>
      </c>
      <c r="CF493" t="str">
        <v/>
      </c>
    </row>
    <row r="494" spans="58:84" x14ac:dyDescent="0.3">
      <c r="BF494" t="str">
        <v>processor</v>
      </c>
      <c r="BG494" t="str">
        <v>Red River Terminals Llc</v>
      </c>
      <c r="BH494" t="str">
        <v>blendSAF</v>
      </c>
      <c r="BI494" t="str">
        <v/>
      </c>
      <c r="BJ494" t="str">
        <v/>
      </c>
      <c r="BK494" t="str">
        <v/>
      </c>
      <c r="BL494" t="str">
        <v/>
      </c>
      <c r="BM494" t="str">
        <v/>
      </c>
      <c r="BY494" t="str">
        <v>processor</v>
      </c>
      <c r="BZ494" t="str">
        <v>Vrm</v>
      </c>
      <c r="CA494" t="str">
        <v>blendSAF</v>
      </c>
      <c r="CB494" t="str">
        <v/>
      </c>
      <c r="CC494" t="str">
        <v/>
      </c>
      <c r="CD494" t="str">
        <v/>
      </c>
      <c r="CE494" t="str">
        <v/>
      </c>
      <c r="CF494" t="str">
        <v/>
      </c>
    </row>
    <row r="495" spans="58:84" x14ac:dyDescent="0.3">
      <c r="BF495" t="str">
        <v>processor</v>
      </c>
      <c r="BG495" t="str">
        <v>Enlink Processing Services Llc</v>
      </c>
      <c r="BH495" t="str">
        <v>blendSAF</v>
      </c>
      <c r="BI495" t="str">
        <v/>
      </c>
      <c r="BJ495" t="str">
        <v/>
      </c>
      <c r="BK495" t="str">
        <v/>
      </c>
      <c r="BL495" t="str">
        <v/>
      </c>
      <c r="BM495" t="str">
        <v/>
      </c>
      <c r="BY495" t="str">
        <v>processor</v>
      </c>
      <c r="BZ495" t="str">
        <v>Boardwalk Louisiana Midstream Llc 1</v>
      </c>
      <c r="CA495" t="str">
        <v>blendSAF</v>
      </c>
      <c r="CB495" t="str">
        <v/>
      </c>
      <c r="CC495" t="str">
        <v/>
      </c>
      <c r="CD495" t="str">
        <v/>
      </c>
      <c r="CE495" t="str">
        <v/>
      </c>
      <c r="CF495" t="str">
        <v/>
      </c>
    </row>
    <row r="496" spans="58:84" x14ac:dyDescent="0.3">
      <c r="BF496" t="str">
        <v>processor</v>
      </c>
      <c r="BG496" t="str">
        <v>Harvest Midstream Co</v>
      </c>
      <c r="BH496" t="str">
        <v>blendSAF</v>
      </c>
      <c r="BI496" t="str">
        <v/>
      </c>
      <c r="BJ496" t="str">
        <v/>
      </c>
      <c r="BK496" t="str">
        <v/>
      </c>
      <c r="BL496" t="str">
        <v/>
      </c>
      <c r="BM496" t="str">
        <v/>
      </c>
      <c r="BY496" t="str">
        <v>processor</v>
      </c>
      <c r="BZ496" t="str">
        <v>Boardwalk Louisiana Midstream Llc 2</v>
      </c>
      <c r="CA496" t="str">
        <v>blendSAF</v>
      </c>
      <c r="CB496" t="str">
        <v/>
      </c>
      <c r="CC496" t="str">
        <v/>
      </c>
      <c r="CD496" t="str">
        <v/>
      </c>
      <c r="CE496" t="str">
        <v/>
      </c>
      <c r="CF496" t="str">
        <v/>
      </c>
    </row>
    <row r="497" spans="58:84" x14ac:dyDescent="0.3">
      <c r="BF497" t="str">
        <v>processor</v>
      </c>
      <c r="BG497" t="str">
        <v>International Matex Tank Terminals</v>
      </c>
      <c r="BH497" t="str">
        <v>blendSAF</v>
      </c>
      <c r="BI497" t="str">
        <v/>
      </c>
      <c r="BJ497" t="str">
        <v/>
      </c>
      <c r="BK497" t="str">
        <v/>
      </c>
      <c r="BL497" t="str">
        <v/>
      </c>
      <c r="BM497" t="str">
        <v/>
      </c>
      <c r="BY497" t="str">
        <v>processor</v>
      </c>
      <c r="BZ497" t="str">
        <v>Bp Lubricants Usa Inc</v>
      </c>
      <c r="CA497" t="str">
        <v>blendSAF</v>
      </c>
      <c r="CB497" t="str">
        <v/>
      </c>
      <c r="CC497" t="str">
        <v/>
      </c>
      <c r="CD497" t="str">
        <v/>
      </c>
      <c r="CE497" t="str">
        <v/>
      </c>
      <c r="CF497" t="str">
        <v/>
      </c>
    </row>
    <row r="498" spans="58:84" x14ac:dyDescent="0.3">
      <c r="BF498" t="str">
        <v>processor</v>
      </c>
      <c r="BG498" t="str">
        <v>Intl Matex Tank Terminals 1</v>
      </c>
      <c r="BH498" t="str">
        <v>blendSAF</v>
      </c>
      <c r="BI498" t="str">
        <v/>
      </c>
      <c r="BJ498" t="str">
        <v/>
      </c>
      <c r="BK498" t="str">
        <v/>
      </c>
      <c r="BL498" t="str">
        <v/>
      </c>
      <c r="BM498" t="str">
        <v/>
      </c>
      <c r="BY498" t="str">
        <v>processor</v>
      </c>
      <c r="BZ498" t="str">
        <v>Buckeye Terminals Llc 82</v>
      </c>
      <c r="CA498" t="str">
        <v>blendSAF</v>
      </c>
      <c r="CB498" t="str">
        <v/>
      </c>
      <c r="CC498" t="str">
        <v/>
      </c>
      <c r="CD498" t="str">
        <v/>
      </c>
      <c r="CE498" t="str">
        <v/>
      </c>
      <c r="CF498" t="str">
        <v/>
      </c>
    </row>
    <row r="499" spans="58:84" x14ac:dyDescent="0.3">
      <c r="BF499" t="str">
        <v>processor</v>
      </c>
      <c r="BG499" t="str">
        <v>John W Stone Oil Distributor Llc 2</v>
      </c>
      <c r="BH499" t="str">
        <v>blendSAF</v>
      </c>
      <c r="BI499" t="str">
        <v/>
      </c>
      <c r="BJ499" t="str">
        <v/>
      </c>
      <c r="BK499" t="str">
        <v/>
      </c>
      <c r="BL499" t="str">
        <v/>
      </c>
      <c r="BM499" t="str">
        <v/>
      </c>
      <c r="BY499" t="str">
        <v>processor</v>
      </c>
      <c r="BZ499" t="str">
        <v>Buckeye Terminals Llc 68</v>
      </c>
      <c r="CA499" t="str">
        <v>blendSAF</v>
      </c>
      <c r="CB499" t="str">
        <v/>
      </c>
      <c r="CC499" t="str">
        <v/>
      </c>
      <c r="CD499" t="str">
        <v/>
      </c>
      <c r="CE499" t="str">
        <v/>
      </c>
      <c r="CF499" t="str">
        <v/>
      </c>
    </row>
    <row r="500" spans="58:84" x14ac:dyDescent="0.3">
      <c r="BF500" t="str">
        <v>processor</v>
      </c>
      <c r="BG500" t="str">
        <v>John W Stone Oil Dstr Llc</v>
      </c>
      <c r="BH500" t="str">
        <v>blendSAF</v>
      </c>
      <c r="BI500" t="str">
        <v/>
      </c>
      <c r="BJ500" t="str">
        <v/>
      </c>
      <c r="BK500" t="str">
        <v/>
      </c>
      <c r="BL500" t="str">
        <v/>
      </c>
      <c r="BM500" t="str">
        <v/>
      </c>
      <c r="BY500" t="str">
        <v>processor</v>
      </c>
      <c r="BZ500" t="str">
        <v>C-Portstone Llc 1</v>
      </c>
      <c r="CA500" t="str">
        <v>blendSAF</v>
      </c>
      <c r="CB500" t="str">
        <v/>
      </c>
      <c r="CC500" t="str">
        <v/>
      </c>
      <c r="CD500" t="str">
        <v/>
      </c>
      <c r="CE500" t="str">
        <v/>
      </c>
      <c r="CF500" t="str">
        <v/>
      </c>
    </row>
    <row r="501" spans="58:84" x14ac:dyDescent="0.3">
      <c r="BF501" t="str">
        <v>processor</v>
      </c>
      <c r="BG501" t="str">
        <v>John W Stone Oil Distributor Llc 1</v>
      </c>
      <c r="BH501" t="str">
        <v>blendSAF</v>
      </c>
      <c r="BI501" t="str">
        <v/>
      </c>
      <c r="BJ501" t="str">
        <v/>
      </c>
      <c r="BK501" t="str">
        <v/>
      </c>
      <c r="BL501" t="str">
        <v/>
      </c>
      <c r="BM501" t="str">
        <v/>
      </c>
      <c r="BY501" t="str">
        <v>processor</v>
      </c>
      <c r="BZ501" t="str">
        <v>C-Portstone Llc 2</v>
      </c>
      <c r="CA501" t="str">
        <v>blendSAF</v>
      </c>
      <c r="CB501" t="str">
        <v/>
      </c>
      <c r="CC501" t="str">
        <v/>
      </c>
      <c r="CD501" t="str">
        <v/>
      </c>
      <c r="CE501" t="str">
        <v/>
      </c>
      <c r="CF501" t="str">
        <v/>
      </c>
    </row>
    <row r="502" spans="58:84" x14ac:dyDescent="0.3">
      <c r="BF502" t="str">
        <v>processor</v>
      </c>
      <c r="BG502" t="str">
        <v>Kinder Morgan 3</v>
      </c>
      <c r="BH502" t="str">
        <v>blendSAF</v>
      </c>
      <c r="BI502" t="str">
        <v/>
      </c>
      <c r="BJ502" t="str">
        <v/>
      </c>
      <c r="BK502" t="str">
        <v/>
      </c>
      <c r="BL502" t="str">
        <v/>
      </c>
      <c r="BM502" t="str">
        <v/>
      </c>
      <c r="BY502" t="str">
        <v>processor</v>
      </c>
      <c r="BZ502" t="str">
        <v>Energy Logistics Solutions Llc</v>
      </c>
      <c r="CA502" t="str">
        <v>blendSAF</v>
      </c>
      <c r="CB502" t="str">
        <v/>
      </c>
      <c r="CC502" t="str">
        <v/>
      </c>
      <c r="CD502" t="str">
        <v/>
      </c>
      <c r="CE502" t="str">
        <v/>
      </c>
      <c r="CF502" t="str">
        <v/>
      </c>
    </row>
    <row r="503" spans="58:84" x14ac:dyDescent="0.3">
      <c r="BF503" t="str">
        <v>processor</v>
      </c>
      <c r="BG503" t="str">
        <v>Marathon Petroleum Co Llc 8</v>
      </c>
      <c r="BH503" t="str">
        <v>blendSAF</v>
      </c>
      <c r="BI503" t="str">
        <v/>
      </c>
      <c r="BJ503" t="str">
        <v/>
      </c>
      <c r="BK503" t="str">
        <v/>
      </c>
      <c r="BL503" t="str">
        <v/>
      </c>
      <c r="BM503" t="str">
        <v/>
      </c>
      <c r="BY503" t="str">
        <v>processor</v>
      </c>
      <c r="BZ503" t="str">
        <v>Phillips 66 Company 25</v>
      </c>
      <c r="CA503" t="str">
        <v>blendSAF</v>
      </c>
      <c r="CB503" t="str">
        <v/>
      </c>
      <c r="CC503" t="str">
        <v/>
      </c>
      <c r="CD503" t="str">
        <v/>
      </c>
      <c r="CE503" t="str">
        <v/>
      </c>
      <c r="CF503" t="str">
        <v/>
      </c>
    </row>
    <row r="504" spans="58:84" x14ac:dyDescent="0.3">
      <c r="BF504" t="str">
        <v>processor</v>
      </c>
      <c r="BG504" t="str">
        <v>Mplx Terminals Llc 20</v>
      </c>
      <c r="BH504" t="str">
        <v>blendSAF</v>
      </c>
      <c r="BI504" t="str">
        <v/>
      </c>
      <c r="BJ504" t="str">
        <v/>
      </c>
      <c r="BK504" t="str">
        <v/>
      </c>
      <c r="BL504" t="str">
        <v/>
      </c>
      <c r="BM504" t="str">
        <v/>
      </c>
      <c r="BY504" t="str">
        <v>processor</v>
      </c>
      <c r="BZ504" t="str">
        <v>Phillips 66 5</v>
      </c>
      <c r="CA504" t="str">
        <v>blendSAF</v>
      </c>
      <c r="CB504" t="str">
        <v/>
      </c>
      <c r="CC504" t="str">
        <v/>
      </c>
      <c r="CD504" t="str">
        <v/>
      </c>
      <c r="CE504" t="str">
        <v/>
      </c>
      <c r="CF504" t="str">
        <v/>
      </c>
    </row>
    <row r="505" spans="58:84" x14ac:dyDescent="0.3">
      <c r="BF505" t="str">
        <v>processor</v>
      </c>
      <c r="BG505" t="str">
        <v>Mplx Terminals Llc 36</v>
      </c>
      <c r="BH505" t="str">
        <v>blendSAF</v>
      </c>
      <c r="BI505" t="str">
        <v/>
      </c>
      <c r="BJ505" t="str">
        <v/>
      </c>
      <c r="BK505" t="str">
        <v/>
      </c>
      <c r="BL505" t="str">
        <v/>
      </c>
      <c r="BM505" t="str">
        <v/>
      </c>
      <c r="BY505" t="str">
        <v>processor</v>
      </c>
      <c r="BZ505" t="str">
        <v>Dow Hydrocarbons &amp; Resrcs Llc 9</v>
      </c>
      <c r="CA505" t="str">
        <v>blendSAF</v>
      </c>
      <c r="CB505" t="str">
        <v/>
      </c>
      <c r="CC505" t="str">
        <v/>
      </c>
      <c r="CD505" t="str">
        <v/>
      </c>
      <c r="CE505" t="str">
        <v/>
      </c>
      <c r="CF505" t="str">
        <v/>
      </c>
    </row>
    <row r="506" spans="58:84" x14ac:dyDescent="0.3">
      <c r="BF506" t="str">
        <v>processor</v>
      </c>
      <c r="BG506" t="str">
        <v>Martin Energy Services Llc 14</v>
      </c>
      <c r="BH506" t="str">
        <v>blendSAF</v>
      </c>
      <c r="BI506" t="str">
        <v/>
      </c>
      <c r="BJ506" t="str">
        <v/>
      </c>
      <c r="BK506" t="str">
        <v/>
      </c>
      <c r="BL506" t="str">
        <v/>
      </c>
      <c r="BM506" t="str">
        <v/>
      </c>
      <c r="BY506" t="str">
        <v>processor</v>
      </c>
      <c r="BZ506" t="str">
        <v>Five Star Fuels</v>
      </c>
      <c r="CA506" t="str">
        <v>blendSAF</v>
      </c>
      <c r="CB506" t="str">
        <v/>
      </c>
      <c r="CC506" t="str">
        <v/>
      </c>
      <c r="CD506" t="str">
        <v/>
      </c>
      <c r="CE506" t="str">
        <v/>
      </c>
      <c r="CF506" t="str">
        <v/>
      </c>
    </row>
    <row r="507" spans="58:84" x14ac:dyDescent="0.3">
      <c r="BF507" t="str">
        <v>processor</v>
      </c>
      <c r="BG507" t="str">
        <v>Martin Energy Services Llc 4</v>
      </c>
      <c r="BH507" t="str">
        <v>blendSAF</v>
      </c>
      <c r="BI507" t="str">
        <v/>
      </c>
      <c r="BJ507" t="str">
        <v/>
      </c>
      <c r="BK507" t="str">
        <v/>
      </c>
      <c r="BL507" t="str">
        <v/>
      </c>
      <c r="BM507" t="str">
        <v/>
      </c>
      <c r="BY507" t="str">
        <v>processor</v>
      </c>
      <c r="BZ507" t="str">
        <v>Economy/Stone Midstream Fuel Llc</v>
      </c>
      <c r="CA507" t="str">
        <v>blendSAF</v>
      </c>
      <c r="CB507" t="str">
        <v/>
      </c>
      <c r="CC507" t="str">
        <v/>
      </c>
      <c r="CD507" t="str">
        <v/>
      </c>
      <c r="CE507" t="str">
        <v/>
      </c>
      <c r="CF507" t="str">
        <v/>
      </c>
    </row>
    <row r="508" spans="58:84" x14ac:dyDescent="0.3">
      <c r="BF508" t="str">
        <v>processor</v>
      </c>
      <c r="BG508" t="str">
        <v>Martin Energy Services Llc 7</v>
      </c>
      <c r="BH508" t="str">
        <v>blendSAF</v>
      </c>
      <c r="BI508" t="str">
        <v/>
      </c>
      <c r="BJ508" t="str">
        <v/>
      </c>
      <c r="BK508" t="str">
        <v/>
      </c>
      <c r="BL508" t="str">
        <v/>
      </c>
      <c r="BM508" t="str">
        <v/>
      </c>
      <c r="BY508" t="str">
        <v>processor</v>
      </c>
      <c r="BZ508" t="str">
        <v>Sunoco Logistics 18</v>
      </c>
      <c r="CA508" t="str">
        <v>blendSAF</v>
      </c>
      <c r="CB508" t="str">
        <v/>
      </c>
      <c r="CC508" t="str">
        <v/>
      </c>
      <c r="CD508" t="str">
        <v/>
      </c>
      <c r="CE508" t="str">
        <v/>
      </c>
      <c r="CF508" t="str">
        <v/>
      </c>
    </row>
    <row r="509" spans="58:84" x14ac:dyDescent="0.3">
      <c r="BF509" t="str">
        <v>processor</v>
      </c>
      <c r="BG509" t="str">
        <v>Martin Energy Services Llc 8</v>
      </c>
      <c r="BH509" t="str">
        <v>blendSAF</v>
      </c>
      <c r="BI509" t="str">
        <v/>
      </c>
      <c r="BJ509" t="str">
        <v/>
      </c>
      <c r="BK509" t="str">
        <v/>
      </c>
      <c r="BL509" t="str">
        <v/>
      </c>
      <c r="BM509" t="str">
        <v/>
      </c>
      <c r="BY509" t="str">
        <v>processor</v>
      </c>
      <c r="BZ509" t="str">
        <v>Enterprise Field Services Llc</v>
      </c>
      <c r="CA509" t="str">
        <v>blendSAF</v>
      </c>
      <c r="CB509" t="str">
        <v/>
      </c>
      <c r="CC509" t="str">
        <v/>
      </c>
      <c r="CD509" t="str">
        <v/>
      </c>
      <c r="CE509" t="str">
        <v/>
      </c>
      <c r="CF509" t="str">
        <v/>
      </c>
    </row>
    <row r="510" spans="58:84" x14ac:dyDescent="0.3">
      <c r="BF510" t="str">
        <v>processor</v>
      </c>
      <c r="BG510" t="str">
        <v>Martin Energy Services Llc 9</v>
      </c>
      <c r="BH510" t="str">
        <v>blendSAF</v>
      </c>
      <c r="BI510" t="str">
        <v/>
      </c>
      <c r="BJ510" t="str">
        <v/>
      </c>
      <c r="BK510" t="str">
        <v/>
      </c>
      <c r="BL510" t="str">
        <v/>
      </c>
      <c r="BM510" t="str">
        <v/>
      </c>
      <c r="BY510" t="str">
        <v>processor</v>
      </c>
      <c r="BZ510" t="str">
        <v>Enterprise Products Operating Llc 6</v>
      </c>
      <c r="CA510" t="str">
        <v>blendSAF</v>
      </c>
      <c r="CB510" t="str">
        <v/>
      </c>
      <c r="CC510" t="str">
        <v/>
      </c>
      <c r="CD510" t="str">
        <v/>
      </c>
      <c r="CE510" t="str">
        <v/>
      </c>
      <c r="CF510" t="str">
        <v/>
      </c>
    </row>
    <row r="511" spans="58:84" x14ac:dyDescent="0.3">
      <c r="BF511" t="str">
        <v>processor</v>
      </c>
      <c r="BG511" t="str">
        <v>Martin Energy Services Llc 10</v>
      </c>
      <c r="BH511" t="str">
        <v>blendSAF</v>
      </c>
      <c r="BI511" t="str">
        <v/>
      </c>
      <c r="BJ511" t="str">
        <v/>
      </c>
      <c r="BK511" t="str">
        <v/>
      </c>
      <c r="BL511" t="str">
        <v/>
      </c>
      <c r="BM511" t="str">
        <v/>
      </c>
      <c r="BY511" t="str">
        <v>processor</v>
      </c>
      <c r="BZ511" t="str">
        <v>Enterprise Refined Products Co Llc 3</v>
      </c>
      <c r="CA511" t="str">
        <v>blendSAF</v>
      </c>
      <c r="CB511" t="str">
        <v/>
      </c>
      <c r="CC511" t="str">
        <v/>
      </c>
      <c r="CD511" t="str">
        <v/>
      </c>
      <c r="CE511" t="str">
        <v/>
      </c>
      <c r="CF511" t="str">
        <v/>
      </c>
    </row>
    <row r="512" spans="58:84" x14ac:dyDescent="0.3">
      <c r="BF512" t="str">
        <v>processor</v>
      </c>
      <c r="BG512" t="str">
        <v>Gulf Gateway Terminal Llc</v>
      </c>
      <c r="BH512" t="str">
        <v>blendSAF</v>
      </c>
      <c r="BI512" t="str">
        <v/>
      </c>
      <c r="BJ512" t="str">
        <v/>
      </c>
      <c r="BK512" t="str">
        <v/>
      </c>
      <c r="BL512" t="str">
        <v/>
      </c>
      <c r="BM512" t="str">
        <v/>
      </c>
      <c r="BY512" t="str">
        <v>processor</v>
      </c>
      <c r="BZ512" t="str">
        <v>Exxon Mobil Refg &amp; Sply Comp 1</v>
      </c>
      <c r="CA512" t="str">
        <v>blendSAF</v>
      </c>
      <c r="CB512" t="str">
        <v/>
      </c>
      <c r="CC512" t="str">
        <v/>
      </c>
      <c r="CD512" t="str">
        <v/>
      </c>
      <c r="CE512" t="str">
        <v/>
      </c>
      <c r="CF512" t="str">
        <v/>
      </c>
    </row>
    <row r="513" spans="58:84" x14ac:dyDescent="0.3">
      <c r="BF513" t="str">
        <v>processor</v>
      </c>
      <c r="BG513" t="str">
        <v>Lbc Baton Rouge</v>
      </c>
      <c r="BH513" t="str">
        <v>blendSAF</v>
      </c>
      <c r="BI513" t="str">
        <v/>
      </c>
      <c r="BJ513" t="str">
        <v/>
      </c>
      <c r="BK513" t="str">
        <v/>
      </c>
      <c r="BL513" t="str">
        <v/>
      </c>
      <c r="BM513" t="str">
        <v/>
      </c>
      <c r="BY513" t="str">
        <v>processor</v>
      </c>
      <c r="BZ513" t="str">
        <v>Exxonmobil Chemical Company</v>
      </c>
      <c r="CA513" t="str">
        <v>blendSAF</v>
      </c>
      <c r="CB513" t="str">
        <v/>
      </c>
      <c r="CC513" t="str">
        <v/>
      </c>
      <c r="CD513" t="str">
        <v/>
      </c>
      <c r="CE513" t="str">
        <v/>
      </c>
      <c r="CF513" t="str">
        <v/>
      </c>
    </row>
    <row r="514" spans="58:84" x14ac:dyDescent="0.3">
      <c r="BF514" t="str">
        <v>processor</v>
      </c>
      <c r="BG514" t="str">
        <v>Shell Oil Products Us 4</v>
      </c>
      <c r="BH514" t="str">
        <v>blendSAF</v>
      </c>
      <c r="BI514" t="str">
        <v/>
      </c>
      <c r="BJ514" t="str">
        <v/>
      </c>
      <c r="BK514" t="str">
        <v/>
      </c>
      <c r="BL514" t="str">
        <v/>
      </c>
      <c r="BM514" t="str">
        <v/>
      </c>
      <c r="BY514" t="str">
        <v>processor</v>
      </c>
      <c r="BZ514" t="str">
        <v>Exxonmobil Port Allen Lubricants B</v>
      </c>
      <c r="CA514" t="str">
        <v>blendSAF</v>
      </c>
      <c r="CB514" t="str">
        <v/>
      </c>
      <c r="CC514" t="str">
        <v/>
      </c>
      <c r="CD514" t="str">
        <v/>
      </c>
      <c r="CE514" t="str">
        <v/>
      </c>
      <c r="CF514" t="str">
        <v/>
      </c>
    </row>
    <row r="515" spans="58:84" x14ac:dyDescent="0.3">
      <c r="BF515" t="str">
        <v>processor</v>
      </c>
      <c r="BG515" t="str">
        <v>Stolthaven New Orleans Llc</v>
      </c>
      <c r="BH515" t="str">
        <v>blendSAF</v>
      </c>
      <c r="BI515" t="str">
        <v/>
      </c>
      <c r="BJ515" t="str">
        <v/>
      </c>
      <c r="BK515" t="str">
        <v/>
      </c>
      <c r="BL515" t="str">
        <v/>
      </c>
      <c r="BM515" t="str">
        <v/>
      </c>
      <c r="BY515" t="str">
        <v>processor</v>
      </c>
      <c r="BZ515" t="str">
        <v>Exxonmobil Pipeline Co 2</v>
      </c>
      <c r="CA515" t="str">
        <v>blendSAF</v>
      </c>
      <c r="CB515" t="str">
        <v/>
      </c>
      <c r="CC515" t="str">
        <v/>
      </c>
      <c r="CD515" t="str">
        <v/>
      </c>
      <c r="CE515" t="str">
        <v/>
      </c>
      <c r="CF515" t="str">
        <v/>
      </c>
    </row>
    <row r="516" spans="58:84" x14ac:dyDescent="0.3">
      <c r="BF516" t="str">
        <v>processor</v>
      </c>
      <c r="BG516" t="str">
        <v>Targa Midstream Services Llc 3</v>
      </c>
      <c r="BH516" t="str">
        <v>blendSAF</v>
      </c>
      <c r="BI516" t="str">
        <v/>
      </c>
      <c r="BJ516" t="str">
        <v/>
      </c>
      <c r="BK516" t="str">
        <v/>
      </c>
      <c r="BL516" t="str">
        <v/>
      </c>
      <c r="BM516" t="str">
        <v/>
      </c>
      <c r="BY516" t="str">
        <v>processor</v>
      </c>
      <c r="BZ516" t="str">
        <v>Red River Terminals Llc</v>
      </c>
      <c r="CA516" t="str">
        <v>blendSAF</v>
      </c>
      <c r="CB516" t="str">
        <v/>
      </c>
      <c r="CC516" t="str">
        <v/>
      </c>
      <c r="CD516" t="str">
        <v/>
      </c>
      <c r="CE516" t="str">
        <v/>
      </c>
      <c r="CF516" t="str">
        <v/>
      </c>
    </row>
    <row r="517" spans="58:84" x14ac:dyDescent="0.3">
      <c r="BF517" t="str">
        <v>processor</v>
      </c>
      <c r="BG517" t="str">
        <v>Valero Marketing &amp; Supply Co 32</v>
      </c>
      <c r="BH517" t="str">
        <v>blendSAF</v>
      </c>
      <c r="BI517" t="str">
        <v/>
      </c>
      <c r="BJ517" t="str">
        <v/>
      </c>
      <c r="BK517" t="str">
        <v/>
      </c>
      <c r="BL517" t="str">
        <v/>
      </c>
      <c r="BM517" t="str">
        <v/>
      </c>
      <c r="BY517" t="str">
        <v>processor</v>
      </c>
      <c r="BZ517" t="str">
        <v>Enlink Processing Services Llc</v>
      </c>
      <c r="CA517" t="str">
        <v>blendSAF</v>
      </c>
      <c r="CB517" t="str">
        <v/>
      </c>
      <c r="CC517" t="str">
        <v/>
      </c>
      <c r="CD517" t="str">
        <v/>
      </c>
      <c r="CE517" t="str">
        <v/>
      </c>
      <c r="CF517" t="str">
        <v/>
      </c>
    </row>
    <row r="518" spans="58:84" x14ac:dyDescent="0.3">
      <c r="BF518" t="str">
        <v>processor</v>
      </c>
      <c r="BG518" t="str">
        <v>Bwc Terminals Llc 7</v>
      </c>
      <c r="BH518" t="str">
        <v>blendSAF</v>
      </c>
      <c r="BI518" t="str">
        <v/>
      </c>
      <c r="BJ518" t="str">
        <v/>
      </c>
      <c r="BK518" t="str">
        <v/>
      </c>
      <c r="BL518" t="str">
        <v/>
      </c>
      <c r="BM518" t="str">
        <v/>
      </c>
      <c r="BY518" t="str">
        <v>processor</v>
      </c>
      <c r="BZ518" t="str">
        <v>Harvest Midstream Co</v>
      </c>
      <c r="CA518" t="str">
        <v>blendSAF</v>
      </c>
      <c r="CB518" t="str">
        <v/>
      </c>
      <c r="CC518" t="str">
        <v/>
      </c>
      <c r="CD518" t="str">
        <v/>
      </c>
      <c r="CE518" t="str">
        <v/>
      </c>
      <c r="CF518" t="str">
        <v/>
      </c>
    </row>
    <row r="519" spans="58:84" x14ac:dyDescent="0.3">
      <c r="BF519" t="str">
        <v>processor</v>
      </c>
      <c r="BG519" t="str">
        <v>Bwc Terminals Llc 3</v>
      </c>
      <c r="BH519" t="str">
        <v>blendSAF</v>
      </c>
      <c r="BI519" t="str">
        <v/>
      </c>
      <c r="BJ519" t="str">
        <v/>
      </c>
      <c r="BK519" t="str">
        <v/>
      </c>
      <c r="BL519" t="str">
        <v/>
      </c>
      <c r="BM519" t="str">
        <v/>
      </c>
      <c r="BY519" t="str">
        <v>processor</v>
      </c>
      <c r="BZ519" t="str">
        <v>International Matex Tank Terminals</v>
      </c>
      <c r="CA519" t="str">
        <v>blendSAF</v>
      </c>
      <c r="CB519" t="str">
        <v/>
      </c>
      <c r="CC519" t="str">
        <v/>
      </c>
      <c r="CD519" t="str">
        <v/>
      </c>
      <c r="CE519" t="str">
        <v/>
      </c>
      <c r="CF519" t="str">
        <v/>
      </c>
    </row>
    <row r="520" spans="58:84" x14ac:dyDescent="0.3">
      <c r="BF520" t="str">
        <v>processor</v>
      </c>
      <c r="BG520" t="str">
        <v>Gulf Oil Lp 4</v>
      </c>
      <c r="BH520" t="str">
        <v>blendSAF</v>
      </c>
      <c r="BI520" t="str">
        <v/>
      </c>
      <c r="BJ520" t="str">
        <v/>
      </c>
      <c r="BK520" t="str">
        <v/>
      </c>
      <c r="BL520" t="str">
        <v/>
      </c>
      <c r="BM520" t="str">
        <v/>
      </c>
      <c r="BY520" t="str">
        <v>processor</v>
      </c>
      <c r="BZ520" t="str">
        <v>Intl Matex Tank Terminals 1</v>
      </c>
      <c r="CA520" t="str">
        <v>blendSAF</v>
      </c>
      <c r="CB520" t="str">
        <v/>
      </c>
      <c r="CC520" t="str">
        <v/>
      </c>
      <c r="CD520" t="str">
        <v/>
      </c>
      <c r="CE520" t="str">
        <v/>
      </c>
      <c r="CF520" t="str">
        <v/>
      </c>
    </row>
    <row r="521" spans="58:84" x14ac:dyDescent="0.3">
      <c r="BF521" t="str">
        <v>processor</v>
      </c>
      <c r="BG521" t="str">
        <v>Buckeye Terminals Llc 21</v>
      </c>
      <c r="BH521" t="str">
        <v>blendSAF</v>
      </c>
      <c r="BI521" t="str">
        <v/>
      </c>
      <c r="BJ521" t="str">
        <v/>
      </c>
      <c r="BK521" t="str">
        <v/>
      </c>
      <c r="BL521" t="str">
        <v/>
      </c>
      <c r="BM521" t="str">
        <v/>
      </c>
      <c r="BY521" t="str">
        <v>processor</v>
      </c>
      <c r="BZ521" t="str">
        <v>John W Stone Oil Distributor Llc 2</v>
      </c>
      <c r="CA521" t="str">
        <v>blendSAF</v>
      </c>
      <c r="CB521" t="str">
        <v/>
      </c>
      <c r="CC521" t="str">
        <v/>
      </c>
      <c r="CD521" t="str">
        <v/>
      </c>
      <c r="CE521" t="str">
        <v/>
      </c>
      <c r="CF521" t="str">
        <v/>
      </c>
    </row>
    <row r="522" spans="58:84" x14ac:dyDescent="0.3">
      <c r="BF522" t="str">
        <v>processor</v>
      </c>
      <c r="BG522" t="str">
        <v>Cold Brook Energy Inc</v>
      </c>
      <c r="BH522" t="str">
        <v>blendSAF</v>
      </c>
      <c r="BI522" t="str">
        <v/>
      </c>
      <c r="BJ522" t="str">
        <v/>
      </c>
      <c r="BK522" t="str">
        <v/>
      </c>
      <c r="BL522" t="str">
        <v/>
      </c>
      <c r="BM522" t="str">
        <v/>
      </c>
      <c r="BY522" t="str">
        <v>processor</v>
      </c>
      <c r="BZ522" t="str">
        <v>John W Stone Oil Dstr Llc</v>
      </c>
      <c r="CA522" t="str">
        <v>blendSAF</v>
      </c>
      <c r="CB522" t="str">
        <v/>
      </c>
      <c r="CC522" t="str">
        <v/>
      </c>
      <c r="CD522" t="str">
        <v/>
      </c>
      <c r="CE522" t="str">
        <v/>
      </c>
      <c r="CF522" t="str">
        <v/>
      </c>
    </row>
    <row r="523" spans="58:84" x14ac:dyDescent="0.3">
      <c r="BF523" t="str">
        <v>processor</v>
      </c>
      <c r="BG523" t="str">
        <v>Global Co Llc 9</v>
      </c>
      <c r="BH523" t="str">
        <v>blendSAF</v>
      </c>
      <c r="BI523" t="str">
        <v/>
      </c>
      <c r="BJ523" t="str">
        <v/>
      </c>
      <c r="BK523" t="str">
        <v/>
      </c>
      <c r="BL523" t="str">
        <v/>
      </c>
      <c r="BM523" t="str">
        <v/>
      </c>
      <c r="BY523" t="str">
        <v>processor</v>
      </c>
      <c r="BZ523" t="str">
        <v>John W Stone Oil Distributor Llc 1</v>
      </c>
      <c r="CA523" t="str">
        <v>blendSAF</v>
      </c>
      <c r="CB523" t="str">
        <v/>
      </c>
      <c r="CC523" t="str">
        <v/>
      </c>
      <c r="CD523" t="str">
        <v/>
      </c>
      <c r="CE523" t="str">
        <v/>
      </c>
      <c r="CF523" t="str">
        <v/>
      </c>
    </row>
    <row r="524" spans="58:84" x14ac:dyDescent="0.3">
      <c r="BF524" t="str">
        <v>processor</v>
      </c>
      <c r="BG524" t="str">
        <v>Sprague Operating Resources Llc 10</v>
      </c>
      <c r="BH524" t="str">
        <v>blendSAF</v>
      </c>
      <c r="BI524" t="str">
        <v/>
      </c>
      <c r="BJ524" t="str">
        <v/>
      </c>
      <c r="BK524" t="str">
        <v/>
      </c>
      <c r="BL524" t="str">
        <v/>
      </c>
      <c r="BM524" t="str">
        <v/>
      </c>
      <c r="BY524" t="str">
        <v>processor</v>
      </c>
      <c r="BZ524" t="str">
        <v>Kinder Morgan 3</v>
      </c>
      <c r="CA524" t="str">
        <v>blendSAF</v>
      </c>
      <c r="CB524" t="str">
        <v/>
      </c>
      <c r="CC524" t="str">
        <v/>
      </c>
      <c r="CD524" t="str">
        <v/>
      </c>
      <c r="CE524" t="str">
        <v/>
      </c>
      <c r="CF524" t="str">
        <v/>
      </c>
    </row>
    <row r="525" spans="58:84" x14ac:dyDescent="0.3">
      <c r="BF525" t="str">
        <v>processor</v>
      </c>
      <c r="BG525" t="str">
        <v>Sprague Operating Resources Llc 9</v>
      </c>
      <c r="BH525" t="str">
        <v>blendSAF</v>
      </c>
      <c r="BI525" t="str">
        <v/>
      </c>
      <c r="BJ525" t="str">
        <v/>
      </c>
      <c r="BK525" t="str">
        <v/>
      </c>
      <c r="BL525" t="str">
        <v/>
      </c>
      <c r="BM525" t="str">
        <v/>
      </c>
      <c r="BY525" t="str">
        <v>processor</v>
      </c>
      <c r="BZ525" t="str">
        <v>Marathon Petroleum Co Llc 8</v>
      </c>
      <c r="CA525" t="str">
        <v>blendSAF</v>
      </c>
      <c r="CB525" t="str">
        <v/>
      </c>
      <c r="CC525" t="str">
        <v/>
      </c>
      <c r="CD525" t="str">
        <v/>
      </c>
      <c r="CE525" t="str">
        <v/>
      </c>
      <c r="CF525" t="str">
        <v/>
      </c>
    </row>
    <row r="526" spans="58:84" x14ac:dyDescent="0.3">
      <c r="BF526" t="str">
        <v>processor</v>
      </c>
      <c r="BG526" t="str">
        <v>Irving Oil Terminals Inc 7</v>
      </c>
      <c r="BH526" t="str">
        <v>blendSAF</v>
      </c>
      <c r="BI526" t="str">
        <v/>
      </c>
      <c r="BJ526" t="str">
        <v/>
      </c>
      <c r="BK526" t="str">
        <v/>
      </c>
      <c r="BL526" t="str">
        <v/>
      </c>
      <c r="BM526" t="str">
        <v/>
      </c>
      <c r="BY526" t="str">
        <v>processor</v>
      </c>
      <c r="BZ526" t="str">
        <v>Mplx Terminals Llc 20</v>
      </c>
      <c r="CA526" t="str">
        <v>blendSAF</v>
      </c>
      <c r="CB526" t="str">
        <v/>
      </c>
      <c r="CC526" t="str">
        <v/>
      </c>
      <c r="CD526" t="str">
        <v/>
      </c>
      <c r="CE526" t="str">
        <v/>
      </c>
      <c r="CF526" t="str">
        <v/>
      </c>
    </row>
    <row r="527" spans="58:84" x14ac:dyDescent="0.3">
      <c r="BF527" t="str">
        <v>processor</v>
      </c>
      <c r="BG527" t="str">
        <v>Citgo Petro Corp 24</v>
      </c>
      <c r="BH527" t="str">
        <v>blendSAF</v>
      </c>
      <c r="BI527" t="str">
        <v/>
      </c>
      <c r="BJ527" t="str">
        <v/>
      </c>
      <c r="BK527" t="str">
        <v/>
      </c>
      <c r="BL527" t="str">
        <v/>
      </c>
      <c r="BM527" t="str">
        <v/>
      </c>
      <c r="BY527" t="str">
        <v>processor</v>
      </c>
      <c r="BZ527" t="str">
        <v>Mplx Terminals Llc 36</v>
      </c>
      <c r="CA527" t="str">
        <v>blendSAF</v>
      </c>
      <c r="CB527" t="str">
        <v/>
      </c>
      <c r="CC527" t="str">
        <v/>
      </c>
      <c r="CD527" t="str">
        <v/>
      </c>
      <c r="CE527" t="str">
        <v/>
      </c>
      <c r="CF527" t="str">
        <v/>
      </c>
    </row>
    <row r="528" spans="58:84" x14ac:dyDescent="0.3">
      <c r="BF528" t="str">
        <v>processor</v>
      </c>
      <c r="BG528" t="str">
        <v>South Portland Terminal Llc</v>
      </c>
      <c r="BH528" t="str">
        <v>blendSAF</v>
      </c>
      <c r="BI528" t="str">
        <v/>
      </c>
      <c r="BJ528" t="str">
        <v/>
      </c>
      <c r="BK528" t="str">
        <v/>
      </c>
      <c r="BL528" t="str">
        <v/>
      </c>
      <c r="BM528" t="str">
        <v/>
      </c>
      <c r="BY528" t="str">
        <v>processor</v>
      </c>
      <c r="BZ528" t="str">
        <v>Martin Energy Services Llc 14</v>
      </c>
      <c r="CA528" t="str">
        <v>blendSAF</v>
      </c>
      <c r="CB528" t="str">
        <v/>
      </c>
      <c r="CC528" t="str">
        <v/>
      </c>
      <c r="CD528" t="str">
        <v/>
      </c>
      <c r="CE528" t="str">
        <v/>
      </c>
      <c r="CF528" t="str">
        <v/>
      </c>
    </row>
    <row r="529" spans="58:84" x14ac:dyDescent="0.3">
      <c r="BF529" t="str">
        <v>processor</v>
      </c>
      <c r="BG529" t="str">
        <v>Webber Tanks Inc</v>
      </c>
      <c r="BH529" t="str">
        <v>blendSAF</v>
      </c>
      <c r="BI529" t="str">
        <v/>
      </c>
      <c r="BJ529" t="str">
        <v/>
      </c>
      <c r="BK529" t="str">
        <v/>
      </c>
      <c r="BL529" t="str">
        <v/>
      </c>
      <c r="BM529" t="str">
        <v/>
      </c>
      <c r="BY529" t="str">
        <v>processor</v>
      </c>
      <c r="BZ529" t="str">
        <v>Martin Energy Services Llc 4</v>
      </c>
      <c r="CA529" t="str">
        <v>blendSAF</v>
      </c>
      <c r="CB529" t="str">
        <v/>
      </c>
      <c r="CC529" t="str">
        <v/>
      </c>
      <c r="CD529" t="str">
        <v/>
      </c>
      <c r="CE529" t="str">
        <v/>
      </c>
      <c r="CF529" t="str">
        <v/>
      </c>
    </row>
    <row r="530" spans="58:84" x14ac:dyDescent="0.3">
      <c r="BF530" t="str">
        <v>processor</v>
      </c>
      <c r="BG530" t="str">
        <v>Petroleum Fuel And Terminal Company 17</v>
      </c>
      <c r="BH530" t="str">
        <v>blendSAF</v>
      </c>
      <c r="BI530" t="str">
        <v/>
      </c>
      <c r="BJ530" t="str">
        <v/>
      </c>
      <c r="BK530" t="str">
        <v/>
      </c>
      <c r="BL530" t="str">
        <v/>
      </c>
      <c r="BM530" t="str">
        <v/>
      </c>
      <c r="BY530" t="str">
        <v>processor</v>
      </c>
      <c r="BZ530" t="str">
        <v>Martin Energy Services Llc 7</v>
      </c>
      <c r="CA530" t="str">
        <v>blendSAF</v>
      </c>
      <c r="CB530" t="str">
        <v/>
      </c>
      <c r="CC530" t="str">
        <v/>
      </c>
      <c r="CD530" t="str">
        <v/>
      </c>
      <c r="CE530" t="str">
        <v/>
      </c>
      <c r="CF530" t="str">
        <v/>
      </c>
    </row>
    <row r="531" spans="58:84" x14ac:dyDescent="0.3">
      <c r="BF531" t="str">
        <v>processor</v>
      </c>
      <c r="BG531" t="str">
        <v>Petroleum Fuel And Terminal Company 18</v>
      </c>
      <c r="BH531" t="str">
        <v>blendSAF</v>
      </c>
      <c r="BI531" t="str">
        <v/>
      </c>
      <c r="BJ531" t="str">
        <v/>
      </c>
      <c r="BK531" t="str">
        <v/>
      </c>
      <c r="BL531" t="str">
        <v/>
      </c>
      <c r="BM531" t="str">
        <v/>
      </c>
      <c r="BY531" t="str">
        <v>processor</v>
      </c>
      <c r="BZ531" t="str">
        <v>Martin Energy Services Llc 8</v>
      </c>
      <c r="CA531" t="str">
        <v>blendSAF</v>
      </c>
      <c r="CB531" t="str">
        <v/>
      </c>
      <c r="CC531" t="str">
        <v/>
      </c>
      <c r="CD531" t="str">
        <v/>
      </c>
      <c r="CE531" t="str">
        <v/>
      </c>
      <c r="CF531" t="str">
        <v/>
      </c>
    </row>
    <row r="532" spans="58:84" x14ac:dyDescent="0.3">
      <c r="BF532" t="str">
        <v>processor</v>
      </c>
      <c r="BG532" t="str">
        <v>Petroleum Fuel &amp; Terminal Co 1</v>
      </c>
      <c r="BH532" t="str">
        <v>blendSAF</v>
      </c>
      <c r="BI532" t="str">
        <v/>
      </c>
      <c r="BJ532" t="str">
        <v/>
      </c>
      <c r="BK532" t="str">
        <v/>
      </c>
      <c r="BL532" t="str">
        <v/>
      </c>
      <c r="BM532" t="str">
        <v/>
      </c>
      <c r="BY532" t="str">
        <v>processor</v>
      </c>
      <c r="BZ532" t="str">
        <v>Martin Energy Services Llc 9</v>
      </c>
      <c r="CA532" t="str">
        <v>blendSAF</v>
      </c>
      <c r="CB532" t="str">
        <v/>
      </c>
      <c r="CC532" t="str">
        <v/>
      </c>
      <c r="CD532" t="str">
        <v/>
      </c>
      <c r="CE532" t="str">
        <v/>
      </c>
      <c r="CF532" t="str">
        <v/>
      </c>
    </row>
    <row r="533" spans="58:84" x14ac:dyDescent="0.3">
      <c r="BF533" t="str">
        <v>processor</v>
      </c>
      <c r="BG533" t="str">
        <v>Petroleum Fuel &amp; Terminal Co 15</v>
      </c>
      <c r="BH533" t="str">
        <v>blendSAF</v>
      </c>
      <c r="BI533" t="str">
        <v/>
      </c>
      <c r="BJ533" t="str">
        <v/>
      </c>
      <c r="BK533" t="str">
        <v/>
      </c>
      <c r="BL533" t="str">
        <v/>
      </c>
      <c r="BM533" t="str">
        <v/>
      </c>
      <c r="BY533" t="str">
        <v>processor</v>
      </c>
      <c r="BZ533" t="str">
        <v>Martin Energy Services Llc 10</v>
      </c>
      <c r="CA533" t="str">
        <v>blendSAF</v>
      </c>
      <c r="CB533" t="str">
        <v/>
      </c>
      <c r="CC533" t="str">
        <v/>
      </c>
      <c r="CD533" t="str">
        <v/>
      </c>
      <c r="CE533" t="str">
        <v/>
      </c>
      <c r="CF533" t="str">
        <v/>
      </c>
    </row>
    <row r="534" spans="58:84" x14ac:dyDescent="0.3">
      <c r="BF534" t="str">
        <v>processor</v>
      </c>
      <c r="BG534" t="str">
        <v>Pike Baltimore Terminals Llc</v>
      </c>
      <c r="BH534" t="str">
        <v>blendSAF</v>
      </c>
      <c r="BI534" t="str">
        <v/>
      </c>
      <c r="BJ534" t="str">
        <v/>
      </c>
      <c r="BK534" t="str">
        <v/>
      </c>
      <c r="BL534" t="str">
        <v/>
      </c>
      <c r="BM534" t="str">
        <v/>
      </c>
      <c r="BY534" t="str">
        <v>processor</v>
      </c>
      <c r="BZ534" t="str">
        <v>Gulf Gateway Terminal Llc</v>
      </c>
      <c r="CA534" t="str">
        <v>blendSAF</v>
      </c>
      <c r="CB534" t="str">
        <v/>
      </c>
      <c r="CC534" t="str">
        <v/>
      </c>
      <c r="CD534" t="str">
        <v/>
      </c>
      <c r="CE534" t="str">
        <v/>
      </c>
      <c r="CF534" t="str">
        <v/>
      </c>
    </row>
    <row r="535" spans="58:84" x14ac:dyDescent="0.3">
      <c r="BF535" t="str">
        <v>processor</v>
      </c>
      <c r="BG535" t="str">
        <v>Buckeye Terminals Llc 20</v>
      </c>
      <c r="BH535" t="str">
        <v>blendSAF</v>
      </c>
      <c r="BI535" t="str">
        <v/>
      </c>
      <c r="BJ535" t="str">
        <v/>
      </c>
      <c r="BK535" t="str">
        <v/>
      </c>
      <c r="BL535" t="str">
        <v/>
      </c>
      <c r="BM535" t="str">
        <v/>
      </c>
      <c r="BY535" t="str">
        <v>processor</v>
      </c>
      <c r="BZ535" t="str">
        <v>Lbc Baton Rouge</v>
      </c>
      <c r="CA535" t="str">
        <v>blendSAF</v>
      </c>
      <c r="CB535" t="str">
        <v/>
      </c>
      <c r="CC535" t="str">
        <v/>
      </c>
      <c r="CD535" t="str">
        <v/>
      </c>
      <c r="CE535" t="str">
        <v/>
      </c>
      <c r="CF535" t="str">
        <v/>
      </c>
    </row>
    <row r="536" spans="58:84" x14ac:dyDescent="0.3">
      <c r="BF536" t="str">
        <v>processor</v>
      </c>
      <c r="BG536" t="str">
        <v>Sunoco Logistics 20</v>
      </c>
      <c r="BH536" t="str">
        <v>blendSAF</v>
      </c>
      <c r="BI536" t="str">
        <v/>
      </c>
      <c r="BJ536" t="str">
        <v/>
      </c>
      <c r="BK536" t="str">
        <v/>
      </c>
      <c r="BL536" t="str">
        <v/>
      </c>
      <c r="BM536" t="str">
        <v/>
      </c>
      <c r="BY536" t="str">
        <v>processor</v>
      </c>
      <c r="BZ536" t="str">
        <v>Shell Oil Products Us 4</v>
      </c>
      <c r="CA536" t="str">
        <v>blendSAF</v>
      </c>
      <c r="CB536" t="str">
        <v/>
      </c>
      <c r="CC536" t="str">
        <v/>
      </c>
      <c r="CD536" t="str">
        <v/>
      </c>
      <c r="CE536" t="str">
        <v/>
      </c>
      <c r="CF536" t="str">
        <v/>
      </c>
    </row>
    <row r="537" spans="58:84" x14ac:dyDescent="0.3">
      <c r="BF537" t="str">
        <v>processor</v>
      </c>
      <c r="BG537" t="str">
        <v>Energy Transfer</v>
      </c>
      <c r="BH537" t="str">
        <v>blendSAF</v>
      </c>
      <c r="BI537" t="str">
        <v/>
      </c>
      <c r="BJ537" t="str">
        <v/>
      </c>
      <c r="BK537" t="str">
        <v/>
      </c>
      <c r="BL537" t="str">
        <v/>
      </c>
      <c r="BM537" t="str">
        <v/>
      </c>
      <c r="BY537" t="str">
        <v>processor</v>
      </c>
      <c r="BZ537" t="str">
        <v>Stolthaven New Orleans Llc</v>
      </c>
      <c r="CA537" t="str">
        <v>blendSAF</v>
      </c>
      <c r="CB537" t="str">
        <v/>
      </c>
      <c r="CC537" t="str">
        <v/>
      </c>
      <c r="CD537" t="str">
        <v/>
      </c>
      <c r="CE537" t="str">
        <v/>
      </c>
      <c r="CF537" t="str">
        <v/>
      </c>
    </row>
    <row r="538" spans="58:84" x14ac:dyDescent="0.3">
      <c r="BF538" t="str">
        <v>processor</v>
      </c>
      <c r="BG538" t="str">
        <v>Sunoco Llc 1</v>
      </c>
      <c r="BH538" t="str">
        <v>blendSAF</v>
      </c>
      <c r="BI538" t="str">
        <v/>
      </c>
      <c r="BJ538" t="str">
        <v/>
      </c>
      <c r="BK538" t="str">
        <v/>
      </c>
      <c r="BL538" t="str">
        <v/>
      </c>
      <c r="BM538" t="str">
        <v/>
      </c>
      <c r="BY538" t="str">
        <v>processor</v>
      </c>
      <c r="BZ538" t="str">
        <v>Targa Midstream Services Llc 3</v>
      </c>
      <c r="CA538" t="str">
        <v>blendSAF</v>
      </c>
      <c r="CB538" t="str">
        <v/>
      </c>
      <c r="CC538" t="str">
        <v/>
      </c>
      <c r="CD538" t="str">
        <v/>
      </c>
      <c r="CE538" t="str">
        <v/>
      </c>
      <c r="CF538" t="str">
        <v/>
      </c>
    </row>
    <row r="539" spans="58:84" x14ac:dyDescent="0.3">
      <c r="BF539" t="str">
        <v>processor</v>
      </c>
      <c r="BG539" t="str">
        <v>Kinder Morgan Liq Termls Llc 5</v>
      </c>
      <c r="BH539" t="str">
        <v>blendSAF</v>
      </c>
      <c r="BI539" t="str">
        <v/>
      </c>
      <c r="BJ539" t="str">
        <v/>
      </c>
      <c r="BK539" t="str">
        <v/>
      </c>
      <c r="BL539" t="str">
        <v/>
      </c>
      <c r="BM539" t="str">
        <v/>
      </c>
      <c r="BY539" t="str">
        <v>processor</v>
      </c>
      <c r="BZ539" t="str">
        <v>Valero Marketing &amp; Supply Co 32</v>
      </c>
      <c r="CA539" t="str">
        <v>blendSAF</v>
      </c>
      <c r="CB539" t="str">
        <v/>
      </c>
      <c r="CC539" t="str">
        <v/>
      </c>
      <c r="CD539" t="str">
        <v/>
      </c>
      <c r="CE539" t="str">
        <v/>
      </c>
      <c r="CF539" t="str">
        <v/>
      </c>
    </row>
    <row r="540" spans="58:84" x14ac:dyDescent="0.3">
      <c r="BF540" t="str">
        <v>processor</v>
      </c>
      <c r="BG540" t="str">
        <v>Citgo Petro Corp 7</v>
      </c>
      <c r="BH540" t="str">
        <v>blendSAF</v>
      </c>
      <c r="BI540" t="str">
        <v/>
      </c>
      <c r="BJ540" t="str">
        <v/>
      </c>
      <c r="BK540" t="str">
        <v/>
      </c>
      <c r="BL540" t="str">
        <v/>
      </c>
      <c r="BM540" t="str">
        <v/>
      </c>
      <c r="BY540" t="str">
        <v>processor</v>
      </c>
      <c r="BZ540" t="str">
        <v>Bwc Terminals Llc 7</v>
      </c>
      <c r="CA540" t="str">
        <v>blendSAF</v>
      </c>
      <c r="CB540" t="str">
        <v/>
      </c>
      <c r="CC540" t="str">
        <v/>
      </c>
      <c r="CD540" t="str">
        <v/>
      </c>
      <c r="CE540" t="str">
        <v/>
      </c>
      <c r="CF540" t="str">
        <v/>
      </c>
    </row>
    <row r="541" spans="58:84" x14ac:dyDescent="0.3">
      <c r="BF541" t="str">
        <v>processor</v>
      </c>
      <c r="BG541" t="str">
        <v>Motiva Enterprises Llc 3</v>
      </c>
      <c r="BH541" t="str">
        <v>blendSAF</v>
      </c>
      <c r="BI541" t="str">
        <v/>
      </c>
      <c r="BJ541" t="str">
        <v/>
      </c>
      <c r="BK541" t="str">
        <v/>
      </c>
      <c r="BL541" t="str">
        <v/>
      </c>
      <c r="BM541" t="str">
        <v/>
      </c>
      <c r="BY541" t="str">
        <v>processor</v>
      </c>
      <c r="BZ541" t="str">
        <v>Bwc Terminals Llc 3</v>
      </c>
      <c r="CA541" t="str">
        <v>blendSAF</v>
      </c>
      <c r="CB541" t="str">
        <v/>
      </c>
      <c r="CC541" t="str">
        <v/>
      </c>
      <c r="CD541" t="str">
        <v/>
      </c>
      <c r="CE541" t="str">
        <v/>
      </c>
      <c r="CF541" t="str">
        <v/>
      </c>
    </row>
    <row r="542" spans="58:84" x14ac:dyDescent="0.3">
      <c r="BF542" t="str">
        <v>processor</v>
      </c>
      <c r="BG542" t="str">
        <v>Gulf Oil Lp 1</v>
      </c>
      <c r="BH542" t="str">
        <v>blendSAF</v>
      </c>
      <c r="BI542" t="str">
        <v/>
      </c>
      <c r="BJ542" t="str">
        <v/>
      </c>
      <c r="BK542" t="str">
        <v/>
      </c>
      <c r="BL542" t="str">
        <v/>
      </c>
      <c r="BM542" t="str">
        <v/>
      </c>
      <c r="BY542" t="str">
        <v>processor</v>
      </c>
      <c r="BZ542" t="str">
        <v>Gulf Oil Lp 4</v>
      </c>
      <c r="CA542" t="str">
        <v>blendSAF</v>
      </c>
      <c r="CB542" t="str">
        <v/>
      </c>
      <c r="CC542" t="str">
        <v/>
      </c>
      <c r="CD542" t="str">
        <v/>
      </c>
      <c r="CE542" t="str">
        <v/>
      </c>
      <c r="CF542" t="str">
        <v/>
      </c>
    </row>
    <row r="543" spans="58:84" x14ac:dyDescent="0.3">
      <c r="BF543" t="str">
        <v>processor</v>
      </c>
      <c r="BG543" t="str">
        <v>Buckeye Terminals Llc 99</v>
      </c>
      <c r="BH543" t="str">
        <v>blendSAF</v>
      </c>
      <c r="BI543" t="str">
        <v/>
      </c>
      <c r="BJ543" t="str">
        <v/>
      </c>
      <c r="BK543" t="str">
        <v/>
      </c>
      <c r="BL543" t="str">
        <v/>
      </c>
      <c r="BM543" t="str">
        <v/>
      </c>
      <c r="BY543" t="str">
        <v>processor</v>
      </c>
      <c r="BZ543" t="str">
        <v>Buckeye Terminals Llc 21</v>
      </c>
      <c r="CA543" t="str">
        <v>blendSAF</v>
      </c>
      <c r="CB543" t="str">
        <v/>
      </c>
      <c r="CC543" t="str">
        <v/>
      </c>
      <c r="CD543" t="str">
        <v/>
      </c>
      <c r="CE543" t="str">
        <v/>
      </c>
      <c r="CF543" t="str">
        <v/>
      </c>
    </row>
    <row r="544" spans="58:84" x14ac:dyDescent="0.3">
      <c r="BF544" t="str">
        <v>processor</v>
      </c>
      <c r="BG544" t="str">
        <v>Sunoco Logistics 31</v>
      </c>
      <c r="BH544" t="str">
        <v>blendSAF</v>
      </c>
      <c r="BI544" t="str">
        <v/>
      </c>
      <c r="BJ544" t="str">
        <v/>
      </c>
      <c r="BK544" t="str">
        <v/>
      </c>
      <c r="BL544" t="str">
        <v/>
      </c>
      <c r="BM544" t="str">
        <v/>
      </c>
      <c r="BY544" t="str">
        <v>processor</v>
      </c>
      <c r="BZ544" t="str">
        <v>Cold Brook Energy Inc</v>
      </c>
      <c r="CA544" t="str">
        <v>blendSAF</v>
      </c>
      <c r="CB544" t="str">
        <v/>
      </c>
      <c r="CC544" t="str">
        <v/>
      </c>
      <c r="CD544" t="str">
        <v/>
      </c>
      <c r="CE544" t="str">
        <v/>
      </c>
      <c r="CF544" t="str">
        <v/>
      </c>
    </row>
    <row r="545" spans="58:84" x14ac:dyDescent="0.3">
      <c r="BF545" t="str">
        <v>processor</v>
      </c>
      <c r="BG545" t="str">
        <v>Global Co Llc 3</v>
      </c>
      <c r="BH545" t="str">
        <v>blendSAF</v>
      </c>
      <c r="BI545" t="str">
        <v/>
      </c>
      <c r="BJ545" t="str">
        <v/>
      </c>
      <c r="BK545" t="str">
        <v/>
      </c>
      <c r="BL545" t="str">
        <v/>
      </c>
      <c r="BM545" t="str">
        <v/>
      </c>
      <c r="BY545" t="str">
        <v>processor</v>
      </c>
      <c r="BZ545" t="str">
        <v>Global Co Llc 9</v>
      </c>
      <c r="CA545" t="str">
        <v>blendSAF</v>
      </c>
      <c r="CB545" t="str">
        <v/>
      </c>
      <c r="CC545" t="str">
        <v/>
      </c>
      <c r="CD545" t="str">
        <v/>
      </c>
      <c r="CE545" t="str">
        <v/>
      </c>
      <c r="CF545" t="str">
        <v/>
      </c>
    </row>
    <row r="546" spans="58:84" x14ac:dyDescent="0.3">
      <c r="BF546" t="str">
        <v>processor</v>
      </c>
      <c r="BG546" t="str">
        <v>Global Co Llc 10</v>
      </c>
      <c r="BH546" t="str">
        <v>blendSAF</v>
      </c>
      <c r="BI546" t="str">
        <v/>
      </c>
      <c r="BJ546" t="str">
        <v/>
      </c>
      <c r="BK546" t="str">
        <v/>
      </c>
      <c r="BL546" t="str">
        <v/>
      </c>
      <c r="BM546" t="str">
        <v/>
      </c>
      <c r="BY546" t="str">
        <v>processor</v>
      </c>
      <c r="BZ546" t="str">
        <v>Sprague Operating Resources Llc 10</v>
      </c>
      <c r="CA546" t="str">
        <v>blendSAF</v>
      </c>
      <c r="CB546" t="str">
        <v/>
      </c>
      <c r="CC546" t="str">
        <v/>
      </c>
      <c r="CD546" t="str">
        <v/>
      </c>
      <c r="CE546" t="str">
        <v/>
      </c>
      <c r="CF546" t="str">
        <v/>
      </c>
    </row>
    <row r="547" spans="58:84" x14ac:dyDescent="0.3">
      <c r="BF547" t="str">
        <v>processor</v>
      </c>
      <c r="BG547" t="str">
        <v>Global Companies Llc 17</v>
      </c>
      <c r="BH547" t="str">
        <v>blendSAF</v>
      </c>
      <c r="BI547" t="str">
        <v/>
      </c>
      <c r="BJ547" t="str">
        <v/>
      </c>
      <c r="BK547" t="str">
        <v/>
      </c>
      <c r="BL547" t="str">
        <v/>
      </c>
      <c r="BM547" t="str">
        <v/>
      </c>
      <c r="BY547" t="str">
        <v>processor</v>
      </c>
      <c r="BZ547" t="str">
        <v>Sprague Operating Resources Llc 9</v>
      </c>
      <c r="CA547" t="str">
        <v>blendSAF</v>
      </c>
      <c r="CB547" t="str">
        <v/>
      </c>
      <c r="CC547" t="str">
        <v/>
      </c>
      <c r="CD547" t="str">
        <v/>
      </c>
      <c r="CE547" t="str">
        <v/>
      </c>
      <c r="CF547" t="str">
        <v/>
      </c>
    </row>
    <row r="548" spans="58:84" x14ac:dyDescent="0.3">
      <c r="BF548" t="str">
        <v>processor</v>
      </c>
      <c r="BG548" t="str">
        <v>Harbor Fuel Oil Corp</v>
      </c>
      <c r="BH548" t="str">
        <v>blendSAF</v>
      </c>
      <c r="BI548" t="str">
        <v/>
      </c>
      <c r="BJ548" t="str">
        <v/>
      </c>
      <c r="BK548" t="str">
        <v/>
      </c>
      <c r="BL548" t="str">
        <v/>
      </c>
      <c r="BM548" t="str">
        <v/>
      </c>
      <c r="BY548" t="str">
        <v>processor</v>
      </c>
      <c r="BZ548" t="str">
        <v>Irving Oil Terminals Inc 7</v>
      </c>
      <c r="CA548" t="str">
        <v>blendSAF</v>
      </c>
      <c r="CB548" t="str">
        <v/>
      </c>
      <c r="CC548" t="str">
        <v/>
      </c>
      <c r="CD548" t="str">
        <v/>
      </c>
      <c r="CE548" t="str">
        <v/>
      </c>
      <c r="CF548" t="str">
        <v/>
      </c>
    </row>
    <row r="549" spans="58:84" x14ac:dyDescent="0.3">
      <c r="BF549" t="str">
        <v>processor</v>
      </c>
      <c r="BG549" t="str">
        <v>Sprague Operating Resources Llc 6</v>
      </c>
      <c r="BH549" t="str">
        <v>blendSAF</v>
      </c>
      <c r="BI549" t="str">
        <v/>
      </c>
      <c r="BJ549" t="str">
        <v/>
      </c>
      <c r="BK549" t="str">
        <v/>
      </c>
      <c r="BL549" t="str">
        <v/>
      </c>
      <c r="BM549" t="str">
        <v/>
      </c>
      <c r="BY549" t="str">
        <v>processor</v>
      </c>
      <c r="BZ549" t="str">
        <v>Citgo Petro Corp 24</v>
      </c>
      <c r="CA549" t="str">
        <v>blendSAF</v>
      </c>
      <c r="CB549" t="str">
        <v/>
      </c>
      <c r="CC549" t="str">
        <v/>
      </c>
      <c r="CD549" t="str">
        <v/>
      </c>
      <c r="CE549" t="str">
        <v/>
      </c>
      <c r="CF549" t="str">
        <v/>
      </c>
    </row>
    <row r="550" spans="58:84" x14ac:dyDescent="0.3">
      <c r="BF550" t="str">
        <v>processor</v>
      </c>
      <c r="BG550" t="str">
        <v>Sprague Operating Resources Llc 7</v>
      </c>
      <c r="BH550" t="str">
        <v>blendSAF</v>
      </c>
      <c r="BI550" t="str">
        <v/>
      </c>
      <c r="BJ550" t="str">
        <v/>
      </c>
      <c r="BK550" t="str">
        <v/>
      </c>
      <c r="BL550" t="str">
        <v/>
      </c>
      <c r="BM550" t="str">
        <v/>
      </c>
      <c r="BY550" t="str">
        <v>processor</v>
      </c>
      <c r="BZ550" t="str">
        <v>South Portland Terminal Llc</v>
      </c>
      <c r="CA550" t="str">
        <v>blendSAF</v>
      </c>
      <c r="CB550" t="str">
        <v/>
      </c>
      <c r="CC550" t="str">
        <v/>
      </c>
      <c r="CD550" t="str">
        <v/>
      </c>
      <c r="CE550" t="str">
        <v/>
      </c>
      <c r="CF550" t="str">
        <v/>
      </c>
    </row>
    <row r="551" spans="58:84" x14ac:dyDescent="0.3">
      <c r="BF551" t="str">
        <v>processor</v>
      </c>
      <c r="BG551" t="str">
        <v>Sprague Operating Resources Llc 11</v>
      </c>
      <c r="BH551" t="str">
        <v>blendSAF</v>
      </c>
      <c r="BI551" t="str">
        <v/>
      </c>
      <c r="BJ551" t="str">
        <v/>
      </c>
      <c r="BK551" t="str">
        <v/>
      </c>
      <c r="BL551" t="str">
        <v/>
      </c>
      <c r="BM551" t="str">
        <v/>
      </c>
      <c r="BY551" t="str">
        <v>processor</v>
      </c>
      <c r="BZ551" t="str">
        <v>Webber Tanks Inc</v>
      </c>
      <c r="CA551" t="str">
        <v>blendSAF</v>
      </c>
      <c r="CB551" t="str">
        <v/>
      </c>
      <c r="CC551" t="str">
        <v/>
      </c>
      <c r="CD551" t="str">
        <v/>
      </c>
      <c r="CE551" t="str">
        <v/>
      </c>
      <c r="CF551" t="str">
        <v/>
      </c>
    </row>
    <row r="552" spans="58:84" x14ac:dyDescent="0.3">
      <c r="BF552" t="str">
        <v>processor</v>
      </c>
      <c r="BG552" t="str">
        <v>Sprague Operating Resources Llc 12</v>
      </c>
      <c r="BH552" t="str">
        <v>blendSAF</v>
      </c>
      <c r="BI552" t="str">
        <v/>
      </c>
      <c r="BJ552" t="str">
        <v/>
      </c>
      <c r="BK552" t="str">
        <v/>
      </c>
      <c r="BL552" t="str">
        <v/>
      </c>
      <c r="BM552" t="str">
        <v/>
      </c>
      <c r="BY552" t="str">
        <v>processor</v>
      </c>
      <c r="BZ552" t="str">
        <v>Petroleum Fuel And Terminal Company 17</v>
      </c>
      <c r="CA552" t="str">
        <v>blendSAF</v>
      </c>
      <c r="CB552" t="str">
        <v/>
      </c>
      <c r="CC552" t="str">
        <v/>
      </c>
      <c r="CD552" t="str">
        <v/>
      </c>
      <c r="CE552" t="str">
        <v/>
      </c>
      <c r="CF552" t="str">
        <v/>
      </c>
    </row>
    <row r="553" spans="58:84" x14ac:dyDescent="0.3">
      <c r="BF553" t="str">
        <v>processor</v>
      </c>
      <c r="BG553" t="str">
        <v>Irving Oil Terminals Inc 6</v>
      </c>
      <c r="BH553" t="str">
        <v>blendSAF</v>
      </c>
      <c r="BI553" t="str">
        <v/>
      </c>
      <c r="BJ553" t="str">
        <v/>
      </c>
      <c r="BK553" t="str">
        <v/>
      </c>
      <c r="BL553" t="str">
        <v/>
      </c>
      <c r="BM553" t="str">
        <v/>
      </c>
      <c r="BY553" t="str">
        <v>processor</v>
      </c>
      <c r="BZ553" t="str">
        <v>Petroleum Fuel And Terminal Company 18</v>
      </c>
      <c r="CA553" t="str">
        <v>blendSAF</v>
      </c>
      <c r="CB553" t="str">
        <v/>
      </c>
      <c r="CC553" t="str">
        <v/>
      </c>
      <c r="CD553" t="str">
        <v/>
      </c>
      <c r="CE553" t="str">
        <v/>
      </c>
      <c r="CF553" t="str">
        <v/>
      </c>
    </row>
    <row r="554" spans="58:84" x14ac:dyDescent="0.3">
      <c r="BF554" t="str">
        <v>processor</v>
      </c>
      <c r="BG554" t="str">
        <v>Peterson Oil Service Inc</v>
      </c>
      <c r="BH554" t="str">
        <v>blendSAF</v>
      </c>
      <c r="BI554" t="str">
        <v/>
      </c>
      <c r="BJ554" t="str">
        <v/>
      </c>
      <c r="BK554" t="str">
        <v/>
      </c>
      <c r="BL554" t="str">
        <v/>
      </c>
      <c r="BM554" t="str">
        <v/>
      </c>
      <c r="BY554" t="str">
        <v>processor</v>
      </c>
      <c r="BZ554" t="str">
        <v>Petroleum Fuel &amp; Terminal Co 1</v>
      </c>
      <c r="CA554" t="str">
        <v>blendSAF</v>
      </c>
      <c r="CB554" t="str">
        <v/>
      </c>
      <c r="CC554" t="str">
        <v/>
      </c>
      <c r="CD554" t="str">
        <v/>
      </c>
      <c r="CE554" t="str">
        <v/>
      </c>
      <c r="CF554" t="str">
        <v/>
      </c>
    </row>
    <row r="555" spans="58:84" x14ac:dyDescent="0.3">
      <c r="BF555" t="str">
        <v>processor</v>
      </c>
      <c r="BG555" t="str">
        <v>Citgo Petro Corp 13</v>
      </c>
      <c r="BH555" t="str">
        <v>blendSAF</v>
      </c>
      <c r="BI555" t="str">
        <v/>
      </c>
      <c r="BJ555" t="str">
        <v/>
      </c>
      <c r="BK555" t="str">
        <v/>
      </c>
      <c r="BL555" t="str">
        <v/>
      </c>
      <c r="BM555" t="str">
        <v/>
      </c>
      <c r="BY555" t="str">
        <v>processor</v>
      </c>
      <c r="BZ555" t="str">
        <v>Petroleum Fuel &amp; Terminal Co 15</v>
      </c>
      <c r="CA555" t="str">
        <v>blendSAF</v>
      </c>
      <c r="CB555" t="str">
        <v/>
      </c>
      <c r="CC555" t="str">
        <v/>
      </c>
      <c r="CD555" t="str">
        <v/>
      </c>
      <c r="CE555" t="str">
        <v/>
      </c>
      <c r="CF555" t="str">
        <v/>
      </c>
    </row>
    <row r="556" spans="58:84" x14ac:dyDescent="0.3">
      <c r="BF556" t="str">
        <v>processor</v>
      </c>
      <c r="BG556" t="str">
        <v>Springfield Terminal Inc 18</v>
      </c>
      <c r="BH556" t="str">
        <v>blendSAF</v>
      </c>
      <c r="BI556" t="str">
        <v/>
      </c>
      <c r="BJ556" t="str">
        <v/>
      </c>
      <c r="BK556" t="str">
        <v/>
      </c>
      <c r="BL556" t="str">
        <v/>
      </c>
      <c r="BM556" t="str">
        <v/>
      </c>
      <c r="BY556" t="str">
        <v>processor</v>
      </c>
      <c r="BZ556" t="str">
        <v>Pike Baltimore Terminals Llc</v>
      </c>
      <c r="CA556" t="str">
        <v>blendSAF</v>
      </c>
      <c r="CB556" t="str">
        <v/>
      </c>
      <c r="CC556" t="str">
        <v/>
      </c>
      <c r="CD556" t="str">
        <v/>
      </c>
      <c r="CE556" t="str">
        <v/>
      </c>
      <c r="CF556" t="str">
        <v/>
      </c>
    </row>
    <row r="557" spans="58:84" x14ac:dyDescent="0.3">
      <c r="BF557" t="str">
        <v>processor</v>
      </c>
      <c r="BG557" t="str">
        <v>Springfield Terminal Inc 19</v>
      </c>
      <c r="BH557" t="str">
        <v>blendSAF</v>
      </c>
      <c r="BI557" t="str">
        <v/>
      </c>
      <c r="BJ557" t="str">
        <v/>
      </c>
      <c r="BK557" t="str">
        <v/>
      </c>
      <c r="BL557" t="str">
        <v/>
      </c>
      <c r="BM557" t="str">
        <v/>
      </c>
      <c r="BY557" t="str">
        <v>processor</v>
      </c>
      <c r="BZ557" t="str">
        <v>Buckeye Terminals Llc 20</v>
      </c>
      <c r="CA557" t="str">
        <v>blendSAF</v>
      </c>
      <c r="CB557" t="str">
        <v/>
      </c>
      <c r="CC557" t="str">
        <v/>
      </c>
      <c r="CD557" t="str">
        <v/>
      </c>
      <c r="CE557" t="str">
        <v/>
      </c>
      <c r="CF557" t="str">
        <v/>
      </c>
    </row>
    <row r="558" spans="58:84" x14ac:dyDescent="0.3">
      <c r="BF558" t="str">
        <v>processor</v>
      </c>
      <c r="BG558" t="str">
        <v>Surner Heating Co Inc</v>
      </c>
      <c r="BH558" t="str">
        <v>blendSAF</v>
      </c>
      <c r="BI558" t="str">
        <v/>
      </c>
      <c r="BJ558" t="str">
        <v/>
      </c>
      <c r="BK558" t="str">
        <v/>
      </c>
      <c r="BL558" t="str">
        <v/>
      </c>
      <c r="BM558" t="str">
        <v/>
      </c>
      <c r="BY558" t="str">
        <v>processor</v>
      </c>
      <c r="BZ558" t="str">
        <v>Sunoco Logistics 20</v>
      </c>
      <c r="CA558" t="str">
        <v>blendSAF</v>
      </c>
      <c r="CB558" t="str">
        <v/>
      </c>
      <c r="CC558" t="str">
        <v/>
      </c>
      <c r="CD558" t="str">
        <v/>
      </c>
      <c r="CE558" t="str">
        <v/>
      </c>
      <c r="CF558" t="str">
        <v/>
      </c>
    </row>
    <row r="559" spans="58:84" x14ac:dyDescent="0.3">
      <c r="BF559" t="str">
        <v>processor</v>
      </c>
      <c r="BG559" t="str">
        <v>Us Venture Inc 3</v>
      </c>
      <c r="BH559" t="str">
        <v>blendSAF</v>
      </c>
      <c r="BI559" t="str">
        <v/>
      </c>
      <c r="BJ559" t="str">
        <v/>
      </c>
      <c r="BK559" t="str">
        <v/>
      </c>
      <c r="BL559" t="str">
        <v/>
      </c>
      <c r="BM559" t="str">
        <v/>
      </c>
      <c r="BY559" t="str">
        <v>processor</v>
      </c>
      <c r="BZ559" t="str">
        <v>Energy Transfer</v>
      </c>
      <c r="CA559" t="str">
        <v>blendSAF</v>
      </c>
      <c r="CB559" t="str">
        <v/>
      </c>
      <c r="CC559" t="str">
        <v/>
      </c>
      <c r="CD559" t="str">
        <v/>
      </c>
      <c r="CE559" t="str">
        <v/>
      </c>
      <c r="CF559" t="str">
        <v/>
      </c>
    </row>
    <row r="560" spans="58:84" x14ac:dyDescent="0.3">
      <c r="BF560" t="str">
        <v>processor</v>
      </c>
      <c r="BG560" t="str">
        <v>Us Venture Inc 27</v>
      </c>
      <c r="BH560" t="str">
        <v>blendSAF</v>
      </c>
      <c r="BI560" t="str">
        <v/>
      </c>
      <c r="BJ560" t="str">
        <v/>
      </c>
      <c r="BK560" t="str">
        <v/>
      </c>
      <c r="BL560" t="str">
        <v/>
      </c>
      <c r="BM560" t="str">
        <v/>
      </c>
      <c r="BY560" t="str">
        <v>processor</v>
      </c>
      <c r="BZ560" t="str">
        <v>Sunoco Llc 1</v>
      </c>
      <c r="CA560" t="str">
        <v>blendSAF</v>
      </c>
      <c r="CB560" t="str">
        <v/>
      </c>
      <c r="CC560" t="str">
        <v/>
      </c>
      <c r="CD560" t="str">
        <v/>
      </c>
      <c r="CE560" t="str">
        <v/>
      </c>
      <c r="CF560" t="str">
        <v/>
      </c>
    </row>
    <row r="561" spans="58:84" x14ac:dyDescent="0.3">
      <c r="BF561" t="str">
        <v>processor</v>
      </c>
      <c r="BG561" t="str">
        <v>Buckeye Terminals Llc 98</v>
      </c>
      <c r="BH561" t="str">
        <v>blendSAF</v>
      </c>
      <c r="BI561" t="str">
        <v/>
      </c>
      <c r="BJ561" t="str">
        <v/>
      </c>
      <c r="BK561" t="str">
        <v/>
      </c>
      <c r="BL561" t="str">
        <v/>
      </c>
      <c r="BM561" t="str">
        <v/>
      </c>
      <c r="BY561" t="str">
        <v>processor</v>
      </c>
      <c r="BZ561" t="str">
        <v>Kinder Morgan Liq Termls Llc 5</v>
      </c>
      <c r="CA561" t="str">
        <v>blendSAF</v>
      </c>
      <c r="CB561" t="str">
        <v/>
      </c>
      <c r="CC561" t="str">
        <v/>
      </c>
      <c r="CD561" t="str">
        <v/>
      </c>
      <c r="CE561" t="str">
        <v/>
      </c>
      <c r="CF561" t="str">
        <v/>
      </c>
    </row>
    <row r="562" spans="58:84" x14ac:dyDescent="0.3">
      <c r="BF562" t="str">
        <v>processor</v>
      </c>
      <c r="BG562" t="str">
        <v>Buckeye Terminals Llc 69</v>
      </c>
      <c r="BH562" t="str">
        <v>blendSAF</v>
      </c>
      <c r="BI562" t="str">
        <v/>
      </c>
      <c r="BJ562" t="str">
        <v/>
      </c>
      <c r="BK562" t="str">
        <v/>
      </c>
      <c r="BL562" t="str">
        <v/>
      </c>
      <c r="BM562" t="str">
        <v/>
      </c>
      <c r="BY562" t="str">
        <v>processor</v>
      </c>
      <c r="BZ562" t="str">
        <v>Citgo Petro Corp 7</v>
      </c>
      <c r="CA562" t="str">
        <v>blendSAF</v>
      </c>
      <c r="CB562" t="str">
        <v/>
      </c>
      <c r="CC562" t="str">
        <v/>
      </c>
      <c r="CD562" t="str">
        <v/>
      </c>
      <c r="CE562" t="str">
        <v/>
      </c>
      <c r="CF562" t="str">
        <v/>
      </c>
    </row>
    <row r="563" spans="58:84" x14ac:dyDescent="0.3">
      <c r="BF563" t="str">
        <v>processor</v>
      </c>
      <c r="BG563" t="str">
        <v>Buckeye Terminals Llc 42</v>
      </c>
      <c r="BH563" t="str">
        <v>blendSAF</v>
      </c>
      <c r="BI563" t="str">
        <v/>
      </c>
      <c r="BJ563" t="str">
        <v/>
      </c>
      <c r="BK563" t="str">
        <v/>
      </c>
      <c r="BL563" t="str">
        <v/>
      </c>
      <c r="BM563" t="str">
        <v/>
      </c>
      <c r="BY563" t="str">
        <v>processor</v>
      </c>
      <c r="BZ563" t="str">
        <v>Motiva Enterprises Llc 3</v>
      </c>
      <c r="CA563" t="str">
        <v>blendSAF</v>
      </c>
      <c r="CB563" t="str">
        <v/>
      </c>
      <c r="CC563" t="str">
        <v/>
      </c>
      <c r="CD563" t="str">
        <v/>
      </c>
      <c r="CE563" t="str">
        <v/>
      </c>
      <c r="CF563" t="str">
        <v/>
      </c>
    </row>
    <row r="564" spans="58:84" x14ac:dyDescent="0.3">
      <c r="BF564" t="str">
        <v>processor</v>
      </c>
      <c r="BG564" t="str">
        <v>Buckeye Terminals Llc 48</v>
      </c>
      <c r="BH564" t="str">
        <v>blendSAF</v>
      </c>
      <c r="BI564" t="str">
        <v/>
      </c>
      <c r="BJ564" t="str">
        <v/>
      </c>
      <c r="BK564" t="str">
        <v/>
      </c>
      <c r="BL564" t="str">
        <v/>
      </c>
      <c r="BM564" t="str">
        <v/>
      </c>
      <c r="BY564" t="str">
        <v>processor</v>
      </c>
      <c r="BZ564" t="str">
        <v>Gulf Oil Lp 1</v>
      </c>
      <c r="CA564" t="str">
        <v>blendSAF</v>
      </c>
      <c r="CB564" t="str">
        <v/>
      </c>
      <c r="CC564" t="str">
        <v/>
      </c>
      <c r="CD564" t="str">
        <v/>
      </c>
      <c r="CE564" t="str">
        <v/>
      </c>
      <c r="CF564" t="str">
        <v/>
      </c>
    </row>
    <row r="565" spans="58:84" x14ac:dyDescent="0.3">
      <c r="BF565" t="str">
        <v>processor</v>
      </c>
      <c r="BG565" t="str">
        <v>Buckeye Terminals Llc 77</v>
      </c>
      <c r="BH565" t="str">
        <v>blendSAF</v>
      </c>
      <c r="BI565" t="str">
        <v/>
      </c>
      <c r="BJ565" t="str">
        <v/>
      </c>
      <c r="BK565" t="str">
        <v/>
      </c>
      <c r="BL565" t="str">
        <v/>
      </c>
      <c r="BM565" t="str">
        <v/>
      </c>
      <c r="BY565" t="str">
        <v>processor</v>
      </c>
      <c r="BZ565" t="str">
        <v>Buckeye Terminals Llc 99</v>
      </c>
      <c r="CA565" t="str">
        <v>blendSAF</v>
      </c>
      <c r="CB565" t="str">
        <v/>
      </c>
      <c r="CC565" t="str">
        <v/>
      </c>
      <c r="CD565" t="str">
        <v/>
      </c>
      <c r="CE565" t="str">
        <v/>
      </c>
      <c r="CF565" t="str">
        <v/>
      </c>
    </row>
    <row r="566" spans="58:84" x14ac:dyDescent="0.3">
      <c r="BF566" t="str">
        <v>processor</v>
      </c>
      <c r="BG566" t="str">
        <v>Buckeye Terminals Llc 78</v>
      </c>
      <c r="BH566" t="str">
        <v>blendSAF</v>
      </c>
      <c r="BI566" t="str">
        <v/>
      </c>
      <c r="BJ566" t="str">
        <v/>
      </c>
      <c r="BK566" t="str">
        <v/>
      </c>
      <c r="BL566" t="str">
        <v/>
      </c>
      <c r="BM566" t="str">
        <v/>
      </c>
      <c r="BY566" t="str">
        <v>processor</v>
      </c>
      <c r="BZ566" t="str">
        <v>Sunoco Logistics 31</v>
      </c>
      <c r="CA566" t="str">
        <v>blendSAF</v>
      </c>
      <c r="CB566" t="str">
        <v/>
      </c>
      <c r="CC566" t="str">
        <v/>
      </c>
      <c r="CD566" t="str">
        <v/>
      </c>
      <c r="CE566" t="str">
        <v/>
      </c>
      <c r="CF566" t="str">
        <v/>
      </c>
    </row>
    <row r="567" spans="58:84" x14ac:dyDescent="0.3">
      <c r="BF567" t="str">
        <v>processor</v>
      </c>
      <c r="BG567" t="str">
        <v>Buckeye Terminals Llc 103</v>
      </c>
      <c r="BH567" t="str">
        <v>blendSAF</v>
      </c>
      <c r="BI567" t="str">
        <v/>
      </c>
      <c r="BJ567" t="str">
        <v/>
      </c>
      <c r="BK567" t="str">
        <v/>
      </c>
      <c r="BL567" t="str">
        <v/>
      </c>
      <c r="BM567" t="str">
        <v/>
      </c>
      <c r="BY567" t="str">
        <v>processor</v>
      </c>
      <c r="BZ567" t="str">
        <v>Global Co Llc 3</v>
      </c>
      <c r="CA567" t="str">
        <v>blendSAF</v>
      </c>
      <c r="CB567" t="str">
        <v/>
      </c>
      <c r="CC567" t="str">
        <v/>
      </c>
      <c r="CD567" t="str">
        <v/>
      </c>
      <c r="CE567" t="str">
        <v/>
      </c>
      <c r="CF567" t="str">
        <v/>
      </c>
    </row>
    <row r="568" spans="58:84" x14ac:dyDescent="0.3">
      <c r="BF568" t="str">
        <v>processor</v>
      </c>
      <c r="BG568" t="str">
        <v>Buckeye Terminals Llc 113</v>
      </c>
      <c r="BH568" t="str">
        <v>blendSAF</v>
      </c>
      <c r="BI568" t="str">
        <v/>
      </c>
      <c r="BJ568" t="str">
        <v/>
      </c>
      <c r="BK568" t="str">
        <v/>
      </c>
      <c r="BL568" t="str">
        <v/>
      </c>
      <c r="BM568" t="str">
        <v/>
      </c>
      <c r="BY568" t="str">
        <v>processor</v>
      </c>
      <c r="BZ568" t="str">
        <v>Global Co Llc 10</v>
      </c>
      <c r="CA568" t="str">
        <v>blendSAF</v>
      </c>
      <c r="CB568" t="str">
        <v/>
      </c>
      <c r="CC568" t="str">
        <v/>
      </c>
      <c r="CD568" t="str">
        <v/>
      </c>
      <c r="CE568" t="str">
        <v/>
      </c>
      <c r="CF568" t="str">
        <v/>
      </c>
    </row>
    <row r="569" spans="58:84" x14ac:dyDescent="0.3">
      <c r="BF569" t="str">
        <v>processor</v>
      </c>
      <c r="BG569" t="str">
        <v>Buckeye Terminals Llc 90</v>
      </c>
      <c r="BH569" t="str">
        <v>blendSAF</v>
      </c>
      <c r="BI569" t="str">
        <v/>
      </c>
      <c r="BJ569" t="str">
        <v/>
      </c>
      <c r="BK569" t="str">
        <v/>
      </c>
      <c r="BL569" t="str">
        <v/>
      </c>
      <c r="BM569" t="str">
        <v/>
      </c>
      <c r="BY569" t="str">
        <v>processor</v>
      </c>
      <c r="BZ569" t="str">
        <v>Global Companies Llc 17</v>
      </c>
      <c r="CA569" t="str">
        <v>blendSAF</v>
      </c>
      <c r="CB569" t="str">
        <v/>
      </c>
      <c r="CC569" t="str">
        <v/>
      </c>
      <c r="CD569" t="str">
        <v/>
      </c>
      <c r="CE569" t="str">
        <v/>
      </c>
      <c r="CF569" t="str">
        <v/>
      </c>
    </row>
    <row r="570" spans="58:84" x14ac:dyDescent="0.3">
      <c r="BF570" t="str">
        <v>processor</v>
      </c>
      <c r="BG570" t="str">
        <v>Buckeye Terminals Llc 59</v>
      </c>
      <c r="BH570" t="str">
        <v>blendSAF</v>
      </c>
      <c r="BI570" t="str">
        <v/>
      </c>
      <c r="BJ570" t="str">
        <v/>
      </c>
      <c r="BK570" t="str">
        <v/>
      </c>
      <c r="BL570" t="str">
        <v/>
      </c>
      <c r="BM570" t="str">
        <v/>
      </c>
      <c r="BY570" t="str">
        <v>processor</v>
      </c>
      <c r="BZ570" t="str">
        <v>Harbor Fuel Oil Corp</v>
      </c>
      <c r="CA570" t="str">
        <v>blendSAF</v>
      </c>
      <c r="CB570" t="str">
        <v/>
      </c>
      <c r="CC570" t="str">
        <v/>
      </c>
      <c r="CD570" t="str">
        <v/>
      </c>
      <c r="CE570" t="str">
        <v/>
      </c>
      <c r="CF570" t="str">
        <v/>
      </c>
    </row>
    <row r="571" spans="58:84" x14ac:dyDescent="0.3">
      <c r="BF571" t="str">
        <v>processor</v>
      </c>
      <c r="BG571" t="str">
        <v>Buckeye Terminals Llc 104</v>
      </c>
      <c r="BH571" t="str">
        <v>blendSAF</v>
      </c>
      <c r="BI571" t="str">
        <v/>
      </c>
      <c r="BJ571" t="str">
        <v/>
      </c>
      <c r="BK571" t="str">
        <v/>
      </c>
      <c r="BL571" t="str">
        <v/>
      </c>
      <c r="BM571" t="str">
        <v/>
      </c>
      <c r="BY571" t="str">
        <v>processor</v>
      </c>
      <c r="BZ571" t="str">
        <v>Sprague Operating Resources Llc 6</v>
      </c>
      <c r="CA571" t="str">
        <v>blendSAF</v>
      </c>
      <c r="CB571" t="str">
        <v/>
      </c>
      <c r="CC571" t="str">
        <v/>
      </c>
      <c r="CD571" t="str">
        <v/>
      </c>
      <c r="CE571" t="str">
        <v/>
      </c>
      <c r="CF571" t="str">
        <v/>
      </c>
    </row>
    <row r="572" spans="58:84" x14ac:dyDescent="0.3">
      <c r="BF572" t="str">
        <v>processor</v>
      </c>
      <c r="BG572" t="str">
        <v>Buckeye Pipe Line Holdings Lp</v>
      </c>
      <c r="BH572" t="str">
        <v>blendSAF</v>
      </c>
      <c r="BI572" t="str">
        <v/>
      </c>
      <c r="BJ572" t="str">
        <v/>
      </c>
      <c r="BK572" t="str">
        <v/>
      </c>
      <c r="BL572" t="str">
        <v/>
      </c>
      <c r="BM572" t="str">
        <v/>
      </c>
      <c r="BY572" t="str">
        <v>processor</v>
      </c>
      <c r="BZ572" t="str">
        <v>Sprague Operating Resources Llc 7</v>
      </c>
      <c r="CA572" t="str">
        <v>blendSAF</v>
      </c>
      <c r="CB572" t="str">
        <v/>
      </c>
      <c r="CC572" t="str">
        <v/>
      </c>
      <c r="CD572" t="str">
        <v/>
      </c>
      <c r="CE572" t="str">
        <v/>
      </c>
      <c r="CF572" t="str">
        <v/>
      </c>
    </row>
    <row r="573" spans="58:84" x14ac:dyDescent="0.3">
      <c r="BF573" t="str">
        <v>processor</v>
      </c>
      <c r="BG573" t="str">
        <v>Crestwood Services Llc 1</v>
      </c>
      <c r="BH573" t="str">
        <v>blendSAF</v>
      </c>
      <c r="BI573" t="str">
        <v/>
      </c>
      <c r="BJ573" t="str">
        <v/>
      </c>
      <c r="BK573" t="str">
        <v/>
      </c>
      <c r="BL573" t="str">
        <v/>
      </c>
      <c r="BM573" t="str">
        <v/>
      </c>
      <c r="BY573" t="str">
        <v>processor</v>
      </c>
      <c r="BZ573" t="str">
        <v>Sprague Operating Resources Llc 11</v>
      </c>
      <c r="CA573" t="str">
        <v>blendSAF</v>
      </c>
      <c r="CB573" t="str">
        <v/>
      </c>
      <c r="CC573" t="str">
        <v/>
      </c>
      <c r="CD573" t="str">
        <v/>
      </c>
      <c r="CE573" t="str">
        <v/>
      </c>
      <c r="CF573" t="str">
        <v/>
      </c>
    </row>
    <row r="574" spans="58:84" x14ac:dyDescent="0.3">
      <c r="BF574" t="str">
        <v>processor</v>
      </c>
      <c r="BG574" t="str">
        <v>Marysville Hydrocarbons Llc</v>
      </c>
      <c r="BH574" t="str">
        <v>blendSAF</v>
      </c>
      <c r="BI574" t="str">
        <v/>
      </c>
      <c r="BJ574" t="str">
        <v/>
      </c>
      <c r="BK574" t="str">
        <v/>
      </c>
      <c r="BL574" t="str">
        <v/>
      </c>
      <c r="BM574" t="str">
        <v/>
      </c>
      <c r="BY574" t="str">
        <v>processor</v>
      </c>
      <c r="BZ574" t="str">
        <v>Sprague Operating Resources Llc 12</v>
      </c>
      <c r="CA574" t="str">
        <v>blendSAF</v>
      </c>
      <c r="CB574" t="str">
        <v/>
      </c>
      <c r="CC574" t="str">
        <v/>
      </c>
      <c r="CD574" t="str">
        <v/>
      </c>
      <c r="CE574" t="str">
        <v/>
      </c>
      <c r="CF574" t="str">
        <v/>
      </c>
    </row>
    <row r="575" spans="58:84" x14ac:dyDescent="0.3">
      <c r="BF575" t="str">
        <v>processor</v>
      </c>
      <c r="BG575" t="str">
        <v>Sunoco Logistics 30</v>
      </c>
      <c r="BH575" t="str">
        <v>blendSAF</v>
      </c>
      <c r="BI575" t="str">
        <v/>
      </c>
      <c r="BJ575" t="str">
        <v/>
      </c>
      <c r="BK575" t="str">
        <v/>
      </c>
      <c r="BL575" t="str">
        <v/>
      </c>
      <c r="BM575" t="str">
        <v/>
      </c>
      <c r="BY575" t="str">
        <v>processor</v>
      </c>
      <c r="BZ575" t="str">
        <v>Irving Oil Terminals Inc 6</v>
      </c>
      <c r="CA575" t="str">
        <v>blendSAF</v>
      </c>
      <c r="CB575" t="str">
        <v/>
      </c>
      <c r="CC575" t="str">
        <v/>
      </c>
      <c r="CD575" t="str">
        <v/>
      </c>
      <c r="CE575" t="str">
        <v/>
      </c>
      <c r="CF575" t="str">
        <v/>
      </c>
    </row>
    <row r="576" spans="58:84" x14ac:dyDescent="0.3">
      <c r="BF576" t="str">
        <v>processor</v>
      </c>
      <c r="BG576" t="str">
        <v>Sunoco Logistics 44</v>
      </c>
      <c r="BH576" t="str">
        <v>blendSAF</v>
      </c>
      <c r="BI576" t="str">
        <v/>
      </c>
      <c r="BJ576" t="str">
        <v/>
      </c>
      <c r="BK576" t="str">
        <v/>
      </c>
      <c r="BL576" t="str">
        <v/>
      </c>
      <c r="BM576" t="str">
        <v/>
      </c>
      <c r="BY576" t="str">
        <v>processor</v>
      </c>
      <c r="BZ576" t="str">
        <v>Peterson Oil Service Inc</v>
      </c>
      <c r="CA576" t="str">
        <v>blendSAF</v>
      </c>
      <c r="CB576" t="str">
        <v/>
      </c>
      <c r="CC576" t="str">
        <v/>
      </c>
      <c r="CD576" t="str">
        <v/>
      </c>
      <c r="CE576" t="str">
        <v/>
      </c>
      <c r="CF576" t="str">
        <v/>
      </c>
    </row>
    <row r="577" spans="58:84" x14ac:dyDescent="0.3">
      <c r="BF577" t="str">
        <v>processor</v>
      </c>
      <c r="BG577" t="str">
        <v>Sunoco Logistics 35</v>
      </c>
      <c r="BH577" t="str">
        <v>blendSAF</v>
      </c>
      <c r="BI577" t="str">
        <v/>
      </c>
      <c r="BJ577" t="str">
        <v/>
      </c>
      <c r="BK577" t="str">
        <v/>
      </c>
      <c r="BL577" t="str">
        <v/>
      </c>
      <c r="BM577" t="str">
        <v/>
      </c>
      <c r="BY577" t="str">
        <v>processor</v>
      </c>
      <c r="BZ577" t="str">
        <v>Citgo Petro Corp 13</v>
      </c>
      <c r="CA577" t="str">
        <v>blendSAF</v>
      </c>
      <c r="CB577" t="str">
        <v/>
      </c>
      <c r="CC577" t="str">
        <v/>
      </c>
      <c r="CD577" t="str">
        <v/>
      </c>
      <c r="CE577" t="str">
        <v/>
      </c>
      <c r="CF577" t="str">
        <v/>
      </c>
    </row>
    <row r="578" spans="58:84" x14ac:dyDescent="0.3">
      <c r="BF578" t="str">
        <v>processor</v>
      </c>
      <c r="BG578" t="str">
        <v>Sunoco Logistics 47</v>
      </c>
      <c r="BH578" t="str">
        <v>blendSAF</v>
      </c>
      <c r="BI578" t="str">
        <v/>
      </c>
      <c r="BJ578" t="str">
        <v/>
      </c>
      <c r="BK578" t="str">
        <v/>
      </c>
      <c r="BL578" t="str">
        <v/>
      </c>
      <c r="BM578" t="str">
        <v/>
      </c>
      <c r="BY578" t="str">
        <v>processor</v>
      </c>
      <c r="BZ578" t="str">
        <v>Springfield Terminal Inc 18</v>
      </c>
      <c r="CA578" t="str">
        <v>blendSAF</v>
      </c>
      <c r="CB578" t="str">
        <v/>
      </c>
      <c r="CC578" t="str">
        <v/>
      </c>
      <c r="CD578" t="str">
        <v/>
      </c>
      <c r="CE578" t="str">
        <v/>
      </c>
      <c r="CF578" t="str">
        <v/>
      </c>
    </row>
    <row r="579" spans="58:84" x14ac:dyDescent="0.3">
      <c r="BF579" t="str">
        <v>processor</v>
      </c>
      <c r="BG579" t="str">
        <v>Marathon Petroleum Co Llc 6</v>
      </c>
      <c r="BH579" t="str">
        <v>blendSAF</v>
      </c>
      <c r="BI579" t="str">
        <v/>
      </c>
      <c r="BJ579" t="str">
        <v/>
      </c>
      <c r="BK579" t="str">
        <v/>
      </c>
      <c r="BL579" t="str">
        <v/>
      </c>
      <c r="BM579" t="str">
        <v/>
      </c>
      <c r="BY579" t="str">
        <v>processor</v>
      </c>
      <c r="BZ579" t="str">
        <v>Springfield Terminal Inc 19</v>
      </c>
      <c r="CA579" t="str">
        <v>blendSAF</v>
      </c>
      <c r="CB579" t="str">
        <v/>
      </c>
      <c r="CC579" t="str">
        <v/>
      </c>
      <c r="CD579" t="str">
        <v/>
      </c>
      <c r="CE579" t="str">
        <v/>
      </c>
      <c r="CF579" t="str">
        <v/>
      </c>
    </row>
    <row r="580" spans="58:84" x14ac:dyDescent="0.3">
      <c r="BF580" t="str">
        <v>processor</v>
      </c>
      <c r="BG580" t="str">
        <v>Marathon Petroleum Co Llc 15</v>
      </c>
      <c r="BH580" t="str">
        <v>blendSAF</v>
      </c>
      <c r="BI580" t="str">
        <v/>
      </c>
      <c r="BJ580" t="str">
        <v/>
      </c>
      <c r="BK580" t="str">
        <v/>
      </c>
      <c r="BL580" t="str">
        <v/>
      </c>
      <c r="BM580" t="str">
        <v/>
      </c>
      <c r="BY580" t="str">
        <v>processor</v>
      </c>
      <c r="BZ580" t="str">
        <v>Surner Heating Co Inc</v>
      </c>
      <c r="CA580" t="str">
        <v>blendSAF</v>
      </c>
      <c r="CB580" t="str">
        <v/>
      </c>
      <c r="CC580" t="str">
        <v/>
      </c>
      <c r="CD580" t="str">
        <v/>
      </c>
      <c r="CE580" t="str">
        <v/>
      </c>
      <c r="CF580" t="str">
        <v/>
      </c>
    </row>
    <row r="581" spans="58:84" x14ac:dyDescent="0.3">
      <c r="BF581" t="str">
        <v>processor</v>
      </c>
      <c r="BG581" t="str">
        <v>Marathon Pipeline Llc 3</v>
      </c>
      <c r="BH581" t="str">
        <v>blendSAF</v>
      </c>
      <c r="BI581" t="str">
        <v/>
      </c>
      <c r="BJ581" t="str">
        <v/>
      </c>
      <c r="BK581" t="str">
        <v/>
      </c>
      <c r="BL581" t="str">
        <v/>
      </c>
      <c r="BM581" t="str">
        <v/>
      </c>
      <c r="BY581" t="str">
        <v>processor</v>
      </c>
      <c r="BZ581" t="str">
        <v>Us Venture Inc 3</v>
      </c>
      <c r="CA581" t="str">
        <v>blendSAF</v>
      </c>
      <c r="CB581" t="str">
        <v/>
      </c>
      <c r="CC581" t="str">
        <v/>
      </c>
      <c r="CD581" t="str">
        <v/>
      </c>
      <c r="CE581" t="str">
        <v/>
      </c>
      <c r="CF581" t="str">
        <v/>
      </c>
    </row>
    <row r="582" spans="58:84" x14ac:dyDescent="0.3">
      <c r="BF582" t="str">
        <v>processor</v>
      </c>
      <c r="BG582" t="str">
        <v>Mplx Terminals Llc 37</v>
      </c>
      <c r="BH582" t="str">
        <v>blendSAF</v>
      </c>
      <c r="BI582" t="str">
        <v/>
      </c>
      <c r="BJ582" t="str">
        <v/>
      </c>
      <c r="BK582" t="str">
        <v/>
      </c>
      <c r="BL582" t="str">
        <v/>
      </c>
      <c r="BM582" t="str">
        <v/>
      </c>
      <c r="BY582" t="str">
        <v>processor</v>
      </c>
      <c r="BZ582" t="str">
        <v>Us Venture Inc 27</v>
      </c>
      <c r="CA582" t="str">
        <v>blendSAF</v>
      </c>
      <c r="CB582" t="str">
        <v/>
      </c>
      <c r="CC582" t="str">
        <v/>
      </c>
      <c r="CD582" t="str">
        <v/>
      </c>
      <c r="CE582" t="str">
        <v/>
      </c>
      <c r="CF582" t="str">
        <v/>
      </c>
    </row>
    <row r="583" spans="58:84" x14ac:dyDescent="0.3">
      <c r="BF583" t="str">
        <v>processor</v>
      </c>
      <c r="BG583" t="str">
        <v>Mplx Terminals Llc 2</v>
      </c>
      <c r="BH583" t="str">
        <v>blendSAF</v>
      </c>
      <c r="BI583" t="str">
        <v/>
      </c>
      <c r="BJ583" t="str">
        <v/>
      </c>
      <c r="BK583" t="str">
        <v/>
      </c>
      <c r="BL583" t="str">
        <v/>
      </c>
      <c r="BM583" t="str">
        <v/>
      </c>
      <c r="BY583" t="str">
        <v>processor</v>
      </c>
      <c r="BZ583" t="str">
        <v>Buckeye Terminals Llc 98</v>
      </c>
      <c r="CA583" t="str">
        <v>blendSAF</v>
      </c>
      <c r="CB583" t="str">
        <v/>
      </c>
      <c r="CC583" t="str">
        <v/>
      </c>
      <c r="CD583" t="str">
        <v/>
      </c>
      <c r="CE583" t="str">
        <v/>
      </c>
      <c r="CF583" t="str">
        <v/>
      </c>
    </row>
    <row r="584" spans="58:84" x14ac:dyDescent="0.3">
      <c r="BF584" t="str">
        <v>processor</v>
      </c>
      <c r="BG584" t="str">
        <v>Mplx Terminals Llc 46</v>
      </c>
      <c r="BH584" t="str">
        <v>blendSAF</v>
      </c>
      <c r="BI584" t="str">
        <v/>
      </c>
      <c r="BJ584" t="str">
        <v/>
      </c>
      <c r="BK584" t="str">
        <v/>
      </c>
      <c r="BL584" t="str">
        <v/>
      </c>
      <c r="BM584" t="str">
        <v/>
      </c>
      <c r="BY584" t="str">
        <v>processor</v>
      </c>
      <c r="BZ584" t="str">
        <v>Buckeye Terminals Llc 69</v>
      </c>
      <c r="CA584" t="str">
        <v>blendSAF</v>
      </c>
      <c r="CB584" t="str">
        <v/>
      </c>
      <c r="CC584" t="str">
        <v/>
      </c>
      <c r="CD584" t="str">
        <v/>
      </c>
      <c r="CE584" t="str">
        <v/>
      </c>
      <c r="CF584" t="str">
        <v/>
      </c>
    </row>
    <row r="585" spans="58:84" x14ac:dyDescent="0.3">
      <c r="BF585" t="str">
        <v>processor</v>
      </c>
      <c r="BG585" t="str">
        <v>Mplx Terminals Llc 43</v>
      </c>
      <c r="BH585" t="str">
        <v>blendSAF</v>
      </c>
      <c r="BI585" t="str">
        <v/>
      </c>
      <c r="BJ585" t="str">
        <v/>
      </c>
      <c r="BK585" t="str">
        <v/>
      </c>
      <c r="BL585" t="str">
        <v/>
      </c>
      <c r="BM585" t="str">
        <v/>
      </c>
      <c r="BY585" t="str">
        <v>processor</v>
      </c>
      <c r="BZ585" t="str">
        <v>Buckeye Terminals Llc 42</v>
      </c>
      <c r="CA585" t="str">
        <v>blendSAF</v>
      </c>
      <c r="CB585" t="str">
        <v/>
      </c>
      <c r="CC585" t="str">
        <v/>
      </c>
      <c r="CD585" t="str">
        <v/>
      </c>
      <c r="CE585" t="str">
        <v/>
      </c>
      <c r="CF585" t="str">
        <v/>
      </c>
    </row>
    <row r="586" spans="58:84" x14ac:dyDescent="0.3">
      <c r="BF586" t="str">
        <v>processor</v>
      </c>
      <c r="BG586" t="str">
        <v>Mplx Terminals Llc 42</v>
      </c>
      <c r="BH586" t="str">
        <v>blendSAF</v>
      </c>
      <c r="BI586" t="str">
        <v/>
      </c>
      <c r="BJ586" t="str">
        <v/>
      </c>
      <c r="BK586" t="str">
        <v/>
      </c>
      <c r="BL586" t="str">
        <v/>
      </c>
      <c r="BM586" t="str">
        <v/>
      </c>
      <c r="BY586" t="str">
        <v>processor</v>
      </c>
      <c r="BZ586" t="str">
        <v>Buckeye Terminals Llc 48</v>
      </c>
      <c r="CA586" t="str">
        <v>blendSAF</v>
      </c>
      <c r="CB586" t="str">
        <v/>
      </c>
      <c r="CC586" t="str">
        <v/>
      </c>
      <c r="CD586" t="str">
        <v/>
      </c>
      <c r="CE586" t="str">
        <v/>
      </c>
      <c r="CF586" t="str">
        <v/>
      </c>
    </row>
    <row r="587" spans="58:84" x14ac:dyDescent="0.3">
      <c r="BF587" t="str">
        <v>processor</v>
      </c>
      <c r="BG587" t="str">
        <v>Mplx Terminals Llc 26</v>
      </c>
      <c r="BH587" t="str">
        <v>blendSAF</v>
      </c>
      <c r="BI587" t="str">
        <v/>
      </c>
      <c r="BJ587" t="str">
        <v/>
      </c>
      <c r="BK587" t="str">
        <v/>
      </c>
      <c r="BL587" t="str">
        <v/>
      </c>
      <c r="BM587" t="str">
        <v/>
      </c>
      <c r="BY587" t="str">
        <v>processor</v>
      </c>
      <c r="BZ587" t="str">
        <v>Buckeye Terminals Llc 77</v>
      </c>
      <c r="CA587" t="str">
        <v>blendSAF</v>
      </c>
      <c r="CB587" t="str">
        <v/>
      </c>
      <c r="CC587" t="str">
        <v/>
      </c>
      <c r="CD587" t="str">
        <v/>
      </c>
      <c r="CE587" t="str">
        <v/>
      </c>
      <c r="CF587" t="str">
        <v/>
      </c>
    </row>
    <row r="588" spans="58:84" x14ac:dyDescent="0.3">
      <c r="BF588" t="str">
        <v>processor</v>
      </c>
      <c r="BG588" t="str">
        <v>Mplx Terminals Llc 28</v>
      </c>
      <c r="BH588" t="str">
        <v>blendSAF</v>
      </c>
      <c r="BI588" t="str">
        <v/>
      </c>
      <c r="BJ588" t="str">
        <v/>
      </c>
      <c r="BK588" t="str">
        <v/>
      </c>
      <c r="BL588" t="str">
        <v/>
      </c>
      <c r="BM588" t="str">
        <v/>
      </c>
      <c r="BY588" t="str">
        <v>processor</v>
      </c>
      <c r="BZ588" t="str">
        <v>Buckeye Terminals Llc 78</v>
      </c>
      <c r="CA588" t="str">
        <v>blendSAF</v>
      </c>
      <c r="CB588" t="str">
        <v/>
      </c>
      <c r="CC588" t="str">
        <v/>
      </c>
      <c r="CD588" t="str">
        <v/>
      </c>
      <c r="CE588" t="str">
        <v/>
      </c>
      <c r="CF588" t="str">
        <v/>
      </c>
    </row>
    <row r="589" spans="58:84" x14ac:dyDescent="0.3">
      <c r="BF589" t="str">
        <v>processor</v>
      </c>
      <c r="BG589" t="str">
        <v>Mplx Terminals Llc 15</v>
      </c>
      <c r="BH589" t="str">
        <v>blendSAF</v>
      </c>
      <c r="BI589" t="str">
        <v/>
      </c>
      <c r="BJ589" t="str">
        <v/>
      </c>
      <c r="BK589" t="str">
        <v/>
      </c>
      <c r="BL589" t="str">
        <v/>
      </c>
      <c r="BM589" t="str">
        <v/>
      </c>
      <c r="BY589" t="str">
        <v>processor</v>
      </c>
      <c r="BZ589" t="str">
        <v>Buckeye Terminals Llc 103</v>
      </c>
      <c r="CA589" t="str">
        <v>blendSAF</v>
      </c>
      <c r="CB589" t="str">
        <v/>
      </c>
      <c r="CC589" t="str">
        <v/>
      </c>
      <c r="CD589" t="str">
        <v/>
      </c>
      <c r="CE589" t="str">
        <v/>
      </c>
      <c r="CF589" t="str">
        <v/>
      </c>
    </row>
    <row r="590" spans="58:84" x14ac:dyDescent="0.3">
      <c r="BF590" t="str">
        <v>processor</v>
      </c>
      <c r="BG590" t="str">
        <v>Midwest Marine Inc</v>
      </c>
      <c r="BH590" t="str">
        <v>blendSAF</v>
      </c>
      <c r="BI590" t="str">
        <v/>
      </c>
      <c r="BJ590" t="str">
        <v/>
      </c>
      <c r="BK590" t="str">
        <v/>
      </c>
      <c r="BL590" t="str">
        <v/>
      </c>
      <c r="BM590" t="str">
        <v/>
      </c>
      <c r="BY590" t="str">
        <v>processor</v>
      </c>
      <c r="BZ590" t="str">
        <v>Buckeye Terminals Llc 113</v>
      </c>
      <c r="CA590" t="str">
        <v>blendSAF</v>
      </c>
      <c r="CB590" t="str">
        <v/>
      </c>
      <c r="CC590" t="str">
        <v/>
      </c>
      <c r="CD590" t="str">
        <v/>
      </c>
      <c r="CE590" t="str">
        <v/>
      </c>
      <c r="CF590" t="str">
        <v/>
      </c>
    </row>
    <row r="591" spans="58:84" x14ac:dyDescent="0.3">
      <c r="BF591" t="str">
        <v>processor</v>
      </c>
      <c r="BG591" t="str">
        <v>Citgo Petro Corp 15</v>
      </c>
      <c r="BH591" t="str">
        <v>blendSAF</v>
      </c>
      <c r="BI591" t="str">
        <v/>
      </c>
      <c r="BJ591" t="str">
        <v/>
      </c>
      <c r="BK591" t="str">
        <v/>
      </c>
      <c r="BL591" t="str">
        <v/>
      </c>
      <c r="BM591" t="str">
        <v/>
      </c>
      <c r="BY591" t="str">
        <v>processor</v>
      </c>
      <c r="BZ591" t="str">
        <v>Buckeye Terminals Llc 90</v>
      </c>
      <c r="CA591" t="str">
        <v>blendSAF</v>
      </c>
      <c r="CB591" t="str">
        <v/>
      </c>
      <c r="CC591" t="str">
        <v/>
      </c>
      <c r="CD591" t="str">
        <v/>
      </c>
      <c r="CE591" t="str">
        <v/>
      </c>
      <c r="CF591" t="str">
        <v/>
      </c>
    </row>
    <row r="592" spans="58:84" x14ac:dyDescent="0.3">
      <c r="BF592" t="str">
        <v>processor</v>
      </c>
      <c r="BG592" t="str">
        <v>Citgo Petro Corp 17</v>
      </c>
      <c r="BH592" t="str">
        <v>blendSAF</v>
      </c>
      <c r="BI592" t="str">
        <v/>
      </c>
      <c r="BJ592" t="str">
        <v/>
      </c>
      <c r="BK592" t="str">
        <v/>
      </c>
      <c r="BL592" t="str">
        <v/>
      </c>
      <c r="BM592" t="str">
        <v/>
      </c>
      <c r="BY592" t="str">
        <v>processor</v>
      </c>
      <c r="BZ592" t="str">
        <v>Buckeye Terminals Llc 59</v>
      </c>
      <c r="CA592" t="str">
        <v>blendSAF</v>
      </c>
      <c r="CB592" t="str">
        <v/>
      </c>
      <c r="CC592" t="str">
        <v/>
      </c>
      <c r="CD592" t="str">
        <v/>
      </c>
      <c r="CE592" t="str">
        <v/>
      </c>
      <c r="CF592" t="str">
        <v/>
      </c>
    </row>
    <row r="593" spans="58:84" x14ac:dyDescent="0.3">
      <c r="BF593" t="str">
        <v>processor</v>
      </c>
      <c r="BG593" t="str">
        <v>Citgo Petro Corp 21</v>
      </c>
      <c r="BH593" t="str">
        <v>blendSAF</v>
      </c>
      <c r="BI593" t="str">
        <v/>
      </c>
      <c r="BJ593" t="str">
        <v/>
      </c>
      <c r="BK593" t="str">
        <v/>
      </c>
      <c r="BL593" t="str">
        <v/>
      </c>
      <c r="BM593" t="str">
        <v/>
      </c>
      <c r="BY593" t="str">
        <v>processor</v>
      </c>
      <c r="BZ593" t="str">
        <v>Buckeye Terminals Llc 104</v>
      </c>
      <c r="CA593" t="str">
        <v>blendSAF</v>
      </c>
      <c r="CB593" t="str">
        <v/>
      </c>
      <c r="CC593" t="str">
        <v/>
      </c>
      <c r="CD593" t="str">
        <v/>
      </c>
      <c r="CE593" t="str">
        <v/>
      </c>
      <c r="CF593" t="str">
        <v/>
      </c>
    </row>
    <row r="594" spans="58:84" x14ac:dyDescent="0.3">
      <c r="BF594" t="str">
        <v>processor</v>
      </c>
      <c r="BG594" t="str">
        <v>Plains Lpg Services Lp 6</v>
      </c>
      <c r="BH594" t="str">
        <v>blendSAF</v>
      </c>
      <c r="BI594" t="str">
        <v/>
      </c>
      <c r="BJ594" t="str">
        <v/>
      </c>
      <c r="BK594" t="str">
        <v/>
      </c>
      <c r="BL594" t="str">
        <v/>
      </c>
      <c r="BM594" t="str">
        <v/>
      </c>
      <c r="BY594" t="str">
        <v>processor</v>
      </c>
      <c r="BZ594" t="str">
        <v>Buckeye Pipe Line Holdings Lp</v>
      </c>
      <c r="CA594" t="str">
        <v>blendSAF</v>
      </c>
      <c r="CB594" t="str">
        <v/>
      </c>
      <c r="CC594" t="str">
        <v/>
      </c>
      <c r="CD594" t="str">
        <v/>
      </c>
      <c r="CE594" t="str">
        <v/>
      </c>
      <c r="CF594" t="str">
        <v/>
      </c>
    </row>
    <row r="595" spans="58:84" x14ac:dyDescent="0.3">
      <c r="BF595" t="str">
        <v>processor</v>
      </c>
      <c r="BG595" t="str">
        <v>Holland Terminal Inc</v>
      </c>
      <c r="BH595" t="str">
        <v>blendSAF</v>
      </c>
      <c r="BI595" t="str">
        <v/>
      </c>
      <c r="BJ595" t="str">
        <v/>
      </c>
      <c r="BK595" t="str">
        <v/>
      </c>
      <c r="BL595" t="str">
        <v/>
      </c>
      <c r="BM595" t="str">
        <v/>
      </c>
      <c r="BY595" t="str">
        <v>processor</v>
      </c>
      <c r="BZ595" t="str">
        <v>Crestwood Services Llc 1</v>
      </c>
      <c r="CA595" t="str">
        <v>blendSAF</v>
      </c>
      <c r="CB595" t="str">
        <v/>
      </c>
      <c r="CC595" t="str">
        <v/>
      </c>
      <c r="CD595" t="str">
        <v/>
      </c>
      <c r="CE595" t="str">
        <v/>
      </c>
      <c r="CF595" t="str">
        <v/>
      </c>
    </row>
    <row r="596" spans="58:84" x14ac:dyDescent="0.3">
      <c r="BF596" t="str">
        <v>processor</v>
      </c>
      <c r="BG596" t="str">
        <v>Shell Oil Products Us 13</v>
      </c>
      <c r="BH596" t="str">
        <v>blendSAF</v>
      </c>
      <c r="BI596" t="str">
        <v/>
      </c>
      <c r="BJ596" t="str">
        <v/>
      </c>
      <c r="BK596" t="str">
        <v/>
      </c>
      <c r="BL596" t="str">
        <v/>
      </c>
      <c r="BM596" t="str">
        <v/>
      </c>
      <c r="BY596" t="str">
        <v>processor</v>
      </c>
      <c r="BZ596" t="str">
        <v>Marysville Hydrocarbons Llc</v>
      </c>
      <c r="CA596" t="str">
        <v>blendSAF</v>
      </c>
      <c r="CB596" t="str">
        <v/>
      </c>
      <c r="CC596" t="str">
        <v/>
      </c>
      <c r="CD596" t="str">
        <v/>
      </c>
      <c r="CE596" t="str">
        <v/>
      </c>
      <c r="CF596" t="str">
        <v/>
      </c>
    </row>
    <row r="597" spans="58:84" x14ac:dyDescent="0.3">
      <c r="BF597" t="str">
        <v>processor</v>
      </c>
      <c r="BG597" t="str">
        <v>Us Energy Distribution Llc</v>
      </c>
      <c r="BH597" t="str">
        <v>blendSAF</v>
      </c>
      <c r="BI597" t="str">
        <v/>
      </c>
      <c r="BJ597" t="str">
        <v/>
      </c>
      <c r="BK597" t="str">
        <v/>
      </c>
      <c r="BL597" t="str">
        <v/>
      </c>
      <c r="BM597" t="str">
        <v/>
      </c>
      <c r="BY597" t="str">
        <v>processor</v>
      </c>
      <c r="BZ597" t="str">
        <v>Sunoco Logistics 30</v>
      </c>
      <c r="CA597" t="str">
        <v>blendSAF</v>
      </c>
      <c r="CB597" t="str">
        <v/>
      </c>
      <c r="CC597" t="str">
        <v/>
      </c>
      <c r="CD597" t="str">
        <v/>
      </c>
      <c r="CE597" t="str">
        <v/>
      </c>
      <c r="CF597" t="str">
        <v/>
      </c>
    </row>
    <row r="598" spans="58:84" x14ac:dyDescent="0.3">
      <c r="BF598" t="str">
        <v>processor</v>
      </c>
      <c r="BG598" t="str">
        <v>Waterfront Petroleum Terminal</v>
      </c>
      <c r="BH598" t="str">
        <v>blendSAF</v>
      </c>
      <c r="BI598" t="str">
        <v/>
      </c>
      <c r="BJ598" t="str">
        <v/>
      </c>
      <c r="BK598" t="str">
        <v/>
      </c>
      <c r="BL598" t="str">
        <v/>
      </c>
      <c r="BM598" t="str">
        <v/>
      </c>
      <c r="BY598" t="str">
        <v>processor</v>
      </c>
      <c r="BZ598" t="str">
        <v>Sunoco Logistics 44</v>
      </c>
      <c r="CA598" t="str">
        <v>blendSAF</v>
      </c>
      <c r="CB598" t="str">
        <v/>
      </c>
      <c r="CC598" t="str">
        <v/>
      </c>
      <c r="CD598" t="str">
        <v/>
      </c>
      <c r="CE598" t="str">
        <v/>
      </c>
      <c r="CF598" t="str">
        <v/>
      </c>
    </row>
    <row r="599" spans="58:84" x14ac:dyDescent="0.3">
      <c r="BF599" t="str">
        <v>processor</v>
      </c>
      <c r="BG599" t="str">
        <v>Waterfront Petroleum</v>
      </c>
      <c r="BH599" t="str">
        <v>blendSAF</v>
      </c>
      <c r="BI599" t="str">
        <v/>
      </c>
      <c r="BJ599" t="str">
        <v/>
      </c>
      <c r="BK599" t="str">
        <v/>
      </c>
      <c r="BL599" t="str">
        <v/>
      </c>
      <c r="BM599" t="str">
        <v/>
      </c>
      <c r="BY599" t="str">
        <v>processor</v>
      </c>
      <c r="BZ599" t="str">
        <v>Sunoco Logistics 35</v>
      </c>
      <c r="CA599" t="str">
        <v>blendSAF</v>
      </c>
      <c r="CB599" t="str">
        <v/>
      </c>
      <c r="CC599" t="str">
        <v/>
      </c>
      <c r="CD599" t="str">
        <v/>
      </c>
      <c r="CE599" t="str">
        <v/>
      </c>
      <c r="CF599" t="str">
        <v/>
      </c>
    </row>
    <row r="600" spans="58:84" x14ac:dyDescent="0.3">
      <c r="BF600" t="str">
        <v>processor</v>
      </c>
      <c r="BG600" t="str">
        <v>Wolverine Pipeline Company</v>
      </c>
      <c r="BH600" t="str">
        <v>blendSAF</v>
      </c>
      <c r="BI600" t="str">
        <v/>
      </c>
      <c r="BJ600" t="str">
        <v/>
      </c>
      <c r="BK600" t="str">
        <v/>
      </c>
      <c r="BL600" t="str">
        <v/>
      </c>
      <c r="BM600" t="str">
        <v/>
      </c>
      <c r="BY600" t="str">
        <v>processor</v>
      </c>
      <c r="BZ600" t="str">
        <v>Sunoco Logistics 47</v>
      </c>
      <c r="CA600" t="str">
        <v>blendSAF</v>
      </c>
      <c r="CB600" t="str">
        <v/>
      </c>
      <c r="CC600" t="str">
        <v/>
      </c>
      <c r="CD600" t="str">
        <v/>
      </c>
      <c r="CE600" t="str">
        <v/>
      </c>
      <c r="CF600" t="str">
        <v/>
      </c>
    </row>
    <row r="601" spans="58:84" x14ac:dyDescent="0.3">
      <c r="BF601" t="str">
        <v>processor</v>
      </c>
      <c r="BG601" t="str">
        <v>Hess Corp</v>
      </c>
      <c r="BH601" t="str">
        <v>blendSAF</v>
      </c>
      <c r="BI601" t="str">
        <v/>
      </c>
      <c r="BJ601" t="str">
        <v/>
      </c>
      <c r="BK601" t="str">
        <v/>
      </c>
      <c r="BL601" t="str">
        <v/>
      </c>
      <c r="BM601" t="str">
        <v/>
      </c>
      <c r="BY601" t="str">
        <v>processor</v>
      </c>
      <c r="BZ601" t="str">
        <v>Marathon Petroleum Co Llc 6</v>
      </c>
      <c r="CA601" t="str">
        <v>blendSAF</v>
      </c>
      <c r="CB601" t="str">
        <v/>
      </c>
      <c r="CC601" t="str">
        <v/>
      </c>
      <c r="CD601" t="str">
        <v/>
      </c>
      <c r="CE601" t="str">
        <v/>
      </c>
      <c r="CF601" t="str">
        <v/>
      </c>
    </row>
    <row r="602" spans="58:84" x14ac:dyDescent="0.3">
      <c r="BF602" t="str">
        <v>processor</v>
      </c>
      <c r="BG602" t="str">
        <v>Flint Hills Resources Lp 15</v>
      </c>
      <c r="BH602" t="str">
        <v>blendSAF</v>
      </c>
      <c r="BI602" t="str">
        <v/>
      </c>
      <c r="BJ602" t="str">
        <v/>
      </c>
      <c r="BK602" t="str">
        <v/>
      </c>
      <c r="BL602" t="str">
        <v/>
      </c>
      <c r="BM602" t="str">
        <v/>
      </c>
      <c r="BY602" t="str">
        <v>processor</v>
      </c>
      <c r="BZ602" t="str">
        <v>Marathon Petroleum Co Llc 15</v>
      </c>
      <c r="CA602" t="str">
        <v>blendSAF</v>
      </c>
      <c r="CB602" t="str">
        <v/>
      </c>
      <c r="CC602" t="str">
        <v/>
      </c>
      <c r="CD602" t="str">
        <v/>
      </c>
      <c r="CE602" t="str">
        <v/>
      </c>
      <c r="CF602" t="str">
        <v/>
      </c>
    </row>
    <row r="603" spans="58:84" x14ac:dyDescent="0.3">
      <c r="BF603" t="str">
        <v>processor</v>
      </c>
      <c r="BG603" t="str">
        <v>Flint Hill Resources Lp 4</v>
      </c>
      <c r="BH603" t="str">
        <v>blendSAF</v>
      </c>
      <c r="BI603" t="str">
        <v/>
      </c>
      <c r="BJ603" t="str">
        <v/>
      </c>
      <c r="BK603" t="str">
        <v/>
      </c>
      <c r="BL603" t="str">
        <v/>
      </c>
      <c r="BM603" t="str">
        <v/>
      </c>
      <c r="BY603" t="str">
        <v>processor</v>
      </c>
      <c r="BZ603" t="str">
        <v>Marathon Pipeline Llc 3</v>
      </c>
      <c r="CA603" t="str">
        <v>blendSAF</v>
      </c>
      <c r="CB603" t="str">
        <v/>
      </c>
      <c r="CC603" t="str">
        <v/>
      </c>
      <c r="CD603" t="str">
        <v/>
      </c>
      <c r="CE603" t="str">
        <v/>
      </c>
      <c r="CF603" t="str">
        <v/>
      </c>
    </row>
    <row r="604" spans="58:84" x14ac:dyDescent="0.3">
      <c r="BF604" t="str">
        <v>processor</v>
      </c>
      <c r="BG604" t="str">
        <v>Flint Hill Resources Lp 3</v>
      </c>
      <c r="BH604" t="str">
        <v>blendSAF</v>
      </c>
      <c r="BI604" t="str">
        <v/>
      </c>
      <c r="BJ604" t="str">
        <v/>
      </c>
      <c r="BK604" t="str">
        <v/>
      </c>
      <c r="BL604" t="str">
        <v/>
      </c>
      <c r="BM604" t="str">
        <v/>
      </c>
      <c r="BY604" t="str">
        <v>processor</v>
      </c>
      <c r="BZ604" t="str">
        <v>Mplx Terminals Llc 37</v>
      </c>
      <c r="CA604" t="str">
        <v>blendSAF</v>
      </c>
      <c r="CB604" t="str">
        <v/>
      </c>
      <c r="CC604" t="str">
        <v/>
      </c>
      <c r="CD604" t="str">
        <v/>
      </c>
      <c r="CE604" t="str">
        <v/>
      </c>
      <c r="CF604" t="str">
        <v/>
      </c>
    </row>
    <row r="605" spans="58:84" x14ac:dyDescent="0.3">
      <c r="BF605" t="str">
        <v>processor</v>
      </c>
      <c r="BG605" t="str">
        <v>Flint Hills Resources Lp 19</v>
      </c>
      <c r="BH605" t="str">
        <v>blendSAF</v>
      </c>
      <c r="BI605" t="str">
        <v/>
      </c>
      <c r="BJ605" t="str">
        <v/>
      </c>
      <c r="BK605" t="str">
        <v/>
      </c>
      <c r="BL605" t="str">
        <v/>
      </c>
      <c r="BM605" t="str">
        <v/>
      </c>
      <c r="BY605" t="str">
        <v>processor</v>
      </c>
      <c r="BZ605" t="str">
        <v>Mplx Terminals Llc 2</v>
      </c>
      <c r="CA605" t="str">
        <v>blendSAF</v>
      </c>
      <c r="CB605" t="str">
        <v/>
      </c>
      <c r="CC605" t="str">
        <v/>
      </c>
      <c r="CD605" t="str">
        <v/>
      </c>
      <c r="CE605" t="str">
        <v/>
      </c>
      <c r="CF605" t="str">
        <v/>
      </c>
    </row>
    <row r="606" spans="58:84" x14ac:dyDescent="0.3">
      <c r="BF606" t="str">
        <v>processor</v>
      </c>
      <c r="BG606" t="str">
        <v>Husky Energy 1</v>
      </c>
      <c r="BH606" t="str">
        <v>blendSAF</v>
      </c>
      <c r="BI606" t="str">
        <v/>
      </c>
      <c r="BJ606" t="str">
        <v/>
      </c>
      <c r="BK606" t="str">
        <v/>
      </c>
      <c r="BL606" t="str">
        <v/>
      </c>
      <c r="BM606" t="str">
        <v/>
      </c>
      <c r="BY606" t="str">
        <v>processor</v>
      </c>
      <c r="BZ606" t="str">
        <v>Mplx Terminals Llc 46</v>
      </c>
      <c r="CA606" t="str">
        <v>blendSAF</v>
      </c>
      <c r="CB606" t="str">
        <v/>
      </c>
      <c r="CC606" t="str">
        <v/>
      </c>
      <c r="CD606" t="str">
        <v/>
      </c>
      <c r="CE606" t="str">
        <v/>
      </c>
      <c r="CF606" t="str">
        <v/>
      </c>
    </row>
    <row r="607" spans="58:84" x14ac:dyDescent="0.3">
      <c r="BF607" t="str">
        <v>processor</v>
      </c>
      <c r="BG607" t="str">
        <v>Husky Energy 2</v>
      </c>
      <c r="BH607" t="str">
        <v>blendSAF</v>
      </c>
      <c r="BI607" t="str">
        <v/>
      </c>
      <c r="BJ607" t="str">
        <v/>
      </c>
      <c r="BK607" t="str">
        <v/>
      </c>
      <c r="BL607" t="str">
        <v/>
      </c>
      <c r="BM607" t="str">
        <v/>
      </c>
      <c r="BY607" t="str">
        <v>processor</v>
      </c>
      <c r="BZ607" t="str">
        <v>Mplx Terminals Llc 43</v>
      </c>
      <c r="CA607" t="str">
        <v>blendSAF</v>
      </c>
      <c r="CB607" t="str">
        <v/>
      </c>
      <c r="CC607" t="str">
        <v/>
      </c>
      <c r="CD607" t="str">
        <v/>
      </c>
      <c r="CE607" t="str">
        <v/>
      </c>
      <c r="CF607" t="str">
        <v/>
      </c>
    </row>
    <row r="608" spans="58:84" x14ac:dyDescent="0.3">
      <c r="BF608" t="str">
        <v>processor</v>
      </c>
      <c r="BG608" t="str">
        <v>Enterprise Products Operating Lp</v>
      </c>
      <c r="BH608" t="str">
        <v>blendSAF</v>
      </c>
      <c r="BI608" t="str">
        <v/>
      </c>
      <c r="BJ608" t="str">
        <v/>
      </c>
      <c r="BK608" t="str">
        <v/>
      </c>
      <c r="BL608" t="str">
        <v/>
      </c>
      <c r="BM608" t="str">
        <v/>
      </c>
      <c r="BY608" t="str">
        <v>processor</v>
      </c>
      <c r="BZ608" t="str">
        <v>Mplx Terminals Llc 42</v>
      </c>
      <c r="CA608" t="str">
        <v>blendSAF</v>
      </c>
      <c r="CB608" t="str">
        <v/>
      </c>
      <c r="CC608" t="str">
        <v/>
      </c>
      <c r="CD608" t="str">
        <v/>
      </c>
      <c r="CE608" t="str">
        <v/>
      </c>
      <c r="CF608" t="str">
        <v/>
      </c>
    </row>
    <row r="609" spans="58:84" x14ac:dyDescent="0.3">
      <c r="BF609" t="str">
        <v>processor</v>
      </c>
      <c r="BG609" t="str">
        <v>Enterprise Products Operating Llc 9</v>
      </c>
      <c r="BH609" t="str">
        <v>blendSAF</v>
      </c>
      <c r="BI609" t="str">
        <v/>
      </c>
      <c r="BJ609" t="str">
        <v/>
      </c>
      <c r="BK609" t="str">
        <v/>
      </c>
      <c r="BL609" t="str">
        <v/>
      </c>
      <c r="BM609" t="str">
        <v/>
      </c>
      <c r="BY609" t="str">
        <v>processor</v>
      </c>
      <c r="BZ609" t="str">
        <v>Mplx Terminals Llc 26</v>
      </c>
      <c r="CA609" t="str">
        <v>blendSAF</v>
      </c>
      <c r="CB609" t="str">
        <v/>
      </c>
      <c r="CC609" t="str">
        <v/>
      </c>
      <c r="CD609" t="str">
        <v/>
      </c>
      <c r="CE609" t="str">
        <v/>
      </c>
      <c r="CF609" t="str">
        <v/>
      </c>
    </row>
    <row r="610" spans="58:84" x14ac:dyDescent="0.3">
      <c r="BF610" t="str">
        <v>processor</v>
      </c>
      <c r="BG610" t="str">
        <v>Enterprise Terminals &amp; Storage Llc 28</v>
      </c>
      <c r="BH610" t="str">
        <v>blendSAF</v>
      </c>
      <c r="BI610" t="str">
        <v/>
      </c>
      <c r="BJ610" t="str">
        <v/>
      </c>
      <c r="BK610" t="str">
        <v/>
      </c>
      <c r="BL610" t="str">
        <v/>
      </c>
      <c r="BM610" t="str">
        <v/>
      </c>
      <c r="BY610" t="str">
        <v>processor</v>
      </c>
      <c r="BZ610" t="str">
        <v>Mplx Terminals Llc 28</v>
      </c>
      <c r="CA610" t="str">
        <v>blendSAF</v>
      </c>
      <c r="CB610" t="str">
        <v/>
      </c>
      <c r="CC610" t="str">
        <v/>
      </c>
      <c r="CD610" t="str">
        <v/>
      </c>
      <c r="CE610" t="str">
        <v/>
      </c>
      <c r="CF610" t="str">
        <v/>
      </c>
    </row>
    <row r="611" spans="58:84" x14ac:dyDescent="0.3">
      <c r="BF611" t="str">
        <v>processor</v>
      </c>
      <c r="BG611" t="str">
        <v>Enterprise Terminals &amp; Storage Llc 19</v>
      </c>
      <c r="BH611" t="str">
        <v>blendSAF</v>
      </c>
      <c r="BI611" t="str">
        <v/>
      </c>
      <c r="BJ611" t="str">
        <v/>
      </c>
      <c r="BK611" t="str">
        <v/>
      </c>
      <c r="BL611" t="str">
        <v/>
      </c>
      <c r="BM611" t="str">
        <v/>
      </c>
      <c r="BY611" t="str">
        <v>processor</v>
      </c>
      <c r="BZ611" t="str">
        <v>Mplx Terminals Llc 15</v>
      </c>
      <c r="CA611" t="str">
        <v>blendSAF</v>
      </c>
      <c r="CB611" t="str">
        <v/>
      </c>
      <c r="CC611" t="str">
        <v/>
      </c>
      <c r="CD611" t="str">
        <v/>
      </c>
      <c r="CE611" t="str">
        <v/>
      </c>
      <c r="CF611" t="str">
        <v/>
      </c>
    </row>
    <row r="612" spans="58:84" x14ac:dyDescent="0.3">
      <c r="BF612" t="str">
        <v>processor</v>
      </c>
      <c r="BG612" t="str">
        <v>Newport Terminal Corporation</v>
      </c>
      <c r="BH612" t="str">
        <v>blendSAF</v>
      </c>
      <c r="BI612" t="str">
        <v/>
      </c>
      <c r="BJ612" t="str">
        <v/>
      </c>
      <c r="BK612" t="str">
        <v/>
      </c>
      <c r="BL612" t="str">
        <v/>
      </c>
      <c r="BM612" t="str">
        <v/>
      </c>
      <c r="BY612" t="str">
        <v>processor</v>
      </c>
      <c r="BZ612" t="str">
        <v>Midwest Marine Inc</v>
      </c>
      <c r="CA612" t="str">
        <v>blendSAF</v>
      </c>
      <c r="CB612" t="str">
        <v/>
      </c>
      <c r="CC612" t="str">
        <v/>
      </c>
      <c r="CD612" t="str">
        <v/>
      </c>
      <c r="CE612" t="str">
        <v/>
      </c>
      <c r="CF612" t="str">
        <v/>
      </c>
    </row>
    <row r="613" spans="58:84" x14ac:dyDescent="0.3">
      <c r="BF613" t="str">
        <v>processor</v>
      </c>
      <c r="BG613" t="str">
        <v>Kinder Morgan Liq Termls Llc 15</v>
      </c>
      <c r="BH613" t="str">
        <v>blendSAF</v>
      </c>
      <c r="BI613" t="str">
        <v/>
      </c>
      <c r="BJ613" t="str">
        <v/>
      </c>
      <c r="BK613" t="str">
        <v/>
      </c>
      <c r="BL613" t="str">
        <v/>
      </c>
      <c r="BM613" t="str">
        <v/>
      </c>
      <c r="BY613" t="str">
        <v>processor</v>
      </c>
      <c r="BZ613" t="str">
        <v>Citgo Petro Corp 15</v>
      </c>
      <c r="CA613" t="str">
        <v>blendSAF</v>
      </c>
      <c r="CB613" t="str">
        <v/>
      </c>
      <c r="CC613" t="str">
        <v/>
      </c>
      <c r="CD613" t="str">
        <v/>
      </c>
      <c r="CE613" t="str">
        <v/>
      </c>
      <c r="CF613" t="str">
        <v/>
      </c>
    </row>
    <row r="614" spans="58:84" x14ac:dyDescent="0.3">
      <c r="BF614" t="str">
        <v>processor</v>
      </c>
      <c r="BG614" t="str">
        <v>Magellan Pipeline Co Lp 1</v>
      </c>
      <c r="BH614" t="str">
        <v>blendSAF</v>
      </c>
      <c r="BI614" t="str">
        <v/>
      </c>
      <c r="BJ614" t="str">
        <v/>
      </c>
      <c r="BK614" t="str">
        <v/>
      </c>
      <c r="BL614" t="str">
        <v/>
      </c>
      <c r="BM614" t="str">
        <v/>
      </c>
      <c r="BY614" t="str">
        <v>processor</v>
      </c>
      <c r="BZ614" t="str">
        <v>Citgo Petro Corp 17</v>
      </c>
      <c r="CA614" t="str">
        <v>blendSAF</v>
      </c>
      <c r="CB614" t="str">
        <v/>
      </c>
      <c r="CC614" t="str">
        <v/>
      </c>
      <c r="CD614" t="str">
        <v/>
      </c>
      <c r="CE614" t="str">
        <v/>
      </c>
      <c r="CF614" t="str">
        <v/>
      </c>
    </row>
    <row r="615" spans="58:84" x14ac:dyDescent="0.3">
      <c r="BF615" t="str">
        <v>processor</v>
      </c>
      <c r="BG615" t="str">
        <v>Magellan Pipeline Co Lp 23</v>
      </c>
      <c r="BH615" t="str">
        <v>blendSAF</v>
      </c>
      <c r="BI615" t="str">
        <v/>
      </c>
      <c r="BJ615" t="str">
        <v/>
      </c>
      <c r="BK615" t="str">
        <v/>
      </c>
      <c r="BL615" t="str">
        <v/>
      </c>
      <c r="BM615" t="str">
        <v/>
      </c>
      <c r="BY615" t="str">
        <v>processor</v>
      </c>
      <c r="BZ615" t="str">
        <v>Citgo Petro Corp 21</v>
      </c>
      <c r="CA615" t="str">
        <v>blendSAF</v>
      </c>
      <c r="CB615" t="str">
        <v/>
      </c>
      <c r="CC615" t="str">
        <v/>
      </c>
      <c r="CD615" t="str">
        <v/>
      </c>
      <c r="CE615" t="str">
        <v/>
      </c>
      <c r="CF615" t="str">
        <v/>
      </c>
    </row>
    <row r="616" spans="58:84" x14ac:dyDescent="0.3">
      <c r="BF616" t="str">
        <v>processor</v>
      </c>
      <c r="BG616" t="str">
        <v>Magellan Pipeline Co Lp 24</v>
      </c>
      <c r="BH616" t="str">
        <v>blendSAF</v>
      </c>
      <c r="BI616" t="str">
        <v/>
      </c>
      <c r="BJ616" t="str">
        <v/>
      </c>
      <c r="BK616" t="str">
        <v/>
      </c>
      <c r="BL616" t="str">
        <v/>
      </c>
      <c r="BM616" t="str">
        <v/>
      </c>
      <c r="BY616" t="str">
        <v>processor</v>
      </c>
      <c r="BZ616" t="str">
        <v>Plains Lpg Services Lp 6</v>
      </c>
      <c r="CA616" t="str">
        <v>blendSAF</v>
      </c>
      <c r="CB616" t="str">
        <v/>
      </c>
      <c r="CC616" t="str">
        <v/>
      </c>
      <c r="CD616" t="str">
        <v/>
      </c>
      <c r="CE616" t="str">
        <v/>
      </c>
      <c r="CF616" t="str">
        <v/>
      </c>
    </row>
    <row r="617" spans="58:84" x14ac:dyDescent="0.3">
      <c r="BF617" t="str">
        <v>processor</v>
      </c>
      <c r="BG617" t="str">
        <v>Magellan Pipeline Co Lp 40</v>
      </c>
      <c r="BH617" t="str">
        <v>blendSAF</v>
      </c>
      <c r="BI617" t="str">
        <v/>
      </c>
      <c r="BJ617" t="str">
        <v/>
      </c>
      <c r="BK617" t="str">
        <v/>
      </c>
      <c r="BL617" t="str">
        <v/>
      </c>
      <c r="BM617" t="str">
        <v/>
      </c>
      <c r="BY617" t="str">
        <v>processor</v>
      </c>
      <c r="BZ617" t="str">
        <v>Holland Terminal Inc</v>
      </c>
      <c r="CA617" t="str">
        <v>blendSAF</v>
      </c>
      <c r="CB617" t="str">
        <v/>
      </c>
      <c r="CC617" t="str">
        <v/>
      </c>
      <c r="CD617" t="str">
        <v/>
      </c>
      <c r="CE617" t="str">
        <v/>
      </c>
      <c r="CF617" t="str">
        <v/>
      </c>
    </row>
    <row r="618" spans="58:84" x14ac:dyDescent="0.3">
      <c r="BF618" t="str">
        <v>processor</v>
      </c>
      <c r="BG618" t="str">
        <v>Magellan Pipeline Co Lp 28</v>
      </c>
      <c r="BH618" t="str">
        <v>blendSAF</v>
      </c>
      <c r="BI618" t="str">
        <v/>
      </c>
      <c r="BJ618" t="str">
        <v/>
      </c>
      <c r="BK618" t="str">
        <v/>
      </c>
      <c r="BL618" t="str">
        <v/>
      </c>
      <c r="BM618" t="str">
        <v/>
      </c>
      <c r="BY618" t="str">
        <v>processor</v>
      </c>
      <c r="BZ618" t="str">
        <v>Shell Oil Products Us 13</v>
      </c>
      <c r="CA618" t="str">
        <v>blendSAF</v>
      </c>
      <c r="CB618" t="str">
        <v/>
      </c>
      <c r="CC618" t="str">
        <v/>
      </c>
      <c r="CD618" t="str">
        <v/>
      </c>
      <c r="CE618" t="str">
        <v/>
      </c>
      <c r="CF618" t="str">
        <v/>
      </c>
    </row>
    <row r="619" spans="58:84" x14ac:dyDescent="0.3">
      <c r="BF619" t="str">
        <v>processor</v>
      </c>
      <c r="BG619" t="str">
        <v>Magellan Pipeline  Co Lp</v>
      </c>
      <c r="BH619" t="str">
        <v>blendSAF</v>
      </c>
      <c r="BI619" t="str">
        <v/>
      </c>
      <c r="BJ619" t="str">
        <v/>
      </c>
      <c r="BK619" t="str">
        <v/>
      </c>
      <c r="BL619" t="str">
        <v/>
      </c>
      <c r="BM619" t="str">
        <v/>
      </c>
      <c r="BY619" t="str">
        <v>processor</v>
      </c>
      <c r="BZ619" t="str">
        <v>Us Energy Distribution Llc</v>
      </c>
      <c r="CA619" t="str">
        <v>blendSAF</v>
      </c>
      <c r="CB619" t="str">
        <v/>
      </c>
      <c r="CC619" t="str">
        <v/>
      </c>
      <c r="CD619" t="str">
        <v/>
      </c>
      <c r="CE619" t="str">
        <v/>
      </c>
      <c r="CF619" t="str">
        <v/>
      </c>
    </row>
    <row r="620" spans="58:84" x14ac:dyDescent="0.3">
      <c r="BF620" t="str">
        <v>processor</v>
      </c>
      <c r="BG620" t="str">
        <v>Ngl Supply Wholesale Llc 5</v>
      </c>
      <c r="BH620" t="str">
        <v>blendSAF</v>
      </c>
      <c r="BI620" t="str">
        <v/>
      </c>
      <c r="BJ620" t="str">
        <v/>
      </c>
      <c r="BK620" t="str">
        <v/>
      </c>
      <c r="BL620" t="str">
        <v/>
      </c>
      <c r="BM620" t="str">
        <v/>
      </c>
      <c r="BY620" t="str">
        <v>processor</v>
      </c>
      <c r="BZ620" t="str">
        <v>Waterfront Petroleum Terminal</v>
      </c>
      <c r="CA620" t="str">
        <v>blendSAF</v>
      </c>
      <c r="CB620" t="str">
        <v/>
      </c>
      <c r="CC620" t="str">
        <v/>
      </c>
      <c r="CD620" t="str">
        <v/>
      </c>
      <c r="CE620" t="str">
        <v/>
      </c>
      <c r="CF620" t="str">
        <v/>
      </c>
    </row>
    <row r="621" spans="58:84" x14ac:dyDescent="0.3">
      <c r="BF621" t="str">
        <v>processor</v>
      </c>
      <c r="BG621" t="str">
        <v>Nustar Energy Lp 27</v>
      </c>
      <c r="BH621" t="str">
        <v>blendSAF</v>
      </c>
      <c r="BI621" t="str">
        <v/>
      </c>
      <c r="BJ621" t="str">
        <v/>
      </c>
      <c r="BK621" t="str">
        <v/>
      </c>
      <c r="BL621" t="str">
        <v/>
      </c>
      <c r="BM621" t="str">
        <v/>
      </c>
      <c r="BY621" t="str">
        <v>processor</v>
      </c>
      <c r="BZ621" t="str">
        <v>Waterfront Petroleum</v>
      </c>
      <c r="CA621" t="str">
        <v>blendSAF</v>
      </c>
      <c r="CB621" t="str">
        <v/>
      </c>
      <c r="CC621" t="str">
        <v/>
      </c>
      <c r="CD621" t="str">
        <v/>
      </c>
      <c r="CE621" t="str">
        <v/>
      </c>
      <c r="CF621" t="str">
        <v/>
      </c>
    </row>
    <row r="622" spans="58:84" x14ac:dyDescent="0.3">
      <c r="BF622" t="str">
        <v>processor</v>
      </c>
      <c r="BG622" t="str">
        <v>Nustar Energy Lp 35</v>
      </c>
      <c r="BH622" t="str">
        <v>blendSAF</v>
      </c>
      <c r="BI622" t="str">
        <v/>
      </c>
      <c r="BJ622" t="str">
        <v/>
      </c>
      <c r="BK622" t="str">
        <v/>
      </c>
      <c r="BL622" t="str">
        <v/>
      </c>
      <c r="BM622" t="str">
        <v/>
      </c>
      <c r="BY622" t="str">
        <v>processor</v>
      </c>
      <c r="BZ622" t="str">
        <v>Wolverine Pipeline Company</v>
      </c>
      <c r="CA622" t="str">
        <v>blendSAF</v>
      </c>
      <c r="CB622" t="str">
        <v/>
      </c>
      <c r="CC622" t="str">
        <v/>
      </c>
      <c r="CD622" t="str">
        <v/>
      </c>
      <c r="CE622" t="str">
        <v/>
      </c>
      <c r="CF622" t="str">
        <v/>
      </c>
    </row>
    <row r="623" spans="58:84" x14ac:dyDescent="0.3">
      <c r="BF623" t="str">
        <v>processor</v>
      </c>
      <c r="BG623" t="str">
        <v>Nustar Energy Lp 39</v>
      </c>
      <c r="BH623" t="str">
        <v>blendSAF</v>
      </c>
      <c r="BI623" t="str">
        <v/>
      </c>
      <c r="BJ623" t="str">
        <v/>
      </c>
      <c r="BK623" t="str">
        <v/>
      </c>
      <c r="BL623" t="str">
        <v/>
      </c>
      <c r="BM623" t="str">
        <v/>
      </c>
      <c r="BY623" t="str">
        <v>processor</v>
      </c>
      <c r="BZ623" t="str">
        <v>Hess Corp</v>
      </c>
      <c r="CA623" t="str">
        <v>blendSAF</v>
      </c>
      <c r="CB623" t="str">
        <v/>
      </c>
      <c r="CC623" t="str">
        <v/>
      </c>
      <c r="CD623" t="str">
        <v/>
      </c>
      <c r="CE623" t="str">
        <v/>
      </c>
      <c r="CF623" t="str">
        <v/>
      </c>
    </row>
    <row r="624" spans="58:84" x14ac:dyDescent="0.3">
      <c r="BF624" t="str">
        <v>processor</v>
      </c>
      <c r="BG624" t="str">
        <v>Pkm Cochin Llc 1</v>
      </c>
      <c r="BH624" t="str">
        <v>blendSAF</v>
      </c>
      <c r="BI624" t="str">
        <v/>
      </c>
      <c r="BJ624" t="str">
        <v/>
      </c>
      <c r="BK624" t="str">
        <v/>
      </c>
      <c r="BL624" t="str">
        <v/>
      </c>
      <c r="BM624" t="str">
        <v/>
      </c>
      <c r="BY624" t="str">
        <v>processor</v>
      </c>
      <c r="BZ624" t="str">
        <v>Flint Hills Resources Lp 15</v>
      </c>
      <c r="CA624" t="str">
        <v>blendSAF</v>
      </c>
      <c r="CB624" t="str">
        <v/>
      </c>
      <c r="CC624" t="str">
        <v/>
      </c>
      <c r="CD624" t="str">
        <v/>
      </c>
      <c r="CE624" t="str">
        <v/>
      </c>
      <c r="CF624" t="str">
        <v/>
      </c>
    </row>
    <row r="625" spans="58:84" x14ac:dyDescent="0.3">
      <c r="BF625" t="str">
        <v>processor</v>
      </c>
      <c r="BG625" t="str">
        <v>Texpar Energy</v>
      </c>
      <c r="BH625" t="str">
        <v>blendSAF</v>
      </c>
      <c r="BI625" t="str">
        <v/>
      </c>
      <c r="BJ625" t="str">
        <v/>
      </c>
      <c r="BK625" t="str">
        <v/>
      </c>
      <c r="BL625" t="str">
        <v/>
      </c>
      <c r="BM625" t="str">
        <v/>
      </c>
      <c r="BY625" t="str">
        <v>processor</v>
      </c>
      <c r="BZ625" t="str">
        <v>Flint Hill Resources Lp 4</v>
      </c>
      <c r="CA625" t="str">
        <v>blendSAF</v>
      </c>
      <c r="CB625" t="str">
        <v/>
      </c>
      <c r="CC625" t="str">
        <v/>
      </c>
      <c r="CD625" t="str">
        <v/>
      </c>
      <c r="CE625" t="str">
        <v/>
      </c>
      <c r="CF625" t="str">
        <v/>
      </c>
    </row>
    <row r="626" spans="58:84" x14ac:dyDescent="0.3">
      <c r="BF626" t="str">
        <v>processor</v>
      </c>
      <c r="BG626" t="str">
        <v>Tiller Corp</v>
      </c>
      <c r="BH626" t="str">
        <v>blendSAF</v>
      </c>
      <c r="BI626" t="str">
        <v/>
      </c>
      <c r="BJ626" t="str">
        <v/>
      </c>
      <c r="BK626" t="str">
        <v/>
      </c>
      <c r="BL626" t="str">
        <v/>
      </c>
      <c r="BM626" t="str">
        <v/>
      </c>
      <c r="BY626" t="str">
        <v>processor</v>
      </c>
      <c r="BZ626" t="str">
        <v>Flint Hill Resources Lp 3</v>
      </c>
      <c r="CA626" t="str">
        <v>blendSAF</v>
      </c>
      <c r="CB626" t="str">
        <v/>
      </c>
      <c r="CC626" t="str">
        <v/>
      </c>
      <c r="CD626" t="str">
        <v/>
      </c>
      <c r="CE626" t="str">
        <v/>
      </c>
      <c r="CF626" t="str">
        <v/>
      </c>
    </row>
    <row r="627" spans="58:84" x14ac:dyDescent="0.3">
      <c r="BF627" t="str">
        <v>processor</v>
      </c>
      <c r="BG627" t="str">
        <v>Owens Corning 9</v>
      </c>
      <c r="BH627" t="str">
        <v>blendSAF</v>
      </c>
      <c r="BI627" t="str">
        <v/>
      </c>
      <c r="BJ627" t="str">
        <v/>
      </c>
      <c r="BK627" t="str">
        <v/>
      </c>
      <c r="BL627" t="str">
        <v/>
      </c>
      <c r="BM627" t="str">
        <v/>
      </c>
      <c r="BY627" t="str">
        <v>processor</v>
      </c>
      <c r="BZ627" t="str">
        <v>Flint Hills Resources Lp 19</v>
      </c>
      <c r="CA627" t="str">
        <v>blendSAF</v>
      </c>
      <c r="CB627" t="str">
        <v/>
      </c>
      <c r="CC627" t="str">
        <v/>
      </c>
      <c r="CD627" t="str">
        <v/>
      </c>
      <c r="CE627" t="str">
        <v/>
      </c>
      <c r="CF627" t="str">
        <v/>
      </c>
    </row>
    <row r="628" spans="58:84" x14ac:dyDescent="0.3">
      <c r="BF628" t="str">
        <v>processor</v>
      </c>
      <c r="BG628" t="str">
        <v>Bwc Terminals Llc 8</v>
      </c>
      <c r="BH628" t="str">
        <v>blendSAF</v>
      </c>
      <c r="BI628" t="str">
        <v/>
      </c>
      <c r="BJ628" t="str">
        <v/>
      </c>
      <c r="BK628" t="str">
        <v/>
      </c>
      <c r="BL628" t="str">
        <v/>
      </c>
      <c r="BM628" t="str">
        <v/>
      </c>
      <c r="BY628" t="str">
        <v>processor</v>
      </c>
      <c r="BZ628" t="str">
        <v>Husky Energy 1</v>
      </c>
      <c r="CA628" t="str">
        <v>blendSAF</v>
      </c>
      <c r="CB628" t="str">
        <v/>
      </c>
      <c r="CC628" t="str">
        <v/>
      </c>
      <c r="CD628" t="str">
        <v/>
      </c>
      <c r="CE628" t="str">
        <v/>
      </c>
      <c r="CF628" t="str">
        <v/>
      </c>
    </row>
    <row r="629" spans="58:84" x14ac:dyDescent="0.3">
      <c r="BF629" t="str">
        <v>processor</v>
      </c>
      <c r="BG629" t="str">
        <v>Chevron Usa Inc Collins</v>
      </c>
      <c r="BH629" t="str">
        <v>blendSAF</v>
      </c>
      <c r="BI629" t="str">
        <v/>
      </c>
      <c r="BJ629" t="str">
        <v/>
      </c>
      <c r="BK629" t="str">
        <v/>
      </c>
      <c r="BL629" t="str">
        <v/>
      </c>
      <c r="BM629" t="str">
        <v/>
      </c>
      <c r="BY629" t="str">
        <v>processor</v>
      </c>
      <c r="BZ629" t="str">
        <v>Husky Energy 2</v>
      </c>
      <c r="CA629" t="str">
        <v>blendSAF</v>
      </c>
      <c r="CB629" t="str">
        <v/>
      </c>
      <c r="CC629" t="str">
        <v/>
      </c>
      <c r="CD629" t="str">
        <v/>
      </c>
      <c r="CE629" t="str">
        <v/>
      </c>
      <c r="CF629" t="str">
        <v/>
      </c>
    </row>
    <row r="630" spans="58:84" x14ac:dyDescent="0.3">
      <c r="BF630" t="str">
        <v>processor</v>
      </c>
      <c r="BG630" t="str">
        <v>Chevron Usa Inc Pascagoula</v>
      </c>
      <c r="BH630" t="str">
        <v>blendSAF</v>
      </c>
      <c r="BI630" t="str">
        <v/>
      </c>
      <c r="BJ630" t="str">
        <v/>
      </c>
      <c r="BK630" t="str">
        <v/>
      </c>
      <c r="BL630" t="str">
        <v/>
      </c>
      <c r="BM630" t="str">
        <v/>
      </c>
      <c r="BY630" t="str">
        <v>processor</v>
      </c>
      <c r="BZ630" t="str">
        <v>Enterprise Products Operating Lp</v>
      </c>
      <c r="CA630" t="str">
        <v>blendSAF</v>
      </c>
      <c r="CB630" t="str">
        <v/>
      </c>
      <c r="CC630" t="str">
        <v/>
      </c>
      <c r="CD630" t="str">
        <v/>
      </c>
      <c r="CE630" t="str">
        <v/>
      </c>
      <c r="CF630" t="str">
        <v/>
      </c>
    </row>
    <row r="631" spans="58:84" x14ac:dyDescent="0.3">
      <c r="BF631" t="str">
        <v>processor</v>
      </c>
      <c r="BG631" t="str">
        <v>Ergon Asphalt &amp; Emulsions Inc 5</v>
      </c>
      <c r="BH631" t="str">
        <v>blendSAF</v>
      </c>
      <c r="BI631" t="str">
        <v/>
      </c>
      <c r="BJ631" t="str">
        <v/>
      </c>
      <c r="BK631" t="str">
        <v/>
      </c>
      <c r="BL631" t="str">
        <v/>
      </c>
      <c r="BM631" t="str">
        <v/>
      </c>
      <c r="BY631" t="str">
        <v>processor</v>
      </c>
      <c r="BZ631" t="str">
        <v>Enterprise Products Operating Llc 9</v>
      </c>
      <c r="CA631" t="str">
        <v>blendSAF</v>
      </c>
      <c r="CB631" t="str">
        <v/>
      </c>
      <c r="CC631" t="str">
        <v/>
      </c>
      <c r="CD631" t="str">
        <v/>
      </c>
      <c r="CE631" t="str">
        <v/>
      </c>
      <c r="CF631" t="str">
        <v/>
      </c>
    </row>
    <row r="632" spans="58:84" x14ac:dyDescent="0.3">
      <c r="BF632" t="str">
        <v>processor</v>
      </c>
      <c r="BG632" t="str">
        <v>Murphy Oil Usa Inc 53</v>
      </c>
      <c r="BH632" t="str">
        <v>blendSAF</v>
      </c>
      <c r="BI632" t="str">
        <v/>
      </c>
      <c r="BJ632" t="str">
        <v/>
      </c>
      <c r="BK632" t="str">
        <v/>
      </c>
      <c r="BL632" t="str">
        <v/>
      </c>
      <c r="BM632" t="str">
        <v/>
      </c>
      <c r="BY632" t="str">
        <v>processor</v>
      </c>
      <c r="BZ632" t="str">
        <v>Enterprise Terminals &amp; Storage Llc 28</v>
      </c>
      <c r="CA632" t="str">
        <v>blendSAF</v>
      </c>
      <c r="CB632" t="str">
        <v/>
      </c>
      <c r="CC632" t="str">
        <v/>
      </c>
      <c r="CD632" t="str">
        <v/>
      </c>
      <c r="CE632" t="str">
        <v/>
      </c>
      <c r="CF632" t="str">
        <v/>
      </c>
    </row>
    <row r="633" spans="58:84" x14ac:dyDescent="0.3">
      <c r="BF633" t="str">
        <v>processor</v>
      </c>
      <c r="BG633" t="str">
        <v>Delta Terminal Inc</v>
      </c>
      <c r="BH633" t="str">
        <v>blendSAF</v>
      </c>
      <c r="BI633" t="str">
        <v/>
      </c>
      <c r="BJ633" t="str">
        <v/>
      </c>
      <c r="BK633" t="str">
        <v/>
      </c>
      <c r="BL633" t="str">
        <v/>
      </c>
      <c r="BM633" t="str">
        <v/>
      </c>
      <c r="BY633" t="str">
        <v>processor</v>
      </c>
      <c r="BZ633" t="str">
        <v>Enterprise Terminals &amp; Storage Llc 19</v>
      </c>
      <c r="CA633" t="str">
        <v>blendSAF</v>
      </c>
      <c r="CB633" t="str">
        <v/>
      </c>
      <c r="CC633" t="str">
        <v/>
      </c>
      <c r="CD633" t="str">
        <v/>
      </c>
      <c r="CE633" t="str">
        <v/>
      </c>
      <c r="CF633" t="str">
        <v/>
      </c>
    </row>
    <row r="634" spans="58:84" x14ac:dyDescent="0.3">
      <c r="BF634" t="str">
        <v>processor</v>
      </c>
      <c r="BG634" t="str">
        <v>Pbf T&amp;M Terminal</v>
      </c>
      <c r="BH634" t="str">
        <v>blendSAF</v>
      </c>
      <c r="BI634" t="str">
        <v/>
      </c>
      <c r="BJ634" t="str">
        <v/>
      </c>
      <c r="BK634" t="str">
        <v/>
      </c>
      <c r="BL634" t="str">
        <v/>
      </c>
      <c r="BM634" t="str">
        <v/>
      </c>
      <c r="BY634" t="str">
        <v>processor</v>
      </c>
      <c r="BZ634" t="str">
        <v>Newport Terminal Corporation</v>
      </c>
      <c r="CA634" t="str">
        <v>blendSAF</v>
      </c>
      <c r="CB634" t="str">
        <v/>
      </c>
      <c r="CC634" t="str">
        <v/>
      </c>
      <c r="CD634" t="str">
        <v/>
      </c>
      <c r="CE634" t="str">
        <v/>
      </c>
      <c r="CF634" t="str">
        <v/>
      </c>
    </row>
    <row r="635" spans="58:84" x14ac:dyDescent="0.3">
      <c r="BF635" t="str">
        <v>processor</v>
      </c>
      <c r="BG635" t="str">
        <v>Energy Transfer Gc Ngls Llc</v>
      </c>
      <c r="BH635" t="str">
        <v>blendSAF</v>
      </c>
      <c r="BI635" t="str">
        <v/>
      </c>
      <c r="BJ635" t="str">
        <v/>
      </c>
      <c r="BK635" t="str">
        <v/>
      </c>
      <c r="BL635" t="str">
        <v/>
      </c>
      <c r="BM635" t="str">
        <v/>
      </c>
      <c r="BY635" t="str">
        <v>processor</v>
      </c>
      <c r="BZ635" t="str">
        <v>Kinder Morgan Liq Termls Llc 15</v>
      </c>
      <c r="CA635" t="str">
        <v>blendSAF</v>
      </c>
      <c r="CB635" t="str">
        <v/>
      </c>
      <c r="CC635" t="str">
        <v/>
      </c>
      <c r="CD635" t="str">
        <v/>
      </c>
      <c r="CE635" t="str">
        <v/>
      </c>
      <c r="CF635" t="str">
        <v/>
      </c>
    </row>
    <row r="636" spans="58:84" x14ac:dyDescent="0.3">
      <c r="BF636" t="str">
        <v>processor</v>
      </c>
      <c r="BG636" t="str">
        <v>Enterprise Products Operating Llc 11</v>
      </c>
      <c r="BH636" t="str">
        <v>blendSAF</v>
      </c>
      <c r="BI636" t="str">
        <v/>
      </c>
      <c r="BJ636" t="str">
        <v/>
      </c>
      <c r="BK636" t="str">
        <v/>
      </c>
      <c r="BL636" t="str">
        <v/>
      </c>
      <c r="BM636" t="str">
        <v/>
      </c>
      <c r="BY636" t="str">
        <v>processor</v>
      </c>
      <c r="BZ636" t="str">
        <v>Magellan Pipeline Co Lp 1</v>
      </c>
      <c r="CA636" t="str">
        <v>blendSAF</v>
      </c>
      <c r="CB636" t="str">
        <v/>
      </c>
      <c r="CC636" t="str">
        <v/>
      </c>
      <c r="CD636" t="str">
        <v/>
      </c>
      <c r="CE636" t="str">
        <v/>
      </c>
      <c r="CF636" t="str">
        <v/>
      </c>
    </row>
    <row r="637" spans="58:84" x14ac:dyDescent="0.3">
      <c r="BF637" t="str">
        <v>processor</v>
      </c>
      <c r="BG637" t="str">
        <v>Enterprise Refined Products Co Llc 1</v>
      </c>
      <c r="BH637" t="str">
        <v>blendSAF</v>
      </c>
      <c r="BI637" t="str">
        <v/>
      </c>
      <c r="BJ637" t="str">
        <v/>
      </c>
      <c r="BK637" t="str">
        <v/>
      </c>
      <c r="BL637" t="str">
        <v/>
      </c>
      <c r="BM637" t="str">
        <v/>
      </c>
      <c r="BY637" t="str">
        <v>processor</v>
      </c>
      <c r="BZ637" t="str">
        <v>Magellan Pipeline Co Lp 23</v>
      </c>
      <c r="CA637" t="str">
        <v>blendSAF</v>
      </c>
      <c r="CB637" t="str">
        <v/>
      </c>
      <c r="CC637" t="str">
        <v/>
      </c>
      <c r="CD637" t="str">
        <v/>
      </c>
      <c r="CE637" t="str">
        <v/>
      </c>
      <c r="CF637" t="str">
        <v/>
      </c>
    </row>
    <row r="638" spans="58:84" x14ac:dyDescent="0.3">
      <c r="BF638" t="str">
        <v>processor</v>
      </c>
      <c r="BG638" t="str">
        <v>Hunt Southland Refining Company</v>
      </c>
      <c r="BH638" t="str">
        <v>blendSAF</v>
      </c>
      <c r="BI638" t="str">
        <v/>
      </c>
      <c r="BJ638" t="str">
        <v/>
      </c>
      <c r="BK638" t="str">
        <v/>
      </c>
      <c r="BL638" t="str">
        <v/>
      </c>
      <c r="BM638" t="str">
        <v/>
      </c>
      <c r="BY638" t="str">
        <v>processor</v>
      </c>
      <c r="BZ638" t="str">
        <v>Magellan Pipeline Co Lp 24</v>
      </c>
      <c r="CA638" t="str">
        <v>blendSAF</v>
      </c>
      <c r="CB638" t="str">
        <v/>
      </c>
      <c r="CC638" t="str">
        <v/>
      </c>
      <c r="CD638" t="str">
        <v/>
      </c>
      <c r="CE638" t="str">
        <v/>
      </c>
      <c r="CF638" t="str">
        <v/>
      </c>
    </row>
    <row r="639" spans="58:84" x14ac:dyDescent="0.3">
      <c r="BF639" t="str">
        <v>processor</v>
      </c>
      <c r="BG639" t="str">
        <v>Hunt Southland Refining Co</v>
      </c>
      <c r="BH639" t="str">
        <v>blendSAF</v>
      </c>
      <c r="BI639" t="str">
        <v/>
      </c>
      <c r="BJ639" t="str">
        <v/>
      </c>
      <c r="BK639" t="str">
        <v/>
      </c>
      <c r="BL639" t="str">
        <v/>
      </c>
      <c r="BM639" t="str">
        <v/>
      </c>
      <c r="BY639" t="str">
        <v>processor</v>
      </c>
      <c r="BZ639" t="str">
        <v>Magellan Pipeline Co Lp 40</v>
      </c>
      <c r="CA639" t="str">
        <v>blendSAF</v>
      </c>
      <c r="CB639" t="str">
        <v/>
      </c>
      <c r="CC639" t="str">
        <v/>
      </c>
      <c r="CD639" t="str">
        <v/>
      </c>
      <c r="CE639" t="str">
        <v/>
      </c>
      <c r="CF639" t="str">
        <v/>
      </c>
    </row>
    <row r="640" spans="58:84" x14ac:dyDescent="0.3">
      <c r="BF640" t="str">
        <v>processor</v>
      </c>
      <c r="BG640" t="str">
        <v>Kinder Morgan Southeast Terminal 9</v>
      </c>
      <c r="BH640" t="str">
        <v>blendSAF</v>
      </c>
      <c r="BI640" t="str">
        <v/>
      </c>
      <c r="BJ640" t="str">
        <v/>
      </c>
      <c r="BK640" t="str">
        <v/>
      </c>
      <c r="BL640" t="str">
        <v/>
      </c>
      <c r="BM640" t="str">
        <v/>
      </c>
      <c r="BY640" t="str">
        <v>processor</v>
      </c>
      <c r="BZ640" t="str">
        <v>Magellan Pipeline Co Lp 28</v>
      </c>
      <c r="CA640" t="str">
        <v>blendSAF</v>
      </c>
      <c r="CB640" t="str">
        <v/>
      </c>
      <c r="CC640" t="str">
        <v/>
      </c>
      <c r="CD640" t="str">
        <v/>
      </c>
      <c r="CE640" t="str">
        <v/>
      </c>
      <c r="CF640" t="str">
        <v/>
      </c>
    </row>
    <row r="641" spans="58:84" x14ac:dyDescent="0.3">
      <c r="BF641" t="str">
        <v>processor</v>
      </c>
      <c r="BG641" t="str">
        <v>Lincoln Terminal Company</v>
      </c>
      <c r="BH641" t="str">
        <v>blendSAF</v>
      </c>
      <c r="BI641" t="str">
        <v/>
      </c>
      <c r="BJ641" t="str">
        <v/>
      </c>
      <c r="BK641" t="str">
        <v/>
      </c>
      <c r="BL641" t="str">
        <v/>
      </c>
      <c r="BM641" t="str">
        <v/>
      </c>
      <c r="BY641" t="str">
        <v>processor</v>
      </c>
      <c r="BZ641" t="str">
        <v>Magellan Pipeline  Co Lp</v>
      </c>
      <c r="CA641" t="str">
        <v>blendSAF</v>
      </c>
      <c r="CB641" t="str">
        <v/>
      </c>
      <c r="CC641" t="str">
        <v/>
      </c>
      <c r="CD641" t="str">
        <v/>
      </c>
      <c r="CE641" t="str">
        <v/>
      </c>
      <c r="CF641" t="str">
        <v/>
      </c>
    </row>
    <row r="642" spans="58:84" x14ac:dyDescent="0.3">
      <c r="BF642" t="str">
        <v>processor</v>
      </c>
      <c r="BG642" t="str">
        <v>Maples Gas Co Inc</v>
      </c>
      <c r="BH642" t="str">
        <v>blendSAF</v>
      </c>
      <c r="BI642" t="str">
        <v/>
      </c>
      <c r="BJ642" t="str">
        <v/>
      </c>
      <c r="BK642" t="str">
        <v/>
      </c>
      <c r="BL642" t="str">
        <v/>
      </c>
      <c r="BM642" t="str">
        <v/>
      </c>
      <c r="BY642" t="str">
        <v>processor</v>
      </c>
      <c r="BZ642" t="str">
        <v>Ngl Supply Wholesale Llc 5</v>
      </c>
      <c r="CA642" t="str">
        <v>blendSAF</v>
      </c>
      <c r="CB642" t="str">
        <v/>
      </c>
      <c r="CC642" t="str">
        <v/>
      </c>
      <c r="CD642" t="str">
        <v/>
      </c>
      <c r="CE642" t="str">
        <v/>
      </c>
      <c r="CF642" t="str">
        <v/>
      </c>
    </row>
    <row r="643" spans="58:84" x14ac:dyDescent="0.3">
      <c r="BF643" t="str">
        <v>processor</v>
      </c>
      <c r="BG643" t="str">
        <v>Martin Energy Services Llc 12</v>
      </c>
      <c r="BH643" t="str">
        <v>blendSAF</v>
      </c>
      <c r="BI643" t="str">
        <v/>
      </c>
      <c r="BJ643" t="str">
        <v/>
      </c>
      <c r="BK643" t="str">
        <v/>
      </c>
      <c r="BL643" t="str">
        <v/>
      </c>
      <c r="BM643" t="str">
        <v/>
      </c>
      <c r="BY643" t="str">
        <v>processor</v>
      </c>
      <c r="BZ643" t="str">
        <v>Nustar Energy Lp 27</v>
      </c>
      <c r="CA643" t="str">
        <v>blendSAF</v>
      </c>
      <c r="CB643" t="str">
        <v/>
      </c>
      <c r="CC643" t="str">
        <v/>
      </c>
      <c r="CD643" t="str">
        <v/>
      </c>
      <c r="CE643" t="str">
        <v/>
      </c>
      <c r="CF643" t="str">
        <v/>
      </c>
    </row>
    <row r="644" spans="58:84" x14ac:dyDescent="0.3">
      <c r="BF644" t="str">
        <v>processor</v>
      </c>
      <c r="BG644" t="str">
        <v>Citgo Petroleum Corp 31</v>
      </c>
      <c r="BH644" t="str">
        <v>blendSAF</v>
      </c>
      <c r="BI644" t="str">
        <v/>
      </c>
      <c r="BJ644" t="str">
        <v/>
      </c>
      <c r="BK644" t="str">
        <v/>
      </c>
      <c r="BL644" t="str">
        <v/>
      </c>
      <c r="BM644" t="str">
        <v/>
      </c>
      <c r="BY644" t="str">
        <v>processor</v>
      </c>
      <c r="BZ644" t="str">
        <v>Nustar Energy Lp 35</v>
      </c>
      <c r="CA644" t="str">
        <v>blendSAF</v>
      </c>
      <c r="CB644" t="str">
        <v/>
      </c>
      <c r="CC644" t="str">
        <v/>
      </c>
      <c r="CD644" t="str">
        <v/>
      </c>
      <c r="CE644" t="str">
        <v/>
      </c>
      <c r="CF644" t="str">
        <v/>
      </c>
    </row>
    <row r="645" spans="58:84" x14ac:dyDescent="0.3">
      <c r="BF645" t="str">
        <v>processor</v>
      </c>
      <c r="BG645" t="str">
        <v>Citgo Petroleum Corp 40</v>
      </c>
      <c r="BH645" t="str">
        <v>blendSAF</v>
      </c>
      <c r="BI645" t="str">
        <v/>
      </c>
      <c r="BJ645" t="str">
        <v/>
      </c>
      <c r="BK645" t="str">
        <v/>
      </c>
      <c r="BL645" t="str">
        <v/>
      </c>
      <c r="BM645" t="str">
        <v/>
      </c>
      <c r="BY645" t="str">
        <v>processor</v>
      </c>
      <c r="BZ645" t="str">
        <v>Nustar Energy Lp 39</v>
      </c>
      <c r="CA645" t="str">
        <v>blendSAF</v>
      </c>
      <c r="CB645" t="str">
        <v/>
      </c>
      <c r="CC645" t="str">
        <v/>
      </c>
      <c r="CD645" t="str">
        <v/>
      </c>
      <c r="CE645" t="str">
        <v/>
      </c>
      <c r="CF645" t="str">
        <v/>
      </c>
    </row>
    <row r="646" spans="58:84" x14ac:dyDescent="0.3">
      <c r="BF646" t="str">
        <v>processor</v>
      </c>
      <c r="BG646" t="str">
        <v>Shell Oil Products Us 2</v>
      </c>
      <c r="BH646" t="str">
        <v>blendSAF</v>
      </c>
      <c r="BI646" t="str">
        <v/>
      </c>
      <c r="BJ646" t="str">
        <v/>
      </c>
      <c r="BK646" t="str">
        <v/>
      </c>
      <c r="BL646" t="str">
        <v/>
      </c>
      <c r="BM646" t="str">
        <v/>
      </c>
      <c r="BY646" t="str">
        <v>processor</v>
      </c>
      <c r="BZ646" t="str">
        <v>Pkm Cochin Llc 1</v>
      </c>
      <c r="CA646" t="str">
        <v>blendSAF</v>
      </c>
      <c r="CB646" t="str">
        <v/>
      </c>
      <c r="CC646" t="str">
        <v/>
      </c>
      <c r="CD646" t="str">
        <v/>
      </c>
      <c r="CE646" t="str">
        <v/>
      </c>
      <c r="CF646" t="str">
        <v/>
      </c>
    </row>
    <row r="647" spans="58:84" x14ac:dyDescent="0.3">
      <c r="BF647" t="str">
        <v>processor</v>
      </c>
      <c r="BG647" t="str">
        <v>Scott Petroleum Corp</v>
      </c>
      <c r="BH647" t="str">
        <v>blendSAF</v>
      </c>
      <c r="BI647" t="str">
        <v/>
      </c>
      <c r="BJ647" t="str">
        <v/>
      </c>
      <c r="BK647" t="str">
        <v/>
      </c>
      <c r="BL647" t="str">
        <v/>
      </c>
      <c r="BM647" t="str">
        <v/>
      </c>
      <c r="BY647" t="str">
        <v>processor</v>
      </c>
      <c r="BZ647" t="str">
        <v>Texpar Energy</v>
      </c>
      <c r="CA647" t="str">
        <v>blendSAF</v>
      </c>
      <c r="CB647" t="str">
        <v/>
      </c>
      <c r="CC647" t="str">
        <v/>
      </c>
      <c r="CD647" t="str">
        <v/>
      </c>
      <c r="CE647" t="str">
        <v/>
      </c>
      <c r="CF647" t="str">
        <v/>
      </c>
    </row>
    <row r="648" spans="58:84" x14ac:dyDescent="0.3">
      <c r="BF648" t="str">
        <v>processor</v>
      </c>
      <c r="BG648" t="str">
        <v>Targa Midstream Services Llc 2</v>
      </c>
      <c r="BH648" t="str">
        <v>blendSAF</v>
      </c>
      <c r="BI648" t="str">
        <v/>
      </c>
      <c r="BJ648" t="str">
        <v/>
      </c>
      <c r="BK648" t="str">
        <v/>
      </c>
      <c r="BL648" t="str">
        <v/>
      </c>
      <c r="BM648" t="str">
        <v/>
      </c>
      <c r="BY648" t="str">
        <v>processor</v>
      </c>
      <c r="BZ648" t="str">
        <v>Tiller Corp</v>
      </c>
      <c r="CA648" t="str">
        <v>blendSAF</v>
      </c>
      <c r="CB648" t="str">
        <v/>
      </c>
      <c r="CC648" t="str">
        <v/>
      </c>
      <c r="CD648" t="str">
        <v/>
      </c>
      <c r="CE648" t="str">
        <v/>
      </c>
      <c r="CF648" t="str">
        <v/>
      </c>
    </row>
    <row r="649" spans="58:84" x14ac:dyDescent="0.3">
      <c r="BF649" t="str">
        <v>processor</v>
      </c>
      <c r="BG649" t="str">
        <v>Targa Midstream Services Llc 5</v>
      </c>
      <c r="BH649" t="str">
        <v>blendSAF</v>
      </c>
      <c r="BI649" t="str">
        <v/>
      </c>
      <c r="BJ649" t="str">
        <v/>
      </c>
      <c r="BK649" t="str">
        <v/>
      </c>
      <c r="BL649" t="str">
        <v/>
      </c>
      <c r="BM649" t="str">
        <v/>
      </c>
      <c r="BY649" t="str">
        <v>processor</v>
      </c>
      <c r="BZ649" t="str">
        <v>Owens Corning 9</v>
      </c>
      <c r="CA649" t="str">
        <v>blendSAF</v>
      </c>
      <c r="CB649" t="str">
        <v/>
      </c>
      <c r="CC649" t="str">
        <v/>
      </c>
      <c r="CD649" t="str">
        <v/>
      </c>
      <c r="CE649" t="str">
        <v/>
      </c>
      <c r="CF649" t="str">
        <v/>
      </c>
    </row>
    <row r="650" spans="58:84" x14ac:dyDescent="0.3">
      <c r="BF650" t="str">
        <v>processor</v>
      </c>
      <c r="BG650" t="str">
        <v>Transmontaigne Operating Company 24</v>
      </c>
      <c r="BH650" t="str">
        <v>blendSAF</v>
      </c>
      <c r="BI650" t="str">
        <v/>
      </c>
      <c r="BJ650" t="str">
        <v/>
      </c>
      <c r="BK650" t="str">
        <v/>
      </c>
      <c r="BL650" t="str">
        <v/>
      </c>
      <c r="BM650" t="str">
        <v/>
      </c>
      <c r="BY650" t="str">
        <v>processor</v>
      </c>
      <c r="BZ650" t="str">
        <v>Bwc Terminals Llc 8</v>
      </c>
      <c r="CA650" t="str">
        <v>blendSAF</v>
      </c>
      <c r="CB650" t="str">
        <v/>
      </c>
      <c r="CC650" t="str">
        <v/>
      </c>
      <c r="CD650" t="str">
        <v/>
      </c>
      <c r="CE650" t="str">
        <v/>
      </c>
      <c r="CF650" t="str">
        <v/>
      </c>
    </row>
    <row r="651" spans="58:84" x14ac:dyDescent="0.3">
      <c r="BF651" t="str">
        <v>processor</v>
      </c>
      <c r="BG651" t="str">
        <v>Transmontaigne Operating Company 31</v>
      </c>
      <c r="BH651" t="str">
        <v>blendSAF</v>
      </c>
      <c r="BI651" t="str">
        <v/>
      </c>
      <c r="BJ651" t="str">
        <v/>
      </c>
      <c r="BK651" t="str">
        <v/>
      </c>
      <c r="BL651" t="str">
        <v/>
      </c>
      <c r="BM651" t="str">
        <v/>
      </c>
      <c r="BY651" t="str">
        <v>processor</v>
      </c>
      <c r="BZ651" t="str">
        <v>Chevron Usa Inc Collins</v>
      </c>
      <c r="CA651" t="str">
        <v>blendSAF</v>
      </c>
      <c r="CB651" t="str">
        <v/>
      </c>
      <c r="CC651" t="str">
        <v/>
      </c>
      <c r="CD651" t="str">
        <v/>
      </c>
      <c r="CE651" t="str">
        <v/>
      </c>
      <c r="CF651" t="str">
        <v/>
      </c>
    </row>
    <row r="652" spans="58:84" x14ac:dyDescent="0.3">
      <c r="BF652" t="str">
        <v>processor</v>
      </c>
      <c r="BG652" t="str">
        <v>Transmontaigne Operating Company 16</v>
      </c>
      <c r="BH652" t="str">
        <v>blendSAF</v>
      </c>
      <c r="BI652" t="str">
        <v/>
      </c>
      <c r="BJ652" t="str">
        <v/>
      </c>
      <c r="BK652" t="str">
        <v/>
      </c>
      <c r="BL652" t="str">
        <v/>
      </c>
      <c r="BM652" t="str">
        <v/>
      </c>
      <c r="BY652" t="str">
        <v>processor</v>
      </c>
      <c r="BZ652" t="str">
        <v>Chevron Usa Inc Pascagoula</v>
      </c>
      <c r="CA652" t="str">
        <v>blendSAF</v>
      </c>
      <c r="CB652" t="str">
        <v/>
      </c>
      <c r="CC652" t="str">
        <v/>
      </c>
      <c r="CD652" t="str">
        <v/>
      </c>
      <c r="CE652" t="str">
        <v/>
      </c>
      <c r="CF652" t="str">
        <v/>
      </c>
    </row>
    <row r="653" spans="58:84" x14ac:dyDescent="0.3">
      <c r="BF653" t="str">
        <v>processor</v>
      </c>
      <c r="BG653" t="str">
        <v>Transmontaigne Operating Company 41</v>
      </c>
      <c r="BH653" t="str">
        <v>blendSAF</v>
      </c>
      <c r="BI653" t="str">
        <v/>
      </c>
      <c r="BJ653" t="str">
        <v/>
      </c>
      <c r="BK653" t="str">
        <v/>
      </c>
      <c r="BL653" t="str">
        <v/>
      </c>
      <c r="BM653" t="str">
        <v/>
      </c>
      <c r="BY653" t="str">
        <v>processor</v>
      </c>
      <c r="BZ653" t="str">
        <v>Ergon Asphalt &amp; Emulsions Inc 5</v>
      </c>
      <c r="CA653" t="str">
        <v>blendSAF</v>
      </c>
      <c r="CB653" t="str">
        <v/>
      </c>
      <c r="CC653" t="str">
        <v/>
      </c>
      <c r="CD653" t="str">
        <v/>
      </c>
      <c r="CE653" t="str">
        <v/>
      </c>
      <c r="CF653" t="str">
        <v/>
      </c>
    </row>
    <row r="654" spans="58:84" x14ac:dyDescent="0.3">
      <c r="BF654" t="str">
        <v>processor</v>
      </c>
      <c r="BG654" t="str">
        <v>Valvoline Llc 39</v>
      </c>
      <c r="BH654" t="str">
        <v>blendSAF</v>
      </c>
      <c r="BI654" t="str">
        <v/>
      </c>
      <c r="BJ654" t="str">
        <v/>
      </c>
      <c r="BK654" t="str">
        <v/>
      </c>
      <c r="BL654" t="str">
        <v/>
      </c>
      <c r="BM654" t="str">
        <v/>
      </c>
      <c r="BY654" t="str">
        <v>processor</v>
      </c>
      <c r="BZ654" t="str">
        <v>Murphy Oil Usa Inc 53</v>
      </c>
      <c r="CA654" t="str">
        <v>blendSAF</v>
      </c>
      <c r="CB654" t="str">
        <v/>
      </c>
      <c r="CC654" t="str">
        <v/>
      </c>
      <c r="CD654" t="str">
        <v/>
      </c>
      <c r="CE654" t="str">
        <v/>
      </c>
      <c r="CF654" t="str">
        <v/>
      </c>
    </row>
    <row r="655" spans="58:84" x14ac:dyDescent="0.3">
      <c r="BF655" t="str">
        <v>processor</v>
      </c>
      <c r="BG655" t="str">
        <v>Petroleum Fuel &amp; Terminal Co 14</v>
      </c>
      <c r="BH655" t="str">
        <v>blendSAF</v>
      </c>
      <c r="BI655" t="str">
        <v/>
      </c>
      <c r="BJ655" t="str">
        <v/>
      </c>
      <c r="BK655" t="str">
        <v/>
      </c>
      <c r="BL655" t="str">
        <v/>
      </c>
      <c r="BM655" t="str">
        <v/>
      </c>
      <c r="BY655" t="str">
        <v>processor</v>
      </c>
      <c r="BZ655" t="str">
        <v>Delta Terminal Inc</v>
      </c>
      <c r="CA655" t="str">
        <v>blendSAF</v>
      </c>
      <c r="CB655" t="str">
        <v/>
      </c>
      <c r="CC655" t="str">
        <v/>
      </c>
      <c r="CD655" t="str">
        <v/>
      </c>
      <c r="CE655" t="str">
        <v/>
      </c>
      <c r="CF655" t="str">
        <v/>
      </c>
    </row>
    <row r="656" spans="58:84" x14ac:dyDescent="0.3">
      <c r="BF656" t="str">
        <v>processor</v>
      </c>
      <c r="BG656" t="str">
        <v>Bkep Materials Llc 15</v>
      </c>
      <c r="BH656" t="str">
        <v>blendSAF</v>
      </c>
      <c r="BI656" t="str">
        <v/>
      </c>
      <c r="BJ656" t="str">
        <v/>
      </c>
      <c r="BK656" t="str">
        <v/>
      </c>
      <c r="BL656" t="str">
        <v/>
      </c>
      <c r="BM656" t="str">
        <v/>
      </c>
      <c r="BY656" t="str">
        <v>processor</v>
      </c>
      <c r="BZ656" t="str">
        <v>Pbf T&amp;M Terminal</v>
      </c>
      <c r="CA656" t="str">
        <v>blendSAF</v>
      </c>
      <c r="CB656" t="str">
        <v/>
      </c>
      <c r="CC656" t="str">
        <v/>
      </c>
      <c r="CD656" t="str">
        <v/>
      </c>
      <c r="CE656" t="str">
        <v/>
      </c>
      <c r="CF656" t="str">
        <v/>
      </c>
    </row>
    <row r="657" spans="58:84" x14ac:dyDescent="0.3">
      <c r="BF657" t="str">
        <v>processor</v>
      </c>
      <c r="BG657" t="str">
        <v>American River Transp Co</v>
      </c>
      <c r="BH657" t="str">
        <v>blendSAF</v>
      </c>
      <c r="BI657" t="str">
        <v/>
      </c>
      <c r="BJ657" t="str">
        <v/>
      </c>
      <c r="BK657" t="str">
        <v/>
      </c>
      <c r="BL657" t="str">
        <v/>
      </c>
      <c r="BM657" t="str">
        <v/>
      </c>
      <c r="BY657" t="str">
        <v>processor</v>
      </c>
      <c r="BZ657" t="str">
        <v>Energy Transfer Gc Ngls Llc</v>
      </c>
      <c r="CA657" t="str">
        <v>blendSAF</v>
      </c>
      <c r="CB657" t="str">
        <v/>
      </c>
      <c r="CC657" t="str">
        <v/>
      </c>
      <c r="CD657" t="str">
        <v/>
      </c>
      <c r="CE657" t="str">
        <v/>
      </c>
      <c r="CF657" t="str">
        <v/>
      </c>
    </row>
    <row r="658" spans="58:84" x14ac:dyDescent="0.3">
      <c r="BF658" t="str">
        <v>processor</v>
      </c>
      <c r="BG658" t="str">
        <v>Ayers Oil Co</v>
      </c>
      <c r="BH658" t="str">
        <v>blendSAF</v>
      </c>
      <c r="BI658" t="str">
        <v/>
      </c>
      <c r="BJ658" t="str">
        <v/>
      </c>
      <c r="BK658" t="str">
        <v/>
      </c>
      <c r="BL658" t="str">
        <v/>
      </c>
      <c r="BM658" t="str">
        <v/>
      </c>
      <c r="BY658" t="str">
        <v>processor</v>
      </c>
      <c r="BZ658" t="str">
        <v>Enterprise Products Operating Llc 11</v>
      </c>
      <c r="CA658" t="str">
        <v>blendSAF</v>
      </c>
      <c r="CB658" t="str">
        <v/>
      </c>
      <c r="CC658" t="str">
        <v/>
      </c>
      <c r="CD658" t="str">
        <v/>
      </c>
      <c r="CE658" t="str">
        <v/>
      </c>
      <c r="CF658" t="str">
        <v/>
      </c>
    </row>
    <row r="659" spans="58:84" x14ac:dyDescent="0.3">
      <c r="BF659" t="str">
        <v>processor</v>
      </c>
      <c r="BG659" t="str">
        <v>Oakmar Terminal Llc</v>
      </c>
      <c r="BH659" t="str">
        <v>blendSAF</v>
      </c>
      <c r="BI659" t="str">
        <v/>
      </c>
      <c r="BJ659" t="str">
        <v/>
      </c>
      <c r="BK659" t="str">
        <v/>
      </c>
      <c r="BL659" t="str">
        <v/>
      </c>
      <c r="BM659" t="str">
        <v/>
      </c>
      <c r="BY659" t="str">
        <v>processor</v>
      </c>
      <c r="BZ659" t="str">
        <v>Enterprise Refined Products Co Llc 1</v>
      </c>
      <c r="CA659" t="str">
        <v>blendSAF</v>
      </c>
      <c r="CB659" t="str">
        <v/>
      </c>
      <c r="CC659" t="str">
        <v/>
      </c>
      <c r="CD659" t="str">
        <v/>
      </c>
      <c r="CE659" t="str">
        <v/>
      </c>
      <c r="CF659" t="str">
        <v/>
      </c>
    </row>
    <row r="660" spans="58:84" x14ac:dyDescent="0.3">
      <c r="BF660" t="str">
        <v>processor</v>
      </c>
      <c r="BG660" t="str">
        <v>Buckeye Terminals Llc 95</v>
      </c>
      <c r="BH660" t="str">
        <v>blendSAF</v>
      </c>
      <c r="BI660" t="str">
        <v/>
      </c>
      <c r="BJ660" t="str">
        <v/>
      </c>
      <c r="BK660" t="str">
        <v/>
      </c>
      <c r="BL660" t="str">
        <v/>
      </c>
      <c r="BM660" t="str">
        <v/>
      </c>
      <c r="BY660" t="str">
        <v>processor</v>
      </c>
      <c r="BZ660" t="str">
        <v>Hunt Southland Refining Company</v>
      </c>
      <c r="CA660" t="str">
        <v>blendSAF</v>
      </c>
      <c r="CB660" t="str">
        <v/>
      </c>
      <c r="CC660" t="str">
        <v/>
      </c>
      <c r="CD660" t="str">
        <v/>
      </c>
      <c r="CE660" t="str">
        <v/>
      </c>
      <c r="CF660" t="str">
        <v/>
      </c>
    </row>
    <row r="661" spans="58:84" x14ac:dyDescent="0.3">
      <c r="BF661" t="str">
        <v>processor</v>
      </c>
      <c r="BG661" t="str">
        <v>Buckeye Terminals Llc 100</v>
      </c>
      <c r="BH661" t="str">
        <v>blendSAF</v>
      </c>
      <c r="BI661" t="str">
        <v/>
      </c>
      <c r="BJ661" t="str">
        <v/>
      </c>
      <c r="BK661" t="str">
        <v/>
      </c>
      <c r="BL661" t="str">
        <v/>
      </c>
      <c r="BM661" t="str">
        <v/>
      </c>
      <c r="BY661" t="str">
        <v>processor</v>
      </c>
      <c r="BZ661" t="str">
        <v>Hunt Southland Refining Co</v>
      </c>
      <c r="CA661" t="str">
        <v>blendSAF</v>
      </c>
      <c r="CB661" t="str">
        <v/>
      </c>
      <c r="CC661" t="str">
        <v/>
      </c>
      <c r="CD661" t="str">
        <v/>
      </c>
      <c r="CE661" t="str">
        <v/>
      </c>
      <c r="CF661" t="str">
        <v/>
      </c>
    </row>
    <row r="662" spans="58:84" x14ac:dyDescent="0.3">
      <c r="BF662" t="str">
        <v>processor</v>
      </c>
      <c r="BG662" t="str">
        <v>Buckeye Se Terminals Lp 18</v>
      </c>
      <c r="BH662" t="str">
        <v>blendSAF</v>
      </c>
      <c r="BI662" t="str">
        <v/>
      </c>
      <c r="BJ662" t="str">
        <v/>
      </c>
      <c r="BK662" t="str">
        <v/>
      </c>
      <c r="BL662" t="str">
        <v/>
      </c>
      <c r="BM662" t="str">
        <v/>
      </c>
      <c r="BY662" t="str">
        <v>processor</v>
      </c>
      <c r="BZ662" t="str">
        <v>Kinder Morgan Southeast Terminal 9</v>
      </c>
      <c r="CA662" t="str">
        <v>blendSAF</v>
      </c>
      <c r="CB662" t="str">
        <v/>
      </c>
      <c r="CC662" t="str">
        <v/>
      </c>
      <c r="CD662" t="str">
        <v/>
      </c>
      <c r="CE662" t="str">
        <v/>
      </c>
      <c r="CF662" t="str">
        <v/>
      </c>
    </row>
    <row r="663" spans="58:84" x14ac:dyDescent="0.3">
      <c r="BF663" t="str">
        <v>processor</v>
      </c>
      <c r="BG663" t="str">
        <v>Phillips 66 Company 13</v>
      </c>
      <c r="BH663" t="str">
        <v>blendSAF</v>
      </c>
      <c r="BI663" t="str">
        <v/>
      </c>
      <c r="BJ663" t="str">
        <v/>
      </c>
      <c r="BK663" t="str">
        <v/>
      </c>
      <c r="BL663" t="str">
        <v/>
      </c>
      <c r="BM663" t="str">
        <v/>
      </c>
      <c r="BY663" t="str">
        <v>processor</v>
      </c>
      <c r="BZ663" t="str">
        <v>Lincoln Terminal Company</v>
      </c>
      <c r="CA663" t="str">
        <v>blendSAF</v>
      </c>
      <c r="CB663" t="str">
        <v/>
      </c>
      <c r="CC663" t="str">
        <v/>
      </c>
      <c r="CD663" t="str">
        <v/>
      </c>
      <c r="CE663" t="str">
        <v/>
      </c>
      <c r="CF663" t="str">
        <v/>
      </c>
    </row>
    <row r="664" spans="58:84" x14ac:dyDescent="0.3">
      <c r="BF664" t="str">
        <v>processor</v>
      </c>
      <c r="BG664" t="str">
        <v>Phillips 66 Carrier Llc 2</v>
      </c>
      <c r="BH664" t="str">
        <v>blendSAF</v>
      </c>
      <c r="BI664" t="str">
        <v/>
      </c>
      <c r="BJ664" t="str">
        <v/>
      </c>
      <c r="BK664" t="str">
        <v/>
      </c>
      <c r="BL664" t="str">
        <v/>
      </c>
      <c r="BM664" t="str">
        <v/>
      </c>
      <c r="BY664" t="str">
        <v>processor</v>
      </c>
      <c r="BZ664" t="str">
        <v>Maples Gas Co Inc</v>
      </c>
      <c r="CA664" t="str">
        <v>blendSAF</v>
      </c>
      <c r="CB664" t="str">
        <v/>
      </c>
      <c r="CC664" t="str">
        <v/>
      </c>
      <c r="CD664" t="str">
        <v/>
      </c>
      <c r="CE664" t="str">
        <v/>
      </c>
      <c r="CF664" t="str">
        <v/>
      </c>
    </row>
    <row r="665" spans="58:84" x14ac:dyDescent="0.3">
      <c r="BF665" t="str">
        <v>processor</v>
      </c>
      <c r="BG665" t="str">
        <v>Brown Sand &amp; Gravel</v>
      </c>
      <c r="BH665" t="str">
        <v>blendSAF</v>
      </c>
      <c r="BI665" t="str">
        <v/>
      </c>
      <c r="BJ665" t="str">
        <v/>
      </c>
      <c r="BK665" t="str">
        <v/>
      </c>
      <c r="BL665" t="str">
        <v/>
      </c>
      <c r="BM665" t="str">
        <v/>
      </c>
      <c r="BY665" t="str">
        <v>processor</v>
      </c>
      <c r="BZ665" t="str">
        <v>Martin Energy Services Llc 12</v>
      </c>
      <c r="CA665" t="str">
        <v>blendSAF</v>
      </c>
      <c r="CB665" t="str">
        <v/>
      </c>
      <c r="CC665" t="str">
        <v/>
      </c>
      <c r="CD665" t="str">
        <v/>
      </c>
      <c r="CE665" t="str">
        <v/>
      </c>
      <c r="CF665" t="str">
        <v/>
      </c>
    </row>
    <row r="666" spans="58:84" x14ac:dyDescent="0.3">
      <c r="BF666" t="str">
        <v>processor</v>
      </c>
      <c r="BG666" t="str">
        <v>Enterprise Terminals &amp; Storage Llc 21</v>
      </c>
      <c r="BH666" t="str">
        <v>blendSAF</v>
      </c>
      <c r="BI666" t="str">
        <v/>
      </c>
      <c r="BJ666" t="str">
        <v/>
      </c>
      <c r="BK666" t="str">
        <v/>
      </c>
      <c r="BL666" t="str">
        <v/>
      </c>
      <c r="BM666" t="str">
        <v/>
      </c>
      <c r="BY666" t="str">
        <v>processor</v>
      </c>
      <c r="BZ666" t="str">
        <v>Citgo Petroleum Corp 31</v>
      </c>
      <c r="CA666" t="str">
        <v>blendSAF</v>
      </c>
      <c r="CB666" t="str">
        <v/>
      </c>
      <c r="CC666" t="str">
        <v/>
      </c>
      <c r="CD666" t="str">
        <v/>
      </c>
      <c r="CE666" t="str">
        <v/>
      </c>
      <c r="CF666" t="str">
        <v/>
      </c>
    </row>
    <row r="667" spans="58:84" x14ac:dyDescent="0.3">
      <c r="BF667" t="str">
        <v>processor</v>
      </c>
      <c r="BG667" t="str">
        <v>Enterprise Terminals &amp; Storage Llc 11</v>
      </c>
      <c r="BH667" t="str">
        <v>blendSAF</v>
      </c>
      <c r="BI667" t="str">
        <v/>
      </c>
      <c r="BJ667" t="str">
        <v/>
      </c>
      <c r="BK667" t="str">
        <v/>
      </c>
      <c r="BL667" t="str">
        <v/>
      </c>
      <c r="BM667" t="str">
        <v/>
      </c>
      <c r="BY667" t="str">
        <v>processor</v>
      </c>
      <c r="BZ667" t="str">
        <v>Citgo Petroleum Corp 40</v>
      </c>
      <c r="CA667" t="str">
        <v>blendSAF</v>
      </c>
      <c r="CB667" t="str">
        <v/>
      </c>
      <c r="CC667" t="str">
        <v/>
      </c>
      <c r="CD667" t="str">
        <v/>
      </c>
      <c r="CE667" t="str">
        <v/>
      </c>
      <c r="CF667" t="str">
        <v/>
      </c>
    </row>
    <row r="668" spans="58:84" x14ac:dyDescent="0.3">
      <c r="BF668" t="str">
        <v>processor</v>
      </c>
      <c r="BG668" t="str">
        <v>Enterprise Refined Products Co Llc 8</v>
      </c>
      <c r="BH668" t="str">
        <v>blendSAF</v>
      </c>
      <c r="BI668" t="str">
        <v/>
      </c>
      <c r="BJ668" t="str">
        <v/>
      </c>
      <c r="BK668" t="str">
        <v/>
      </c>
      <c r="BL668" t="str">
        <v/>
      </c>
      <c r="BM668" t="str">
        <v/>
      </c>
      <c r="BY668" t="str">
        <v>processor</v>
      </c>
      <c r="BZ668" t="str">
        <v>Shell Oil Products Us 2</v>
      </c>
      <c r="CA668" t="str">
        <v>blendSAF</v>
      </c>
      <c r="CB668" t="str">
        <v/>
      </c>
      <c r="CC668" t="str">
        <v/>
      </c>
      <c r="CD668" t="str">
        <v/>
      </c>
      <c r="CE668" t="str">
        <v/>
      </c>
      <c r="CF668" t="str">
        <v/>
      </c>
    </row>
    <row r="669" spans="58:84" x14ac:dyDescent="0.3">
      <c r="BF669" t="str">
        <v>processor</v>
      </c>
      <c r="BG669" t="str">
        <v>Sinclair Oil Corp 4</v>
      </c>
      <c r="BH669" t="str">
        <v>blendSAF</v>
      </c>
      <c r="BI669" t="str">
        <v/>
      </c>
      <c r="BJ669" t="str">
        <v/>
      </c>
      <c r="BK669" t="str">
        <v/>
      </c>
      <c r="BL669" t="str">
        <v/>
      </c>
      <c r="BM669" t="str">
        <v/>
      </c>
      <c r="BY669" t="str">
        <v>processor</v>
      </c>
      <c r="BZ669" t="str">
        <v>Scott Petroleum Corp</v>
      </c>
      <c r="CA669" t="str">
        <v>blendSAF</v>
      </c>
      <c r="CB669" t="str">
        <v/>
      </c>
      <c r="CC669" t="str">
        <v/>
      </c>
      <c r="CD669" t="str">
        <v/>
      </c>
      <c r="CE669" t="str">
        <v/>
      </c>
      <c r="CF669" t="str">
        <v/>
      </c>
    </row>
    <row r="670" spans="58:84" x14ac:dyDescent="0.3">
      <c r="BF670" t="str">
        <v>processor</v>
      </c>
      <c r="BG670" t="str">
        <v>Kinder Morgan Transmix Llc 2</v>
      </c>
      <c r="BH670" t="str">
        <v>blendSAF</v>
      </c>
      <c r="BI670" t="str">
        <v/>
      </c>
      <c r="BJ670" t="str">
        <v/>
      </c>
      <c r="BK670" t="str">
        <v/>
      </c>
      <c r="BL670" t="str">
        <v/>
      </c>
      <c r="BM670" t="str">
        <v/>
      </c>
      <c r="BY670" t="str">
        <v>processor</v>
      </c>
      <c r="BZ670" t="str">
        <v>Targa Midstream Services Llc 2</v>
      </c>
      <c r="CA670" t="str">
        <v>blendSAF</v>
      </c>
      <c r="CB670" t="str">
        <v/>
      </c>
      <c r="CC670" t="str">
        <v/>
      </c>
      <c r="CD670" t="str">
        <v/>
      </c>
      <c r="CE670" t="str">
        <v/>
      </c>
      <c r="CF670" t="str">
        <v/>
      </c>
    </row>
    <row r="671" spans="58:84" x14ac:dyDescent="0.3">
      <c r="BF671" t="str">
        <v>processor</v>
      </c>
      <c r="BG671" t="str">
        <v>Magellan Pipeline Co Lp 6</v>
      </c>
      <c r="BH671" t="str">
        <v>blendSAF</v>
      </c>
      <c r="BI671" t="str">
        <v/>
      </c>
      <c r="BJ671" t="str">
        <v/>
      </c>
      <c r="BK671" t="str">
        <v/>
      </c>
      <c r="BL671" t="str">
        <v/>
      </c>
      <c r="BM671" t="str">
        <v/>
      </c>
      <c r="BY671" t="str">
        <v>processor</v>
      </c>
      <c r="BZ671" t="str">
        <v>Targa Midstream Services Llc 5</v>
      </c>
      <c r="CA671" t="str">
        <v>blendSAF</v>
      </c>
      <c r="CB671" t="str">
        <v/>
      </c>
      <c r="CC671" t="str">
        <v/>
      </c>
      <c r="CD671" t="str">
        <v/>
      </c>
      <c r="CE671" t="str">
        <v/>
      </c>
      <c r="CF671" t="str">
        <v/>
      </c>
    </row>
    <row r="672" spans="58:84" x14ac:dyDescent="0.3">
      <c r="BF672" t="str">
        <v>processor</v>
      </c>
      <c r="BG672" t="str">
        <v>Magellan Pipeline Co Lp 37</v>
      </c>
      <c r="BH672" t="str">
        <v>blendSAF</v>
      </c>
      <c r="BI672" t="str">
        <v/>
      </c>
      <c r="BJ672" t="str">
        <v/>
      </c>
      <c r="BK672" t="str">
        <v/>
      </c>
      <c r="BL672" t="str">
        <v/>
      </c>
      <c r="BM672" t="str">
        <v/>
      </c>
      <c r="BY672" t="str">
        <v>processor</v>
      </c>
      <c r="BZ672" t="str">
        <v>Transmontaigne Operating Company 24</v>
      </c>
      <c r="CA672" t="str">
        <v>blendSAF</v>
      </c>
      <c r="CB672" t="str">
        <v/>
      </c>
      <c r="CC672" t="str">
        <v/>
      </c>
      <c r="CD672" t="str">
        <v/>
      </c>
      <c r="CE672" t="str">
        <v/>
      </c>
      <c r="CF672" t="str">
        <v/>
      </c>
    </row>
    <row r="673" spans="58:84" x14ac:dyDescent="0.3">
      <c r="BF673" t="str">
        <v>processor</v>
      </c>
      <c r="BG673" t="str">
        <v>Magellan Pipeline Co Lp 4</v>
      </c>
      <c r="BH673" t="str">
        <v>blendSAF</v>
      </c>
      <c r="BI673" t="str">
        <v/>
      </c>
      <c r="BJ673" t="str">
        <v/>
      </c>
      <c r="BK673" t="str">
        <v/>
      </c>
      <c r="BL673" t="str">
        <v/>
      </c>
      <c r="BM673" t="str">
        <v/>
      </c>
      <c r="BY673" t="str">
        <v>processor</v>
      </c>
      <c r="BZ673" t="str">
        <v>Transmontaigne Operating Company 31</v>
      </c>
      <c r="CA673" t="str">
        <v>blendSAF</v>
      </c>
      <c r="CB673" t="str">
        <v/>
      </c>
      <c r="CC673" t="str">
        <v/>
      </c>
      <c r="CD673" t="str">
        <v/>
      </c>
      <c r="CE673" t="str">
        <v/>
      </c>
      <c r="CF673" t="str">
        <v/>
      </c>
    </row>
    <row r="674" spans="58:84" x14ac:dyDescent="0.3">
      <c r="BF674" t="str">
        <v>processor</v>
      </c>
      <c r="BG674" t="str">
        <v>Magellan Pipeline Co Lp 20</v>
      </c>
      <c r="BH674" t="str">
        <v>blendSAF</v>
      </c>
      <c r="BI674" t="str">
        <v/>
      </c>
      <c r="BJ674" t="str">
        <v/>
      </c>
      <c r="BK674" t="str">
        <v/>
      </c>
      <c r="BL674" t="str">
        <v/>
      </c>
      <c r="BM674" t="str">
        <v/>
      </c>
      <c r="BY674" t="str">
        <v>processor</v>
      </c>
      <c r="BZ674" t="str">
        <v>Transmontaigne Operating Company 16</v>
      </c>
      <c r="CA674" t="str">
        <v>blendSAF</v>
      </c>
      <c r="CB674" t="str">
        <v/>
      </c>
      <c r="CC674" t="str">
        <v/>
      </c>
      <c r="CD674" t="str">
        <v/>
      </c>
      <c r="CE674" t="str">
        <v/>
      </c>
      <c r="CF674" t="str">
        <v/>
      </c>
    </row>
    <row r="675" spans="58:84" x14ac:dyDescent="0.3">
      <c r="BF675" t="str">
        <v>processor</v>
      </c>
      <c r="BG675" t="str">
        <v>Magellan Pipeline Co Lp 29</v>
      </c>
      <c r="BH675" t="str">
        <v>blendSAF</v>
      </c>
      <c r="BI675" t="str">
        <v/>
      </c>
      <c r="BJ675" t="str">
        <v/>
      </c>
      <c r="BK675" t="str">
        <v/>
      </c>
      <c r="BL675" t="str">
        <v/>
      </c>
      <c r="BM675" t="str">
        <v/>
      </c>
      <c r="BY675" t="str">
        <v>processor</v>
      </c>
      <c r="BZ675" t="str">
        <v>Transmontaigne Operating Company 41</v>
      </c>
      <c r="CA675" t="str">
        <v>blendSAF</v>
      </c>
      <c r="CB675" t="str">
        <v/>
      </c>
      <c r="CC675" t="str">
        <v/>
      </c>
      <c r="CD675" t="str">
        <v/>
      </c>
      <c r="CE675" t="str">
        <v/>
      </c>
      <c r="CF675" t="str">
        <v/>
      </c>
    </row>
    <row r="676" spans="58:84" x14ac:dyDescent="0.3">
      <c r="BF676" t="str">
        <v>processor</v>
      </c>
      <c r="BG676" t="str">
        <v>Ngl Supply Wholesale Llc 2</v>
      </c>
      <c r="BH676" t="str">
        <v>blendSAF</v>
      </c>
      <c r="BI676" t="str">
        <v/>
      </c>
      <c r="BJ676" t="str">
        <v/>
      </c>
      <c r="BK676" t="str">
        <v/>
      </c>
      <c r="BL676" t="str">
        <v/>
      </c>
      <c r="BM676" t="str">
        <v/>
      </c>
      <c r="BY676" t="str">
        <v>processor</v>
      </c>
      <c r="BZ676" t="str">
        <v>Valvoline Llc 39</v>
      </c>
      <c r="CA676" t="str">
        <v>blendSAF</v>
      </c>
      <c r="CB676" t="str">
        <v/>
      </c>
      <c r="CC676" t="str">
        <v/>
      </c>
      <c r="CD676" t="str">
        <v/>
      </c>
      <c r="CE676" t="str">
        <v/>
      </c>
      <c r="CF676" t="str">
        <v/>
      </c>
    </row>
    <row r="677" spans="58:84" x14ac:dyDescent="0.3">
      <c r="BF677" t="str">
        <v>processor</v>
      </c>
      <c r="BG677" t="str">
        <v>J D Streett &amp; Co Inc</v>
      </c>
      <c r="BH677" t="str">
        <v>blendSAF</v>
      </c>
      <c r="BI677" t="str">
        <v/>
      </c>
      <c r="BJ677" t="str">
        <v/>
      </c>
      <c r="BK677" t="str">
        <v/>
      </c>
      <c r="BL677" t="str">
        <v/>
      </c>
      <c r="BM677" t="str">
        <v/>
      </c>
      <c r="BY677" t="str">
        <v>processor</v>
      </c>
      <c r="BZ677" t="str">
        <v>Petroleum Fuel &amp; Terminal Co 14</v>
      </c>
      <c r="CA677" t="str">
        <v>blendSAF</v>
      </c>
      <c r="CB677" t="str">
        <v/>
      </c>
      <c r="CC677" t="str">
        <v/>
      </c>
      <c r="CD677" t="str">
        <v/>
      </c>
      <c r="CE677" t="str">
        <v/>
      </c>
      <c r="CF677" t="str">
        <v/>
      </c>
    </row>
    <row r="678" spans="58:84" x14ac:dyDescent="0.3">
      <c r="BF678" t="str">
        <v>processor</v>
      </c>
      <c r="BG678" t="str">
        <v>Jd Streett &amp; Co Inc</v>
      </c>
      <c r="BH678" t="str">
        <v>blendSAF</v>
      </c>
      <c r="BI678" t="str">
        <v/>
      </c>
      <c r="BJ678" t="str">
        <v/>
      </c>
      <c r="BK678" t="str">
        <v/>
      </c>
      <c r="BL678" t="str">
        <v/>
      </c>
      <c r="BM678" t="str">
        <v/>
      </c>
      <c r="BY678" t="str">
        <v>processor</v>
      </c>
      <c r="BZ678" t="str">
        <v>Bkep Materials Llc 15</v>
      </c>
      <c r="CA678" t="str">
        <v>blendSAF</v>
      </c>
      <c r="CB678" t="str">
        <v/>
      </c>
      <c r="CC678" t="str">
        <v/>
      </c>
      <c r="CD678" t="str">
        <v/>
      </c>
      <c r="CE678" t="str">
        <v/>
      </c>
      <c r="CF678" t="str">
        <v/>
      </c>
    </row>
    <row r="679" spans="58:84" x14ac:dyDescent="0.3">
      <c r="BF679" t="str">
        <v>processor</v>
      </c>
      <c r="BG679" t="str">
        <v>Transmontaigne Operating Company 14</v>
      </c>
      <c r="BH679" t="str">
        <v>blendSAF</v>
      </c>
      <c r="BI679" t="str">
        <v/>
      </c>
      <c r="BJ679" t="str">
        <v/>
      </c>
      <c r="BK679" t="str">
        <v/>
      </c>
      <c r="BL679" t="str">
        <v/>
      </c>
      <c r="BM679" t="str">
        <v/>
      </c>
      <c r="BY679" t="str">
        <v>processor</v>
      </c>
      <c r="BZ679" t="str">
        <v>American River Transp Co</v>
      </c>
      <c r="CA679" t="str">
        <v>blendSAF</v>
      </c>
      <c r="CB679" t="str">
        <v/>
      </c>
      <c r="CC679" t="str">
        <v/>
      </c>
      <c r="CD679" t="str">
        <v/>
      </c>
      <c r="CE679" t="str">
        <v/>
      </c>
      <c r="CF679" t="str">
        <v/>
      </c>
    </row>
    <row r="680" spans="58:84" x14ac:dyDescent="0.3">
      <c r="BF680" t="str">
        <v>processor</v>
      </c>
      <c r="BG680" t="str">
        <v>Vance Brothers Inc</v>
      </c>
      <c r="BH680" t="str">
        <v>blendSAF</v>
      </c>
      <c r="BI680" t="str">
        <v/>
      </c>
      <c r="BJ680" t="str">
        <v/>
      </c>
      <c r="BK680" t="str">
        <v/>
      </c>
      <c r="BL680" t="str">
        <v/>
      </c>
      <c r="BM680" t="str">
        <v/>
      </c>
      <c r="BY680" t="str">
        <v>processor</v>
      </c>
      <c r="BZ680" t="str">
        <v>Ayers Oil Co</v>
      </c>
      <c r="CA680" t="str">
        <v>blendSAF</v>
      </c>
      <c r="CB680" t="str">
        <v/>
      </c>
      <c r="CC680" t="str">
        <v/>
      </c>
      <c r="CD680" t="str">
        <v/>
      </c>
      <c r="CE680" t="str">
        <v/>
      </c>
      <c r="CF680" t="str">
        <v/>
      </c>
    </row>
    <row r="681" spans="58:84" x14ac:dyDescent="0.3">
      <c r="BF681" t="str">
        <v>processor</v>
      </c>
      <c r="BG681" t="str">
        <v>Chs Inc 2</v>
      </c>
      <c r="BH681" t="str">
        <v>blendSAF</v>
      </c>
      <c r="BI681" t="str">
        <v/>
      </c>
      <c r="BJ681" t="str">
        <v/>
      </c>
      <c r="BK681" t="str">
        <v/>
      </c>
      <c r="BL681" t="str">
        <v/>
      </c>
      <c r="BM681" t="str">
        <v/>
      </c>
      <c r="BY681" t="str">
        <v>processor</v>
      </c>
      <c r="BZ681" t="str">
        <v>Oakmar Terminal Llc</v>
      </c>
      <c r="CA681" t="str">
        <v>blendSAF</v>
      </c>
      <c r="CB681" t="str">
        <v/>
      </c>
      <c r="CC681" t="str">
        <v/>
      </c>
      <c r="CD681" t="str">
        <v/>
      </c>
      <c r="CE681" t="str">
        <v/>
      </c>
      <c r="CF681" t="str">
        <v/>
      </c>
    </row>
    <row r="682" spans="58:84" x14ac:dyDescent="0.3">
      <c r="BF682" t="str">
        <v>processor</v>
      </c>
      <c r="BG682" t="str">
        <v>Cenex Pl Llc 1</v>
      </c>
      <c r="BH682" t="str">
        <v>blendSAF</v>
      </c>
      <c r="BI682" t="str">
        <v/>
      </c>
      <c r="BJ682" t="str">
        <v/>
      </c>
      <c r="BK682" t="str">
        <v/>
      </c>
      <c r="BL682" t="str">
        <v/>
      </c>
      <c r="BM682" t="str">
        <v/>
      </c>
      <c r="BY682" t="str">
        <v>processor</v>
      </c>
      <c r="BZ682" t="str">
        <v>Buckeye Terminals Llc 95</v>
      </c>
      <c r="CA682" t="str">
        <v>blendSAF</v>
      </c>
      <c r="CB682" t="str">
        <v/>
      </c>
      <c r="CC682" t="str">
        <v/>
      </c>
      <c r="CD682" t="str">
        <v/>
      </c>
      <c r="CE682" t="str">
        <v/>
      </c>
      <c r="CF682" t="str">
        <v/>
      </c>
    </row>
    <row r="683" spans="58:84" x14ac:dyDescent="0.3">
      <c r="BF683" t="str">
        <v>processor</v>
      </c>
      <c r="BG683" t="str">
        <v>Cenex Pl Llc 2</v>
      </c>
      <c r="BH683" t="str">
        <v>blendSAF</v>
      </c>
      <c r="BI683" t="str">
        <v/>
      </c>
      <c r="BJ683" t="str">
        <v/>
      </c>
      <c r="BK683" t="str">
        <v/>
      </c>
      <c r="BL683" t="str">
        <v/>
      </c>
      <c r="BM683" t="str">
        <v/>
      </c>
      <c r="BY683" t="str">
        <v>processor</v>
      </c>
      <c r="BZ683" t="str">
        <v>Buckeye Terminals Llc 100</v>
      </c>
      <c r="CA683" t="str">
        <v>blendSAF</v>
      </c>
      <c r="CB683" t="str">
        <v/>
      </c>
      <c r="CC683" t="str">
        <v/>
      </c>
      <c r="CD683" t="str">
        <v/>
      </c>
      <c r="CE683" t="str">
        <v/>
      </c>
      <c r="CF683" t="str">
        <v/>
      </c>
    </row>
    <row r="684" spans="58:84" x14ac:dyDescent="0.3">
      <c r="BF684" t="str">
        <v>processor</v>
      </c>
      <c r="BG684" t="str">
        <v>Phillips 66 Company 3</v>
      </c>
      <c r="BH684" t="str">
        <v>blendSAF</v>
      </c>
      <c r="BI684" t="str">
        <v/>
      </c>
      <c r="BJ684" t="str">
        <v/>
      </c>
      <c r="BK684" t="str">
        <v/>
      </c>
      <c r="BL684" t="str">
        <v/>
      </c>
      <c r="BM684" t="str">
        <v/>
      </c>
      <c r="BY684" t="str">
        <v>processor</v>
      </c>
      <c r="BZ684" t="str">
        <v>Buckeye Se Terminals Lp 18</v>
      </c>
      <c r="CA684" t="str">
        <v>blendSAF</v>
      </c>
      <c r="CB684" t="str">
        <v/>
      </c>
      <c r="CC684" t="str">
        <v/>
      </c>
      <c r="CD684" t="str">
        <v/>
      </c>
      <c r="CE684" t="str">
        <v/>
      </c>
      <c r="CF684" t="str">
        <v/>
      </c>
    </row>
    <row r="685" spans="58:84" x14ac:dyDescent="0.3">
      <c r="BF685" t="str">
        <v>processor</v>
      </c>
      <c r="BG685" t="str">
        <v>Phillips 66 Company 4</v>
      </c>
      <c r="BH685" t="str">
        <v>blendSAF</v>
      </c>
      <c r="BI685" t="str">
        <v/>
      </c>
      <c r="BJ685" t="str">
        <v/>
      </c>
      <c r="BK685" t="str">
        <v/>
      </c>
      <c r="BL685" t="str">
        <v/>
      </c>
      <c r="BM685" t="str">
        <v/>
      </c>
      <c r="BY685" t="str">
        <v>processor</v>
      </c>
      <c r="BZ685" t="str">
        <v>Phillips 66 Company 13</v>
      </c>
      <c r="CA685" t="str">
        <v>blendSAF</v>
      </c>
      <c r="CB685" t="str">
        <v/>
      </c>
      <c r="CC685" t="str">
        <v/>
      </c>
      <c r="CD685" t="str">
        <v/>
      </c>
      <c r="CE685" t="str">
        <v/>
      </c>
      <c r="CF685" t="str">
        <v/>
      </c>
    </row>
    <row r="686" spans="58:84" x14ac:dyDescent="0.3">
      <c r="BF686" t="str">
        <v>processor</v>
      </c>
      <c r="BG686" t="str">
        <v>Phillips 66 Company 1</v>
      </c>
      <c r="BH686" t="str">
        <v>blendSAF</v>
      </c>
      <c r="BI686" t="str">
        <v/>
      </c>
      <c r="BJ686" t="str">
        <v/>
      </c>
      <c r="BK686" t="str">
        <v/>
      </c>
      <c r="BL686" t="str">
        <v/>
      </c>
      <c r="BM686" t="str">
        <v/>
      </c>
      <c r="BY686" t="str">
        <v>processor</v>
      </c>
      <c r="BZ686" t="str">
        <v>Phillips 66 Carrier Llc 2</v>
      </c>
      <c r="CA686" t="str">
        <v>blendSAF</v>
      </c>
      <c r="CB686" t="str">
        <v/>
      </c>
      <c r="CC686" t="str">
        <v/>
      </c>
      <c r="CD686" t="str">
        <v/>
      </c>
      <c r="CE686" t="str">
        <v/>
      </c>
      <c r="CF686" t="str">
        <v/>
      </c>
    </row>
    <row r="687" spans="58:84" x14ac:dyDescent="0.3">
      <c r="BF687" t="str">
        <v>processor</v>
      </c>
      <c r="BG687" t="str">
        <v>Phillips 66 Company 6</v>
      </c>
      <c r="BH687" t="str">
        <v>blendSAF</v>
      </c>
      <c r="BI687" t="str">
        <v/>
      </c>
      <c r="BJ687" t="str">
        <v/>
      </c>
      <c r="BK687" t="str">
        <v/>
      </c>
      <c r="BL687" t="str">
        <v/>
      </c>
      <c r="BM687" t="str">
        <v/>
      </c>
      <c r="BY687" t="str">
        <v>processor</v>
      </c>
      <c r="BZ687" t="str">
        <v>Brown Sand &amp; Gravel</v>
      </c>
      <c r="CA687" t="str">
        <v>blendSAF</v>
      </c>
      <c r="CB687" t="str">
        <v/>
      </c>
      <c r="CC687" t="str">
        <v/>
      </c>
      <c r="CD687" t="str">
        <v/>
      </c>
      <c r="CE687" t="str">
        <v/>
      </c>
      <c r="CF687" t="str">
        <v/>
      </c>
    </row>
    <row r="688" spans="58:84" x14ac:dyDescent="0.3">
      <c r="BF688" t="str">
        <v>processor</v>
      </c>
      <c r="BG688" t="str">
        <v>Exxon Mobil Refg &amp; Sply Comp 3</v>
      </c>
      <c r="BH688" t="str">
        <v>blendSAF</v>
      </c>
      <c r="BI688" t="str">
        <v/>
      </c>
      <c r="BJ688" t="str">
        <v/>
      </c>
      <c r="BK688" t="str">
        <v/>
      </c>
      <c r="BL688" t="str">
        <v/>
      </c>
      <c r="BM688" t="str">
        <v/>
      </c>
      <c r="BY688" t="str">
        <v>processor</v>
      </c>
      <c r="BZ688" t="str">
        <v>Enterprise Terminals &amp; Storage Llc 21</v>
      </c>
      <c r="CA688" t="str">
        <v>blendSAF</v>
      </c>
      <c r="CB688" t="str">
        <v/>
      </c>
      <c r="CC688" t="str">
        <v/>
      </c>
      <c r="CD688" t="str">
        <v/>
      </c>
      <c r="CE688" t="str">
        <v/>
      </c>
      <c r="CF688" t="str">
        <v/>
      </c>
    </row>
    <row r="689" spans="58:84" x14ac:dyDescent="0.3">
      <c r="BF689" t="str">
        <v>processor</v>
      </c>
      <c r="BG689" t="str">
        <v>Western Emulsions Inc 1</v>
      </c>
      <c r="BH689" t="str">
        <v>blendSAF</v>
      </c>
      <c r="BI689" t="str">
        <v/>
      </c>
      <c r="BJ689" t="str">
        <v/>
      </c>
      <c r="BK689" t="str">
        <v/>
      </c>
      <c r="BL689" t="str">
        <v/>
      </c>
      <c r="BM689" t="str">
        <v/>
      </c>
      <c r="BY689" t="str">
        <v>processor</v>
      </c>
      <c r="BZ689" t="str">
        <v>Enterprise Terminals &amp; Storage Llc 11</v>
      </c>
      <c r="CA689" t="str">
        <v>blendSAF</v>
      </c>
      <c r="CB689" t="str">
        <v/>
      </c>
      <c r="CC689" t="str">
        <v/>
      </c>
      <c r="CD689" t="str">
        <v/>
      </c>
      <c r="CE689" t="str">
        <v/>
      </c>
      <c r="CF689" t="str">
        <v/>
      </c>
    </row>
    <row r="690" spans="58:84" x14ac:dyDescent="0.3">
      <c r="BF690" t="str">
        <v>processor</v>
      </c>
      <c r="BG690" t="str">
        <v>Oneok Rockies Midstream Llc</v>
      </c>
      <c r="BH690" t="str">
        <v>blendSAF</v>
      </c>
      <c r="BI690" t="str">
        <v/>
      </c>
      <c r="BJ690" t="str">
        <v/>
      </c>
      <c r="BK690" t="str">
        <v/>
      </c>
      <c r="BL690" t="str">
        <v/>
      </c>
      <c r="BM690" t="str">
        <v/>
      </c>
      <c r="BY690" t="str">
        <v>processor</v>
      </c>
      <c r="BZ690" t="str">
        <v>Enterprise Refined Products Co Llc 8</v>
      </c>
      <c r="CA690" t="str">
        <v>blendSAF</v>
      </c>
      <c r="CB690" t="str">
        <v/>
      </c>
      <c r="CC690" t="str">
        <v/>
      </c>
      <c r="CD690" t="str">
        <v/>
      </c>
      <c r="CE690" t="str">
        <v/>
      </c>
      <c r="CF690" t="str">
        <v/>
      </c>
    </row>
    <row r="691" spans="58:84" x14ac:dyDescent="0.3">
      <c r="BF691" t="str">
        <v>processor</v>
      </c>
      <c r="BG691" t="str">
        <v>Par Montana Llc 8</v>
      </c>
      <c r="BH691" t="str">
        <v>blendSAF</v>
      </c>
      <c r="BI691" t="str">
        <v/>
      </c>
      <c r="BJ691" t="str">
        <v/>
      </c>
      <c r="BK691" t="str">
        <v/>
      </c>
      <c r="BL691" t="str">
        <v/>
      </c>
      <c r="BM691" t="str">
        <v/>
      </c>
      <c r="BY691" t="str">
        <v>processor</v>
      </c>
      <c r="BZ691" t="str">
        <v>Sinclair Oil Corp 4</v>
      </c>
      <c r="CA691" t="str">
        <v>blendSAF</v>
      </c>
      <c r="CB691" t="str">
        <v/>
      </c>
      <c r="CC691" t="str">
        <v/>
      </c>
      <c r="CD691" t="str">
        <v/>
      </c>
      <c r="CE691" t="str">
        <v/>
      </c>
      <c r="CF691" t="str">
        <v/>
      </c>
    </row>
    <row r="692" spans="58:84" x14ac:dyDescent="0.3">
      <c r="BF692" t="str">
        <v>processor</v>
      </c>
      <c r="BG692" t="str">
        <v>Par Montana Llc 6</v>
      </c>
      <c r="BH692" t="str">
        <v>blendSAF</v>
      </c>
      <c r="BI692" t="str">
        <v/>
      </c>
      <c r="BJ692" t="str">
        <v/>
      </c>
      <c r="BK692" t="str">
        <v/>
      </c>
      <c r="BL692" t="str">
        <v/>
      </c>
      <c r="BM692" t="str">
        <v/>
      </c>
      <c r="BY692" t="str">
        <v>processor</v>
      </c>
      <c r="BZ692" t="str">
        <v>Kinder Morgan Transmix Llc 2</v>
      </c>
      <c r="CA692" t="str">
        <v>blendSAF</v>
      </c>
      <c r="CB692" t="str">
        <v/>
      </c>
      <c r="CC692" t="str">
        <v/>
      </c>
      <c r="CD692" t="str">
        <v/>
      </c>
      <c r="CE692" t="str">
        <v/>
      </c>
      <c r="CF692" t="str">
        <v/>
      </c>
    </row>
    <row r="693" spans="58:84" x14ac:dyDescent="0.3">
      <c r="BF693" t="str">
        <v>processor</v>
      </c>
      <c r="BG693" t="str">
        <v>Par Montana Llc 7</v>
      </c>
      <c r="BH693" t="str">
        <v>blendSAF</v>
      </c>
      <c r="BI693" t="str">
        <v/>
      </c>
      <c r="BJ693" t="str">
        <v/>
      </c>
      <c r="BK693" t="str">
        <v/>
      </c>
      <c r="BL693" t="str">
        <v/>
      </c>
      <c r="BM693" t="str">
        <v/>
      </c>
      <c r="BY693" t="str">
        <v>processor</v>
      </c>
      <c r="BZ693" t="str">
        <v>Magellan Pipeline Co Lp 6</v>
      </c>
      <c r="CA693" t="str">
        <v>blendSAF</v>
      </c>
      <c r="CB693" t="str">
        <v/>
      </c>
      <c r="CC693" t="str">
        <v/>
      </c>
      <c r="CD693" t="str">
        <v/>
      </c>
      <c r="CE693" t="str">
        <v/>
      </c>
      <c r="CF693" t="str">
        <v/>
      </c>
    </row>
    <row r="694" spans="58:84" x14ac:dyDescent="0.3">
      <c r="BF694" t="str">
        <v>processor</v>
      </c>
      <c r="BG694" t="str">
        <v>Bkep Materials Llc 7</v>
      </c>
      <c r="BH694" t="str">
        <v>blendSAF</v>
      </c>
      <c r="BI694" t="str">
        <v/>
      </c>
      <c r="BJ694" t="str">
        <v/>
      </c>
      <c r="BK694" t="str">
        <v/>
      </c>
      <c r="BL694" t="str">
        <v/>
      </c>
      <c r="BM694" t="str">
        <v/>
      </c>
      <c r="BY694" t="str">
        <v>processor</v>
      </c>
      <c r="BZ694" t="str">
        <v>Magellan Pipeline Co Lp 37</v>
      </c>
      <c r="CA694" t="str">
        <v>blendSAF</v>
      </c>
      <c r="CB694" t="str">
        <v/>
      </c>
      <c r="CC694" t="str">
        <v/>
      </c>
      <c r="CD694" t="str">
        <v/>
      </c>
      <c r="CE694" t="str">
        <v/>
      </c>
      <c r="CF694" t="str">
        <v/>
      </c>
    </row>
    <row r="695" spans="58:84" x14ac:dyDescent="0.3">
      <c r="BF695" t="str">
        <v>processor</v>
      </c>
      <c r="BG695" t="str">
        <v>Flint Hills Resources Lp 18</v>
      </c>
      <c r="BH695" t="str">
        <v>blendSAF</v>
      </c>
      <c r="BI695" t="str">
        <v/>
      </c>
      <c r="BJ695" t="str">
        <v/>
      </c>
      <c r="BK695" t="str">
        <v/>
      </c>
      <c r="BL695" t="str">
        <v/>
      </c>
      <c r="BM695" t="str">
        <v/>
      </c>
      <c r="BY695" t="str">
        <v>processor</v>
      </c>
      <c r="BZ695" t="str">
        <v>Magellan Pipeline Co Lp 4</v>
      </c>
      <c r="CA695" t="str">
        <v>blendSAF</v>
      </c>
      <c r="CB695" t="str">
        <v/>
      </c>
      <c r="CC695" t="str">
        <v/>
      </c>
      <c r="CD695" t="str">
        <v/>
      </c>
      <c r="CE695" t="str">
        <v/>
      </c>
      <c r="CF695" t="str">
        <v/>
      </c>
    </row>
    <row r="696" spans="58:84" x14ac:dyDescent="0.3">
      <c r="BF696" t="str">
        <v>processor</v>
      </c>
      <c r="BG696" t="str">
        <v>Phillips 66 Company 19</v>
      </c>
      <c r="BH696" t="str">
        <v>blendSAF</v>
      </c>
      <c r="BI696" t="str">
        <v/>
      </c>
      <c r="BJ696" t="str">
        <v/>
      </c>
      <c r="BK696" t="str">
        <v/>
      </c>
      <c r="BL696" t="str">
        <v/>
      </c>
      <c r="BM696" t="str">
        <v/>
      </c>
      <c r="BY696" t="str">
        <v>processor</v>
      </c>
      <c r="BZ696" t="str">
        <v>Magellan Pipeline Co Lp 20</v>
      </c>
      <c r="CA696" t="str">
        <v>blendSAF</v>
      </c>
      <c r="CB696" t="str">
        <v/>
      </c>
      <c r="CC696" t="str">
        <v/>
      </c>
      <c r="CD696" t="str">
        <v/>
      </c>
      <c r="CE696" t="str">
        <v/>
      </c>
      <c r="CF696" t="str">
        <v/>
      </c>
    </row>
    <row r="697" spans="58:84" x14ac:dyDescent="0.3">
      <c r="BF697" t="str">
        <v>processor</v>
      </c>
      <c r="BG697" t="str">
        <v>Enterprise Terminals &amp; Storage Llc 16</v>
      </c>
      <c r="BH697" t="str">
        <v>blendSAF</v>
      </c>
      <c r="BI697" t="str">
        <v/>
      </c>
      <c r="BJ697" t="str">
        <v/>
      </c>
      <c r="BK697" t="str">
        <v/>
      </c>
      <c r="BL697" t="str">
        <v/>
      </c>
      <c r="BM697" t="str">
        <v/>
      </c>
      <c r="BY697" t="str">
        <v>processor</v>
      </c>
      <c r="BZ697" t="str">
        <v>Magellan Pipeline Co Lp 29</v>
      </c>
      <c r="CA697" t="str">
        <v>blendSAF</v>
      </c>
      <c r="CB697" t="str">
        <v/>
      </c>
      <c r="CC697" t="str">
        <v/>
      </c>
      <c r="CD697" t="str">
        <v/>
      </c>
      <c r="CE697" t="str">
        <v/>
      </c>
      <c r="CF697" t="str">
        <v/>
      </c>
    </row>
    <row r="698" spans="58:84" x14ac:dyDescent="0.3">
      <c r="BF698" t="str">
        <v>processor</v>
      </c>
      <c r="BG698" t="str">
        <v>Holly Energy Partners Oper Lp 5</v>
      </c>
      <c r="BH698" t="str">
        <v>blendSAF</v>
      </c>
      <c r="BI698" t="str">
        <v/>
      </c>
      <c r="BJ698" t="str">
        <v/>
      </c>
      <c r="BK698" t="str">
        <v/>
      </c>
      <c r="BL698" t="str">
        <v/>
      </c>
      <c r="BM698" t="str">
        <v/>
      </c>
      <c r="BY698" t="str">
        <v>processor</v>
      </c>
      <c r="BZ698" t="str">
        <v>Ngl Supply Wholesale Llc 2</v>
      </c>
      <c r="CA698" t="str">
        <v>blendSAF</v>
      </c>
      <c r="CB698" t="str">
        <v/>
      </c>
      <c r="CC698" t="str">
        <v/>
      </c>
      <c r="CD698" t="str">
        <v/>
      </c>
      <c r="CE698" t="str">
        <v/>
      </c>
      <c r="CF698" t="str">
        <v/>
      </c>
    </row>
    <row r="699" spans="58:84" x14ac:dyDescent="0.3">
      <c r="BF699" t="str">
        <v>processor</v>
      </c>
      <c r="BG699" t="str">
        <v>Magellan Pipeline Co Lp 9</v>
      </c>
      <c r="BH699" t="str">
        <v>blendSAF</v>
      </c>
      <c r="BI699" t="str">
        <v/>
      </c>
      <c r="BJ699" t="str">
        <v/>
      </c>
      <c r="BK699" t="str">
        <v/>
      </c>
      <c r="BL699" t="str">
        <v/>
      </c>
      <c r="BM699" t="str">
        <v/>
      </c>
      <c r="BY699" t="str">
        <v>processor</v>
      </c>
      <c r="BZ699" t="str">
        <v>J D Streett &amp; Co Inc</v>
      </c>
      <c r="CA699" t="str">
        <v>blendSAF</v>
      </c>
      <c r="CB699" t="str">
        <v/>
      </c>
      <c r="CC699" t="str">
        <v/>
      </c>
      <c r="CD699" t="str">
        <v/>
      </c>
      <c r="CE699" t="str">
        <v/>
      </c>
      <c r="CF699" t="str">
        <v/>
      </c>
    </row>
    <row r="700" spans="58:84" x14ac:dyDescent="0.3">
      <c r="BF700" t="str">
        <v>processor</v>
      </c>
      <c r="BG700" t="str">
        <v>Magellan Pipeline Co Lp 22</v>
      </c>
      <c r="BH700" t="str">
        <v>blendSAF</v>
      </c>
      <c r="BI700" t="str">
        <v/>
      </c>
      <c r="BJ700" t="str">
        <v/>
      </c>
      <c r="BK700" t="str">
        <v/>
      </c>
      <c r="BL700" t="str">
        <v/>
      </c>
      <c r="BM700" t="str">
        <v/>
      </c>
      <c r="BY700" t="str">
        <v>processor</v>
      </c>
      <c r="BZ700" t="str">
        <v>Jd Streett &amp; Co Inc</v>
      </c>
      <c r="CA700" t="str">
        <v>blendSAF</v>
      </c>
      <c r="CB700" t="str">
        <v/>
      </c>
      <c r="CC700" t="str">
        <v/>
      </c>
      <c r="CD700" t="str">
        <v/>
      </c>
      <c r="CE700" t="str">
        <v/>
      </c>
      <c r="CF700" t="str">
        <v/>
      </c>
    </row>
    <row r="701" spans="58:84" x14ac:dyDescent="0.3">
      <c r="BF701" t="str">
        <v>processor</v>
      </c>
      <c r="BG701" t="str">
        <v>Magellan Pipeline Co Lp 36</v>
      </c>
      <c r="BH701" t="str">
        <v>blendSAF</v>
      </c>
      <c r="BI701" t="str">
        <v/>
      </c>
      <c r="BJ701" t="str">
        <v/>
      </c>
      <c r="BK701" t="str">
        <v/>
      </c>
      <c r="BL701" t="str">
        <v/>
      </c>
      <c r="BM701" t="str">
        <v/>
      </c>
      <c r="BY701" t="str">
        <v>processor</v>
      </c>
      <c r="BZ701" t="str">
        <v>Transmontaigne Operating Company 14</v>
      </c>
      <c r="CA701" t="str">
        <v>blendSAF</v>
      </c>
      <c r="CB701" t="str">
        <v/>
      </c>
      <c r="CC701" t="str">
        <v/>
      </c>
      <c r="CD701" t="str">
        <v/>
      </c>
      <c r="CE701" t="str">
        <v/>
      </c>
      <c r="CF701" t="str">
        <v/>
      </c>
    </row>
    <row r="702" spans="58:84" x14ac:dyDescent="0.3">
      <c r="BF702" t="str">
        <v>processor</v>
      </c>
      <c r="BG702" t="str">
        <v>Magellan Pipeline Co Lp 30</v>
      </c>
      <c r="BH702" t="str">
        <v>blendSAF</v>
      </c>
      <c r="BI702" t="str">
        <v/>
      </c>
      <c r="BJ702" t="str">
        <v/>
      </c>
      <c r="BK702" t="str">
        <v/>
      </c>
      <c r="BL702" t="str">
        <v/>
      </c>
      <c r="BM702" t="str">
        <v/>
      </c>
      <c r="BY702" t="str">
        <v>processor</v>
      </c>
      <c r="BZ702" t="str">
        <v>Vance Brothers Inc</v>
      </c>
      <c r="CA702" t="str">
        <v>blendSAF</v>
      </c>
      <c r="CB702" t="str">
        <v/>
      </c>
      <c r="CC702" t="str">
        <v/>
      </c>
      <c r="CD702" t="str">
        <v/>
      </c>
      <c r="CE702" t="str">
        <v/>
      </c>
      <c r="CF702" t="str">
        <v/>
      </c>
    </row>
    <row r="703" spans="58:84" x14ac:dyDescent="0.3">
      <c r="BF703" t="str">
        <v>processor</v>
      </c>
      <c r="BG703" t="str">
        <v>Nustar Energy Lp 29</v>
      </c>
      <c r="BH703" t="str">
        <v>blendSAF</v>
      </c>
      <c r="BI703" t="str">
        <v/>
      </c>
      <c r="BJ703" t="str">
        <v/>
      </c>
      <c r="BK703" t="str">
        <v/>
      </c>
      <c r="BL703" t="str">
        <v/>
      </c>
      <c r="BM703" t="str">
        <v/>
      </c>
      <c r="BY703" t="str">
        <v>processor</v>
      </c>
      <c r="BZ703" t="str">
        <v>Chs Inc 2</v>
      </c>
      <c r="CA703" t="str">
        <v>blendSAF</v>
      </c>
      <c r="CB703" t="str">
        <v/>
      </c>
      <c r="CC703" t="str">
        <v/>
      </c>
      <c r="CD703" t="str">
        <v/>
      </c>
      <c r="CE703" t="str">
        <v/>
      </c>
      <c r="CF703" t="str">
        <v/>
      </c>
    </row>
    <row r="704" spans="58:84" x14ac:dyDescent="0.3">
      <c r="BF704" t="str">
        <v>processor</v>
      </c>
      <c r="BG704" t="str">
        <v>Nustar Energy Lp 7</v>
      </c>
      <c r="BH704" t="str">
        <v>blendSAF</v>
      </c>
      <c r="BI704" t="str">
        <v/>
      </c>
      <c r="BJ704" t="str">
        <v/>
      </c>
      <c r="BK704" t="str">
        <v/>
      </c>
      <c r="BL704" t="str">
        <v/>
      </c>
      <c r="BM704" t="str">
        <v/>
      </c>
      <c r="BY704" t="str">
        <v>processor</v>
      </c>
      <c r="BZ704" t="str">
        <v>Cenex Pl Llc 1</v>
      </c>
      <c r="CA704" t="str">
        <v>blendSAF</v>
      </c>
      <c r="CB704" t="str">
        <v/>
      </c>
      <c r="CC704" t="str">
        <v/>
      </c>
      <c r="CD704" t="str">
        <v/>
      </c>
      <c r="CE704" t="str">
        <v/>
      </c>
      <c r="CF704" t="str">
        <v/>
      </c>
    </row>
    <row r="705" spans="58:84" x14ac:dyDescent="0.3">
      <c r="BF705" t="str">
        <v>processor</v>
      </c>
      <c r="BG705" t="str">
        <v>Nustar Energy Lp 17</v>
      </c>
      <c r="BH705" t="str">
        <v>blendSAF</v>
      </c>
      <c r="BI705" t="str">
        <v/>
      </c>
      <c r="BJ705" t="str">
        <v/>
      </c>
      <c r="BK705" t="str">
        <v/>
      </c>
      <c r="BL705" t="str">
        <v/>
      </c>
      <c r="BM705" t="str">
        <v/>
      </c>
      <c r="BY705" t="str">
        <v>processor</v>
      </c>
      <c r="BZ705" t="str">
        <v>Cenex Pl Llc 2</v>
      </c>
      <c r="CA705" t="str">
        <v>blendSAF</v>
      </c>
      <c r="CB705" t="str">
        <v/>
      </c>
      <c r="CC705" t="str">
        <v/>
      </c>
      <c r="CD705" t="str">
        <v/>
      </c>
      <c r="CE705" t="str">
        <v/>
      </c>
      <c r="CF705" t="str">
        <v/>
      </c>
    </row>
    <row r="706" spans="58:84" x14ac:dyDescent="0.3">
      <c r="BF706" t="str">
        <v>processor</v>
      </c>
      <c r="BG706" t="str">
        <v>Nustar Energy Lp 28</v>
      </c>
      <c r="BH706" t="str">
        <v>blendSAF</v>
      </c>
      <c r="BI706" t="str">
        <v/>
      </c>
      <c r="BJ706" t="str">
        <v/>
      </c>
      <c r="BK706" t="str">
        <v/>
      </c>
      <c r="BL706" t="str">
        <v/>
      </c>
      <c r="BM706" t="str">
        <v/>
      </c>
      <c r="BY706" t="str">
        <v>processor</v>
      </c>
      <c r="BZ706" t="str">
        <v>Phillips 66 Company 3</v>
      </c>
      <c r="CA706" t="str">
        <v>blendSAF</v>
      </c>
      <c r="CB706" t="str">
        <v/>
      </c>
      <c r="CC706" t="str">
        <v/>
      </c>
      <c r="CD706" t="str">
        <v/>
      </c>
      <c r="CE706" t="str">
        <v/>
      </c>
      <c r="CF706" t="str">
        <v/>
      </c>
    </row>
    <row r="707" spans="58:84" x14ac:dyDescent="0.3">
      <c r="BF707" t="str">
        <v>processor</v>
      </c>
      <c r="BG707" t="str">
        <v>Nustar Energy Lp 30</v>
      </c>
      <c r="BH707" t="str">
        <v>blendSAF</v>
      </c>
      <c r="BI707" t="str">
        <v/>
      </c>
      <c r="BJ707" t="str">
        <v/>
      </c>
      <c r="BK707" t="str">
        <v/>
      </c>
      <c r="BL707" t="str">
        <v/>
      </c>
      <c r="BM707" t="str">
        <v/>
      </c>
      <c r="BY707" t="str">
        <v>processor</v>
      </c>
      <c r="BZ707" t="str">
        <v>Phillips 66 Company 4</v>
      </c>
      <c r="CA707" t="str">
        <v>blendSAF</v>
      </c>
      <c r="CB707" t="str">
        <v/>
      </c>
      <c r="CC707" t="str">
        <v/>
      </c>
      <c r="CD707" t="str">
        <v/>
      </c>
      <c r="CE707" t="str">
        <v/>
      </c>
      <c r="CF707" t="str">
        <v/>
      </c>
    </row>
    <row r="708" spans="58:84" x14ac:dyDescent="0.3">
      <c r="BF708" t="str">
        <v>processor</v>
      </c>
      <c r="BG708" t="str">
        <v>Oneok North System Llc 9</v>
      </c>
      <c r="BH708" t="str">
        <v>blendSAF</v>
      </c>
      <c r="BI708" t="str">
        <v/>
      </c>
      <c r="BJ708" t="str">
        <v/>
      </c>
      <c r="BK708" t="str">
        <v/>
      </c>
      <c r="BL708" t="str">
        <v/>
      </c>
      <c r="BM708" t="str">
        <v/>
      </c>
      <c r="BY708" t="str">
        <v>processor</v>
      </c>
      <c r="BZ708" t="str">
        <v>Phillips 66 Company 1</v>
      </c>
      <c r="CA708" t="str">
        <v>blendSAF</v>
      </c>
      <c r="CB708" t="str">
        <v/>
      </c>
      <c r="CC708" t="str">
        <v/>
      </c>
      <c r="CD708" t="str">
        <v/>
      </c>
      <c r="CE708" t="str">
        <v/>
      </c>
      <c r="CF708" t="str">
        <v/>
      </c>
    </row>
    <row r="709" spans="58:84" x14ac:dyDescent="0.3">
      <c r="BF709" t="str">
        <v>processor</v>
      </c>
      <c r="BG709" t="str">
        <v>Ergon Asphalt And Emulsions 8</v>
      </c>
      <c r="BH709" t="str">
        <v>blendSAF</v>
      </c>
      <c r="BI709" t="str">
        <v/>
      </c>
      <c r="BJ709" t="str">
        <v/>
      </c>
      <c r="BK709" t="str">
        <v/>
      </c>
      <c r="BL709" t="str">
        <v/>
      </c>
      <c r="BM709" t="str">
        <v/>
      </c>
      <c r="BY709" t="str">
        <v>processor</v>
      </c>
      <c r="BZ709" t="str">
        <v>Phillips 66 Company 6</v>
      </c>
      <c r="CA709" t="str">
        <v>blendSAF</v>
      </c>
      <c r="CB709" t="str">
        <v/>
      </c>
      <c r="CC709" t="str">
        <v/>
      </c>
      <c r="CD709" t="str">
        <v/>
      </c>
      <c r="CE709" t="str">
        <v/>
      </c>
      <c r="CF709" t="str">
        <v/>
      </c>
    </row>
    <row r="710" spans="58:84" x14ac:dyDescent="0.3">
      <c r="BF710" t="str">
        <v>processor</v>
      </c>
      <c r="BG710" t="str">
        <v>Ergon Asphalt And Emulsions 9</v>
      </c>
      <c r="BH710" t="str">
        <v>blendSAF</v>
      </c>
      <c r="BI710" t="str">
        <v/>
      </c>
      <c r="BJ710" t="str">
        <v/>
      </c>
      <c r="BK710" t="str">
        <v/>
      </c>
      <c r="BL710" t="str">
        <v/>
      </c>
      <c r="BM710" t="str">
        <v/>
      </c>
      <c r="BY710" t="str">
        <v>processor</v>
      </c>
      <c r="BZ710" t="str">
        <v>Exxon Mobil Refg &amp; Sply Comp 3</v>
      </c>
      <c r="CA710" t="str">
        <v>blendSAF</v>
      </c>
      <c r="CB710" t="str">
        <v/>
      </c>
      <c r="CC710" t="str">
        <v/>
      </c>
      <c r="CD710" t="str">
        <v/>
      </c>
      <c r="CE710" t="str">
        <v/>
      </c>
      <c r="CF710" t="str">
        <v/>
      </c>
    </row>
    <row r="711" spans="58:84" x14ac:dyDescent="0.3">
      <c r="BF711" t="str">
        <v>processor</v>
      </c>
      <c r="BG711" t="str">
        <v>Pro Petroleum Inc 4</v>
      </c>
      <c r="BH711" t="str">
        <v>blendSAF</v>
      </c>
      <c r="BI711" t="str">
        <v/>
      </c>
      <c r="BJ711" t="str">
        <v/>
      </c>
      <c r="BK711" t="str">
        <v/>
      </c>
      <c r="BL711" t="str">
        <v/>
      </c>
      <c r="BM711" t="str">
        <v/>
      </c>
      <c r="BY711" t="str">
        <v>processor</v>
      </c>
      <c r="BZ711" t="str">
        <v>Western Emulsions Inc 1</v>
      </c>
      <c r="CA711" t="str">
        <v>blendSAF</v>
      </c>
      <c r="CB711" t="str">
        <v/>
      </c>
      <c r="CC711" t="str">
        <v/>
      </c>
      <c r="CD711" t="str">
        <v/>
      </c>
      <c r="CE711" t="str">
        <v/>
      </c>
      <c r="CF711" t="str">
        <v/>
      </c>
    </row>
    <row r="712" spans="58:84" x14ac:dyDescent="0.3">
      <c r="BF712" t="str">
        <v>processor</v>
      </c>
      <c r="BG712" t="str">
        <v>Unev Pipeline Llc 2</v>
      </c>
      <c r="BH712" t="str">
        <v>blendSAF</v>
      </c>
      <c r="BI712" t="str">
        <v/>
      </c>
      <c r="BJ712" t="str">
        <v/>
      </c>
      <c r="BK712" t="str">
        <v/>
      </c>
      <c r="BL712" t="str">
        <v/>
      </c>
      <c r="BM712" t="str">
        <v/>
      </c>
      <c r="BY712" t="str">
        <v>processor</v>
      </c>
      <c r="BZ712" t="str">
        <v>Oneok Rockies Midstream Llc</v>
      </c>
      <c r="CA712" t="str">
        <v>blendSAF</v>
      </c>
      <c r="CB712" t="str">
        <v/>
      </c>
      <c r="CC712" t="str">
        <v/>
      </c>
      <c r="CD712" t="str">
        <v/>
      </c>
      <c r="CE712" t="str">
        <v/>
      </c>
      <c r="CF712" t="str">
        <v/>
      </c>
    </row>
    <row r="713" spans="58:84" x14ac:dyDescent="0.3">
      <c r="BF713" t="str">
        <v>processor</v>
      </c>
      <c r="BG713" t="str">
        <v>Sfpp Lp 9</v>
      </c>
      <c r="BH713" t="str">
        <v>blendSAF</v>
      </c>
      <c r="BI713" t="str">
        <v/>
      </c>
      <c r="BJ713" t="str">
        <v/>
      </c>
      <c r="BK713" t="str">
        <v/>
      </c>
      <c r="BL713" t="str">
        <v/>
      </c>
      <c r="BM713" t="str">
        <v/>
      </c>
      <c r="BY713" t="str">
        <v>processor</v>
      </c>
      <c r="BZ713" t="str">
        <v>Par Montana Llc 8</v>
      </c>
      <c r="CA713" t="str">
        <v>blendSAF</v>
      </c>
      <c r="CB713" t="str">
        <v/>
      </c>
      <c r="CC713" t="str">
        <v/>
      </c>
      <c r="CD713" t="str">
        <v/>
      </c>
      <c r="CE713" t="str">
        <v/>
      </c>
      <c r="CF713" t="str">
        <v/>
      </c>
    </row>
    <row r="714" spans="58:84" x14ac:dyDescent="0.3">
      <c r="BF714" t="str">
        <v>processor</v>
      </c>
      <c r="BG714" t="str">
        <v>Kinder Morgan Calnev P L Llc 6</v>
      </c>
      <c r="BH714" t="str">
        <v>blendSAF</v>
      </c>
      <c r="BI714" t="str">
        <v/>
      </c>
      <c r="BJ714" t="str">
        <v/>
      </c>
      <c r="BK714" t="str">
        <v/>
      </c>
      <c r="BL714" t="str">
        <v/>
      </c>
      <c r="BM714" t="str">
        <v/>
      </c>
      <c r="BY714" t="str">
        <v>processor</v>
      </c>
      <c r="BZ714" t="str">
        <v>Par Montana Llc 6</v>
      </c>
      <c r="CA714" t="str">
        <v>blendSAF</v>
      </c>
      <c r="CB714" t="str">
        <v/>
      </c>
      <c r="CC714" t="str">
        <v/>
      </c>
      <c r="CD714" t="str">
        <v/>
      </c>
      <c r="CE714" t="str">
        <v/>
      </c>
      <c r="CF714" t="str">
        <v/>
      </c>
    </row>
    <row r="715" spans="58:84" x14ac:dyDescent="0.3">
      <c r="BF715" t="str">
        <v>processor</v>
      </c>
      <c r="BG715" t="str">
        <v>Andeavor Logistics Lp 10</v>
      </c>
      <c r="BH715" t="str">
        <v>blendSAF</v>
      </c>
      <c r="BI715" t="str">
        <v/>
      </c>
      <c r="BJ715" t="str">
        <v/>
      </c>
      <c r="BK715" t="str">
        <v/>
      </c>
      <c r="BL715" t="str">
        <v/>
      </c>
      <c r="BM715" t="str">
        <v/>
      </c>
      <c r="BY715" t="str">
        <v>processor</v>
      </c>
      <c r="BZ715" t="str">
        <v>Par Montana Llc 7</v>
      </c>
      <c r="CA715" t="str">
        <v>blendSAF</v>
      </c>
      <c r="CB715" t="str">
        <v/>
      </c>
      <c r="CC715" t="str">
        <v/>
      </c>
      <c r="CD715" t="str">
        <v/>
      </c>
      <c r="CE715" t="str">
        <v/>
      </c>
      <c r="CF715" t="str">
        <v/>
      </c>
    </row>
    <row r="716" spans="58:84" x14ac:dyDescent="0.3">
      <c r="BF716" t="str">
        <v>processor</v>
      </c>
      <c r="BG716" t="str">
        <v>Op Reno Llc</v>
      </c>
      <c r="BH716" t="str">
        <v>blendSAF</v>
      </c>
      <c r="BI716" t="str">
        <v/>
      </c>
      <c r="BJ716" t="str">
        <v/>
      </c>
      <c r="BK716" t="str">
        <v/>
      </c>
      <c r="BL716" t="str">
        <v/>
      </c>
      <c r="BM716" t="str">
        <v/>
      </c>
      <c r="BY716" t="str">
        <v>processor</v>
      </c>
      <c r="BZ716" t="str">
        <v>Bkep Materials Llc 7</v>
      </c>
      <c r="CA716" t="str">
        <v>blendSAF</v>
      </c>
      <c r="CB716" t="str">
        <v/>
      </c>
      <c r="CC716" t="str">
        <v/>
      </c>
      <c r="CD716" t="str">
        <v/>
      </c>
      <c r="CE716" t="str">
        <v/>
      </c>
      <c r="CF716" t="str">
        <v/>
      </c>
    </row>
    <row r="717" spans="58:84" x14ac:dyDescent="0.3">
      <c r="BF717" t="str">
        <v>processor</v>
      </c>
      <c r="BG717" t="str">
        <v>Rebel Oil Co</v>
      </c>
      <c r="BH717" t="str">
        <v>blendSAF</v>
      </c>
      <c r="BI717" t="str">
        <v/>
      </c>
      <c r="BJ717" t="str">
        <v/>
      </c>
      <c r="BK717" t="str">
        <v/>
      </c>
      <c r="BL717" t="str">
        <v/>
      </c>
      <c r="BM717" t="str">
        <v/>
      </c>
      <c r="BY717" t="str">
        <v>processor</v>
      </c>
      <c r="BZ717" t="str">
        <v>Flint Hills Resources Lp 18</v>
      </c>
      <c r="CA717" t="str">
        <v>blendSAF</v>
      </c>
      <c r="CB717" t="str">
        <v/>
      </c>
      <c r="CC717" t="str">
        <v/>
      </c>
      <c r="CD717" t="str">
        <v/>
      </c>
      <c r="CE717" t="str">
        <v/>
      </c>
      <c r="CF717" t="str">
        <v/>
      </c>
    </row>
    <row r="718" spans="58:84" x14ac:dyDescent="0.3">
      <c r="BF718" t="str">
        <v>processor</v>
      </c>
      <c r="BG718" t="str">
        <v>Sea-3 Llc</v>
      </c>
      <c r="BH718" t="str">
        <v>blendSAF</v>
      </c>
      <c r="BI718" t="str">
        <v/>
      </c>
      <c r="BJ718" t="str">
        <v/>
      </c>
      <c r="BK718" t="str">
        <v/>
      </c>
      <c r="BL718" t="str">
        <v/>
      </c>
      <c r="BM718" t="str">
        <v/>
      </c>
      <c r="BY718" t="str">
        <v>processor</v>
      </c>
      <c r="BZ718" t="str">
        <v>Phillips 66 Company 19</v>
      </c>
      <c r="CA718" t="str">
        <v>blendSAF</v>
      </c>
      <c r="CB718" t="str">
        <v/>
      </c>
      <c r="CC718" t="str">
        <v/>
      </c>
      <c r="CD718" t="str">
        <v/>
      </c>
      <c r="CE718" t="str">
        <v/>
      </c>
      <c r="CF718" t="str">
        <v/>
      </c>
    </row>
    <row r="719" spans="58:84" x14ac:dyDescent="0.3">
      <c r="BF719" t="str">
        <v>processor</v>
      </c>
      <c r="BG719" t="str">
        <v>Sprague Operating Resources Llc 3</v>
      </c>
      <c r="BH719" t="str">
        <v>blendSAF</v>
      </c>
      <c r="BI719" t="str">
        <v/>
      </c>
      <c r="BJ719" t="str">
        <v/>
      </c>
      <c r="BK719" t="str">
        <v/>
      </c>
      <c r="BL719" t="str">
        <v/>
      </c>
      <c r="BM719" t="str">
        <v/>
      </c>
      <c r="BY719" t="str">
        <v>processor</v>
      </c>
      <c r="BZ719" t="str">
        <v>Enterprise Terminals &amp; Storage Llc 16</v>
      </c>
      <c r="CA719" t="str">
        <v>blendSAF</v>
      </c>
      <c r="CB719" t="str">
        <v/>
      </c>
      <c r="CC719" t="str">
        <v/>
      </c>
      <c r="CD719" t="str">
        <v/>
      </c>
      <c r="CE719" t="str">
        <v/>
      </c>
      <c r="CF719" t="str">
        <v/>
      </c>
    </row>
    <row r="720" spans="58:84" x14ac:dyDescent="0.3">
      <c r="BF720" t="str">
        <v>processor</v>
      </c>
      <c r="BG720" t="str">
        <v>Sprague Operating Resources Llc 4</v>
      </c>
      <c r="BH720" t="str">
        <v>blendSAF</v>
      </c>
      <c r="BI720" t="str">
        <v/>
      </c>
      <c r="BJ720" t="str">
        <v/>
      </c>
      <c r="BK720" t="str">
        <v/>
      </c>
      <c r="BL720" t="str">
        <v/>
      </c>
      <c r="BM720" t="str">
        <v/>
      </c>
      <c r="BY720" t="str">
        <v>processor</v>
      </c>
      <c r="BZ720" t="str">
        <v>Holly Energy Partners Oper Lp 5</v>
      </c>
      <c r="CA720" t="str">
        <v>blendSAF</v>
      </c>
      <c r="CB720" t="str">
        <v/>
      </c>
      <c r="CC720" t="str">
        <v/>
      </c>
      <c r="CD720" t="str">
        <v/>
      </c>
      <c r="CE720" t="str">
        <v/>
      </c>
      <c r="CF720" t="str">
        <v/>
      </c>
    </row>
    <row r="721" spans="58:84" x14ac:dyDescent="0.3">
      <c r="BF721" t="str">
        <v>processor</v>
      </c>
      <c r="BG721" t="str">
        <v>Irving Oil Terminals Inc 5</v>
      </c>
      <c r="BH721" t="str">
        <v>blendSAF</v>
      </c>
      <c r="BI721" t="str">
        <v/>
      </c>
      <c r="BJ721" t="str">
        <v/>
      </c>
      <c r="BK721" t="str">
        <v/>
      </c>
      <c r="BL721" t="str">
        <v/>
      </c>
      <c r="BM721" t="str">
        <v/>
      </c>
      <c r="BY721" t="str">
        <v>processor</v>
      </c>
      <c r="BZ721" t="str">
        <v>Magellan Pipeline Co Lp 9</v>
      </c>
      <c r="CA721" t="str">
        <v>blendSAF</v>
      </c>
      <c r="CB721" t="str">
        <v/>
      </c>
      <c r="CC721" t="str">
        <v/>
      </c>
      <c r="CD721" t="str">
        <v/>
      </c>
      <c r="CE721" t="str">
        <v/>
      </c>
      <c r="CF721" t="str">
        <v/>
      </c>
    </row>
    <row r="722" spans="58:84" x14ac:dyDescent="0.3">
      <c r="BF722" t="str">
        <v>processor</v>
      </c>
      <c r="BG722" t="str">
        <v>Petroleum Fuel &amp; Terminal Co 11</v>
      </c>
      <c r="BH722" t="str">
        <v>blendSAF</v>
      </c>
      <c r="BI722" t="str">
        <v/>
      </c>
      <c r="BJ722" t="str">
        <v/>
      </c>
      <c r="BK722" t="str">
        <v/>
      </c>
      <c r="BL722" t="str">
        <v/>
      </c>
      <c r="BM722" t="str">
        <v/>
      </c>
      <c r="BY722" t="str">
        <v>processor</v>
      </c>
      <c r="BZ722" t="str">
        <v>Magellan Pipeline Co Lp 22</v>
      </c>
      <c r="CA722" t="str">
        <v>blendSAF</v>
      </c>
      <c r="CB722" t="str">
        <v/>
      </c>
      <c r="CC722" t="str">
        <v/>
      </c>
      <c r="CD722" t="str">
        <v/>
      </c>
      <c r="CE722" t="str">
        <v/>
      </c>
      <c r="CF722" t="str">
        <v/>
      </c>
    </row>
    <row r="723" spans="58:84" x14ac:dyDescent="0.3">
      <c r="BF723" t="str">
        <v>processor</v>
      </c>
      <c r="BG723" t="str">
        <v>Bkep Materials Llc 6</v>
      </c>
      <c r="BH723" t="str">
        <v>blendSAF</v>
      </c>
      <c r="BI723" t="str">
        <v/>
      </c>
      <c r="BJ723" t="str">
        <v/>
      </c>
      <c r="BK723" t="str">
        <v/>
      </c>
      <c r="BL723" t="str">
        <v/>
      </c>
      <c r="BM723" t="str">
        <v/>
      </c>
      <c r="BY723" t="str">
        <v>processor</v>
      </c>
      <c r="BZ723" t="str">
        <v>Magellan Pipeline Co Lp 36</v>
      </c>
      <c r="CA723" t="str">
        <v>blendSAF</v>
      </c>
      <c r="CB723" t="str">
        <v/>
      </c>
      <c r="CC723" t="str">
        <v/>
      </c>
      <c r="CD723" t="str">
        <v/>
      </c>
      <c r="CE723" t="str">
        <v/>
      </c>
      <c r="CF723" t="str">
        <v/>
      </c>
    </row>
    <row r="724" spans="58:84" x14ac:dyDescent="0.3">
      <c r="BF724" t="str">
        <v>processor</v>
      </c>
      <c r="BG724" t="str">
        <v>Gulf Oil Lp 2</v>
      </c>
      <c r="BH724" t="str">
        <v>blendSAF</v>
      </c>
      <c r="BI724" t="str">
        <v/>
      </c>
      <c r="BJ724" t="str">
        <v/>
      </c>
      <c r="BK724" t="str">
        <v/>
      </c>
      <c r="BL724" t="str">
        <v/>
      </c>
      <c r="BM724" t="str">
        <v/>
      </c>
      <c r="BY724" t="str">
        <v>processor</v>
      </c>
      <c r="BZ724" t="str">
        <v>Magellan Pipeline Co Lp 30</v>
      </c>
      <c r="CA724" t="str">
        <v>blendSAF</v>
      </c>
      <c r="CB724" t="str">
        <v/>
      </c>
      <c r="CC724" t="str">
        <v/>
      </c>
      <c r="CD724" t="str">
        <v/>
      </c>
      <c r="CE724" t="str">
        <v/>
      </c>
      <c r="CF724" t="str">
        <v/>
      </c>
    </row>
    <row r="725" spans="58:84" x14ac:dyDescent="0.3">
      <c r="BF725" t="str">
        <v>processor</v>
      </c>
      <c r="BG725" t="str">
        <v>Gulf Oil Lp 5</v>
      </c>
      <c r="BH725" t="str">
        <v>blendSAF</v>
      </c>
      <c r="BI725" t="str">
        <v/>
      </c>
      <c r="BJ725" t="str">
        <v/>
      </c>
      <c r="BK725" t="str">
        <v/>
      </c>
      <c r="BL725" t="str">
        <v/>
      </c>
      <c r="BM725" t="str">
        <v/>
      </c>
      <c r="BY725" t="str">
        <v>processor</v>
      </c>
      <c r="BZ725" t="str">
        <v>Nustar Energy Lp 29</v>
      </c>
      <c r="CA725" t="str">
        <v>blendSAF</v>
      </c>
      <c r="CB725" t="str">
        <v/>
      </c>
      <c r="CC725" t="str">
        <v/>
      </c>
      <c r="CD725" t="str">
        <v/>
      </c>
      <c r="CE725" t="str">
        <v/>
      </c>
      <c r="CF725" t="str">
        <v/>
      </c>
    </row>
    <row r="726" spans="58:84" x14ac:dyDescent="0.3">
      <c r="BF726" t="str">
        <v>processor</v>
      </c>
      <c r="BG726" t="str">
        <v>Buckeye Terminals Llc 85</v>
      </c>
      <c r="BH726" t="str">
        <v>blendSAF</v>
      </c>
      <c r="BI726" t="str">
        <v/>
      </c>
      <c r="BJ726" t="str">
        <v/>
      </c>
      <c r="BK726" t="str">
        <v/>
      </c>
      <c r="BL726" t="str">
        <v/>
      </c>
      <c r="BM726" t="str">
        <v/>
      </c>
      <c r="BY726" t="str">
        <v>processor</v>
      </c>
      <c r="BZ726" t="str">
        <v>Nustar Energy Lp 7</v>
      </c>
      <c r="CA726" t="str">
        <v>blendSAF</v>
      </c>
      <c r="CB726" t="str">
        <v/>
      </c>
      <c r="CC726" t="str">
        <v/>
      </c>
      <c r="CD726" t="str">
        <v/>
      </c>
      <c r="CE726" t="str">
        <v/>
      </c>
      <c r="CF726" t="str">
        <v/>
      </c>
    </row>
    <row r="727" spans="58:84" x14ac:dyDescent="0.3">
      <c r="BF727" t="str">
        <v>processor</v>
      </c>
      <c r="BG727" t="str">
        <v>Buckeye Terminals Llc 86</v>
      </c>
      <c r="BH727" t="str">
        <v>blendSAF</v>
      </c>
      <c r="BI727" t="str">
        <v/>
      </c>
      <c r="BJ727" t="str">
        <v/>
      </c>
      <c r="BK727" t="str">
        <v/>
      </c>
      <c r="BL727" t="str">
        <v/>
      </c>
      <c r="BM727" t="str">
        <v/>
      </c>
      <c r="BY727" t="str">
        <v>processor</v>
      </c>
      <c r="BZ727" t="str">
        <v>Nustar Energy Lp 17</v>
      </c>
      <c r="CA727" t="str">
        <v>blendSAF</v>
      </c>
      <c r="CB727" t="str">
        <v/>
      </c>
      <c r="CC727" t="str">
        <v/>
      </c>
      <c r="CD727" t="str">
        <v/>
      </c>
      <c r="CE727" t="str">
        <v/>
      </c>
      <c r="CF727" t="str">
        <v/>
      </c>
    </row>
    <row r="728" spans="58:84" x14ac:dyDescent="0.3">
      <c r="BF728" t="str">
        <v>processor</v>
      </c>
      <c r="BG728" t="str">
        <v>Buckeye Terminals Llc 87</v>
      </c>
      <c r="BH728" t="str">
        <v>blendSAF</v>
      </c>
      <c r="BI728" t="str">
        <v/>
      </c>
      <c r="BJ728" t="str">
        <v/>
      </c>
      <c r="BK728" t="str">
        <v/>
      </c>
      <c r="BL728" t="str">
        <v/>
      </c>
      <c r="BM728" t="str">
        <v/>
      </c>
      <c r="BY728" t="str">
        <v>processor</v>
      </c>
      <c r="BZ728" t="str">
        <v>Nustar Energy Lp 28</v>
      </c>
      <c r="CA728" t="str">
        <v>blendSAF</v>
      </c>
      <c r="CB728" t="str">
        <v/>
      </c>
      <c r="CC728" t="str">
        <v/>
      </c>
      <c r="CD728" t="str">
        <v/>
      </c>
      <c r="CE728" t="str">
        <v/>
      </c>
      <c r="CF728" t="str">
        <v/>
      </c>
    </row>
    <row r="729" spans="58:84" x14ac:dyDescent="0.3">
      <c r="BF729" t="str">
        <v>processor</v>
      </c>
      <c r="BG729" t="str">
        <v>Buckeye Terminals Llc 84</v>
      </c>
      <c r="BH729" t="str">
        <v>blendSAF</v>
      </c>
      <c r="BI729" t="str">
        <v/>
      </c>
      <c r="BJ729" t="str">
        <v/>
      </c>
      <c r="BK729" t="str">
        <v/>
      </c>
      <c r="BL729" t="str">
        <v/>
      </c>
      <c r="BM729" t="str">
        <v/>
      </c>
      <c r="BY729" t="str">
        <v>processor</v>
      </c>
      <c r="BZ729" t="str">
        <v>Nustar Energy Lp 30</v>
      </c>
      <c r="CA729" t="str">
        <v>blendSAF</v>
      </c>
      <c r="CB729" t="str">
        <v/>
      </c>
      <c r="CC729" t="str">
        <v/>
      </c>
      <c r="CD729" t="str">
        <v/>
      </c>
      <c r="CE729" t="str">
        <v/>
      </c>
      <c r="CF729" t="str">
        <v/>
      </c>
    </row>
    <row r="730" spans="58:84" x14ac:dyDescent="0.3">
      <c r="BF730" t="str">
        <v>processor</v>
      </c>
      <c r="BG730" t="str">
        <v>Buckeye Terminals Llc 22</v>
      </c>
      <c r="BH730" t="str">
        <v>blendSAF</v>
      </c>
      <c r="BI730" t="str">
        <v/>
      </c>
      <c r="BJ730" t="str">
        <v/>
      </c>
      <c r="BK730" t="str">
        <v/>
      </c>
      <c r="BL730" t="str">
        <v/>
      </c>
      <c r="BM730" t="str">
        <v/>
      </c>
      <c r="BY730" t="str">
        <v>processor</v>
      </c>
      <c r="BZ730" t="str">
        <v>Oneok North System Llc 9</v>
      </c>
      <c r="CA730" t="str">
        <v>blendSAF</v>
      </c>
      <c r="CB730" t="str">
        <v/>
      </c>
      <c r="CC730" t="str">
        <v/>
      </c>
      <c r="CD730" t="str">
        <v/>
      </c>
      <c r="CE730" t="str">
        <v/>
      </c>
      <c r="CF730" t="str">
        <v/>
      </c>
    </row>
    <row r="731" spans="58:84" x14ac:dyDescent="0.3">
      <c r="BF731" t="str">
        <v>processor</v>
      </c>
      <c r="BG731" t="str">
        <v>Buckeye Terminals Llc 106</v>
      </c>
      <c r="BH731" t="str">
        <v>blendSAF</v>
      </c>
      <c r="BI731" t="str">
        <v/>
      </c>
      <c r="BJ731" t="str">
        <v/>
      </c>
      <c r="BK731" t="str">
        <v/>
      </c>
      <c r="BL731" t="str">
        <v/>
      </c>
      <c r="BM731" t="str">
        <v/>
      </c>
      <c r="BY731" t="str">
        <v>processor</v>
      </c>
      <c r="BZ731" t="str">
        <v>Ergon Asphalt And Emulsions 8</v>
      </c>
      <c r="CA731" t="str">
        <v>blendSAF</v>
      </c>
      <c r="CB731" t="str">
        <v/>
      </c>
      <c r="CC731" t="str">
        <v/>
      </c>
      <c r="CD731" t="str">
        <v/>
      </c>
      <c r="CE731" t="str">
        <v/>
      </c>
      <c r="CF731" t="str">
        <v/>
      </c>
    </row>
    <row r="732" spans="58:84" x14ac:dyDescent="0.3">
      <c r="BF732" t="str">
        <v>processor</v>
      </c>
      <c r="BG732" t="str">
        <v>Phillips 66 Company 8</v>
      </c>
      <c r="BH732" t="str">
        <v>blendSAF</v>
      </c>
      <c r="BI732" t="str">
        <v/>
      </c>
      <c r="BJ732" t="str">
        <v/>
      </c>
      <c r="BK732" t="str">
        <v/>
      </c>
      <c r="BL732" t="str">
        <v/>
      </c>
      <c r="BM732" t="str">
        <v/>
      </c>
      <c r="BY732" t="str">
        <v>processor</v>
      </c>
      <c r="BZ732" t="str">
        <v>Ergon Asphalt And Emulsions 9</v>
      </c>
      <c r="CA732" t="str">
        <v>blendSAF</v>
      </c>
      <c r="CB732" t="str">
        <v/>
      </c>
      <c r="CC732" t="str">
        <v/>
      </c>
      <c r="CD732" t="str">
        <v/>
      </c>
      <c r="CE732" t="str">
        <v/>
      </c>
      <c r="CF732" t="str">
        <v/>
      </c>
    </row>
    <row r="733" spans="58:84" x14ac:dyDescent="0.3">
      <c r="BF733" t="str">
        <v>processor</v>
      </c>
      <c r="BG733" t="str">
        <v>Phillips 66 Company 9</v>
      </c>
      <c r="BH733" t="str">
        <v>blendSAF</v>
      </c>
      <c r="BI733" t="str">
        <v/>
      </c>
      <c r="BJ733" t="str">
        <v/>
      </c>
      <c r="BK733" t="str">
        <v/>
      </c>
      <c r="BL733" t="str">
        <v/>
      </c>
      <c r="BM733" t="str">
        <v/>
      </c>
      <c r="BY733" t="str">
        <v>processor</v>
      </c>
      <c r="BZ733" t="str">
        <v>Pro Petroleum Inc 4</v>
      </c>
      <c r="CA733" t="str">
        <v>blendSAF</v>
      </c>
      <c r="CB733" t="str">
        <v/>
      </c>
      <c r="CC733" t="str">
        <v/>
      </c>
      <c r="CD733" t="str">
        <v/>
      </c>
      <c r="CE733" t="str">
        <v/>
      </c>
      <c r="CF733" t="str">
        <v/>
      </c>
    </row>
    <row r="734" spans="58:84" x14ac:dyDescent="0.3">
      <c r="BF734" t="str">
        <v>processor</v>
      </c>
      <c r="BG734" t="str">
        <v>Consumers Oil Corp</v>
      </c>
      <c r="BH734" t="str">
        <v>blendSAF</v>
      </c>
      <c r="BI734" t="str">
        <v/>
      </c>
      <c r="BJ734" t="str">
        <v/>
      </c>
      <c r="BK734" t="str">
        <v/>
      </c>
      <c r="BL734" t="str">
        <v/>
      </c>
      <c r="BM734" t="str">
        <v/>
      </c>
      <c r="BY734" t="str">
        <v>processor</v>
      </c>
      <c r="BZ734" t="str">
        <v>Unev Pipeline Llc 2</v>
      </c>
      <c r="CA734" t="str">
        <v>blendSAF</v>
      </c>
      <c r="CB734" t="str">
        <v/>
      </c>
      <c r="CC734" t="str">
        <v/>
      </c>
      <c r="CD734" t="str">
        <v/>
      </c>
      <c r="CE734" t="str">
        <v/>
      </c>
      <c r="CF734" t="str">
        <v/>
      </c>
    </row>
    <row r="735" spans="58:84" x14ac:dyDescent="0.3">
      <c r="BF735" t="str">
        <v>processor</v>
      </c>
      <c r="BG735" t="str">
        <v>Pbf Logistics Products Terminals Llc 13</v>
      </c>
      <c r="BH735" t="str">
        <v>blendSAF</v>
      </c>
      <c r="BI735" t="str">
        <v/>
      </c>
      <c r="BJ735" t="str">
        <v/>
      </c>
      <c r="BK735" t="str">
        <v/>
      </c>
      <c r="BL735" t="str">
        <v/>
      </c>
      <c r="BM735" t="str">
        <v/>
      </c>
      <c r="BY735" t="str">
        <v>processor</v>
      </c>
      <c r="BZ735" t="str">
        <v>Sfpp Lp 9</v>
      </c>
      <c r="CA735" t="str">
        <v>blendSAF</v>
      </c>
      <c r="CB735" t="str">
        <v/>
      </c>
      <c r="CC735" t="str">
        <v/>
      </c>
      <c r="CD735" t="str">
        <v/>
      </c>
      <c r="CE735" t="str">
        <v/>
      </c>
      <c r="CF735" t="str">
        <v/>
      </c>
    </row>
    <row r="736" spans="58:84" x14ac:dyDescent="0.3">
      <c r="BF736" t="str">
        <v>processor</v>
      </c>
      <c r="BG736" t="str">
        <v>Cpi Operations Llc</v>
      </c>
      <c r="BH736" t="str">
        <v>blendSAF</v>
      </c>
      <c r="BI736" t="str">
        <v/>
      </c>
      <c r="BJ736" t="str">
        <v/>
      </c>
      <c r="BK736" t="str">
        <v/>
      </c>
      <c r="BL736" t="str">
        <v/>
      </c>
      <c r="BM736" t="str">
        <v/>
      </c>
      <c r="BY736" t="str">
        <v>processor</v>
      </c>
      <c r="BZ736" t="str">
        <v>Kinder Morgan Calnev P L Llc 6</v>
      </c>
      <c r="CA736" t="str">
        <v>blendSAF</v>
      </c>
      <c r="CB736" t="str">
        <v/>
      </c>
      <c r="CC736" t="str">
        <v/>
      </c>
      <c r="CD736" t="str">
        <v/>
      </c>
      <c r="CE736" t="str">
        <v/>
      </c>
      <c r="CF736" t="str">
        <v/>
      </c>
    </row>
    <row r="737" spans="58:84" x14ac:dyDescent="0.3">
      <c r="BF737" t="str">
        <v>processor</v>
      </c>
      <c r="BG737" t="str">
        <v>Sunoco Logistics 51</v>
      </c>
      <c r="BH737" t="str">
        <v>blendSAF</v>
      </c>
      <c r="BI737" t="str">
        <v/>
      </c>
      <c r="BJ737" t="str">
        <v/>
      </c>
      <c r="BK737" t="str">
        <v/>
      </c>
      <c r="BL737" t="str">
        <v/>
      </c>
      <c r="BM737" t="str">
        <v/>
      </c>
      <c r="BY737" t="str">
        <v>processor</v>
      </c>
      <c r="BZ737" t="str">
        <v>Andeavor Logistics Lp 10</v>
      </c>
      <c r="CA737" t="str">
        <v>blendSAF</v>
      </c>
      <c r="CB737" t="str">
        <v/>
      </c>
      <c r="CC737" t="str">
        <v/>
      </c>
      <c r="CD737" t="str">
        <v/>
      </c>
      <c r="CE737" t="str">
        <v/>
      </c>
      <c r="CF737" t="str">
        <v/>
      </c>
    </row>
    <row r="738" spans="58:84" x14ac:dyDescent="0.3">
      <c r="BF738" t="str">
        <v>processor</v>
      </c>
      <c r="BG738" t="str">
        <v>Sunoco Logistics 42</v>
      </c>
      <c r="BH738" t="str">
        <v>blendSAF</v>
      </c>
      <c r="BI738" t="str">
        <v/>
      </c>
      <c r="BJ738" t="str">
        <v/>
      </c>
      <c r="BK738" t="str">
        <v/>
      </c>
      <c r="BL738" t="str">
        <v/>
      </c>
      <c r="BM738" t="str">
        <v/>
      </c>
      <c r="BY738" t="str">
        <v>processor</v>
      </c>
      <c r="BZ738" t="str">
        <v>Op Reno Llc</v>
      </c>
      <c r="CA738" t="str">
        <v>blendSAF</v>
      </c>
      <c r="CB738" t="str">
        <v/>
      </c>
      <c r="CC738" t="str">
        <v/>
      </c>
      <c r="CD738" t="str">
        <v/>
      </c>
      <c r="CE738" t="str">
        <v/>
      </c>
      <c r="CF738" t="str">
        <v/>
      </c>
    </row>
    <row r="739" spans="58:84" x14ac:dyDescent="0.3">
      <c r="BF739" t="str">
        <v>processor</v>
      </c>
      <c r="BG739" t="str">
        <v>Sunoco Logistics 52</v>
      </c>
      <c r="BH739" t="str">
        <v>blendSAF</v>
      </c>
      <c r="BI739" t="str">
        <v/>
      </c>
      <c r="BJ739" t="str">
        <v/>
      </c>
      <c r="BK739" t="str">
        <v/>
      </c>
      <c r="BL739" t="str">
        <v/>
      </c>
      <c r="BM739" t="str">
        <v/>
      </c>
      <c r="BY739" t="str">
        <v>processor</v>
      </c>
      <c r="BZ739" t="str">
        <v>Rebel Oil Co</v>
      </c>
      <c r="CA739" t="str">
        <v>blendSAF</v>
      </c>
      <c r="CB739" t="str">
        <v/>
      </c>
      <c r="CC739" t="str">
        <v/>
      </c>
      <c r="CD739" t="str">
        <v/>
      </c>
      <c r="CE739" t="str">
        <v/>
      </c>
      <c r="CF739" t="str">
        <v/>
      </c>
    </row>
    <row r="740" spans="58:84" x14ac:dyDescent="0.3">
      <c r="BF740" t="str">
        <v>processor</v>
      </c>
      <c r="BG740" t="str">
        <v>Sunoco Llc 12</v>
      </c>
      <c r="BH740" t="str">
        <v>blendSAF</v>
      </c>
      <c r="BI740" t="str">
        <v/>
      </c>
      <c r="BJ740" t="str">
        <v/>
      </c>
      <c r="BK740" t="str">
        <v/>
      </c>
      <c r="BL740" t="str">
        <v/>
      </c>
      <c r="BM740" t="str">
        <v/>
      </c>
      <c r="BY740" t="str">
        <v>processor</v>
      </c>
      <c r="BZ740" t="str">
        <v>Sea-3 Llc</v>
      </c>
      <c r="CA740" t="str">
        <v>blendSAF</v>
      </c>
      <c r="CB740" t="str">
        <v/>
      </c>
      <c r="CC740" t="str">
        <v/>
      </c>
      <c r="CD740" t="str">
        <v/>
      </c>
      <c r="CE740" t="str">
        <v/>
      </c>
      <c r="CF740" t="str">
        <v/>
      </c>
    </row>
    <row r="741" spans="58:84" x14ac:dyDescent="0.3">
      <c r="BF741" t="str">
        <v>processor</v>
      </c>
      <c r="BG741" t="str">
        <v>Sunoco Llc 9</v>
      </c>
      <c r="BH741" t="str">
        <v>blendSAF</v>
      </c>
      <c r="BI741" t="str">
        <v/>
      </c>
      <c r="BJ741" t="str">
        <v/>
      </c>
      <c r="BK741" t="str">
        <v/>
      </c>
      <c r="BL741" t="str">
        <v/>
      </c>
      <c r="BM741" t="str">
        <v/>
      </c>
      <c r="BY741" t="str">
        <v>processor</v>
      </c>
      <c r="BZ741" t="str">
        <v>Sprague Operating Resources Llc 3</v>
      </c>
      <c r="CA741" t="str">
        <v>blendSAF</v>
      </c>
      <c r="CB741" t="str">
        <v/>
      </c>
      <c r="CC741" t="str">
        <v/>
      </c>
      <c r="CD741" t="str">
        <v/>
      </c>
      <c r="CE741" t="str">
        <v/>
      </c>
      <c r="CF741" t="str">
        <v/>
      </c>
    </row>
    <row r="742" spans="58:84" x14ac:dyDescent="0.3">
      <c r="BF742" t="str">
        <v>processor</v>
      </c>
      <c r="BG742" t="str">
        <v>Exxon Mobil Refg &amp; Sply Comp 6</v>
      </c>
      <c r="BH742" t="str">
        <v>blendSAF</v>
      </c>
      <c r="BI742" t="str">
        <v/>
      </c>
      <c r="BJ742" t="str">
        <v/>
      </c>
      <c r="BK742" t="str">
        <v/>
      </c>
      <c r="BL742" t="str">
        <v/>
      </c>
      <c r="BM742" t="str">
        <v/>
      </c>
      <c r="BY742" t="str">
        <v>processor</v>
      </c>
      <c r="BZ742" t="str">
        <v>Sprague Operating Resources Llc 4</v>
      </c>
      <c r="CA742" t="str">
        <v>blendSAF</v>
      </c>
      <c r="CB742" t="str">
        <v/>
      </c>
      <c r="CC742" t="str">
        <v/>
      </c>
      <c r="CD742" t="str">
        <v/>
      </c>
      <c r="CE742" t="str">
        <v/>
      </c>
      <c r="CF742" t="str">
        <v/>
      </c>
    </row>
    <row r="743" spans="58:84" x14ac:dyDescent="0.3">
      <c r="BF743" t="str">
        <v>processor</v>
      </c>
      <c r="BG743" t="str">
        <v>Delaware River Partners Llc</v>
      </c>
      <c r="BH743" t="str">
        <v>blendSAF</v>
      </c>
      <c r="BI743" t="str">
        <v/>
      </c>
      <c r="BJ743" t="str">
        <v/>
      </c>
      <c r="BK743" t="str">
        <v/>
      </c>
      <c r="BL743" t="str">
        <v/>
      </c>
      <c r="BM743" t="str">
        <v/>
      </c>
      <c r="BY743" t="str">
        <v>processor</v>
      </c>
      <c r="BZ743" t="str">
        <v>Irving Oil Terminals Inc 5</v>
      </c>
      <c r="CA743" t="str">
        <v>blendSAF</v>
      </c>
      <c r="CB743" t="str">
        <v/>
      </c>
      <c r="CC743" t="str">
        <v/>
      </c>
      <c r="CD743" t="str">
        <v/>
      </c>
      <c r="CE743" t="str">
        <v/>
      </c>
      <c r="CF743" t="str">
        <v/>
      </c>
    </row>
    <row r="744" spans="58:84" x14ac:dyDescent="0.3">
      <c r="BF744" t="str">
        <v>processor</v>
      </c>
      <c r="BG744" t="str">
        <v>Gordon Terminal Service Co 3</v>
      </c>
      <c r="BH744" t="str">
        <v>blendSAF</v>
      </c>
      <c r="BI744" t="str">
        <v/>
      </c>
      <c r="BJ744" t="str">
        <v/>
      </c>
      <c r="BK744" t="str">
        <v/>
      </c>
      <c r="BL744" t="str">
        <v/>
      </c>
      <c r="BM744" t="str">
        <v/>
      </c>
      <c r="BY744" t="str">
        <v>processor</v>
      </c>
      <c r="BZ744" t="str">
        <v>Petroleum Fuel &amp; Terminal Co 11</v>
      </c>
      <c r="CA744" t="str">
        <v>blendSAF</v>
      </c>
      <c r="CB744" t="str">
        <v/>
      </c>
      <c r="CC744" t="str">
        <v/>
      </c>
      <c r="CD744" t="str">
        <v/>
      </c>
      <c r="CE744" t="str">
        <v/>
      </c>
      <c r="CF744" t="str">
        <v/>
      </c>
    </row>
    <row r="745" spans="58:84" x14ac:dyDescent="0.3">
      <c r="BF745" t="str">
        <v>processor</v>
      </c>
      <c r="BG745" t="str">
        <v>Imtt</v>
      </c>
      <c r="BH745" t="str">
        <v>blendSAF</v>
      </c>
      <c r="BI745" t="str">
        <v/>
      </c>
      <c r="BJ745" t="str">
        <v/>
      </c>
      <c r="BK745" t="str">
        <v/>
      </c>
      <c r="BL745" t="str">
        <v/>
      </c>
      <c r="BM745" t="str">
        <v/>
      </c>
      <c r="BY745" t="str">
        <v>processor</v>
      </c>
      <c r="BZ745" t="str">
        <v>Bkep Materials Llc 6</v>
      </c>
      <c r="CA745" t="str">
        <v>blendSAF</v>
      </c>
      <c r="CB745" t="str">
        <v/>
      </c>
      <c r="CC745" t="str">
        <v/>
      </c>
      <c r="CD745" t="str">
        <v/>
      </c>
      <c r="CE745" t="str">
        <v/>
      </c>
      <c r="CF745" t="str">
        <v/>
      </c>
    </row>
    <row r="746" spans="58:84" x14ac:dyDescent="0.3">
      <c r="BF746" t="str">
        <v>processor</v>
      </c>
      <c r="BG746" t="str">
        <v>Kindermorgan 1</v>
      </c>
      <c r="BH746" t="str">
        <v>blendSAF</v>
      </c>
      <c r="BI746" t="str">
        <v/>
      </c>
      <c r="BJ746" t="str">
        <v/>
      </c>
      <c r="BK746" t="str">
        <v/>
      </c>
      <c r="BL746" t="str">
        <v/>
      </c>
      <c r="BM746" t="str">
        <v/>
      </c>
      <c r="BY746" t="str">
        <v>processor</v>
      </c>
      <c r="BZ746" t="str">
        <v>Gulf Oil Lp 2</v>
      </c>
      <c r="CA746" t="str">
        <v>blendSAF</v>
      </c>
      <c r="CB746" t="str">
        <v/>
      </c>
      <c r="CC746" t="str">
        <v/>
      </c>
      <c r="CD746" t="str">
        <v/>
      </c>
      <c r="CE746" t="str">
        <v/>
      </c>
      <c r="CF746" t="str">
        <v/>
      </c>
    </row>
    <row r="747" spans="58:84" x14ac:dyDescent="0.3">
      <c r="BF747" t="str">
        <v>processor</v>
      </c>
      <c r="BG747" t="str">
        <v>Kinder Morgan 1</v>
      </c>
      <c r="BH747" t="str">
        <v>blendSAF</v>
      </c>
      <c r="BI747" t="str">
        <v/>
      </c>
      <c r="BJ747" t="str">
        <v/>
      </c>
      <c r="BK747" t="str">
        <v/>
      </c>
      <c r="BL747" t="str">
        <v/>
      </c>
      <c r="BM747" t="str">
        <v/>
      </c>
      <c r="BY747" t="str">
        <v>processor</v>
      </c>
      <c r="BZ747" t="str">
        <v>Gulf Oil Lp 5</v>
      </c>
      <c r="CA747" t="str">
        <v>blendSAF</v>
      </c>
      <c r="CB747" t="str">
        <v/>
      </c>
      <c r="CC747" t="str">
        <v/>
      </c>
      <c r="CD747" t="str">
        <v/>
      </c>
      <c r="CE747" t="str">
        <v/>
      </c>
      <c r="CF747" t="str">
        <v/>
      </c>
    </row>
    <row r="748" spans="58:84" x14ac:dyDescent="0.3">
      <c r="BF748" t="str">
        <v>processor</v>
      </c>
      <c r="BG748" t="str">
        <v>Kinder Morgan Liq Termls Llc 3</v>
      </c>
      <c r="BH748" t="str">
        <v>blendSAF</v>
      </c>
      <c r="BI748" t="str">
        <v/>
      </c>
      <c r="BJ748" t="str">
        <v/>
      </c>
      <c r="BK748" t="str">
        <v/>
      </c>
      <c r="BL748" t="str">
        <v/>
      </c>
      <c r="BM748" t="str">
        <v/>
      </c>
      <c r="BY748" t="str">
        <v>processor</v>
      </c>
      <c r="BZ748" t="str">
        <v>Buckeye Terminals Llc 85</v>
      </c>
      <c r="CA748" t="str">
        <v>blendSAF</v>
      </c>
      <c r="CB748" t="str">
        <v/>
      </c>
      <c r="CC748" t="str">
        <v/>
      </c>
      <c r="CD748" t="str">
        <v/>
      </c>
      <c r="CE748" t="str">
        <v/>
      </c>
      <c r="CF748" t="str">
        <v/>
      </c>
    </row>
    <row r="749" spans="58:84" x14ac:dyDescent="0.3">
      <c r="BF749" t="str">
        <v>processor</v>
      </c>
      <c r="BG749" t="str">
        <v>Citgo Holding Terminals Llc 4</v>
      </c>
      <c r="BH749" t="str">
        <v>blendSAF</v>
      </c>
      <c r="BI749" t="str">
        <v/>
      </c>
      <c r="BJ749" t="str">
        <v/>
      </c>
      <c r="BK749" t="str">
        <v/>
      </c>
      <c r="BL749" t="str">
        <v/>
      </c>
      <c r="BM749" t="str">
        <v/>
      </c>
      <c r="BY749" t="str">
        <v>processor</v>
      </c>
      <c r="BZ749" t="str">
        <v>Buckeye Terminals Llc 86</v>
      </c>
      <c r="CA749" t="str">
        <v>blendSAF</v>
      </c>
      <c r="CB749" t="str">
        <v/>
      </c>
      <c r="CC749" t="str">
        <v/>
      </c>
      <c r="CD749" t="str">
        <v/>
      </c>
      <c r="CE749" t="str">
        <v/>
      </c>
      <c r="CF749" t="str">
        <v/>
      </c>
    </row>
    <row r="750" spans="58:84" x14ac:dyDescent="0.3">
      <c r="BF750" t="str">
        <v>processor</v>
      </c>
      <c r="BG750" t="str">
        <v>Shell Oil Products Us 14</v>
      </c>
      <c r="BH750" t="str">
        <v>blendSAF</v>
      </c>
      <c r="BI750" t="str">
        <v/>
      </c>
      <c r="BJ750" t="str">
        <v/>
      </c>
      <c r="BK750" t="str">
        <v/>
      </c>
      <c r="BL750" t="str">
        <v/>
      </c>
      <c r="BM750" t="str">
        <v/>
      </c>
      <c r="BY750" t="str">
        <v>processor</v>
      </c>
      <c r="BZ750" t="str">
        <v>Buckeye Terminals Llc 87</v>
      </c>
      <c r="CA750" t="str">
        <v>blendSAF</v>
      </c>
      <c r="CB750" t="str">
        <v/>
      </c>
      <c r="CC750" t="str">
        <v/>
      </c>
      <c r="CD750" t="str">
        <v/>
      </c>
      <c r="CE750" t="str">
        <v/>
      </c>
      <c r="CF750" t="str">
        <v/>
      </c>
    </row>
    <row r="751" spans="58:84" x14ac:dyDescent="0.3">
      <c r="BF751" t="str">
        <v>processor</v>
      </c>
      <c r="BG751" t="str">
        <v>Shell Oil Products Us 10</v>
      </c>
      <c r="BH751" t="str">
        <v>blendSAF</v>
      </c>
      <c r="BI751" t="str">
        <v/>
      </c>
      <c r="BJ751" t="str">
        <v/>
      </c>
      <c r="BK751" t="str">
        <v/>
      </c>
      <c r="BL751" t="str">
        <v/>
      </c>
      <c r="BM751" t="str">
        <v/>
      </c>
      <c r="BY751" t="str">
        <v>processor</v>
      </c>
      <c r="BZ751" t="str">
        <v>Buckeye Terminals Llc 84</v>
      </c>
      <c r="CA751" t="str">
        <v>blendSAF</v>
      </c>
      <c r="CB751" t="str">
        <v/>
      </c>
      <c r="CC751" t="str">
        <v/>
      </c>
      <c r="CD751" t="str">
        <v/>
      </c>
      <c r="CE751" t="str">
        <v/>
      </c>
      <c r="CF751" t="str">
        <v/>
      </c>
    </row>
    <row r="752" spans="58:84" x14ac:dyDescent="0.3">
      <c r="BF752" t="str">
        <v>processor</v>
      </c>
      <c r="BG752" t="str">
        <v>Owens Corning 6</v>
      </c>
      <c r="BH752" t="str">
        <v>blendSAF</v>
      </c>
      <c r="BI752" t="str">
        <v/>
      </c>
      <c r="BJ752" t="str">
        <v/>
      </c>
      <c r="BK752" t="str">
        <v/>
      </c>
      <c r="BL752" t="str">
        <v/>
      </c>
      <c r="BM752" t="str">
        <v/>
      </c>
      <c r="BY752" t="str">
        <v>processor</v>
      </c>
      <c r="BZ752" t="str">
        <v>Buckeye Terminals Llc 22</v>
      </c>
      <c r="CA752" t="str">
        <v>blendSAF</v>
      </c>
      <c r="CB752" t="str">
        <v/>
      </c>
      <c r="CC752" t="str">
        <v/>
      </c>
      <c r="CD752" t="str">
        <v/>
      </c>
      <c r="CE752" t="str">
        <v/>
      </c>
      <c r="CF752" t="str">
        <v/>
      </c>
    </row>
    <row r="753" spans="58:84" x14ac:dyDescent="0.3">
      <c r="BF753" t="str">
        <v>processor</v>
      </c>
      <c r="BG753" t="str">
        <v>Phillips 66 Pipeline Llc 1</v>
      </c>
      <c r="BH753" t="str">
        <v>blendSAF</v>
      </c>
      <c r="BI753" t="str">
        <v/>
      </c>
      <c r="BJ753" t="str">
        <v/>
      </c>
      <c r="BK753" t="str">
        <v/>
      </c>
      <c r="BL753" t="str">
        <v/>
      </c>
      <c r="BM753" t="str">
        <v/>
      </c>
      <c r="BY753" t="str">
        <v>processor</v>
      </c>
      <c r="BZ753" t="str">
        <v>Buckeye Terminals Llc 106</v>
      </c>
      <c r="CA753" t="str">
        <v>blendSAF</v>
      </c>
      <c r="CB753" t="str">
        <v/>
      </c>
      <c r="CC753" t="str">
        <v/>
      </c>
      <c r="CD753" t="str">
        <v/>
      </c>
      <c r="CE753" t="str">
        <v/>
      </c>
      <c r="CF753" t="str">
        <v/>
      </c>
    </row>
    <row r="754" spans="58:84" x14ac:dyDescent="0.3">
      <c r="BF754" t="str">
        <v>processor</v>
      </c>
      <c r="BG754" t="str">
        <v>Dansk Wholesale Inc</v>
      </c>
      <c r="BH754" t="str">
        <v>blendSAF</v>
      </c>
      <c r="BI754" t="str">
        <v/>
      </c>
      <c r="BJ754" t="str">
        <v/>
      </c>
      <c r="BK754" t="str">
        <v/>
      </c>
      <c r="BL754" t="str">
        <v/>
      </c>
      <c r="BM754" t="str">
        <v/>
      </c>
      <c r="BY754" t="str">
        <v>processor</v>
      </c>
      <c r="BZ754" t="str">
        <v>Phillips 66 Company 8</v>
      </c>
      <c r="CA754" t="str">
        <v>blendSAF</v>
      </c>
      <c r="CB754" t="str">
        <v/>
      </c>
      <c r="CC754" t="str">
        <v/>
      </c>
      <c r="CD754" t="str">
        <v/>
      </c>
      <c r="CE754" t="str">
        <v/>
      </c>
      <c r="CF754" t="str">
        <v/>
      </c>
    </row>
    <row r="755" spans="58:84" x14ac:dyDescent="0.3">
      <c r="BF755" t="str">
        <v>processor</v>
      </c>
      <c r="BG755" t="str">
        <v>Holly Energy Partners Oper Lp 3</v>
      </c>
      <c r="BH755" t="str">
        <v>blendSAF</v>
      </c>
      <c r="BI755" t="str">
        <v/>
      </c>
      <c r="BJ755" t="str">
        <v/>
      </c>
      <c r="BK755" t="str">
        <v/>
      </c>
      <c r="BL755" t="str">
        <v/>
      </c>
      <c r="BM755" t="str">
        <v/>
      </c>
      <c r="BY755" t="str">
        <v>processor</v>
      </c>
      <c r="BZ755" t="str">
        <v>Phillips 66 Company 9</v>
      </c>
      <c r="CA755" t="str">
        <v>blendSAF</v>
      </c>
      <c r="CB755" t="str">
        <v/>
      </c>
      <c r="CC755" t="str">
        <v/>
      </c>
      <c r="CD755" t="str">
        <v/>
      </c>
      <c r="CE755" t="str">
        <v/>
      </c>
      <c r="CF755" t="str">
        <v/>
      </c>
    </row>
    <row r="756" spans="58:84" x14ac:dyDescent="0.3">
      <c r="BF756" t="str">
        <v>processor</v>
      </c>
      <c r="BG756" t="str">
        <v>Nk Asphalt Partners 2</v>
      </c>
      <c r="BH756" t="str">
        <v>blendSAF</v>
      </c>
      <c r="BI756" t="str">
        <v/>
      </c>
      <c r="BJ756" t="str">
        <v/>
      </c>
      <c r="BK756" t="str">
        <v/>
      </c>
      <c r="BL756" t="str">
        <v/>
      </c>
      <c r="BM756" t="str">
        <v/>
      </c>
      <c r="BY756" t="str">
        <v>processor</v>
      </c>
      <c r="BZ756" t="str">
        <v>Consumers Oil Corp</v>
      </c>
      <c r="CA756" t="str">
        <v>blendSAF</v>
      </c>
      <c r="CB756" t="str">
        <v/>
      </c>
      <c r="CC756" t="str">
        <v/>
      </c>
      <c r="CD756" t="str">
        <v/>
      </c>
      <c r="CE756" t="str">
        <v/>
      </c>
      <c r="CF756" t="str">
        <v/>
      </c>
    </row>
    <row r="757" spans="58:84" x14ac:dyDescent="0.3">
      <c r="BF757" t="str">
        <v>processor</v>
      </c>
      <c r="BG757" t="str">
        <v>Nk Asphalt Partners 1</v>
      </c>
      <c r="BH757" t="str">
        <v>blendSAF</v>
      </c>
      <c r="BI757" t="str">
        <v/>
      </c>
      <c r="BJ757" t="str">
        <v/>
      </c>
      <c r="BK757" t="str">
        <v/>
      </c>
      <c r="BL757" t="str">
        <v/>
      </c>
      <c r="BM757" t="str">
        <v/>
      </c>
      <c r="BY757" t="str">
        <v>processor</v>
      </c>
      <c r="BZ757" t="str">
        <v>Pbf Logistics Products Terminals Llc 13</v>
      </c>
      <c r="CA757" t="str">
        <v>blendSAF</v>
      </c>
      <c r="CB757" t="str">
        <v/>
      </c>
      <c r="CC757" t="str">
        <v/>
      </c>
      <c r="CD757" t="str">
        <v/>
      </c>
      <c r="CE757" t="str">
        <v/>
      </c>
      <c r="CF757" t="str">
        <v/>
      </c>
    </row>
    <row r="758" spans="58:84" x14ac:dyDescent="0.3">
      <c r="BF758" t="str">
        <v>processor</v>
      </c>
      <c r="BG758" t="str">
        <v>Imtt Epic Llc 1</v>
      </c>
      <c r="BH758" t="str">
        <v>blendSAF</v>
      </c>
      <c r="BI758" t="str">
        <v/>
      </c>
      <c r="BJ758" t="str">
        <v/>
      </c>
      <c r="BK758" t="str">
        <v/>
      </c>
      <c r="BL758" t="str">
        <v/>
      </c>
      <c r="BM758" t="str">
        <v/>
      </c>
      <c r="BY758" t="str">
        <v>processor</v>
      </c>
      <c r="BZ758" t="str">
        <v>Cpi Operations Llc</v>
      </c>
      <c r="CA758" t="str">
        <v>blendSAF</v>
      </c>
      <c r="CB758" t="str">
        <v/>
      </c>
      <c r="CC758" t="str">
        <v/>
      </c>
      <c r="CD758" t="str">
        <v/>
      </c>
      <c r="CE758" t="str">
        <v/>
      </c>
      <c r="CF758" t="str">
        <v/>
      </c>
    </row>
    <row r="759" spans="58:84" x14ac:dyDescent="0.3">
      <c r="BF759" t="str">
        <v>processor</v>
      </c>
      <c r="BG759" t="str">
        <v>Andeavor Logistics Lp 1</v>
      </c>
      <c r="BH759" t="str">
        <v>blendSAF</v>
      </c>
      <c r="BI759" t="str">
        <v/>
      </c>
      <c r="BJ759" t="str">
        <v/>
      </c>
      <c r="BK759" t="str">
        <v/>
      </c>
      <c r="BL759" t="str">
        <v/>
      </c>
      <c r="BM759" t="str">
        <v/>
      </c>
      <c r="BY759" t="str">
        <v>processor</v>
      </c>
      <c r="BZ759" t="str">
        <v>Sunoco Logistics 51</v>
      </c>
      <c r="CA759" t="str">
        <v>blendSAF</v>
      </c>
      <c r="CB759" t="str">
        <v/>
      </c>
      <c r="CC759" t="str">
        <v/>
      </c>
      <c r="CD759" t="str">
        <v/>
      </c>
      <c r="CE759" t="str">
        <v/>
      </c>
      <c r="CF759" t="str">
        <v/>
      </c>
    </row>
    <row r="760" spans="58:84" x14ac:dyDescent="0.3">
      <c r="BF760" t="str">
        <v>processor</v>
      </c>
      <c r="BG760" t="str">
        <v>Andeavor Logistics Lp 11</v>
      </c>
      <c r="BH760" t="str">
        <v>blendSAF</v>
      </c>
      <c r="BI760" t="str">
        <v/>
      </c>
      <c r="BJ760" t="str">
        <v/>
      </c>
      <c r="BK760" t="str">
        <v/>
      </c>
      <c r="BL760" t="str">
        <v/>
      </c>
      <c r="BM760" t="str">
        <v/>
      </c>
      <c r="BY760" t="str">
        <v>processor</v>
      </c>
      <c r="BZ760" t="str">
        <v>Sunoco Logistics 42</v>
      </c>
      <c r="CA760" t="str">
        <v>blendSAF</v>
      </c>
      <c r="CB760" t="str">
        <v/>
      </c>
      <c r="CC760" t="str">
        <v/>
      </c>
      <c r="CD760" t="str">
        <v/>
      </c>
      <c r="CE760" t="str">
        <v/>
      </c>
      <c r="CF760" t="str">
        <v/>
      </c>
    </row>
    <row r="761" spans="58:84" x14ac:dyDescent="0.3">
      <c r="BF761" t="str">
        <v>processor</v>
      </c>
      <c r="BG761" t="str">
        <v>Andeavor Logistics Lp 4</v>
      </c>
      <c r="BH761" t="str">
        <v>blendSAF</v>
      </c>
      <c r="BI761" t="str">
        <v/>
      </c>
      <c r="BJ761" t="str">
        <v/>
      </c>
      <c r="BK761" t="str">
        <v/>
      </c>
      <c r="BL761" t="str">
        <v/>
      </c>
      <c r="BM761" t="str">
        <v/>
      </c>
      <c r="BY761" t="str">
        <v>processor</v>
      </c>
      <c r="BZ761" t="str">
        <v>Sunoco Logistics 52</v>
      </c>
      <c r="CA761" t="str">
        <v>blendSAF</v>
      </c>
      <c r="CB761" t="str">
        <v/>
      </c>
      <c r="CC761" t="str">
        <v/>
      </c>
      <c r="CD761" t="str">
        <v/>
      </c>
      <c r="CE761" t="str">
        <v/>
      </c>
      <c r="CF761" t="str">
        <v/>
      </c>
    </row>
    <row r="762" spans="58:84" x14ac:dyDescent="0.3">
      <c r="BF762" t="str">
        <v>processor</v>
      </c>
      <c r="BG762" t="str">
        <v>Musket Corp 57</v>
      </c>
      <c r="BH762" t="str">
        <v>blendSAF</v>
      </c>
      <c r="BI762" t="str">
        <v/>
      </c>
      <c r="BJ762" t="str">
        <v/>
      </c>
      <c r="BK762" t="str">
        <v/>
      </c>
      <c r="BL762" t="str">
        <v/>
      </c>
      <c r="BM762" t="str">
        <v/>
      </c>
      <c r="BY762" t="str">
        <v>processor</v>
      </c>
      <c r="BZ762" t="str">
        <v>Sunoco Llc 12</v>
      </c>
      <c r="CA762" t="str">
        <v>blendSAF</v>
      </c>
      <c r="CB762" t="str">
        <v/>
      </c>
      <c r="CC762" t="str">
        <v/>
      </c>
      <c r="CD762" t="str">
        <v/>
      </c>
      <c r="CE762" t="str">
        <v/>
      </c>
      <c r="CF762" t="str">
        <v/>
      </c>
    </row>
    <row r="763" spans="58:84" x14ac:dyDescent="0.3">
      <c r="BF763" t="str">
        <v>processor</v>
      </c>
      <c r="BG763" t="str">
        <v>Nustar Energy Lp 3</v>
      </c>
      <c r="BH763" t="str">
        <v>blendSAF</v>
      </c>
      <c r="BI763" t="str">
        <v/>
      </c>
      <c r="BJ763" t="str">
        <v/>
      </c>
      <c r="BK763" t="str">
        <v/>
      </c>
      <c r="BL763" t="str">
        <v/>
      </c>
      <c r="BM763" t="str">
        <v/>
      </c>
      <c r="BY763" t="str">
        <v>processor</v>
      </c>
      <c r="BZ763" t="str">
        <v>Sunoco Llc 9</v>
      </c>
      <c r="CA763" t="str">
        <v>blendSAF</v>
      </c>
      <c r="CB763" t="str">
        <v/>
      </c>
      <c r="CC763" t="str">
        <v/>
      </c>
      <c r="CD763" t="str">
        <v/>
      </c>
      <c r="CE763" t="str">
        <v/>
      </c>
      <c r="CF763" t="str">
        <v/>
      </c>
    </row>
    <row r="764" spans="58:84" x14ac:dyDescent="0.3">
      <c r="BF764" t="str">
        <v>processor</v>
      </c>
      <c r="BG764" t="str">
        <v>Nustar Energy Lp 31</v>
      </c>
      <c r="BH764" t="str">
        <v>blendSAF</v>
      </c>
      <c r="BI764" t="str">
        <v/>
      </c>
      <c r="BJ764" t="str">
        <v/>
      </c>
      <c r="BK764" t="str">
        <v/>
      </c>
      <c r="BL764" t="str">
        <v/>
      </c>
      <c r="BM764" t="str">
        <v/>
      </c>
      <c r="BY764" t="str">
        <v>processor</v>
      </c>
      <c r="BZ764" t="str">
        <v>Exxon Mobil Refg &amp; Sply Comp 6</v>
      </c>
      <c r="CA764" t="str">
        <v>blendSAF</v>
      </c>
      <c r="CB764" t="str">
        <v/>
      </c>
      <c r="CC764" t="str">
        <v/>
      </c>
      <c r="CD764" t="str">
        <v/>
      </c>
      <c r="CE764" t="str">
        <v/>
      </c>
      <c r="CF764" t="str">
        <v/>
      </c>
    </row>
    <row r="765" spans="58:84" x14ac:dyDescent="0.3">
      <c r="BF765" t="str">
        <v>processor</v>
      </c>
      <c r="BG765" t="str">
        <v>Petroleum Fuel And Terminal Company 20</v>
      </c>
      <c r="BH765" t="str">
        <v>blendSAF</v>
      </c>
      <c r="BI765" t="str">
        <v/>
      </c>
      <c r="BJ765" t="str">
        <v/>
      </c>
      <c r="BK765" t="str">
        <v/>
      </c>
      <c r="BL765" t="str">
        <v/>
      </c>
      <c r="BM765" t="str">
        <v/>
      </c>
      <c r="BY765" t="str">
        <v>processor</v>
      </c>
      <c r="BZ765" t="str">
        <v>Delaware River Partners Llc</v>
      </c>
      <c r="CA765" t="str">
        <v>blendSAF</v>
      </c>
      <c r="CB765" t="str">
        <v/>
      </c>
      <c r="CC765" t="str">
        <v/>
      </c>
      <c r="CD765" t="str">
        <v/>
      </c>
      <c r="CE765" t="str">
        <v/>
      </c>
      <c r="CF765" t="str">
        <v/>
      </c>
    </row>
    <row r="766" spans="58:84" x14ac:dyDescent="0.3">
      <c r="BF766" t="str">
        <v>processor</v>
      </c>
      <c r="BG766" t="str">
        <v>Petroleum Fuel &amp; Terminal Co 13</v>
      </c>
      <c r="BH766" t="str">
        <v>blendSAF</v>
      </c>
      <c r="BI766" t="str">
        <v/>
      </c>
      <c r="BJ766" t="str">
        <v/>
      </c>
      <c r="BK766" t="str">
        <v/>
      </c>
      <c r="BL766" t="str">
        <v/>
      </c>
      <c r="BM766" t="str">
        <v/>
      </c>
      <c r="BY766" t="str">
        <v>processor</v>
      </c>
      <c r="BZ766" t="str">
        <v>Gordon Terminal Service Co 3</v>
      </c>
      <c r="CA766" t="str">
        <v>blendSAF</v>
      </c>
      <c r="CB766" t="str">
        <v/>
      </c>
      <c r="CC766" t="str">
        <v/>
      </c>
      <c r="CD766" t="str">
        <v/>
      </c>
      <c r="CE766" t="str">
        <v/>
      </c>
      <c r="CF766" t="str">
        <v/>
      </c>
    </row>
    <row r="767" spans="58:84" x14ac:dyDescent="0.3">
      <c r="BF767" t="str">
        <v>processor</v>
      </c>
      <c r="BG767" t="str">
        <v>Petroleum Fuel &amp; Terminal Co 5</v>
      </c>
      <c r="BH767" t="str">
        <v>blendSAF</v>
      </c>
      <c r="BI767" t="str">
        <v/>
      </c>
      <c r="BJ767" t="str">
        <v/>
      </c>
      <c r="BK767" t="str">
        <v/>
      </c>
      <c r="BL767" t="str">
        <v/>
      </c>
      <c r="BM767" t="str">
        <v/>
      </c>
      <c r="BY767" t="str">
        <v>processor</v>
      </c>
      <c r="BZ767" t="str">
        <v>Imtt</v>
      </c>
      <c r="CA767" t="str">
        <v>blendSAF</v>
      </c>
      <c r="CB767" t="str">
        <v/>
      </c>
      <c r="CC767" t="str">
        <v/>
      </c>
      <c r="CD767" t="str">
        <v/>
      </c>
      <c r="CE767" t="str">
        <v/>
      </c>
      <c r="CF767" t="str">
        <v/>
      </c>
    </row>
    <row r="768" spans="58:84" x14ac:dyDescent="0.3">
      <c r="BF768" t="str">
        <v>processor</v>
      </c>
      <c r="BG768" t="str">
        <v>Bayside Fuel Oil Depot Corp 1</v>
      </c>
      <c r="BH768" t="str">
        <v>blendSAF</v>
      </c>
      <c r="BI768" t="str">
        <v/>
      </c>
      <c r="BJ768" t="str">
        <v/>
      </c>
      <c r="BK768" t="str">
        <v/>
      </c>
      <c r="BL768" t="str">
        <v/>
      </c>
      <c r="BM768" t="str">
        <v/>
      </c>
      <c r="BY768" t="str">
        <v>processor</v>
      </c>
      <c r="BZ768" t="str">
        <v>Kindermorgan 1</v>
      </c>
      <c r="CA768" t="str">
        <v>blendSAF</v>
      </c>
      <c r="CB768" t="str">
        <v/>
      </c>
      <c r="CC768" t="str">
        <v/>
      </c>
      <c r="CD768" t="str">
        <v/>
      </c>
      <c r="CE768" t="str">
        <v/>
      </c>
      <c r="CF768" t="str">
        <v/>
      </c>
    </row>
    <row r="769" spans="58:84" x14ac:dyDescent="0.3">
      <c r="BF769" t="str">
        <v>processor</v>
      </c>
      <c r="BG769" t="str">
        <v>Bayside Fuel Oil Depot Corp 2</v>
      </c>
      <c r="BH769" t="str">
        <v>blendSAF</v>
      </c>
      <c r="BI769" t="str">
        <v/>
      </c>
      <c r="BJ769" t="str">
        <v/>
      </c>
      <c r="BK769" t="str">
        <v/>
      </c>
      <c r="BL769" t="str">
        <v/>
      </c>
      <c r="BM769" t="str">
        <v/>
      </c>
      <c r="BY769" t="str">
        <v>processor</v>
      </c>
      <c r="BZ769" t="str">
        <v>Kinder Morgan 1</v>
      </c>
      <c r="CA769" t="str">
        <v>blendSAF</v>
      </c>
      <c r="CB769" t="str">
        <v/>
      </c>
      <c r="CC769" t="str">
        <v/>
      </c>
      <c r="CD769" t="str">
        <v/>
      </c>
      <c r="CE769" t="str">
        <v/>
      </c>
      <c r="CF769" t="str">
        <v/>
      </c>
    </row>
    <row r="770" spans="58:84" x14ac:dyDescent="0.3">
      <c r="BF770" t="str">
        <v>processor</v>
      </c>
      <c r="BG770" t="str">
        <v>Buckeye Terminals Llc 27</v>
      </c>
      <c r="BH770" t="str">
        <v>blendSAF</v>
      </c>
      <c r="BI770" t="str">
        <v/>
      </c>
      <c r="BJ770" t="str">
        <v/>
      </c>
      <c r="BK770" t="str">
        <v/>
      </c>
      <c r="BL770" t="str">
        <v/>
      </c>
      <c r="BM770" t="str">
        <v/>
      </c>
      <c r="BY770" t="str">
        <v>processor</v>
      </c>
      <c r="BZ770" t="str">
        <v>Kinder Morgan Liq Termls Llc 3</v>
      </c>
      <c r="CA770" t="str">
        <v>blendSAF</v>
      </c>
      <c r="CB770" t="str">
        <v/>
      </c>
      <c r="CC770" t="str">
        <v/>
      </c>
      <c r="CD770" t="str">
        <v/>
      </c>
      <c r="CE770" t="str">
        <v/>
      </c>
      <c r="CF770" t="str">
        <v/>
      </c>
    </row>
    <row r="771" spans="58:84" x14ac:dyDescent="0.3">
      <c r="BF771" t="str">
        <v>processor</v>
      </c>
      <c r="BG771" t="str">
        <v>Buckeye Terminals Llc 67</v>
      </c>
      <c r="BH771" t="str">
        <v>blendSAF</v>
      </c>
      <c r="BI771" t="str">
        <v/>
      </c>
      <c r="BJ771" t="str">
        <v/>
      </c>
      <c r="BK771" t="str">
        <v/>
      </c>
      <c r="BL771" t="str">
        <v/>
      </c>
      <c r="BM771" t="str">
        <v/>
      </c>
      <c r="BY771" t="str">
        <v>processor</v>
      </c>
      <c r="BZ771" t="str">
        <v>Citgo Holding Terminals Llc 4</v>
      </c>
      <c r="CA771" t="str">
        <v>blendSAF</v>
      </c>
      <c r="CB771" t="str">
        <v/>
      </c>
      <c r="CC771" t="str">
        <v/>
      </c>
      <c r="CD771" t="str">
        <v/>
      </c>
      <c r="CE771" t="str">
        <v/>
      </c>
      <c r="CF771" t="str">
        <v/>
      </c>
    </row>
    <row r="772" spans="58:84" x14ac:dyDescent="0.3">
      <c r="BF772" t="str">
        <v>processor</v>
      </c>
      <c r="BG772" t="str">
        <v>Buckeye Terminals Llc 91</v>
      </c>
      <c r="BH772" t="str">
        <v>blendSAF</v>
      </c>
      <c r="BI772" t="str">
        <v/>
      </c>
      <c r="BJ772" t="str">
        <v/>
      </c>
      <c r="BK772" t="str">
        <v/>
      </c>
      <c r="BL772" t="str">
        <v/>
      </c>
      <c r="BM772" t="str">
        <v/>
      </c>
      <c r="BY772" t="str">
        <v>processor</v>
      </c>
      <c r="BZ772" t="str">
        <v>Shell Oil Products Us 14</v>
      </c>
      <c r="CA772" t="str">
        <v>blendSAF</v>
      </c>
      <c r="CB772" t="str">
        <v/>
      </c>
      <c r="CC772" t="str">
        <v/>
      </c>
      <c r="CD772" t="str">
        <v/>
      </c>
      <c r="CE772" t="str">
        <v/>
      </c>
      <c r="CF772" t="str">
        <v/>
      </c>
    </row>
    <row r="773" spans="58:84" x14ac:dyDescent="0.3">
      <c r="BF773" t="str">
        <v>processor</v>
      </c>
      <c r="BG773" t="str">
        <v>Buckeye Terminals Llc 107</v>
      </c>
      <c r="BH773" t="str">
        <v>blendSAF</v>
      </c>
      <c r="BI773" t="str">
        <v/>
      </c>
      <c r="BJ773" t="str">
        <v/>
      </c>
      <c r="BK773" t="str">
        <v/>
      </c>
      <c r="BL773" t="str">
        <v/>
      </c>
      <c r="BM773" t="str">
        <v/>
      </c>
      <c r="BY773" t="str">
        <v>processor</v>
      </c>
      <c r="BZ773" t="str">
        <v>Shell Oil Products Us 10</v>
      </c>
      <c r="CA773" t="str">
        <v>blendSAF</v>
      </c>
      <c r="CB773" t="str">
        <v/>
      </c>
      <c r="CC773" t="str">
        <v/>
      </c>
      <c r="CD773" t="str">
        <v/>
      </c>
      <c r="CE773" t="str">
        <v/>
      </c>
      <c r="CF773" t="str">
        <v/>
      </c>
    </row>
    <row r="774" spans="58:84" x14ac:dyDescent="0.3">
      <c r="BF774" t="str">
        <v>processor</v>
      </c>
      <c r="BG774" t="str">
        <v>Buckeye Terminals Llc 108</v>
      </c>
      <c r="BH774" t="str">
        <v>blendSAF</v>
      </c>
      <c r="BI774" t="str">
        <v/>
      </c>
      <c r="BJ774" t="str">
        <v/>
      </c>
      <c r="BK774" t="str">
        <v/>
      </c>
      <c r="BL774" t="str">
        <v/>
      </c>
      <c r="BM774" t="str">
        <v/>
      </c>
      <c r="BY774" t="str">
        <v>processor</v>
      </c>
      <c r="BZ774" t="str">
        <v>Owens Corning 6</v>
      </c>
      <c r="CA774" t="str">
        <v>blendSAF</v>
      </c>
      <c r="CB774" t="str">
        <v/>
      </c>
      <c r="CC774" t="str">
        <v/>
      </c>
      <c r="CD774" t="str">
        <v/>
      </c>
      <c r="CE774" t="str">
        <v/>
      </c>
      <c r="CF774" t="str">
        <v/>
      </c>
    </row>
    <row r="775" spans="58:84" x14ac:dyDescent="0.3">
      <c r="BF775" t="str">
        <v>processor</v>
      </c>
      <c r="BG775" t="str">
        <v>Buckeye Terminals Llc 28</v>
      </c>
      <c r="BH775" t="str">
        <v>blendSAF</v>
      </c>
      <c r="BI775" t="str">
        <v/>
      </c>
      <c r="BJ775" t="str">
        <v/>
      </c>
      <c r="BK775" t="str">
        <v/>
      </c>
      <c r="BL775" t="str">
        <v/>
      </c>
      <c r="BM775" t="str">
        <v/>
      </c>
      <c r="BY775" t="str">
        <v>processor</v>
      </c>
      <c r="BZ775" t="str">
        <v>Phillips 66 Pipeline Llc 1</v>
      </c>
      <c r="CA775" t="str">
        <v>blendSAF</v>
      </c>
      <c r="CB775" t="str">
        <v/>
      </c>
      <c r="CC775" t="str">
        <v/>
      </c>
      <c r="CD775" t="str">
        <v/>
      </c>
      <c r="CE775" t="str">
        <v/>
      </c>
      <c r="CF775" t="str">
        <v/>
      </c>
    </row>
    <row r="776" spans="58:84" x14ac:dyDescent="0.3">
      <c r="BF776" t="str">
        <v>processor</v>
      </c>
      <c r="BG776" t="str">
        <v>Buckeye Terminals Llc 92</v>
      </c>
      <c r="BH776" t="str">
        <v>blendSAF</v>
      </c>
      <c r="BI776" t="str">
        <v/>
      </c>
      <c r="BJ776" t="str">
        <v/>
      </c>
      <c r="BK776" t="str">
        <v/>
      </c>
      <c r="BL776" t="str">
        <v/>
      </c>
      <c r="BM776" t="str">
        <v/>
      </c>
      <c r="BY776" t="str">
        <v>processor</v>
      </c>
      <c r="BZ776" t="str">
        <v>Dansk Wholesale Inc</v>
      </c>
      <c r="CA776" t="str">
        <v>blendSAF</v>
      </c>
      <c r="CB776" t="str">
        <v/>
      </c>
      <c r="CC776" t="str">
        <v/>
      </c>
      <c r="CD776" t="str">
        <v/>
      </c>
      <c r="CE776" t="str">
        <v/>
      </c>
      <c r="CF776" t="str">
        <v/>
      </c>
    </row>
    <row r="777" spans="58:84" x14ac:dyDescent="0.3">
      <c r="BF777" t="str">
        <v>processor</v>
      </c>
      <c r="BG777" t="str">
        <v>Buckeye Terminals Llc 76</v>
      </c>
      <c r="BH777" t="str">
        <v>blendSAF</v>
      </c>
      <c r="BI777" t="str">
        <v/>
      </c>
      <c r="BJ777" t="str">
        <v/>
      </c>
      <c r="BK777" t="str">
        <v/>
      </c>
      <c r="BL777" t="str">
        <v/>
      </c>
      <c r="BM777" t="str">
        <v/>
      </c>
      <c r="BY777" t="str">
        <v>processor</v>
      </c>
      <c r="BZ777" t="str">
        <v>Holly Energy Partners Oper Lp 3</v>
      </c>
      <c r="CA777" t="str">
        <v>blendSAF</v>
      </c>
      <c r="CB777" t="str">
        <v/>
      </c>
      <c r="CC777" t="str">
        <v/>
      </c>
      <c r="CD777" t="str">
        <v/>
      </c>
      <c r="CE777" t="str">
        <v/>
      </c>
      <c r="CF777" t="str">
        <v/>
      </c>
    </row>
    <row r="778" spans="58:84" x14ac:dyDescent="0.3">
      <c r="BF778" t="str">
        <v>processor</v>
      </c>
      <c r="BG778" t="str">
        <v>Buckeye Terminals Llc 93</v>
      </c>
      <c r="BH778" t="str">
        <v>blendSAF</v>
      </c>
      <c r="BI778" t="str">
        <v/>
      </c>
      <c r="BJ778" t="str">
        <v/>
      </c>
      <c r="BK778" t="str">
        <v/>
      </c>
      <c r="BL778" t="str">
        <v/>
      </c>
      <c r="BM778" t="str">
        <v/>
      </c>
      <c r="BY778" t="str">
        <v>processor</v>
      </c>
      <c r="BZ778" t="str">
        <v>Nk Asphalt Partners 2</v>
      </c>
      <c r="CA778" t="str">
        <v>blendSAF</v>
      </c>
      <c r="CB778" t="str">
        <v/>
      </c>
      <c r="CC778" t="str">
        <v/>
      </c>
      <c r="CD778" t="str">
        <v/>
      </c>
      <c r="CE778" t="str">
        <v/>
      </c>
      <c r="CF778" t="str">
        <v/>
      </c>
    </row>
    <row r="779" spans="58:84" x14ac:dyDescent="0.3">
      <c r="BF779" t="str">
        <v>processor</v>
      </c>
      <c r="BG779" t="str">
        <v>Buckeye Terminals Llc 88</v>
      </c>
      <c r="BH779" t="str">
        <v>blendSAF</v>
      </c>
      <c r="BI779" t="str">
        <v/>
      </c>
      <c r="BJ779" t="str">
        <v/>
      </c>
      <c r="BK779" t="str">
        <v/>
      </c>
      <c r="BL779" t="str">
        <v/>
      </c>
      <c r="BM779" t="str">
        <v/>
      </c>
      <c r="BY779" t="str">
        <v>processor</v>
      </c>
      <c r="BZ779" t="str">
        <v>Nk Asphalt Partners 1</v>
      </c>
      <c r="CA779" t="str">
        <v>blendSAF</v>
      </c>
      <c r="CB779" t="str">
        <v/>
      </c>
      <c r="CC779" t="str">
        <v/>
      </c>
      <c r="CD779" t="str">
        <v/>
      </c>
      <c r="CE779" t="str">
        <v/>
      </c>
      <c r="CF779" t="str">
        <v/>
      </c>
    </row>
    <row r="780" spans="58:84" x14ac:dyDescent="0.3">
      <c r="BF780" t="str">
        <v>processor</v>
      </c>
      <c r="BG780" t="str">
        <v>Buckeye Albany Terminal Llc</v>
      </c>
      <c r="BH780" t="str">
        <v>blendSAF</v>
      </c>
      <c r="BI780" t="str">
        <v/>
      </c>
      <c r="BJ780" t="str">
        <v/>
      </c>
      <c r="BK780" t="str">
        <v/>
      </c>
      <c r="BL780" t="str">
        <v/>
      </c>
      <c r="BM780" t="str">
        <v/>
      </c>
      <c r="BY780" t="str">
        <v>processor</v>
      </c>
      <c r="BZ780" t="str">
        <v>Imtt Epic Llc 1</v>
      </c>
      <c r="CA780" t="str">
        <v>blendSAF</v>
      </c>
      <c r="CB780" t="str">
        <v/>
      </c>
      <c r="CC780" t="str">
        <v/>
      </c>
      <c r="CD780" t="str">
        <v/>
      </c>
      <c r="CE780" t="str">
        <v/>
      </c>
      <c r="CF780" t="str">
        <v/>
      </c>
    </row>
    <row r="781" spans="58:84" x14ac:dyDescent="0.3">
      <c r="BF781" t="str">
        <v>processor</v>
      </c>
      <c r="BG781" t="str">
        <v>Crestwood Midstream Partners Lp</v>
      </c>
      <c r="BH781" t="str">
        <v>blendSAF</v>
      </c>
      <c r="BI781" t="str">
        <v/>
      </c>
      <c r="BJ781" t="str">
        <v/>
      </c>
      <c r="BK781" t="str">
        <v/>
      </c>
      <c r="BL781" t="str">
        <v/>
      </c>
      <c r="BM781" t="str">
        <v/>
      </c>
      <c r="BY781" t="str">
        <v>processor</v>
      </c>
      <c r="BZ781" t="str">
        <v>Andeavor Logistics Lp 1</v>
      </c>
      <c r="CA781" t="str">
        <v>blendSAF</v>
      </c>
      <c r="CB781" t="str">
        <v/>
      </c>
      <c r="CC781" t="str">
        <v/>
      </c>
      <c r="CD781" t="str">
        <v/>
      </c>
      <c r="CE781" t="str">
        <v/>
      </c>
      <c r="CF781" t="str">
        <v/>
      </c>
    </row>
    <row r="782" spans="58:84" x14ac:dyDescent="0.3">
      <c r="BF782" t="str">
        <v>processor</v>
      </c>
      <c r="BG782" t="str">
        <v>The Energy Consrv Group Llc</v>
      </c>
      <c r="BH782" t="str">
        <v>blendSAF</v>
      </c>
      <c r="BI782" t="str">
        <v/>
      </c>
      <c r="BJ782" t="str">
        <v/>
      </c>
      <c r="BK782" t="str">
        <v/>
      </c>
      <c r="BL782" t="str">
        <v/>
      </c>
      <c r="BM782" t="str">
        <v/>
      </c>
      <c r="BY782" t="str">
        <v>processor</v>
      </c>
      <c r="BZ782" t="str">
        <v>Andeavor Logistics Lp 11</v>
      </c>
      <c r="CA782" t="str">
        <v>blendSAF</v>
      </c>
      <c r="CB782" t="str">
        <v/>
      </c>
      <c r="CC782" t="str">
        <v/>
      </c>
      <c r="CD782" t="str">
        <v/>
      </c>
      <c r="CE782" t="str">
        <v/>
      </c>
      <c r="CF782" t="str">
        <v/>
      </c>
    </row>
    <row r="783" spans="58:84" x14ac:dyDescent="0.3">
      <c r="BF783" t="str">
        <v>processor</v>
      </c>
      <c r="BG783" t="str">
        <v>Sunoco Logistics 23</v>
      </c>
      <c r="BH783" t="str">
        <v>blendSAF</v>
      </c>
      <c r="BI783" t="str">
        <v/>
      </c>
      <c r="BJ783" t="str">
        <v/>
      </c>
      <c r="BK783" t="str">
        <v/>
      </c>
      <c r="BL783" t="str">
        <v/>
      </c>
      <c r="BM783" t="str">
        <v/>
      </c>
      <c r="BY783" t="str">
        <v>processor</v>
      </c>
      <c r="BZ783" t="str">
        <v>Andeavor Logistics Lp 4</v>
      </c>
      <c r="CA783" t="str">
        <v>blendSAF</v>
      </c>
      <c r="CB783" t="str">
        <v/>
      </c>
      <c r="CC783" t="str">
        <v/>
      </c>
      <c r="CD783" t="str">
        <v/>
      </c>
      <c r="CE783" t="str">
        <v/>
      </c>
      <c r="CF783" t="str">
        <v/>
      </c>
    </row>
    <row r="784" spans="58:84" x14ac:dyDescent="0.3">
      <c r="BF784" t="str">
        <v>processor</v>
      </c>
      <c r="BG784" t="str">
        <v>Sunoco Logistics 46</v>
      </c>
      <c r="BH784" t="str">
        <v>blendSAF</v>
      </c>
      <c r="BI784" t="str">
        <v/>
      </c>
      <c r="BJ784" t="str">
        <v/>
      </c>
      <c r="BK784" t="str">
        <v/>
      </c>
      <c r="BL784" t="str">
        <v/>
      </c>
      <c r="BM784" t="str">
        <v/>
      </c>
      <c r="BY784" t="str">
        <v>processor</v>
      </c>
      <c r="BZ784" t="str">
        <v>Musket Corp 57</v>
      </c>
      <c r="CA784" t="str">
        <v>blendSAF</v>
      </c>
      <c r="CB784" t="str">
        <v/>
      </c>
      <c r="CC784" t="str">
        <v/>
      </c>
      <c r="CD784" t="str">
        <v/>
      </c>
      <c r="CE784" t="str">
        <v/>
      </c>
      <c r="CF784" t="str">
        <v/>
      </c>
    </row>
    <row r="785" spans="58:84" x14ac:dyDescent="0.3">
      <c r="BF785" t="str">
        <v>processor</v>
      </c>
      <c r="BG785" t="str">
        <v>Sunoco Logistics 49</v>
      </c>
      <c r="BH785" t="str">
        <v>blendSAF</v>
      </c>
      <c r="BI785" t="str">
        <v/>
      </c>
      <c r="BJ785" t="str">
        <v/>
      </c>
      <c r="BK785" t="str">
        <v/>
      </c>
      <c r="BL785" t="str">
        <v/>
      </c>
      <c r="BM785" t="str">
        <v/>
      </c>
      <c r="BY785" t="str">
        <v>processor</v>
      </c>
      <c r="BZ785" t="str">
        <v>Nustar Energy Lp 3</v>
      </c>
      <c r="CA785" t="str">
        <v>blendSAF</v>
      </c>
      <c r="CB785" t="str">
        <v/>
      </c>
      <c r="CC785" t="str">
        <v/>
      </c>
      <c r="CD785" t="str">
        <v/>
      </c>
      <c r="CE785" t="str">
        <v/>
      </c>
      <c r="CF785" t="str">
        <v/>
      </c>
    </row>
    <row r="786" spans="58:84" x14ac:dyDescent="0.3">
      <c r="BF786" t="str">
        <v>processor</v>
      </c>
      <c r="BG786" t="str">
        <v>Sunoco Llc 2</v>
      </c>
      <c r="BH786" t="str">
        <v>blendSAF</v>
      </c>
      <c r="BI786" t="str">
        <v/>
      </c>
      <c r="BJ786" t="str">
        <v/>
      </c>
      <c r="BK786" t="str">
        <v/>
      </c>
      <c r="BL786" t="str">
        <v/>
      </c>
      <c r="BM786" t="str">
        <v/>
      </c>
      <c r="BY786" t="str">
        <v>processor</v>
      </c>
      <c r="BZ786" t="str">
        <v>Nustar Energy Lp 31</v>
      </c>
      <c r="CA786" t="str">
        <v>blendSAF</v>
      </c>
      <c r="CB786" t="str">
        <v/>
      </c>
      <c r="CC786" t="str">
        <v/>
      </c>
      <c r="CD786" t="str">
        <v/>
      </c>
      <c r="CE786" t="str">
        <v/>
      </c>
      <c r="CF786" t="str">
        <v/>
      </c>
    </row>
    <row r="787" spans="58:84" x14ac:dyDescent="0.3">
      <c r="BF787" t="str">
        <v>processor</v>
      </c>
      <c r="BG787" t="str">
        <v>Sunoco Llc 14</v>
      </c>
      <c r="BH787" t="str">
        <v>blendSAF</v>
      </c>
      <c r="BI787" t="str">
        <v/>
      </c>
      <c r="BJ787" t="str">
        <v/>
      </c>
      <c r="BK787" t="str">
        <v/>
      </c>
      <c r="BL787" t="str">
        <v/>
      </c>
      <c r="BM787" t="str">
        <v/>
      </c>
      <c r="BY787" t="str">
        <v>processor</v>
      </c>
      <c r="BZ787" t="str">
        <v>Petroleum Fuel And Terminal Company 20</v>
      </c>
      <c r="CA787" t="str">
        <v>blendSAF</v>
      </c>
      <c r="CB787" t="str">
        <v/>
      </c>
      <c r="CC787" t="str">
        <v/>
      </c>
      <c r="CD787" t="str">
        <v/>
      </c>
      <c r="CE787" t="str">
        <v/>
      </c>
      <c r="CF787" t="str">
        <v/>
      </c>
    </row>
    <row r="788" spans="58:84" x14ac:dyDescent="0.3">
      <c r="BF788" t="str">
        <v>processor</v>
      </c>
      <c r="BG788" t="str">
        <v>Sunoco Llc 10</v>
      </c>
      <c r="BH788" t="str">
        <v>blendSAF</v>
      </c>
      <c r="BI788" t="str">
        <v/>
      </c>
      <c r="BJ788" t="str">
        <v/>
      </c>
      <c r="BK788" t="str">
        <v/>
      </c>
      <c r="BL788" t="str">
        <v/>
      </c>
      <c r="BM788" t="str">
        <v/>
      </c>
      <c r="BY788" t="str">
        <v>processor</v>
      </c>
      <c r="BZ788" t="str">
        <v>Petroleum Fuel &amp; Terminal Co 13</v>
      </c>
      <c r="CA788" t="str">
        <v>blendSAF</v>
      </c>
      <c r="CB788" t="str">
        <v/>
      </c>
      <c r="CC788" t="str">
        <v/>
      </c>
      <c r="CD788" t="str">
        <v/>
      </c>
      <c r="CE788" t="str">
        <v/>
      </c>
      <c r="CF788" t="str">
        <v/>
      </c>
    </row>
    <row r="789" spans="58:84" x14ac:dyDescent="0.3">
      <c r="BF789" t="str">
        <v>processor</v>
      </c>
      <c r="BG789" t="str">
        <v>Sunoco Llc 13</v>
      </c>
      <c r="BH789" t="str">
        <v>blendSAF</v>
      </c>
      <c r="BI789" t="str">
        <v/>
      </c>
      <c r="BJ789" t="str">
        <v/>
      </c>
      <c r="BK789" t="str">
        <v/>
      </c>
      <c r="BL789" t="str">
        <v/>
      </c>
      <c r="BM789" t="str">
        <v/>
      </c>
      <c r="BY789" t="str">
        <v>processor</v>
      </c>
      <c r="BZ789" t="str">
        <v>Petroleum Fuel &amp; Terminal Co 5</v>
      </c>
      <c r="CA789" t="str">
        <v>blendSAF</v>
      </c>
      <c r="CB789" t="str">
        <v/>
      </c>
      <c r="CC789" t="str">
        <v/>
      </c>
      <c r="CD789" t="str">
        <v/>
      </c>
      <c r="CE789" t="str">
        <v/>
      </c>
      <c r="CF789" t="str">
        <v/>
      </c>
    </row>
    <row r="790" spans="58:84" x14ac:dyDescent="0.3">
      <c r="BF790" t="str">
        <v>processor</v>
      </c>
      <c r="BG790" t="str">
        <v>Sunoco Midstream Llc 4</v>
      </c>
      <c r="BH790" t="str">
        <v>blendSAF</v>
      </c>
      <c r="BI790" t="str">
        <v/>
      </c>
      <c r="BJ790" t="str">
        <v/>
      </c>
      <c r="BK790" t="str">
        <v/>
      </c>
      <c r="BL790" t="str">
        <v/>
      </c>
      <c r="BM790" t="str">
        <v/>
      </c>
      <c r="BY790" t="str">
        <v>processor</v>
      </c>
      <c r="BZ790" t="str">
        <v>Bayside Fuel Oil Depot Corp 1</v>
      </c>
      <c r="CA790" t="str">
        <v>blendSAF</v>
      </c>
      <c r="CB790" t="str">
        <v/>
      </c>
      <c r="CC790" t="str">
        <v/>
      </c>
      <c r="CD790" t="str">
        <v/>
      </c>
      <c r="CE790" t="str">
        <v/>
      </c>
      <c r="CF790" t="str">
        <v/>
      </c>
    </row>
    <row r="791" spans="58:84" x14ac:dyDescent="0.3">
      <c r="BF791" t="str">
        <v>processor</v>
      </c>
      <c r="BG791" t="str">
        <v>Enterprise Terminals &amp; Storage Llc 17</v>
      </c>
      <c r="BH791" t="str">
        <v>blendSAF</v>
      </c>
      <c r="BI791" t="str">
        <v/>
      </c>
      <c r="BJ791" t="str">
        <v/>
      </c>
      <c r="BK791" t="str">
        <v/>
      </c>
      <c r="BL791" t="str">
        <v/>
      </c>
      <c r="BM791" t="str">
        <v/>
      </c>
      <c r="BY791" t="str">
        <v>processor</v>
      </c>
      <c r="BZ791" t="str">
        <v>Bayside Fuel Oil Depot Corp 2</v>
      </c>
      <c r="CA791" t="str">
        <v>blendSAF</v>
      </c>
      <c r="CB791" t="str">
        <v/>
      </c>
      <c r="CC791" t="str">
        <v/>
      </c>
      <c r="CD791" t="str">
        <v/>
      </c>
      <c r="CE791" t="str">
        <v/>
      </c>
      <c r="CF791" t="str">
        <v/>
      </c>
    </row>
    <row r="792" spans="58:84" x14ac:dyDescent="0.3">
      <c r="BF792" t="str">
        <v>processor</v>
      </c>
      <c r="BG792" t="str">
        <v>Enterprise Terminals &amp; Storage Llc 29</v>
      </c>
      <c r="BH792" t="str">
        <v>blendSAF</v>
      </c>
      <c r="BI792" t="str">
        <v/>
      </c>
      <c r="BJ792" t="str">
        <v/>
      </c>
      <c r="BK792" t="str">
        <v/>
      </c>
      <c r="BL792" t="str">
        <v/>
      </c>
      <c r="BM792" t="str">
        <v/>
      </c>
      <c r="BY792" t="str">
        <v>processor</v>
      </c>
      <c r="BZ792" t="str">
        <v>Buckeye Terminals Llc 27</v>
      </c>
      <c r="CA792" t="str">
        <v>blendSAF</v>
      </c>
      <c r="CB792" t="str">
        <v/>
      </c>
      <c r="CC792" t="str">
        <v/>
      </c>
      <c r="CD792" t="str">
        <v/>
      </c>
      <c r="CE792" t="str">
        <v/>
      </c>
      <c r="CF792" t="str">
        <v/>
      </c>
    </row>
    <row r="793" spans="58:84" x14ac:dyDescent="0.3">
      <c r="BF793" t="str">
        <v>processor</v>
      </c>
      <c r="BG793" t="str">
        <v>Enterprise Terminals &amp; Storage Llc 25</v>
      </c>
      <c r="BH793" t="str">
        <v>blendSAF</v>
      </c>
      <c r="BI793" t="str">
        <v/>
      </c>
      <c r="BJ793" t="str">
        <v/>
      </c>
      <c r="BK793" t="str">
        <v/>
      </c>
      <c r="BL793" t="str">
        <v/>
      </c>
      <c r="BM793" t="str">
        <v/>
      </c>
      <c r="BY793" t="str">
        <v>processor</v>
      </c>
      <c r="BZ793" t="str">
        <v>Buckeye Terminals Llc 67</v>
      </c>
      <c r="CA793" t="str">
        <v>blendSAF</v>
      </c>
      <c r="CB793" t="str">
        <v/>
      </c>
      <c r="CC793" t="str">
        <v/>
      </c>
      <c r="CD793" t="str">
        <v/>
      </c>
      <c r="CE793" t="str">
        <v/>
      </c>
      <c r="CF793" t="str">
        <v/>
      </c>
    </row>
    <row r="794" spans="58:84" x14ac:dyDescent="0.3">
      <c r="BF794" t="str">
        <v>processor</v>
      </c>
      <c r="BG794" t="str">
        <v>Enterprise Terminals &amp; Storage Llc 27</v>
      </c>
      <c r="BH794" t="str">
        <v>blendSAF</v>
      </c>
      <c r="BI794" t="str">
        <v/>
      </c>
      <c r="BJ794" t="str">
        <v/>
      </c>
      <c r="BK794" t="str">
        <v/>
      </c>
      <c r="BL794" t="str">
        <v/>
      </c>
      <c r="BM794" t="str">
        <v/>
      </c>
      <c r="BY794" t="str">
        <v>processor</v>
      </c>
      <c r="BZ794" t="str">
        <v>Buckeye Terminals Llc 91</v>
      </c>
      <c r="CA794" t="str">
        <v>blendSAF</v>
      </c>
      <c r="CB794" t="str">
        <v/>
      </c>
      <c r="CC794" t="str">
        <v/>
      </c>
      <c r="CD794" t="str">
        <v/>
      </c>
      <c r="CE794" t="str">
        <v/>
      </c>
      <c r="CF794" t="str">
        <v/>
      </c>
    </row>
    <row r="795" spans="58:84" x14ac:dyDescent="0.3">
      <c r="BF795" t="str">
        <v>processor</v>
      </c>
      <c r="BG795" t="str">
        <v>Global Companies Llc 12</v>
      </c>
      <c r="BH795" t="str">
        <v>blendSAF</v>
      </c>
      <c r="BI795" t="str">
        <v/>
      </c>
      <c r="BJ795" t="str">
        <v/>
      </c>
      <c r="BK795" t="str">
        <v/>
      </c>
      <c r="BL795" t="str">
        <v/>
      </c>
      <c r="BM795" t="str">
        <v/>
      </c>
      <c r="BY795" t="str">
        <v>processor</v>
      </c>
      <c r="BZ795" t="str">
        <v>Buckeye Terminals Llc 107</v>
      </c>
      <c r="CA795" t="str">
        <v>blendSAF</v>
      </c>
      <c r="CB795" t="str">
        <v/>
      </c>
      <c r="CC795" t="str">
        <v/>
      </c>
      <c r="CD795" t="str">
        <v/>
      </c>
      <c r="CE795" t="str">
        <v/>
      </c>
      <c r="CF795" t="str">
        <v/>
      </c>
    </row>
    <row r="796" spans="58:84" x14ac:dyDescent="0.3">
      <c r="BF796" t="str">
        <v>processor</v>
      </c>
      <c r="BG796" t="str">
        <v>Global Companies Llc 16</v>
      </c>
      <c r="BH796" t="str">
        <v>blendSAF</v>
      </c>
      <c r="BI796" t="str">
        <v/>
      </c>
      <c r="BJ796" t="str">
        <v/>
      </c>
      <c r="BK796" t="str">
        <v/>
      </c>
      <c r="BL796" t="str">
        <v/>
      </c>
      <c r="BM796" t="str">
        <v/>
      </c>
      <c r="BY796" t="str">
        <v>processor</v>
      </c>
      <c r="BZ796" t="str">
        <v>Buckeye Terminals Llc 108</v>
      </c>
      <c r="CA796" t="str">
        <v>blendSAF</v>
      </c>
      <c r="CB796" t="str">
        <v/>
      </c>
      <c r="CC796" t="str">
        <v/>
      </c>
      <c r="CD796" t="str">
        <v/>
      </c>
      <c r="CE796" t="str">
        <v/>
      </c>
      <c r="CF796" t="str">
        <v/>
      </c>
    </row>
    <row r="797" spans="58:84" x14ac:dyDescent="0.3">
      <c r="BF797" t="str">
        <v>processor</v>
      </c>
      <c r="BG797" t="str">
        <v>Global Companies Llc 14</v>
      </c>
      <c r="BH797" t="str">
        <v>blendSAF</v>
      </c>
      <c r="BI797" t="str">
        <v/>
      </c>
      <c r="BJ797" t="str">
        <v/>
      </c>
      <c r="BK797" t="str">
        <v/>
      </c>
      <c r="BL797" t="str">
        <v/>
      </c>
      <c r="BM797" t="str">
        <v/>
      </c>
      <c r="BY797" t="str">
        <v>processor</v>
      </c>
      <c r="BZ797" t="str">
        <v>Buckeye Terminals Llc 28</v>
      </c>
      <c r="CA797" t="str">
        <v>blendSAF</v>
      </c>
      <c r="CB797" t="str">
        <v/>
      </c>
      <c r="CC797" t="str">
        <v/>
      </c>
      <c r="CD797" t="str">
        <v/>
      </c>
      <c r="CE797" t="str">
        <v/>
      </c>
      <c r="CF797" t="str">
        <v/>
      </c>
    </row>
    <row r="798" spans="58:84" x14ac:dyDescent="0.3">
      <c r="BF798" t="str">
        <v>processor</v>
      </c>
      <c r="BG798" t="str">
        <v>Global Companies Llc 15</v>
      </c>
      <c r="BH798" t="str">
        <v>blendSAF</v>
      </c>
      <c r="BI798" t="str">
        <v/>
      </c>
      <c r="BJ798" t="str">
        <v/>
      </c>
      <c r="BK798" t="str">
        <v/>
      </c>
      <c r="BL798" t="str">
        <v/>
      </c>
      <c r="BM798" t="str">
        <v/>
      </c>
      <c r="BY798" t="str">
        <v>processor</v>
      </c>
      <c r="BZ798" t="str">
        <v>Buckeye Terminals Llc 92</v>
      </c>
      <c r="CA798" t="str">
        <v>blendSAF</v>
      </c>
      <c r="CB798" t="str">
        <v/>
      </c>
      <c r="CC798" t="str">
        <v/>
      </c>
      <c r="CD798" t="str">
        <v/>
      </c>
      <c r="CE798" t="str">
        <v/>
      </c>
      <c r="CF798" t="str">
        <v/>
      </c>
    </row>
    <row r="799" spans="58:84" x14ac:dyDescent="0.3">
      <c r="BF799" t="str">
        <v>processor</v>
      </c>
      <c r="BG799" t="str">
        <v>Global Co Llc 7</v>
      </c>
      <c r="BH799" t="str">
        <v>blendSAF</v>
      </c>
      <c r="BI799" t="str">
        <v/>
      </c>
      <c r="BJ799" t="str">
        <v/>
      </c>
      <c r="BK799" t="str">
        <v/>
      </c>
      <c r="BL799" t="str">
        <v/>
      </c>
      <c r="BM799" t="str">
        <v/>
      </c>
      <c r="BY799" t="str">
        <v>processor</v>
      </c>
      <c r="BZ799" t="str">
        <v>Buckeye Terminals Llc 76</v>
      </c>
      <c r="CA799" t="str">
        <v>blendSAF</v>
      </c>
      <c r="CB799" t="str">
        <v/>
      </c>
      <c r="CC799" t="str">
        <v/>
      </c>
      <c r="CD799" t="str">
        <v/>
      </c>
      <c r="CE799" t="str">
        <v/>
      </c>
      <c r="CF799" t="str">
        <v/>
      </c>
    </row>
    <row r="800" spans="58:84" x14ac:dyDescent="0.3">
      <c r="BF800" t="str">
        <v>processor</v>
      </c>
      <c r="BG800" t="str">
        <v>Global Co Llc 6</v>
      </c>
      <c r="BH800" t="str">
        <v>blendSAF</v>
      </c>
      <c r="BI800" t="str">
        <v/>
      </c>
      <c r="BJ800" t="str">
        <v/>
      </c>
      <c r="BK800" t="str">
        <v/>
      </c>
      <c r="BL800" t="str">
        <v/>
      </c>
      <c r="BM800" t="str">
        <v/>
      </c>
      <c r="BY800" t="str">
        <v>processor</v>
      </c>
      <c r="BZ800" t="str">
        <v>Buckeye Terminals Llc 93</v>
      </c>
      <c r="CA800" t="str">
        <v>blendSAF</v>
      </c>
      <c r="CB800" t="str">
        <v/>
      </c>
      <c r="CC800" t="str">
        <v/>
      </c>
      <c r="CD800" t="str">
        <v/>
      </c>
      <c r="CE800" t="str">
        <v/>
      </c>
      <c r="CF800" t="str">
        <v/>
      </c>
    </row>
    <row r="801" spans="58:84" x14ac:dyDescent="0.3">
      <c r="BF801" t="str">
        <v>processor</v>
      </c>
      <c r="BG801" t="str">
        <v>Global Co Llc 8</v>
      </c>
      <c r="BH801" t="str">
        <v>blendSAF</v>
      </c>
      <c r="BI801" t="str">
        <v/>
      </c>
      <c r="BJ801" t="str">
        <v/>
      </c>
      <c r="BK801" t="str">
        <v/>
      </c>
      <c r="BL801" t="str">
        <v/>
      </c>
      <c r="BM801" t="str">
        <v/>
      </c>
      <c r="BY801" t="str">
        <v>processor</v>
      </c>
      <c r="BZ801" t="str">
        <v>Buckeye Terminals Llc 88</v>
      </c>
      <c r="CA801" t="str">
        <v>blendSAF</v>
      </c>
      <c r="CB801" t="str">
        <v/>
      </c>
      <c r="CC801" t="str">
        <v/>
      </c>
      <c r="CD801" t="str">
        <v/>
      </c>
      <c r="CE801" t="str">
        <v/>
      </c>
      <c r="CF801" t="str">
        <v/>
      </c>
    </row>
    <row r="802" spans="58:84" x14ac:dyDescent="0.3">
      <c r="BF802" t="str">
        <v>processor</v>
      </c>
      <c r="BG802" t="str">
        <v>Global Companies Llc 13</v>
      </c>
      <c r="BH802" t="str">
        <v>blendSAF</v>
      </c>
      <c r="BI802" t="str">
        <v/>
      </c>
      <c r="BJ802" t="str">
        <v/>
      </c>
      <c r="BK802" t="str">
        <v/>
      </c>
      <c r="BL802" t="str">
        <v/>
      </c>
      <c r="BM802" t="str">
        <v/>
      </c>
      <c r="BY802" t="str">
        <v>processor</v>
      </c>
      <c r="BZ802" t="str">
        <v>Buckeye Albany Terminal Llc</v>
      </c>
      <c r="CA802" t="str">
        <v>blendSAF</v>
      </c>
      <c r="CB802" t="str">
        <v/>
      </c>
      <c r="CC802" t="str">
        <v/>
      </c>
      <c r="CD802" t="str">
        <v/>
      </c>
      <c r="CE802" t="str">
        <v/>
      </c>
      <c r="CF802" t="str">
        <v/>
      </c>
    </row>
    <row r="803" spans="58:84" x14ac:dyDescent="0.3">
      <c r="BF803" t="str">
        <v>processor</v>
      </c>
      <c r="BG803" t="str">
        <v>Peckham Industries Inc</v>
      </c>
      <c r="BH803" t="str">
        <v>blendSAF</v>
      </c>
      <c r="BI803" t="str">
        <v/>
      </c>
      <c r="BJ803" t="str">
        <v/>
      </c>
      <c r="BK803" t="str">
        <v/>
      </c>
      <c r="BL803" t="str">
        <v/>
      </c>
      <c r="BM803" t="str">
        <v/>
      </c>
      <c r="BY803" t="str">
        <v>processor</v>
      </c>
      <c r="BZ803" t="str">
        <v>Crestwood Midstream Partners Lp</v>
      </c>
      <c r="CA803" t="str">
        <v>blendSAF</v>
      </c>
      <c r="CB803" t="str">
        <v/>
      </c>
      <c r="CC803" t="str">
        <v/>
      </c>
      <c r="CD803" t="str">
        <v/>
      </c>
      <c r="CE803" t="str">
        <v/>
      </c>
      <c r="CF803" t="str">
        <v/>
      </c>
    </row>
    <row r="804" spans="58:84" x14ac:dyDescent="0.3">
      <c r="BF804" t="str">
        <v>processor</v>
      </c>
      <c r="BG804" t="str">
        <v>Sprague Operating Resources Llc 8</v>
      </c>
      <c r="BH804" t="str">
        <v>blendSAF</v>
      </c>
      <c r="BI804" t="str">
        <v/>
      </c>
      <c r="BJ804" t="str">
        <v/>
      </c>
      <c r="BK804" t="str">
        <v/>
      </c>
      <c r="BL804" t="str">
        <v/>
      </c>
      <c r="BM804" t="str">
        <v/>
      </c>
      <c r="BY804" t="str">
        <v>processor</v>
      </c>
      <c r="BZ804" t="str">
        <v>The Energy Consrv Group Llc</v>
      </c>
      <c r="CA804" t="str">
        <v>blendSAF</v>
      </c>
      <c r="CB804" t="str">
        <v/>
      </c>
      <c r="CC804" t="str">
        <v/>
      </c>
      <c r="CD804" t="str">
        <v/>
      </c>
      <c r="CE804" t="str">
        <v/>
      </c>
      <c r="CF804" t="str">
        <v/>
      </c>
    </row>
    <row r="805" spans="58:84" x14ac:dyDescent="0.3">
      <c r="BF805" t="str">
        <v>processor</v>
      </c>
      <c r="BG805" t="str">
        <v>Sprague Operating Resrcs Llc 14</v>
      </c>
      <c r="BH805" t="str">
        <v>blendSAF</v>
      </c>
      <c r="BI805" t="str">
        <v/>
      </c>
      <c r="BJ805" t="str">
        <v/>
      </c>
      <c r="BK805" t="str">
        <v/>
      </c>
      <c r="BL805" t="str">
        <v/>
      </c>
      <c r="BM805" t="str">
        <v/>
      </c>
      <c r="BY805" t="str">
        <v>processor</v>
      </c>
      <c r="BZ805" t="str">
        <v>Sunoco Logistics 23</v>
      </c>
      <c r="CA805" t="str">
        <v>blendSAF</v>
      </c>
      <c r="CB805" t="str">
        <v/>
      </c>
      <c r="CC805" t="str">
        <v/>
      </c>
      <c r="CD805" t="str">
        <v/>
      </c>
      <c r="CE805" t="str">
        <v/>
      </c>
      <c r="CF805" t="str">
        <v/>
      </c>
    </row>
    <row r="806" spans="58:84" x14ac:dyDescent="0.3">
      <c r="BF806" t="str">
        <v>processor</v>
      </c>
      <c r="BG806" t="str">
        <v>Sprague Operating Resrcs Llc 17</v>
      </c>
      <c r="BH806" t="str">
        <v>blendSAF</v>
      </c>
      <c r="BI806" t="str">
        <v/>
      </c>
      <c r="BJ806" t="str">
        <v/>
      </c>
      <c r="BK806" t="str">
        <v/>
      </c>
      <c r="BL806" t="str">
        <v/>
      </c>
      <c r="BM806" t="str">
        <v/>
      </c>
      <c r="BY806" t="str">
        <v>processor</v>
      </c>
      <c r="BZ806" t="str">
        <v>Sunoco Logistics 46</v>
      </c>
      <c r="CA806" t="str">
        <v>blendSAF</v>
      </c>
      <c r="CB806" t="str">
        <v/>
      </c>
      <c r="CC806" t="str">
        <v/>
      </c>
      <c r="CD806" t="str">
        <v/>
      </c>
      <c r="CE806" t="str">
        <v/>
      </c>
      <c r="CF806" t="str">
        <v/>
      </c>
    </row>
    <row r="807" spans="58:84" x14ac:dyDescent="0.3">
      <c r="BF807" t="str">
        <v>processor</v>
      </c>
      <c r="BG807" t="str">
        <v>Sprague Operating Resrcs Llc 16</v>
      </c>
      <c r="BH807" t="str">
        <v>blendSAF</v>
      </c>
      <c r="BI807" t="str">
        <v/>
      </c>
      <c r="BJ807" t="str">
        <v/>
      </c>
      <c r="BK807" t="str">
        <v/>
      </c>
      <c r="BL807" t="str">
        <v/>
      </c>
      <c r="BM807" t="str">
        <v/>
      </c>
      <c r="BY807" t="str">
        <v>processor</v>
      </c>
      <c r="BZ807" t="str">
        <v>Sunoco Logistics 49</v>
      </c>
      <c r="CA807" t="str">
        <v>blendSAF</v>
      </c>
      <c r="CB807" t="str">
        <v/>
      </c>
      <c r="CC807" t="str">
        <v/>
      </c>
      <c r="CD807" t="str">
        <v/>
      </c>
      <c r="CE807" t="str">
        <v/>
      </c>
      <c r="CF807" t="str">
        <v/>
      </c>
    </row>
    <row r="808" spans="58:84" x14ac:dyDescent="0.3">
      <c r="BF808" t="str">
        <v>processor</v>
      </c>
      <c r="BG808" t="str">
        <v>Sprague Operating Resrcs Llc 15</v>
      </c>
      <c r="BH808" t="str">
        <v>blendSAF</v>
      </c>
      <c r="BI808" t="str">
        <v/>
      </c>
      <c r="BJ808" t="str">
        <v/>
      </c>
      <c r="BK808" t="str">
        <v/>
      </c>
      <c r="BL808" t="str">
        <v/>
      </c>
      <c r="BM808" t="str">
        <v/>
      </c>
      <c r="BY808" t="str">
        <v>processor</v>
      </c>
      <c r="BZ808" t="str">
        <v>Sunoco Llc 2</v>
      </c>
      <c r="CA808" t="str">
        <v>blendSAF</v>
      </c>
      <c r="CB808" t="str">
        <v/>
      </c>
      <c r="CC808" t="str">
        <v/>
      </c>
      <c r="CD808" t="str">
        <v/>
      </c>
      <c r="CE808" t="str">
        <v/>
      </c>
      <c r="CF808" t="str">
        <v/>
      </c>
    </row>
    <row r="809" spans="58:84" x14ac:dyDescent="0.3">
      <c r="BF809" t="str">
        <v>processor</v>
      </c>
      <c r="BG809" t="str">
        <v>Hop Energy Llc 8</v>
      </c>
      <c r="BH809" t="str">
        <v>blendSAF</v>
      </c>
      <c r="BI809" t="str">
        <v/>
      </c>
      <c r="BJ809" t="str">
        <v/>
      </c>
      <c r="BK809" t="str">
        <v/>
      </c>
      <c r="BL809" t="str">
        <v/>
      </c>
      <c r="BM809" t="str">
        <v/>
      </c>
      <c r="BY809" t="str">
        <v>processor</v>
      </c>
      <c r="BZ809" t="str">
        <v>Sunoco Llc 14</v>
      </c>
      <c r="CA809" t="str">
        <v>blendSAF</v>
      </c>
      <c r="CB809" t="str">
        <v/>
      </c>
      <c r="CC809" t="str">
        <v/>
      </c>
      <c r="CD809" t="str">
        <v/>
      </c>
      <c r="CE809" t="str">
        <v/>
      </c>
      <c r="CF809" t="str">
        <v/>
      </c>
    </row>
    <row r="810" spans="58:84" x14ac:dyDescent="0.3">
      <c r="BF810" t="str">
        <v>processor</v>
      </c>
      <c r="BG810" t="str">
        <v>Kinder Morgan Liq Termls Llc 2</v>
      </c>
      <c r="BH810" t="str">
        <v>blendSAF</v>
      </c>
      <c r="BI810" t="str">
        <v/>
      </c>
      <c r="BJ810" t="str">
        <v/>
      </c>
      <c r="BK810" t="str">
        <v/>
      </c>
      <c r="BL810" t="str">
        <v/>
      </c>
      <c r="BM810" t="str">
        <v/>
      </c>
      <c r="BY810" t="str">
        <v>processor</v>
      </c>
      <c r="BZ810" t="str">
        <v>Sunoco Llc 10</v>
      </c>
      <c r="CA810" t="str">
        <v>blendSAF</v>
      </c>
      <c r="CB810" t="str">
        <v/>
      </c>
      <c r="CC810" t="str">
        <v/>
      </c>
      <c r="CD810" t="str">
        <v/>
      </c>
      <c r="CE810" t="str">
        <v/>
      </c>
      <c r="CF810" t="str">
        <v/>
      </c>
    </row>
    <row r="811" spans="58:84" x14ac:dyDescent="0.3">
      <c r="BF811" t="str">
        <v>processor</v>
      </c>
      <c r="BG811" t="str">
        <v>Marathon Petroleum Co Lp</v>
      </c>
      <c r="BH811" t="str">
        <v>blendSAF</v>
      </c>
      <c r="BI811" t="str">
        <v/>
      </c>
      <c r="BJ811" t="str">
        <v/>
      </c>
      <c r="BK811" t="str">
        <v/>
      </c>
      <c r="BL811" t="str">
        <v/>
      </c>
      <c r="BM811" t="str">
        <v/>
      </c>
      <c r="BY811" t="str">
        <v>processor</v>
      </c>
      <c r="BZ811" t="str">
        <v>Sunoco Llc 13</v>
      </c>
      <c r="CA811" t="str">
        <v>blendSAF</v>
      </c>
      <c r="CB811" t="str">
        <v/>
      </c>
      <c r="CC811" t="str">
        <v/>
      </c>
      <c r="CD811" t="str">
        <v/>
      </c>
      <c r="CE811" t="str">
        <v/>
      </c>
      <c r="CF811" t="str">
        <v/>
      </c>
    </row>
    <row r="812" spans="58:84" x14ac:dyDescent="0.3">
      <c r="BF812" t="str">
        <v>processor</v>
      </c>
      <c r="BG812" t="str">
        <v>Suit-Kote Corp</v>
      </c>
      <c r="BH812" t="str">
        <v>blendSAF</v>
      </c>
      <c r="BI812" t="str">
        <v/>
      </c>
      <c r="BJ812" t="str">
        <v/>
      </c>
      <c r="BK812" t="str">
        <v/>
      </c>
      <c r="BL812" t="str">
        <v/>
      </c>
      <c r="BM812" t="str">
        <v/>
      </c>
      <c r="BY812" t="str">
        <v>processor</v>
      </c>
      <c r="BZ812" t="str">
        <v>Sunoco Midstream Llc 4</v>
      </c>
      <c r="CA812" t="str">
        <v>blendSAF</v>
      </c>
      <c r="CB812" t="str">
        <v/>
      </c>
      <c r="CC812" t="str">
        <v/>
      </c>
      <c r="CD812" t="str">
        <v/>
      </c>
      <c r="CE812" t="str">
        <v/>
      </c>
      <c r="CF812" t="str">
        <v/>
      </c>
    </row>
    <row r="813" spans="58:84" x14ac:dyDescent="0.3">
      <c r="BF813" t="str">
        <v>processor</v>
      </c>
      <c r="BG813" t="str">
        <v>Nic Holding Corp</v>
      </c>
      <c r="BH813" t="str">
        <v>blendSAF</v>
      </c>
      <c r="BI813" t="str">
        <v/>
      </c>
      <c r="BJ813" t="str">
        <v/>
      </c>
      <c r="BK813" t="str">
        <v/>
      </c>
      <c r="BL813" t="str">
        <v/>
      </c>
      <c r="BM813" t="str">
        <v/>
      </c>
      <c r="BY813" t="str">
        <v>processor</v>
      </c>
      <c r="BZ813" t="str">
        <v>Enterprise Terminals &amp; Storage Llc 17</v>
      </c>
      <c r="CA813" t="str">
        <v>blendSAF</v>
      </c>
      <c r="CB813" t="str">
        <v/>
      </c>
      <c r="CC813" t="str">
        <v/>
      </c>
      <c r="CD813" t="str">
        <v/>
      </c>
      <c r="CE813" t="str">
        <v/>
      </c>
      <c r="CF813" t="str">
        <v/>
      </c>
    </row>
    <row r="814" spans="58:84" x14ac:dyDescent="0.3">
      <c r="BF814" t="str">
        <v>processor</v>
      </c>
      <c r="BG814" t="str">
        <v>Northville Industries Corp</v>
      </c>
      <c r="BH814" t="str">
        <v>blendSAF</v>
      </c>
      <c r="BI814" t="str">
        <v/>
      </c>
      <c r="BJ814" t="str">
        <v/>
      </c>
      <c r="BK814" t="str">
        <v/>
      </c>
      <c r="BL814" t="str">
        <v/>
      </c>
      <c r="BM814" t="str">
        <v/>
      </c>
      <c r="BY814" t="str">
        <v>processor</v>
      </c>
      <c r="BZ814" t="str">
        <v>Enterprise Terminals &amp; Storage Llc 29</v>
      </c>
      <c r="CA814" t="str">
        <v>blendSAF</v>
      </c>
      <c r="CB814" t="str">
        <v/>
      </c>
      <c r="CC814" t="str">
        <v/>
      </c>
      <c r="CD814" t="str">
        <v/>
      </c>
      <c r="CE814" t="str">
        <v/>
      </c>
      <c r="CF814" t="str">
        <v/>
      </c>
    </row>
    <row r="815" spans="58:84" x14ac:dyDescent="0.3">
      <c r="BF815" t="str">
        <v>processor</v>
      </c>
      <c r="BG815" t="str">
        <v>Citgo Petroleum Corp 39</v>
      </c>
      <c r="BH815" t="str">
        <v>blendSAF</v>
      </c>
      <c r="BI815" t="str">
        <v/>
      </c>
      <c r="BJ815" t="str">
        <v/>
      </c>
      <c r="BK815" t="str">
        <v/>
      </c>
      <c r="BL815" t="str">
        <v/>
      </c>
      <c r="BM815" t="str">
        <v/>
      </c>
      <c r="BY815" t="str">
        <v>processor</v>
      </c>
      <c r="BZ815" t="str">
        <v>Enterprise Terminals &amp; Storage Llc 25</v>
      </c>
      <c r="CA815" t="str">
        <v>blendSAF</v>
      </c>
      <c r="CB815" t="str">
        <v/>
      </c>
      <c r="CC815" t="str">
        <v/>
      </c>
      <c r="CD815" t="str">
        <v/>
      </c>
      <c r="CE815" t="str">
        <v/>
      </c>
      <c r="CF815" t="str">
        <v/>
      </c>
    </row>
    <row r="816" spans="58:84" x14ac:dyDescent="0.3">
      <c r="BF816" t="str">
        <v>processor</v>
      </c>
      <c r="BG816" t="str">
        <v>Citgo Holding Terminals Llc 3</v>
      </c>
      <c r="BH816" t="str">
        <v>blendSAF</v>
      </c>
      <c r="BI816" t="str">
        <v/>
      </c>
      <c r="BJ816" t="str">
        <v/>
      </c>
      <c r="BK816" t="str">
        <v/>
      </c>
      <c r="BL816" t="str">
        <v/>
      </c>
      <c r="BM816" t="str">
        <v/>
      </c>
      <c r="BY816" t="str">
        <v>processor</v>
      </c>
      <c r="BZ816" t="str">
        <v>Enterprise Terminals &amp; Storage Llc 27</v>
      </c>
      <c r="CA816" t="str">
        <v>blendSAF</v>
      </c>
      <c r="CB816" t="str">
        <v/>
      </c>
      <c r="CC816" t="str">
        <v/>
      </c>
      <c r="CD816" t="str">
        <v/>
      </c>
      <c r="CE816" t="str">
        <v/>
      </c>
      <c r="CF816" t="str">
        <v/>
      </c>
    </row>
    <row r="817" spans="58:84" x14ac:dyDescent="0.3">
      <c r="BF817" t="str">
        <v>processor</v>
      </c>
      <c r="BG817" t="str">
        <v>Shell Oil Products Us 6</v>
      </c>
      <c r="BH817" t="str">
        <v>blendSAF</v>
      </c>
      <c r="BI817" t="str">
        <v/>
      </c>
      <c r="BJ817" t="str">
        <v/>
      </c>
      <c r="BK817" t="str">
        <v/>
      </c>
      <c r="BL817" t="str">
        <v/>
      </c>
      <c r="BM817" t="str">
        <v/>
      </c>
      <c r="BY817" t="str">
        <v>processor</v>
      </c>
      <c r="BZ817" t="str">
        <v>Global Companies Llc 12</v>
      </c>
      <c r="CA817" t="str">
        <v>blendSAF</v>
      </c>
      <c r="CB817" t="str">
        <v/>
      </c>
      <c r="CC817" t="str">
        <v/>
      </c>
      <c r="CD817" t="str">
        <v/>
      </c>
      <c r="CE817" t="str">
        <v/>
      </c>
      <c r="CF817" t="str">
        <v/>
      </c>
    </row>
    <row r="818" spans="58:84" x14ac:dyDescent="0.3">
      <c r="BF818" t="str">
        <v>processor</v>
      </c>
      <c r="BG818" t="str">
        <v>Meenan Oil Lp 1</v>
      </c>
      <c r="BH818" t="str">
        <v>blendSAF</v>
      </c>
      <c r="BI818" t="str">
        <v/>
      </c>
      <c r="BJ818" t="str">
        <v/>
      </c>
      <c r="BK818" t="str">
        <v/>
      </c>
      <c r="BL818" t="str">
        <v/>
      </c>
      <c r="BM818" t="str">
        <v/>
      </c>
      <c r="BY818" t="str">
        <v>processor</v>
      </c>
      <c r="BZ818" t="str">
        <v>Global Companies Llc 16</v>
      </c>
      <c r="CA818" t="str">
        <v>blendSAF</v>
      </c>
      <c r="CB818" t="str">
        <v/>
      </c>
      <c r="CC818" t="str">
        <v/>
      </c>
      <c r="CD818" t="str">
        <v/>
      </c>
      <c r="CE818" t="str">
        <v/>
      </c>
      <c r="CF818" t="str">
        <v/>
      </c>
    </row>
    <row r="819" spans="58:84" x14ac:dyDescent="0.3">
      <c r="BF819" t="str">
        <v>processor</v>
      </c>
      <c r="BG819" t="str">
        <v>Meenan Oil Lp 2</v>
      </c>
      <c r="BH819" t="str">
        <v>blendSAF</v>
      </c>
      <c r="BI819" t="str">
        <v/>
      </c>
      <c r="BJ819" t="str">
        <v/>
      </c>
      <c r="BK819" t="str">
        <v/>
      </c>
      <c r="BL819" t="str">
        <v/>
      </c>
      <c r="BM819" t="str">
        <v/>
      </c>
      <c r="BY819" t="str">
        <v>processor</v>
      </c>
      <c r="BZ819" t="str">
        <v>Global Companies Llc 14</v>
      </c>
      <c r="CA819" t="str">
        <v>blendSAF</v>
      </c>
      <c r="CB819" t="str">
        <v/>
      </c>
      <c r="CC819" t="str">
        <v/>
      </c>
      <c r="CD819" t="str">
        <v/>
      </c>
      <c r="CE819" t="str">
        <v/>
      </c>
      <c r="CF819" t="str">
        <v/>
      </c>
    </row>
    <row r="820" spans="58:84" x14ac:dyDescent="0.3">
      <c r="BF820" t="str">
        <v>processor</v>
      </c>
      <c r="BG820" t="str">
        <v>United Metro Energy Corp</v>
      </c>
      <c r="BH820" t="str">
        <v>blendSAF</v>
      </c>
      <c r="BI820" t="str">
        <v/>
      </c>
      <c r="BJ820" t="str">
        <v/>
      </c>
      <c r="BK820" t="str">
        <v/>
      </c>
      <c r="BL820" t="str">
        <v/>
      </c>
      <c r="BM820" t="str">
        <v/>
      </c>
      <c r="BY820" t="str">
        <v>processor</v>
      </c>
      <c r="BZ820" t="str">
        <v>Global Companies Llc 15</v>
      </c>
      <c r="CA820" t="str">
        <v>blendSAF</v>
      </c>
      <c r="CB820" t="str">
        <v/>
      </c>
      <c r="CC820" t="str">
        <v/>
      </c>
      <c r="CD820" t="str">
        <v/>
      </c>
      <c r="CE820" t="str">
        <v/>
      </c>
      <c r="CF820" t="str">
        <v/>
      </c>
    </row>
    <row r="821" spans="58:84" x14ac:dyDescent="0.3">
      <c r="BF821" t="str">
        <v>processor</v>
      </c>
      <c r="BG821" t="str">
        <v>United Refining Co 5</v>
      </c>
      <c r="BH821" t="str">
        <v>blendSAF</v>
      </c>
      <c r="BI821" t="str">
        <v/>
      </c>
      <c r="BJ821" t="str">
        <v/>
      </c>
      <c r="BK821" t="str">
        <v/>
      </c>
      <c r="BL821" t="str">
        <v/>
      </c>
      <c r="BM821" t="str">
        <v/>
      </c>
      <c r="BY821" t="str">
        <v>processor</v>
      </c>
      <c r="BZ821" t="str">
        <v>Global Co Llc 7</v>
      </c>
      <c r="CA821" t="str">
        <v>blendSAF</v>
      </c>
      <c r="CB821" t="str">
        <v/>
      </c>
      <c r="CC821" t="str">
        <v/>
      </c>
      <c r="CD821" t="str">
        <v/>
      </c>
      <c r="CE821" t="str">
        <v/>
      </c>
      <c r="CF821" t="str">
        <v/>
      </c>
    </row>
    <row r="822" spans="58:84" x14ac:dyDescent="0.3">
      <c r="BF822" t="str">
        <v>processor</v>
      </c>
      <c r="BG822" t="str">
        <v>United Refining Co 3</v>
      </c>
      <c r="BH822" t="str">
        <v>blendSAF</v>
      </c>
      <c r="BI822" t="str">
        <v/>
      </c>
      <c r="BJ822" t="str">
        <v/>
      </c>
      <c r="BK822" t="str">
        <v/>
      </c>
      <c r="BL822" t="str">
        <v/>
      </c>
      <c r="BM822" t="str">
        <v/>
      </c>
      <c r="BY822" t="str">
        <v>processor</v>
      </c>
      <c r="BZ822" t="str">
        <v>Global Co Llc 6</v>
      </c>
      <c r="CA822" t="str">
        <v>blendSAF</v>
      </c>
      <c r="CB822" t="str">
        <v/>
      </c>
      <c r="CC822" t="str">
        <v/>
      </c>
      <c r="CD822" t="str">
        <v/>
      </c>
      <c r="CE822" t="str">
        <v/>
      </c>
      <c r="CF822" t="str">
        <v/>
      </c>
    </row>
    <row r="823" spans="58:84" x14ac:dyDescent="0.3">
      <c r="BF823" t="str">
        <v>processor</v>
      </c>
      <c r="BG823" t="str">
        <v>United Refining Co 2</v>
      </c>
      <c r="BH823" t="str">
        <v>blendSAF</v>
      </c>
      <c r="BI823" t="str">
        <v/>
      </c>
      <c r="BJ823" t="str">
        <v/>
      </c>
      <c r="BK823" t="str">
        <v/>
      </c>
      <c r="BL823" t="str">
        <v/>
      </c>
      <c r="BM823" t="str">
        <v/>
      </c>
      <c r="BY823" t="str">
        <v>processor</v>
      </c>
      <c r="BZ823" t="str">
        <v>Global Co Llc 8</v>
      </c>
      <c r="CA823" t="str">
        <v>blendSAF</v>
      </c>
      <c r="CB823" t="str">
        <v/>
      </c>
      <c r="CC823" t="str">
        <v/>
      </c>
      <c r="CD823" t="str">
        <v/>
      </c>
      <c r="CE823" t="str">
        <v/>
      </c>
      <c r="CF823" t="str">
        <v/>
      </c>
    </row>
    <row r="824" spans="58:84" x14ac:dyDescent="0.3">
      <c r="BF824" t="str">
        <v>processor</v>
      </c>
      <c r="BG824" t="str">
        <v>Wt Terminal Oswego Llc</v>
      </c>
      <c r="BH824" t="str">
        <v>blendSAF</v>
      </c>
      <c r="BI824" t="str">
        <v/>
      </c>
      <c r="BJ824" t="str">
        <v/>
      </c>
      <c r="BK824" t="str">
        <v/>
      </c>
      <c r="BL824" t="str">
        <v/>
      </c>
      <c r="BM824" t="str">
        <v/>
      </c>
      <c r="BY824" t="str">
        <v>processor</v>
      </c>
      <c r="BZ824" t="str">
        <v>Global Companies Llc 13</v>
      </c>
      <c r="CA824" t="str">
        <v>blendSAF</v>
      </c>
      <c r="CB824" t="str">
        <v/>
      </c>
      <c r="CC824" t="str">
        <v/>
      </c>
      <c r="CD824" t="str">
        <v/>
      </c>
      <c r="CE824" t="str">
        <v/>
      </c>
      <c r="CF824" t="str">
        <v/>
      </c>
    </row>
    <row r="825" spans="58:84" x14ac:dyDescent="0.3">
      <c r="BF825" t="str">
        <v>processor</v>
      </c>
      <c r="BG825" t="str">
        <v>Westmore Fuels</v>
      </c>
      <c r="BH825" t="str">
        <v>blendSAF</v>
      </c>
      <c r="BI825" t="str">
        <v/>
      </c>
      <c r="BJ825" t="str">
        <v/>
      </c>
      <c r="BK825" t="str">
        <v/>
      </c>
      <c r="BL825" t="str">
        <v/>
      </c>
      <c r="BM825" t="str">
        <v/>
      </c>
      <c r="BY825" t="str">
        <v>processor</v>
      </c>
      <c r="BZ825" t="str">
        <v>Peckham Industries Inc</v>
      </c>
      <c r="CA825" t="str">
        <v>blendSAF</v>
      </c>
      <c r="CB825" t="str">
        <v/>
      </c>
      <c r="CC825" t="str">
        <v/>
      </c>
      <c r="CD825" t="str">
        <v/>
      </c>
      <c r="CE825" t="str">
        <v/>
      </c>
      <c r="CF825" t="str">
        <v/>
      </c>
    </row>
    <row r="826" spans="58:84" x14ac:dyDescent="0.3">
      <c r="BF826" t="str">
        <v>processor</v>
      </c>
      <c r="BG826" t="str">
        <v>Apex Oil Company Inc 26</v>
      </c>
      <c r="BH826" t="str">
        <v>blendSAF</v>
      </c>
      <c r="BI826" t="str">
        <v/>
      </c>
      <c r="BJ826" t="str">
        <v/>
      </c>
      <c r="BK826" t="str">
        <v/>
      </c>
      <c r="BL826" t="str">
        <v/>
      </c>
      <c r="BM826" t="str">
        <v/>
      </c>
      <c r="BY826" t="str">
        <v>processor</v>
      </c>
      <c r="BZ826" t="str">
        <v>Sprague Operating Resources Llc 8</v>
      </c>
      <c r="CA826" t="str">
        <v>blendSAF</v>
      </c>
      <c r="CB826" t="str">
        <v/>
      </c>
      <c r="CC826" t="str">
        <v/>
      </c>
      <c r="CD826" t="str">
        <v/>
      </c>
      <c r="CE826" t="str">
        <v/>
      </c>
      <c r="CF826" t="str">
        <v/>
      </c>
    </row>
    <row r="827" spans="58:84" x14ac:dyDescent="0.3">
      <c r="BF827" t="str">
        <v>processor</v>
      </c>
      <c r="BG827" t="str">
        <v>Petroleum Fuel &amp; Terminal Co 7</v>
      </c>
      <c r="BH827" t="str">
        <v>blendSAF</v>
      </c>
      <c r="BI827" t="str">
        <v/>
      </c>
      <c r="BJ827" t="str">
        <v/>
      </c>
      <c r="BK827" t="str">
        <v/>
      </c>
      <c r="BL827" t="str">
        <v/>
      </c>
      <c r="BM827" t="str">
        <v/>
      </c>
      <c r="BY827" t="str">
        <v>processor</v>
      </c>
      <c r="BZ827" t="str">
        <v>Sprague Operating Resrcs Llc 14</v>
      </c>
      <c r="CA827" t="str">
        <v>blendSAF</v>
      </c>
      <c r="CB827" t="str">
        <v/>
      </c>
      <c r="CC827" t="str">
        <v/>
      </c>
      <c r="CD827" t="str">
        <v/>
      </c>
      <c r="CE827" t="str">
        <v/>
      </c>
      <c r="CF827" t="str">
        <v/>
      </c>
    </row>
    <row r="828" spans="58:84" x14ac:dyDescent="0.3">
      <c r="BF828" t="str">
        <v>processor</v>
      </c>
      <c r="BG828" t="str">
        <v>Cti Of North Carolina Inc</v>
      </c>
      <c r="BH828" t="str">
        <v>blendSAF</v>
      </c>
      <c r="BI828" t="str">
        <v/>
      </c>
      <c r="BJ828" t="str">
        <v/>
      </c>
      <c r="BK828" t="str">
        <v/>
      </c>
      <c r="BL828" t="str">
        <v/>
      </c>
      <c r="BM828" t="str">
        <v/>
      </c>
      <c r="BY828" t="str">
        <v>processor</v>
      </c>
      <c r="BZ828" t="str">
        <v>Sprague Operating Resrcs Llc 17</v>
      </c>
      <c r="CA828" t="str">
        <v>blendSAF</v>
      </c>
      <c r="CB828" t="str">
        <v/>
      </c>
      <c r="CC828" t="str">
        <v/>
      </c>
      <c r="CD828" t="str">
        <v/>
      </c>
      <c r="CE828" t="str">
        <v/>
      </c>
      <c r="CF828" t="str">
        <v/>
      </c>
    </row>
    <row r="829" spans="58:84" x14ac:dyDescent="0.3">
      <c r="BF829" t="str">
        <v>processor</v>
      </c>
      <c r="BG829" t="str">
        <v>Bkep Materials Llc 16</v>
      </c>
      <c r="BH829" t="str">
        <v>blendSAF</v>
      </c>
      <c r="BI829" t="str">
        <v/>
      </c>
      <c r="BJ829" t="str">
        <v/>
      </c>
      <c r="BK829" t="str">
        <v/>
      </c>
      <c r="BL829" t="str">
        <v/>
      </c>
      <c r="BM829" t="str">
        <v/>
      </c>
      <c r="BY829" t="str">
        <v>processor</v>
      </c>
      <c r="BZ829" t="str">
        <v>Sprague Operating Resrcs Llc 16</v>
      </c>
      <c r="CA829" t="str">
        <v>blendSAF</v>
      </c>
      <c r="CB829" t="str">
        <v/>
      </c>
      <c r="CC829" t="str">
        <v/>
      </c>
      <c r="CD829" t="str">
        <v/>
      </c>
      <c r="CE829" t="str">
        <v/>
      </c>
      <c r="CF829" t="str">
        <v/>
      </c>
    </row>
    <row r="830" spans="58:84" x14ac:dyDescent="0.3">
      <c r="BF830" t="str">
        <v>processor</v>
      </c>
      <c r="BG830" t="str">
        <v>Associated Asphalt Charlotte Llc</v>
      </c>
      <c r="BH830" t="str">
        <v>blendSAF</v>
      </c>
      <c r="BI830" t="str">
        <v/>
      </c>
      <c r="BJ830" t="str">
        <v/>
      </c>
      <c r="BK830" t="str">
        <v/>
      </c>
      <c r="BL830" t="str">
        <v/>
      </c>
      <c r="BM830" t="str">
        <v/>
      </c>
      <c r="BY830" t="str">
        <v>processor</v>
      </c>
      <c r="BZ830" t="str">
        <v>Sprague Operating Resrcs Llc 15</v>
      </c>
      <c r="CA830" t="str">
        <v>blendSAF</v>
      </c>
      <c r="CB830" t="str">
        <v/>
      </c>
      <c r="CC830" t="str">
        <v/>
      </c>
      <c r="CD830" t="str">
        <v/>
      </c>
      <c r="CE830" t="str">
        <v/>
      </c>
      <c r="CF830" t="str">
        <v/>
      </c>
    </row>
    <row r="831" spans="58:84" x14ac:dyDescent="0.3">
      <c r="BF831" t="str">
        <v>processor</v>
      </c>
      <c r="BG831" t="str">
        <v>Associated Asphalt Salisbury Llc</v>
      </c>
      <c r="BH831" t="str">
        <v>blendSAF</v>
      </c>
      <c r="BI831" t="str">
        <v/>
      </c>
      <c r="BJ831" t="str">
        <v/>
      </c>
      <c r="BK831" t="str">
        <v/>
      </c>
      <c r="BL831" t="str">
        <v/>
      </c>
      <c r="BM831" t="str">
        <v/>
      </c>
      <c r="BY831" t="str">
        <v>processor</v>
      </c>
      <c r="BZ831" t="str">
        <v>Hop Energy Llc 8</v>
      </c>
      <c r="CA831" t="str">
        <v>blendSAF</v>
      </c>
      <c r="CB831" t="str">
        <v/>
      </c>
      <c r="CC831" t="str">
        <v/>
      </c>
      <c r="CD831" t="str">
        <v/>
      </c>
      <c r="CE831" t="str">
        <v/>
      </c>
      <c r="CF831" t="str">
        <v/>
      </c>
    </row>
    <row r="832" spans="58:84" x14ac:dyDescent="0.3">
      <c r="BF832" t="str">
        <v>processor</v>
      </c>
      <c r="BG832" t="str">
        <v>Associated Asphalt Greensboro Llc</v>
      </c>
      <c r="BH832" t="str">
        <v>blendSAF</v>
      </c>
      <c r="BI832" t="str">
        <v/>
      </c>
      <c r="BJ832" t="str">
        <v/>
      </c>
      <c r="BK832" t="str">
        <v/>
      </c>
      <c r="BL832" t="str">
        <v/>
      </c>
      <c r="BM832" t="str">
        <v/>
      </c>
      <c r="BY832" t="str">
        <v>processor</v>
      </c>
      <c r="BZ832" t="str">
        <v>Kinder Morgan Liq Termls Llc 2</v>
      </c>
      <c r="CA832" t="str">
        <v>blendSAF</v>
      </c>
      <c r="CB832" t="str">
        <v/>
      </c>
      <c r="CC832" t="str">
        <v/>
      </c>
      <c r="CD832" t="str">
        <v/>
      </c>
      <c r="CE832" t="str">
        <v/>
      </c>
      <c r="CF832" t="str">
        <v/>
      </c>
    </row>
    <row r="833" spans="58:84" x14ac:dyDescent="0.3">
      <c r="BF833" t="str">
        <v>processor</v>
      </c>
      <c r="BG833" t="str">
        <v>Buckeye Terminals Llc 111</v>
      </c>
      <c r="BH833" t="str">
        <v>blendSAF</v>
      </c>
      <c r="BI833" t="str">
        <v/>
      </c>
      <c r="BJ833" t="str">
        <v/>
      </c>
      <c r="BK833" t="str">
        <v/>
      </c>
      <c r="BL833" t="str">
        <v/>
      </c>
      <c r="BM833" t="str">
        <v/>
      </c>
      <c r="BY833" t="str">
        <v>processor</v>
      </c>
      <c r="BZ833" t="str">
        <v>Marathon Petroleum Co Lp</v>
      </c>
      <c r="CA833" t="str">
        <v>blendSAF</v>
      </c>
      <c r="CB833" t="str">
        <v/>
      </c>
      <c r="CC833" t="str">
        <v/>
      </c>
      <c r="CD833" t="str">
        <v/>
      </c>
      <c r="CE833" t="str">
        <v/>
      </c>
      <c r="CF833" t="str">
        <v/>
      </c>
    </row>
    <row r="834" spans="58:84" x14ac:dyDescent="0.3">
      <c r="BF834" t="str">
        <v>processor</v>
      </c>
      <c r="BG834" t="str">
        <v>Buckeye Se Terminals Lp 19</v>
      </c>
      <c r="BH834" t="str">
        <v>blendSAF</v>
      </c>
      <c r="BI834" t="str">
        <v/>
      </c>
      <c r="BJ834" t="str">
        <v/>
      </c>
      <c r="BK834" t="str">
        <v/>
      </c>
      <c r="BL834" t="str">
        <v/>
      </c>
      <c r="BM834" t="str">
        <v/>
      </c>
      <c r="BY834" t="str">
        <v>processor</v>
      </c>
      <c r="BZ834" t="str">
        <v>Suit-Kote Corp</v>
      </c>
      <c r="CA834" t="str">
        <v>blendSAF</v>
      </c>
      <c r="CB834" t="str">
        <v/>
      </c>
      <c r="CC834" t="str">
        <v/>
      </c>
      <c r="CD834" t="str">
        <v/>
      </c>
      <c r="CE834" t="str">
        <v/>
      </c>
      <c r="CF834" t="str">
        <v/>
      </c>
    </row>
    <row r="835" spans="58:84" x14ac:dyDescent="0.3">
      <c r="BF835" t="str">
        <v>processor</v>
      </c>
      <c r="BG835" t="str">
        <v>Buckeye Se Terminals Lp 10</v>
      </c>
      <c r="BH835" t="str">
        <v>blendSAF</v>
      </c>
      <c r="BI835" t="str">
        <v/>
      </c>
      <c r="BJ835" t="str">
        <v/>
      </c>
      <c r="BK835" t="str">
        <v/>
      </c>
      <c r="BL835" t="str">
        <v/>
      </c>
      <c r="BM835" t="str">
        <v/>
      </c>
      <c r="BY835" t="str">
        <v>processor</v>
      </c>
      <c r="BZ835" t="str">
        <v>Nic Holding Corp</v>
      </c>
      <c r="CA835" t="str">
        <v>blendSAF</v>
      </c>
      <c r="CB835" t="str">
        <v/>
      </c>
      <c r="CC835" t="str">
        <v/>
      </c>
      <c r="CD835" t="str">
        <v/>
      </c>
      <c r="CE835" t="str">
        <v/>
      </c>
      <c r="CF835" t="str">
        <v/>
      </c>
    </row>
    <row r="836" spans="58:84" x14ac:dyDescent="0.3">
      <c r="BF836" t="str">
        <v>processor</v>
      </c>
      <c r="BG836" t="str">
        <v>Buckeye Se Terminals Lp 4</v>
      </c>
      <c r="BH836" t="str">
        <v>blendSAF</v>
      </c>
      <c r="BI836" t="str">
        <v/>
      </c>
      <c r="BJ836" t="str">
        <v/>
      </c>
      <c r="BK836" t="str">
        <v/>
      </c>
      <c r="BL836" t="str">
        <v/>
      </c>
      <c r="BM836" t="str">
        <v/>
      </c>
      <c r="BY836" t="str">
        <v>processor</v>
      </c>
      <c r="BZ836" t="str">
        <v>Northville Industries Corp</v>
      </c>
      <c r="CA836" t="str">
        <v>blendSAF</v>
      </c>
      <c r="CB836" t="str">
        <v/>
      </c>
      <c r="CC836" t="str">
        <v/>
      </c>
      <c r="CD836" t="str">
        <v/>
      </c>
      <c r="CE836" t="str">
        <v/>
      </c>
      <c r="CF836" t="str">
        <v/>
      </c>
    </row>
    <row r="837" spans="58:84" x14ac:dyDescent="0.3">
      <c r="BF837" t="str">
        <v>processor</v>
      </c>
      <c r="BG837" t="str">
        <v>Buckeye Se Terminals Lp 5</v>
      </c>
      <c r="BH837" t="str">
        <v>blendSAF</v>
      </c>
      <c r="BI837" t="str">
        <v/>
      </c>
      <c r="BJ837" t="str">
        <v/>
      </c>
      <c r="BK837" t="str">
        <v/>
      </c>
      <c r="BL837" t="str">
        <v/>
      </c>
      <c r="BM837" t="str">
        <v/>
      </c>
      <c r="BY837" t="str">
        <v>processor</v>
      </c>
      <c r="BZ837" t="str">
        <v>Citgo Petroleum Corp 39</v>
      </c>
      <c r="CA837" t="str">
        <v>blendSAF</v>
      </c>
      <c r="CB837" t="str">
        <v/>
      </c>
      <c r="CC837" t="str">
        <v/>
      </c>
      <c r="CD837" t="str">
        <v/>
      </c>
      <c r="CE837" t="str">
        <v/>
      </c>
      <c r="CF837" t="str">
        <v/>
      </c>
    </row>
    <row r="838" spans="58:84" x14ac:dyDescent="0.3">
      <c r="BF838" t="str">
        <v>processor</v>
      </c>
      <c r="BG838" t="str">
        <v>Buckeye Se Terminals Lp 11</v>
      </c>
      <c r="BH838" t="str">
        <v>blendSAF</v>
      </c>
      <c r="BI838" t="str">
        <v/>
      </c>
      <c r="BJ838" t="str">
        <v/>
      </c>
      <c r="BK838" t="str">
        <v/>
      </c>
      <c r="BL838" t="str">
        <v/>
      </c>
      <c r="BM838" t="str">
        <v/>
      </c>
      <c r="BY838" t="str">
        <v>processor</v>
      </c>
      <c r="BZ838" t="str">
        <v>Citgo Holding Terminals Llc 3</v>
      </c>
      <c r="CA838" t="str">
        <v>blendSAF</v>
      </c>
      <c r="CB838" t="str">
        <v/>
      </c>
      <c r="CC838" t="str">
        <v/>
      </c>
      <c r="CD838" t="str">
        <v/>
      </c>
      <c r="CE838" t="str">
        <v/>
      </c>
      <c r="CF838" t="str">
        <v/>
      </c>
    </row>
    <row r="839" spans="58:84" x14ac:dyDescent="0.3">
      <c r="BF839" t="str">
        <v>processor</v>
      </c>
      <c r="BG839" t="str">
        <v>Colonial Terminals Operating Co Llc 2</v>
      </c>
      <c r="BH839" t="str">
        <v>blendSAF</v>
      </c>
      <c r="BI839" t="str">
        <v/>
      </c>
      <c r="BJ839" t="str">
        <v/>
      </c>
      <c r="BK839" t="str">
        <v/>
      </c>
      <c r="BL839" t="str">
        <v/>
      </c>
      <c r="BM839" t="str">
        <v/>
      </c>
      <c r="BY839" t="str">
        <v>processor</v>
      </c>
      <c r="BZ839" t="str">
        <v>Shell Oil Products Us 6</v>
      </c>
      <c r="CA839" t="str">
        <v>blendSAF</v>
      </c>
      <c r="CB839" t="str">
        <v/>
      </c>
      <c r="CC839" t="str">
        <v/>
      </c>
      <c r="CD839" t="str">
        <v/>
      </c>
      <c r="CE839" t="str">
        <v/>
      </c>
      <c r="CF839" t="str">
        <v/>
      </c>
    </row>
    <row r="840" spans="58:84" x14ac:dyDescent="0.3">
      <c r="BF840" t="str">
        <v>processor</v>
      </c>
      <c r="BG840" t="str">
        <v>Colonial Pipeline Company</v>
      </c>
      <c r="BH840" t="str">
        <v>blendSAF</v>
      </c>
      <c r="BI840" t="str">
        <v/>
      </c>
      <c r="BJ840" t="str">
        <v/>
      </c>
      <c r="BK840" t="str">
        <v/>
      </c>
      <c r="BL840" t="str">
        <v/>
      </c>
      <c r="BM840" t="str">
        <v/>
      </c>
      <c r="BY840" t="str">
        <v>processor</v>
      </c>
      <c r="BZ840" t="str">
        <v>Meenan Oil Lp 1</v>
      </c>
      <c r="CA840" t="str">
        <v>blendSAF</v>
      </c>
      <c r="CB840" t="str">
        <v/>
      </c>
      <c r="CC840" t="str">
        <v/>
      </c>
      <c r="CD840" t="str">
        <v/>
      </c>
      <c r="CE840" t="str">
        <v/>
      </c>
      <c r="CF840" t="str">
        <v/>
      </c>
    </row>
    <row r="841" spans="58:84" x14ac:dyDescent="0.3">
      <c r="BF841" t="str">
        <v>processor</v>
      </c>
      <c r="BG841" t="str">
        <v>Eco-Energy Distribution Services Llc 3</v>
      </c>
      <c r="BH841" t="str">
        <v>blendSAF</v>
      </c>
      <c r="BI841" t="str">
        <v/>
      </c>
      <c r="BJ841" t="str">
        <v/>
      </c>
      <c r="BK841" t="str">
        <v/>
      </c>
      <c r="BL841" t="str">
        <v/>
      </c>
      <c r="BM841" t="str">
        <v/>
      </c>
      <c r="BY841" t="str">
        <v>processor</v>
      </c>
      <c r="BZ841" t="str">
        <v>Meenan Oil Lp 2</v>
      </c>
      <c r="CA841" t="str">
        <v>blendSAF</v>
      </c>
      <c r="CB841" t="str">
        <v/>
      </c>
      <c r="CC841" t="str">
        <v/>
      </c>
      <c r="CD841" t="str">
        <v/>
      </c>
      <c r="CE841" t="str">
        <v/>
      </c>
      <c r="CF841" t="str">
        <v/>
      </c>
    </row>
    <row r="842" spans="58:84" x14ac:dyDescent="0.3">
      <c r="BF842" t="str">
        <v>processor</v>
      </c>
      <c r="BG842" t="str">
        <v>Sunoco Midstream Llc 10</v>
      </c>
      <c r="BH842" t="str">
        <v>blendSAF</v>
      </c>
      <c r="BI842" t="str">
        <v/>
      </c>
      <c r="BJ842" t="str">
        <v/>
      </c>
      <c r="BK842" t="str">
        <v/>
      </c>
      <c r="BL842" t="str">
        <v/>
      </c>
      <c r="BM842" t="str">
        <v/>
      </c>
      <c r="BY842" t="str">
        <v>processor</v>
      </c>
      <c r="BZ842" t="str">
        <v>United Metro Energy Corp</v>
      </c>
      <c r="CA842" t="str">
        <v>blendSAF</v>
      </c>
      <c r="CB842" t="str">
        <v/>
      </c>
      <c r="CC842" t="str">
        <v/>
      </c>
      <c r="CD842" t="str">
        <v/>
      </c>
      <c r="CE842" t="str">
        <v/>
      </c>
      <c r="CF842" t="str">
        <v/>
      </c>
    </row>
    <row r="843" spans="58:84" x14ac:dyDescent="0.3">
      <c r="BF843" t="str">
        <v>processor</v>
      </c>
      <c r="BG843" t="str">
        <v>Enterprise Products Operating Llc 12</v>
      </c>
      <c r="BH843" t="str">
        <v>blendSAF</v>
      </c>
      <c r="BI843" t="str">
        <v/>
      </c>
      <c r="BJ843" t="str">
        <v/>
      </c>
      <c r="BK843" t="str">
        <v/>
      </c>
      <c r="BL843" t="str">
        <v/>
      </c>
      <c r="BM843" t="str">
        <v/>
      </c>
      <c r="BY843" t="str">
        <v>processor</v>
      </c>
      <c r="BZ843" t="str">
        <v>United Refining Co 5</v>
      </c>
      <c r="CA843" t="str">
        <v>blendSAF</v>
      </c>
      <c r="CB843" t="str">
        <v/>
      </c>
      <c r="CC843" t="str">
        <v/>
      </c>
      <c r="CD843" t="str">
        <v/>
      </c>
      <c r="CE843" t="str">
        <v/>
      </c>
      <c r="CF843" t="str">
        <v/>
      </c>
    </row>
    <row r="844" spans="58:84" x14ac:dyDescent="0.3">
      <c r="BF844" t="str">
        <v>processor</v>
      </c>
      <c r="BG844" t="str">
        <v>Ent Propane Terminals &amp; Storage Llc 3</v>
      </c>
      <c r="BH844" t="str">
        <v>blendSAF</v>
      </c>
      <c r="BI844" t="str">
        <v/>
      </c>
      <c r="BJ844" t="str">
        <v/>
      </c>
      <c r="BK844" t="str">
        <v/>
      </c>
      <c r="BL844" t="str">
        <v/>
      </c>
      <c r="BM844" t="str">
        <v/>
      </c>
      <c r="BY844" t="str">
        <v>processor</v>
      </c>
      <c r="BZ844" t="str">
        <v>United Refining Co 3</v>
      </c>
      <c r="CA844" t="str">
        <v>blendSAF</v>
      </c>
      <c r="CB844" t="str">
        <v/>
      </c>
      <c r="CC844" t="str">
        <v/>
      </c>
      <c r="CD844" t="str">
        <v/>
      </c>
      <c r="CE844" t="str">
        <v/>
      </c>
      <c r="CF844" t="str">
        <v/>
      </c>
    </row>
    <row r="845" spans="58:84" x14ac:dyDescent="0.3">
      <c r="BF845" t="str">
        <v>processor</v>
      </c>
      <c r="BG845" t="str">
        <v>Asphalt Emulsions Llc</v>
      </c>
      <c r="BH845" t="str">
        <v>blendSAF</v>
      </c>
      <c r="BI845" t="str">
        <v/>
      </c>
      <c r="BJ845" t="str">
        <v/>
      </c>
      <c r="BK845" t="str">
        <v/>
      </c>
      <c r="BL845" t="str">
        <v/>
      </c>
      <c r="BM845" t="str">
        <v/>
      </c>
      <c r="BY845" t="str">
        <v>processor</v>
      </c>
      <c r="BZ845" t="str">
        <v>United Refining Co 2</v>
      </c>
      <c r="CA845" t="str">
        <v>blendSAF</v>
      </c>
      <c r="CB845" t="str">
        <v/>
      </c>
      <c r="CC845" t="str">
        <v/>
      </c>
      <c r="CD845" t="str">
        <v/>
      </c>
      <c r="CE845" t="str">
        <v/>
      </c>
      <c r="CF845" t="str">
        <v/>
      </c>
    </row>
    <row r="846" spans="58:84" x14ac:dyDescent="0.3">
      <c r="BF846" t="str">
        <v>processor</v>
      </c>
      <c r="BG846" t="str">
        <v>Kinder Morgan Southeast Terminal 21</v>
      </c>
      <c r="BH846" t="str">
        <v>blendSAF</v>
      </c>
      <c r="BI846" t="str">
        <v/>
      </c>
      <c r="BJ846" t="str">
        <v/>
      </c>
      <c r="BK846" t="str">
        <v/>
      </c>
      <c r="BL846" t="str">
        <v/>
      </c>
      <c r="BM846" t="str">
        <v/>
      </c>
      <c r="BY846" t="str">
        <v>processor</v>
      </c>
      <c r="BZ846" t="str">
        <v>Wt Terminal Oswego Llc</v>
      </c>
      <c r="CA846" t="str">
        <v>blendSAF</v>
      </c>
      <c r="CB846" t="str">
        <v/>
      </c>
      <c r="CC846" t="str">
        <v/>
      </c>
      <c r="CD846" t="str">
        <v/>
      </c>
      <c r="CE846" t="str">
        <v/>
      </c>
      <c r="CF846" t="str">
        <v/>
      </c>
    </row>
    <row r="847" spans="58:84" x14ac:dyDescent="0.3">
      <c r="BF847" t="str">
        <v>processor</v>
      </c>
      <c r="BG847" t="str">
        <v>Kinder Morgan Southeast Terminal 10</v>
      </c>
      <c r="BH847" t="str">
        <v>blendSAF</v>
      </c>
      <c r="BI847" t="str">
        <v/>
      </c>
      <c r="BJ847" t="str">
        <v/>
      </c>
      <c r="BK847" t="str">
        <v/>
      </c>
      <c r="BL847" t="str">
        <v/>
      </c>
      <c r="BM847" t="str">
        <v/>
      </c>
      <c r="BY847" t="str">
        <v>processor</v>
      </c>
      <c r="BZ847" t="str">
        <v>Westmore Fuels</v>
      </c>
      <c r="CA847" t="str">
        <v>blendSAF</v>
      </c>
      <c r="CB847" t="str">
        <v/>
      </c>
      <c r="CC847" t="str">
        <v/>
      </c>
      <c r="CD847" t="str">
        <v/>
      </c>
      <c r="CE847" t="str">
        <v/>
      </c>
      <c r="CF847" t="str">
        <v/>
      </c>
    </row>
    <row r="848" spans="58:84" x14ac:dyDescent="0.3">
      <c r="BF848" t="str">
        <v>processor</v>
      </c>
      <c r="BG848" t="str">
        <v>Kinder Morgan Southeast Terminal 5</v>
      </c>
      <c r="BH848" t="str">
        <v>blendSAF</v>
      </c>
      <c r="BI848" t="str">
        <v/>
      </c>
      <c r="BJ848" t="str">
        <v/>
      </c>
      <c r="BK848" t="str">
        <v/>
      </c>
      <c r="BL848" t="str">
        <v/>
      </c>
      <c r="BM848" t="str">
        <v/>
      </c>
      <c r="BY848" t="str">
        <v>processor</v>
      </c>
      <c r="BZ848" t="str">
        <v>Apex Oil Company Inc 26</v>
      </c>
      <c r="CA848" t="str">
        <v>blendSAF</v>
      </c>
      <c r="CB848" t="str">
        <v/>
      </c>
      <c r="CC848" t="str">
        <v/>
      </c>
      <c r="CD848" t="str">
        <v/>
      </c>
      <c r="CE848" t="str">
        <v/>
      </c>
      <c r="CF848" t="str">
        <v/>
      </c>
    </row>
    <row r="849" spans="58:84" x14ac:dyDescent="0.3">
      <c r="BF849" t="str">
        <v>processor</v>
      </c>
      <c r="BG849" t="str">
        <v>Kinder Morgan Southeast Terminal 6</v>
      </c>
      <c r="BH849" t="str">
        <v>blendSAF</v>
      </c>
      <c r="BI849" t="str">
        <v/>
      </c>
      <c r="BJ849" t="str">
        <v/>
      </c>
      <c r="BK849" t="str">
        <v/>
      </c>
      <c r="BL849" t="str">
        <v/>
      </c>
      <c r="BM849" t="str">
        <v/>
      </c>
      <c r="BY849" t="str">
        <v>processor</v>
      </c>
      <c r="BZ849" t="str">
        <v>Petroleum Fuel &amp; Terminal Co 7</v>
      </c>
      <c r="CA849" t="str">
        <v>blendSAF</v>
      </c>
      <c r="CB849" t="str">
        <v/>
      </c>
      <c r="CC849" t="str">
        <v/>
      </c>
      <c r="CD849" t="str">
        <v/>
      </c>
      <c r="CE849" t="str">
        <v/>
      </c>
      <c r="CF849" t="str">
        <v/>
      </c>
    </row>
    <row r="850" spans="58:84" x14ac:dyDescent="0.3">
      <c r="BF850" t="str">
        <v>processor</v>
      </c>
      <c r="BG850" t="str">
        <v>Kinder Morgan Southeast Terminal 11</v>
      </c>
      <c r="BH850" t="str">
        <v>blendSAF</v>
      </c>
      <c r="BI850" t="str">
        <v/>
      </c>
      <c r="BJ850" t="str">
        <v/>
      </c>
      <c r="BK850" t="str">
        <v/>
      </c>
      <c r="BL850" t="str">
        <v/>
      </c>
      <c r="BM850" t="str">
        <v/>
      </c>
      <c r="BY850" t="str">
        <v>processor</v>
      </c>
      <c r="BZ850" t="str">
        <v>Cti Of North Carolina Inc</v>
      </c>
      <c r="CA850" t="str">
        <v>blendSAF</v>
      </c>
      <c r="CB850" t="str">
        <v/>
      </c>
      <c r="CC850" t="str">
        <v/>
      </c>
      <c r="CD850" t="str">
        <v/>
      </c>
      <c r="CE850" t="str">
        <v/>
      </c>
      <c r="CF850" t="str">
        <v/>
      </c>
    </row>
    <row r="851" spans="58:84" x14ac:dyDescent="0.3">
      <c r="BF851" t="str">
        <v>processor</v>
      </c>
      <c r="BG851" t="str">
        <v>Kinder Morgan Southeast Terminal 22</v>
      </c>
      <c r="BH851" t="str">
        <v>blendSAF</v>
      </c>
      <c r="BI851" t="str">
        <v/>
      </c>
      <c r="BJ851" t="str">
        <v/>
      </c>
      <c r="BK851" t="str">
        <v/>
      </c>
      <c r="BL851" t="str">
        <v/>
      </c>
      <c r="BM851" t="str">
        <v/>
      </c>
      <c r="BY851" t="str">
        <v>processor</v>
      </c>
      <c r="BZ851" t="str">
        <v>Bkep Materials Llc 16</v>
      </c>
      <c r="CA851" t="str">
        <v>blendSAF</v>
      </c>
      <c r="CB851" t="str">
        <v/>
      </c>
      <c r="CC851" t="str">
        <v/>
      </c>
      <c r="CD851" t="str">
        <v/>
      </c>
      <c r="CE851" t="str">
        <v/>
      </c>
      <c r="CF851" t="str">
        <v/>
      </c>
    </row>
    <row r="852" spans="58:84" x14ac:dyDescent="0.3">
      <c r="BF852" t="str">
        <v>processor</v>
      </c>
      <c r="BG852" t="str">
        <v>Kinder Morgan Southeast Terminal 7</v>
      </c>
      <c r="BH852" t="str">
        <v>blendSAF</v>
      </c>
      <c r="BI852" t="str">
        <v/>
      </c>
      <c r="BJ852" t="str">
        <v/>
      </c>
      <c r="BK852" t="str">
        <v/>
      </c>
      <c r="BL852" t="str">
        <v/>
      </c>
      <c r="BM852" t="str">
        <v/>
      </c>
      <c r="BY852" t="str">
        <v>processor</v>
      </c>
      <c r="BZ852" t="str">
        <v>Associated Asphalt Charlotte Llc</v>
      </c>
      <c r="CA852" t="str">
        <v>blendSAF</v>
      </c>
      <c r="CB852" t="str">
        <v/>
      </c>
      <c r="CC852" t="str">
        <v/>
      </c>
      <c r="CD852" t="str">
        <v/>
      </c>
      <c r="CE852" t="str">
        <v/>
      </c>
      <c r="CF852" t="str">
        <v/>
      </c>
    </row>
    <row r="853" spans="58:84" x14ac:dyDescent="0.3">
      <c r="BF853" t="str">
        <v>processor</v>
      </c>
      <c r="BG853" t="str">
        <v>Kinder Morgan Southeast Terminal 23</v>
      </c>
      <c r="BH853" t="str">
        <v>blendSAF</v>
      </c>
      <c r="BI853" t="str">
        <v/>
      </c>
      <c r="BJ853" t="str">
        <v/>
      </c>
      <c r="BK853" t="str">
        <v/>
      </c>
      <c r="BL853" t="str">
        <v/>
      </c>
      <c r="BM853" t="str">
        <v/>
      </c>
      <c r="BY853" t="str">
        <v>processor</v>
      </c>
      <c r="BZ853" t="str">
        <v>Associated Asphalt Salisbury Llc</v>
      </c>
      <c r="CA853" t="str">
        <v>blendSAF</v>
      </c>
      <c r="CB853" t="str">
        <v/>
      </c>
      <c r="CC853" t="str">
        <v/>
      </c>
      <c r="CD853" t="str">
        <v/>
      </c>
      <c r="CE853" t="str">
        <v/>
      </c>
      <c r="CF853" t="str">
        <v/>
      </c>
    </row>
    <row r="854" spans="58:84" x14ac:dyDescent="0.3">
      <c r="BF854" t="str">
        <v>processor</v>
      </c>
      <c r="BG854" t="str">
        <v>Kinder Morgan Southeast Terminal 24</v>
      </c>
      <c r="BH854" t="str">
        <v>blendSAF</v>
      </c>
      <c r="BI854" t="str">
        <v/>
      </c>
      <c r="BJ854" t="str">
        <v/>
      </c>
      <c r="BK854" t="str">
        <v/>
      </c>
      <c r="BL854" t="str">
        <v/>
      </c>
      <c r="BM854" t="str">
        <v/>
      </c>
      <c r="BY854" t="str">
        <v>processor</v>
      </c>
      <c r="BZ854" t="str">
        <v>Associated Asphalt Greensboro Llc</v>
      </c>
      <c r="CA854" t="str">
        <v>blendSAF</v>
      </c>
      <c r="CB854" t="str">
        <v/>
      </c>
      <c r="CC854" t="str">
        <v/>
      </c>
      <c r="CD854" t="str">
        <v/>
      </c>
      <c r="CE854" t="str">
        <v/>
      </c>
      <c r="CF854" t="str">
        <v/>
      </c>
    </row>
    <row r="855" spans="58:84" x14ac:dyDescent="0.3">
      <c r="BF855" t="str">
        <v>processor</v>
      </c>
      <c r="BG855" t="str">
        <v>Kinder Morgan Tmnls Wilmington Llc</v>
      </c>
      <c r="BH855" t="str">
        <v>blendSAF</v>
      </c>
      <c r="BI855" t="str">
        <v/>
      </c>
      <c r="BJ855" t="str">
        <v/>
      </c>
      <c r="BK855" t="str">
        <v/>
      </c>
      <c r="BL855" t="str">
        <v/>
      </c>
      <c r="BM855" t="str">
        <v/>
      </c>
      <c r="BY855" t="str">
        <v>processor</v>
      </c>
      <c r="BZ855" t="str">
        <v>Buckeye Terminals Llc 111</v>
      </c>
      <c r="CA855" t="str">
        <v>blendSAF</v>
      </c>
      <c r="CB855" t="str">
        <v/>
      </c>
      <c r="CC855" t="str">
        <v/>
      </c>
      <c r="CD855" t="str">
        <v/>
      </c>
      <c r="CE855" t="str">
        <v/>
      </c>
      <c r="CF855" t="str">
        <v/>
      </c>
    </row>
    <row r="856" spans="58:84" x14ac:dyDescent="0.3">
      <c r="BF856" t="str">
        <v>processor</v>
      </c>
      <c r="BG856" t="str">
        <v>Mplx Terminals Llc 47</v>
      </c>
      <c r="BH856" t="str">
        <v>blendSAF</v>
      </c>
      <c r="BI856" t="str">
        <v/>
      </c>
      <c r="BJ856" t="str">
        <v/>
      </c>
      <c r="BK856" t="str">
        <v/>
      </c>
      <c r="BL856" t="str">
        <v/>
      </c>
      <c r="BM856" t="str">
        <v/>
      </c>
      <c r="BY856" t="str">
        <v>processor</v>
      </c>
      <c r="BZ856" t="str">
        <v>Buckeye Se Terminals Lp 19</v>
      </c>
      <c r="CA856" t="str">
        <v>blendSAF</v>
      </c>
      <c r="CB856" t="str">
        <v/>
      </c>
      <c r="CC856" t="str">
        <v/>
      </c>
      <c r="CD856" t="str">
        <v/>
      </c>
      <c r="CE856" t="str">
        <v/>
      </c>
      <c r="CF856" t="str">
        <v/>
      </c>
    </row>
    <row r="857" spans="58:84" x14ac:dyDescent="0.3">
      <c r="BF857" t="str">
        <v>processor</v>
      </c>
      <c r="BG857" t="str">
        <v>Mplx Terminals Llc 48</v>
      </c>
      <c r="BH857" t="str">
        <v>blendSAF</v>
      </c>
      <c r="BI857" t="str">
        <v/>
      </c>
      <c r="BJ857" t="str">
        <v/>
      </c>
      <c r="BK857" t="str">
        <v/>
      </c>
      <c r="BL857" t="str">
        <v/>
      </c>
      <c r="BM857" t="str">
        <v/>
      </c>
      <c r="BY857" t="str">
        <v>processor</v>
      </c>
      <c r="BZ857" t="str">
        <v>Buckeye Se Terminals Lp 10</v>
      </c>
      <c r="CA857" t="str">
        <v>blendSAF</v>
      </c>
      <c r="CB857" t="str">
        <v/>
      </c>
      <c r="CC857" t="str">
        <v/>
      </c>
      <c r="CD857" t="str">
        <v/>
      </c>
      <c r="CE857" t="str">
        <v/>
      </c>
      <c r="CF857" t="str">
        <v/>
      </c>
    </row>
    <row r="858" spans="58:84" x14ac:dyDescent="0.3">
      <c r="BF858" t="str">
        <v>processor</v>
      </c>
      <c r="BG858" t="str">
        <v>Mplx Terminals Llc 10</v>
      </c>
      <c r="BH858" t="str">
        <v>blendSAF</v>
      </c>
      <c r="BI858" t="str">
        <v/>
      </c>
      <c r="BJ858" t="str">
        <v/>
      </c>
      <c r="BK858" t="str">
        <v/>
      </c>
      <c r="BL858" t="str">
        <v/>
      </c>
      <c r="BM858" t="str">
        <v/>
      </c>
      <c r="BY858" t="str">
        <v>processor</v>
      </c>
      <c r="BZ858" t="str">
        <v>Buckeye Se Terminals Lp 4</v>
      </c>
      <c r="CA858" t="str">
        <v>blendSAF</v>
      </c>
      <c r="CB858" t="str">
        <v/>
      </c>
      <c r="CC858" t="str">
        <v/>
      </c>
      <c r="CD858" t="str">
        <v/>
      </c>
      <c r="CE858" t="str">
        <v/>
      </c>
      <c r="CF858" t="str">
        <v/>
      </c>
    </row>
    <row r="859" spans="58:84" x14ac:dyDescent="0.3">
      <c r="BF859" t="str">
        <v>processor</v>
      </c>
      <c r="BG859" t="str">
        <v>Mck Terminals Llc 1</v>
      </c>
      <c r="BH859" t="str">
        <v>blendSAF</v>
      </c>
      <c r="BI859" t="str">
        <v/>
      </c>
      <c r="BJ859" t="str">
        <v/>
      </c>
      <c r="BK859" t="str">
        <v/>
      </c>
      <c r="BL859" t="str">
        <v/>
      </c>
      <c r="BM859" t="str">
        <v/>
      </c>
      <c r="BY859" t="str">
        <v>processor</v>
      </c>
      <c r="BZ859" t="str">
        <v>Buckeye Se Terminals Lp 5</v>
      </c>
      <c r="CA859" t="str">
        <v>blendSAF</v>
      </c>
      <c r="CB859" t="str">
        <v/>
      </c>
      <c r="CC859" t="str">
        <v/>
      </c>
      <c r="CD859" t="str">
        <v/>
      </c>
      <c r="CE859" t="str">
        <v/>
      </c>
      <c r="CF859" t="str">
        <v/>
      </c>
    </row>
    <row r="860" spans="58:84" x14ac:dyDescent="0.3">
      <c r="BF860" t="str">
        <v>processor</v>
      </c>
      <c r="BG860" t="str">
        <v>Citgo Petroleum Corp 36</v>
      </c>
      <c r="BH860" t="str">
        <v>blendSAF</v>
      </c>
      <c r="BI860" t="str">
        <v/>
      </c>
      <c r="BJ860" t="str">
        <v/>
      </c>
      <c r="BK860" t="str">
        <v/>
      </c>
      <c r="BL860" t="str">
        <v/>
      </c>
      <c r="BM860" t="str">
        <v/>
      </c>
      <c r="BY860" t="str">
        <v>processor</v>
      </c>
      <c r="BZ860" t="str">
        <v>Buckeye Se Terminals Lp 11</v>
      </c>
      <c r="CA860" t="str">
        <v>blendSAF</v>
      </c>
      <c r="CB860" t="str">
        <v/>
      </c>
      <c r="CC860" t="str">
        <v/>
      </c>
      <c r="CD860" t="str">
        <v/>
      </c>
      <c r="CE860" t="str">
        <v/>
      </c>
      <c r="CF860" t="str">
        <v/>
      </c>
    </row>
    <row r="861" spans="58:84" x14ac:dyDescent="0.3">
      <c r="BF861" t="str">
        <v>processor</v>
      </c>
      <c r="BG861" t="str">
        <v>Citgo Petroleum Corp 27</v>
      </c>
      <c r="BH861" t="str">
        <v>blendSAF</v>
      </c>
      <c r="BI861" t="str">
        <v/>
      </c>
      <c r="BJ861" t="str">
        <v/>
      </c>
      <c r="BK861" t="str">
        <v/>
      </c>
      <c r="BL861" t="str">
        <v/>
      </c>
      <c r="BM861" t="str">
        <v/>
      </c>
      <c r="BY861" t="str">
        <v>processor</v>
      </c>
      <c r="BZ861" t="str">
        <v>Colonial Terminals Operating Co Llc 2</v>
      </c>
      <c r="CA861" t="str">
        <v>blendSAF</v>
      </c>
      <c r="CB861" t="str">
        <v/>
      </c>
      <c r="CC861" t="str">
        <v/>
      </c>
      <c r="CD861" t="str">
        <v/>
      </c>
      <c r="CE861" t="str">
        <v/>
      </c>
      <c r="CF861" t="str">
        <v/>
      </c>
    </row>
    <row r="862" spans="58:84" x14ac:dyDescent="0.3">
      <c r="BF862" t="str">
        <v>processor</v>
      </c>
      <c r="BG862" t="str">
        <v>Motiva Enterprises Llc 16</v>
      </c>
      <c r="BH862" t="str">
        <v>blendSAF</v>
      </c>
      <c r="BI862" t="str">
        <v/>
      </c>
      <c r="BJ862" t="str">
        <v/>
      </c>
      <c r="BK862" t="str">
        <v/>
      </c>
      <c r="BL862" t="str">
        <v/>
      </c>
      <c r="BM862" t="str">
        <v/>
      </c>
      <c r="BY862" t="str">
        <v>processor</v>
      </c>
      <c r="BZ862" t="str">
        <v>Colonial Pipeline Company</v>
      </c>
      <c r="CA862" t="str">
        <v>blendSAF</v>
      </c>
      <c r="CB862" t="str">
        <v/>
      </c>
      <c r="CC862" t="str">
        <v/>
      </c>
      <c r="CD862" t="str">
        <v/>
      </c>
      <c r="CE862" t="str">
        <v/>
      </c>
      <c r="CF862" t="str">
        <v/>
      </c>
    </row>
    <row r="863" spans="58:84" x14ac:dyDescent="0.3">
      <c r="BF863" t="str">
        <v>processor</v>
      </c>
      <c r="BG863" t="str">
        <v>Motiva Enterprises Llc 1</v>
      </c>
      <c r="BH863" t="str">
        <v>blendSAF</v>
      </c>
      <c r="BI863" t="str">
        <v/>
      </c>
      <c r="BJ863" t="str">
        <v/>
      </c>
      <c r="BK863" t="str">
        <v/>
      </c>
      <c r="BL863" t="str">
        <v/>
      </c>
      <c r="BM863" t="str">
        <v/>
      </c>
      <c r="BY863" t="str">
        <v>processor</v>
      </c>
      <c r="BZ863" t="str">
        <v>Eco-Energy Distribution Services Llc 3</v>
      </c>
      <c r="CA863" t="str">
        <v>blendSAF</v>
      </c>
      <c r="CB863" t="str">
        <v/>
      </c>
      <c r="CC863" t="str">
        <v/>
      </c>
      <c r="CD863" t="str">
        <v/>
      </c>
      <c r="CE863" t="str">
        <v/>
      </c>
      <c r="CF863" t="str">
        <v/>
      </c>
    </row>
    <row r="864" spans="58:84" x14ac:dyDescent="0.3">
      <c r="BF864" t="str">
        <v>processor</v>
      </c>
      <c r="BG864" t="str">
        <v>Motiva Enterprises Llc 5</v>
      </c>
      <c r="BH864" t="str">
        <v>blendSAF</v>
      </c>
      <c r="BI864" t="str">
        <v/>
      </c>
      <c r="BJ864" t="str">
        <v/>
      </c>
      <c r="BK864" t="str">
        <v/>
      </c>
      <c r="BL864" t="str">
        <v/>
      </c>
      <c r="BM864" t="str">
        <v/>
      </c>
      <c r="BY864" t="str">
        <v>processor</v>
      </c>
      <c r="BZ864" t="str">
        <v>Sunoco Midstream Llc 10</v>
      </c>
      <c r="CA864" t="str">
        <v>blendSAF</v>
      </c>
      <c r="CB864" t="str">
        <v/>
      </c>
      <c r="CC864" t="str">
        <v/>
      </c>
      <c r="CD864" t="str">
        <v/>
      </c>
      <c r="CE864" t="str">
        <v/>
      </c>
      <c r="CF864" t="str">
        <v/>
      </c>
    </row>
    <row r="865" spans="58:84" x14ac:dyDescent="0.3">
      <c r="BF865" t="str">
        <v>processor</v>
      </c>
      <c r="BG865" t="str">
        <v>Motiva Enterprises Llc 11</v>
      </c>
      <c r="BH865" t="str">
        <v>blendSAF</v>
      </c>
      <c r="BI865" t="str">
        <v/>
      </c>
      <c r="BJ865" t="str">
        <v/>
      </c>
      <c r="BK865" t="str">
        <v/>
      </c>
      <c r="BL865" t="str">
        <v/>
      </c>
      <c r="BM865" t="str">
        <v/>
      </c>
      <c r="BY865" t="str">
        <v>processor</v>
      </c>
      <c r="BZ865" t="str">
        <v>Enterprise Products Operating Llc 12</v>
      </c>
      <c r="CA865" t="str">
        <v>blendSAF</v>
      </c>
      <c r="CB865" t="str">
        <v/>
      </c>
      <c r="CC865" t="str">
        <v/>
      </c>
      <c r="CD865" t="str">
        <v/>
      </c>
      <c r="CE865" t="str">
        <v/>
      </c>
      <c r="CF865" t="str">
        <v/>
      </c>
    </row>
    <row r="866" spans="58:84" x14ac:dyDescent="0.3">
      <c r="BF866" t="str">
        <v>processor</v>
      </c>
      <c r="BG866" t="str">
        <v>Motiva Enterprises Llc 6</v>
      </c>
      <c r="BH866" t="str">
        <v>blendSAF</v>
      </c>
      <c r="BI866" t="str">
        <v/>
      </c>
      <c r="BJ866" t="str">
        <v/>
      </c>
      <c r="BK866" t="str">
        <v/>
      </c>
      <c r="BL866" t="str">
        <v/>
      </c>
      <c r="BM866" t="str">
        <v/>
      </c>
      <c r="BY866" t="str">
        <v>processor</v>
      </c>
      <c r="BZ866" t="str">
        <v>Ent Propane Terminals &amp; Storage Llc 3</v>
      </c>
      <c r="CA866" t="str">
        <v>blendSAF</v>
      </c>
      <c r="CB866" t="str">
        <v/>
      </c>
      <c r="CC866" t="str">
        <v/>
      </c>
      <c r="CD866" t="str">
        <v/>
      </c>
      <c r="CE866" t="str">
        <v/>
      </c>
      <c r="CF866" t="str">
        <v/>
      </c>
    </row>
    <row r="867" spans="58:84" x14ac:dyDescent="0.3">
      <c r="BF867" t="str">
        <v>processor</v>
      </c>
      <c r="BG867" t="str">
        <v>Texon Lp</v>
      </c>
      <c r="BH867" t="str">
        <v>blendSAF</v>
      </c>
      <c r="BI867" t="str">
        <v/>
      </c>
      <c r="BJ867" t="str">
        <v/>
      </c>
      <c r="BK867" t="str">
        <v/>
      </c>
      <c r="BL867" t="str">
        <v/>
      </c>
      <c r="BM867" t="str">
        <v/>
      </c>
      <c r="BY867" t="str">
        <v>processor</v>
      </c>
      <c r="BZ867" t="str">
        <v>Asphalt Emulsions Llc</v>
      </c>
      <c r="CA867" t="str">
        <v>blendSAF</v>
      </c>
      <c r="CB867" t="str">
        <v/>
      </c>
      <c r="CC867" t="str">
        <v/>
      </c>
      <c r="CD867" t="str">
        <v/>
      </c>
      <c r="CE867" t="str">
        <v/>
      </c>
      <c r="CF867" t="str">
        <v/>
      </c>
    </row>
    <row r="868" spans="58:84" x14ac:dyDescent="0.3">
      <c r="BF868" t="str">
        <v>processor</v>
      </c>
      <c r="BG868" t="str">
        <v>Transmontaigne Operating Company 15</v>
      </c>
      <c r="BH868" t="str">
        <v>blendSAF</v>
      </c>
      <c r="BI868" t="str">
        <v/>
      </c>
      <c r="BJ868" t="str">
        <v/>
      </c>
      <c r="BK868" t="str">
        <v/>
      </c>
      <c r="BL868" t="str">
        <v/>
      </c>
      <c r="BM868" t="str">
        <v/>
      </c>
      <c r="BY868" t="str">
        <v>processor</v>
      </c>
      <c r="BZ868" t="str">
        <v>Kinder Morgan Southeast Terminal 21</v>
      </c>
      <c r="CA868" t="str">
        <v>blendSAF</v>
      </c>
      <c r="CB868" t="str">
        <v/>
      </c>
      <c r="CC868" t="str">
        <v/>
      </c>
      <c r="CD868" t="str">
        <v/>
      </c>
      <c r="CE868" t="str">
        <v/>
      </c>
      <c r="CF868" t="str">
        <v/>
      </c>
    </row>
    <row r="869" spans="58:84" x14ac:dyDescent="0.3">
      <c r="BF869" t="str">
        <v>processor</v>
      </c>
      <c r="BG869" t="str">
        <v>Transmontaigne Operating Company 23</v>
      </c>
      <c r="BH869" t="str">
        <v>blendSAF</v>
      </c>
      <c r="BI869" t="str">
        <v/>
      </c>
      <c r="BJ869" t="str">
        <v/>
      </c>
      <c r="BK869" t="str">
        <v/>
      </c>
      <c r="BL869" t="str">
        <v/>
      </c>
      <c r="BM869" t="str">
        <v/>
      </c>
      <c r="BY869" t="str">
        <v>processor</v>
      </c>
      <c r="BZ869" t="str">
        <v>Kinder Morgan Southeast Terminal 10</v>
      </c>
      <c r="CA869" t="str">
        <v>blendSAF</v>
      </c>
      <c r="CB869" t="str">
        <v/>
      </c>
      <c r="CC869" t="str">
        <v/>
      </c>
      <c r="CD869" t="str">
        <v/>
      </c>
      <c r="CE869" t="str">
        <v/>
      </c>
      <c r="CF869" t="str">
        <v/>
      </c>
    </row>
    <row r="870" spans="58:84" x14ac:dyDescent="0.3">
      <c r="BF870" t="str">
        <v>processor</v>
      </c>
      <c r="BG870" t="str">
        <v>Transmontaigne Operating Company 46</v>
      </c>
      <c r="BH870" t="str">
        <v>blendSAF</v>
      </c>
      <c r="BI870" t="str">
        <v/>
      </c>
      <c r="BJ870" t="str">
        <v/>
      </c>
      <c r="BK870" t="str">
        <v/>
      </c>
      <c r="BL870" t="str">
        <v/>
      </c>
      <c r="BM870" t="str">
        <v/>
      </c>
      <c r="BY870" t="str">
        <v>processor</v>
      </c>
      <c r="BZ870" t="str">
        <v>Kinder Morgan Southeast Terminal 5</v>
      </c>
      <c r="CA870" t="str">
        <v>blendSAF</v>
      </c>
      <c r="CB870" t="str">
        <v/>
      </c>
      <c r="CC870" t="str">
        <v/>
      </c>
      <c r="CD870" t="str">
        <v/>
      </c>
      <c r="CE870" t="str">
        <v/>
      </c>
      <c r="CF870" t="str">
        <v/>
      </c>
    </row>
    <row r="871" spans="58:84" x14ac:dyDescent="0.3">
      <c r="BF871" t="str">
        <v>processor</v>
      </c>
      <c r="BG871" t="str">
        <v>Flint Hill Resources Lp 6</v>
      </c>
      <c r="BH871" t="str">
        <v>blendSAF</v>
      </c>
      <c r="BI871" t="str">
        <v/>
      </c>
      <c r="BJ871" t="str">
        <v/>
      </c>
      <c r="BK871" t="str">
        <v/>
      </c>
      <c r="BL871" t="str">
        <v/>
      </c>
      <c r="BM871" t="str">
        <v/>
      </c>
      <c r="BY871" t="str">
        <v>processor</v>
      </c>
      <c r="BZ871" t="str">
        <v>Kinder Morgan Southeast Terminal 6</v>
      </c>
      <c r="CA871" t="str">
        <v>blendSAF</v>
      </c>
      <c r="CB871" t="str">
        <v/>
      </c>
      <c r="CC871" t="str">
        <v/>
      </c>
      <c r="CD871" t="str">
        <v/>
      </c>
      <c r="CE871" t="str">
        <v/>
      </c>
      <c r="CF871" t="str">
        <v/>
      </c>
    </row>
    <row r="872" spans="58:84" x14ac:dyDescent="0.3">
      <c r="BF872" t="str">
        <v>processor</v>
      </c>
      <c r="BG872" t="str">
        <v>Chs Inc 4</v>
      </c>
      <c r="BH872" t="str">
        <v>blendSAF</v>
      </c>
      <c r="BI872" t="str">
        <v/>
      </c>
      <c r="BJ872" t="str">
        <v/>
      </c>
      <c r="BK872" t="str">
        <v/>
      </c>
      <c r="BL872" t="str">
        <v/>
      </c>
      <c r="BM872" t="str">
        <v/>
      </c>
      <c r="BY872" t="str">
        <v>processor</v>
      </c>
      <c r="BZ872" t="str">
        <v>Kinder Morgan Southeast Terminal 11</v>
      </c>
      <c r="CA872" t="str">
        <v>blendSAF</v>
      </c>
      <c r="CB872" t="str">
        <v/>
      </c>
      <c r="CC872" t="str">
        <v/>
      </c>
      <c r="CD872" t="str">
        <v/>
      </c>
      <c r="CE872" t="str">
        <v/>
      </c>
      <c r="CF872" t="str">
        <v/>
      </c>
    </row>
    <row r="873" spans="58:84" x14ac:dyDescent="0.3">
      <c r="BF873" t="str">
        <v>processor</v>
      </c>
      <c r="BG873" t="str">
        <v>Magellan Pipeline Co Lp 15</v>
      </c>
      <c r="BH873" t="str">
        <v>blendSAF</v>
      </c>
      <c r="BI873" t="str">
        <v/>
      </c>
      <c r="BJ873" t="str">
        <v/>
      </c>
      <c r="BK873" t="str">
        <v/>
      </c>
      <c r="BL873" t="str">
        <v/>
      </c>
      <c r="BM873" t="str">
        <v/>
      </c>
      <c r="BY873" t="str">
        <v>processor</v>
      </c>
      <c r="BZ873" t="str">
        <v>Kinder Morgan Southeast Terminal 22</v>
      </c>
      <c r="CA873" t="str">
        <v>blendSAF</v>
      </c>
      <c r="CB873" t="str">
        <v/>
      </c>
      <c r="CC873" t="str">
        <v/>
      </c>
      <c r="CD873" t="str">
        <v/>
      </c>
      <c r="CE873" t="str">
        <v/>
      </c>
      <c r="CF873" t="str">
        <v/>
      </c>
    </row>
    <row r="874" spans="58:84" x14ac:dyDescent="0.3">
      <c r="BF874" t="str">
        <v>processor</v>
      </c>
      <c r="BG874" t="str">
        <v>Magellan Pipeline Co Lp 13</v>
      </c>
      <c r="BH874" t="str">
        <v>blendSAF</v>
      </c>
      <c r="BI874" t="str">
        <v/>
      </c>
      <c r="BJ874" t="str">
        <v/>
      </c>
      <c r="BK874" t="str">
        <v/>
      </c>
      <c r="BL874" t="str">
        <v/>
      </c>
      <c r="BM874" t="str">
        <v/>
      </c>
      <c r="BY874" t="str">
        <v>processor</v>
      </c>
      <c r="BZ874" t="str">
        <v>Kinder Morgan Southeast Terminal 7</v>
      </c>
      <c r="CA874" t="str">
        <v>blendSAF</v>
      </c>
      <c r="CB874" t="str">
        <v/>
      </c>
      <c r="CC874" t="str">
        <v/>
      </c>
      <c r="CD874" t="str">
        <v/>
      </c>
      <c r="CE874" t="str">
        <v/>
      </c>
      <c r="CF874" t="str">
        <v/>
      </c>
    </row>
    <row r="875" spans="58:84" x14ac:dyDescent="0.3">
      <c r="BF875" t="str">
        <v>processor</v>
      </c>
      <c r="BG875" t="str">
        <v>Nustar Energy Lp 21</v>
      </c>
      <c r="BH875" t="str">
        <v>blendSAF</v>
      </c>
      <c r="BI875" t="str">
        <v/>
      </c>
      <c r="BJ875" t="str">
        <v/>
      </c>
      <c r="BK875" t="str">
        <v/>
      </c>
      <c r="BL875" t="str">
        <v/>
      </c>
      <c r="BM875" t="str">
        <v/>
      </c>
      <c r="BY875" t="str">
        <v>processor</v>
      </c>
      <c r="BZ875" t="str">
        <v>Kinder Morgan Southeast Terminal 23</v>
      </c>
      <c r="CA875" t="str">
        <v>blendSAF</v>
      </c>
      <c r="CB875" t="str">
        <v/>
      </c>
      <c r="CC875" t="str">
        <v/>
      </c>
      <c r="CD875" t="str">
        <v/>
      </c>
      <c r="CE875" t="str">
        <v/>
      </c>
      <c r="CF875" t="str">
        <v/>
      </c>
    </row>
    <row r="876" spans="58:84" x14ac:dyDescent="0.3">
      <c r="BF876" t="str">
        <v>processor</v>
      </c>
      <c r="BG876" t="str">
        <v>Pkm Cochin Llc 2</v>
      </c>
      <c r="BH876" t="str">
        <v>blendSAF</v>
      </c>
      <c r="BI876" t="str">
        <v/>
      </c>
      <c r="BJ876" t="str">
        <v/>
      </c>
      <c r="BK876" t="str">
        <v/>
      </c>
      <c r="BL876" t="str">
        <v/>
      </c>
      <c r="BM876" t="str">
        <v/>
      </c>
      <c r="BY876" t="str">
        <v>processor</v>
      </c>
      <c r="BZ876" t="str">
        <v>Kinder Morgan Southeast Terminal 24</v>
      </c>
      <c r="CA876" t="str">
        <v>blendSAF</v>
      </c>
      <c r="CB876" t="str">
        <v/>
      </c>
      <c r="CC876" t="str">
        <v/>
      </c>
      <c r="CD876" t="str">
        <v/>
      </c>
      <c r="CE876" t="str">
        <v/>
      </c>
      <c r="CF876" t="str">
        <v/>
      </c>
    </row>
    <row r="877" spans="58:84" x14ac:dyDescent="0.3">
      <c r="BF877" t="str">
        <v>processor</v>
      </c>
      <c r="BG877" t="str">
        <v>Valvoline 37</v>
      </c>
      <c r="BH877" t="str">
        <v>blendSAF</v>
      </c>
      <c r="BI877" t="str">
        <v/>
      </c>
      <c r="BJ877" t="str">
        <v/>
      </c>
      <c r="BK877" t="str">
        <v/>
      </c>
      <c r="BL877" t="str">
        <v/>
      </c>
      <c r="BM877" t="str">
        <v/>
      </c>
      <c r="BY877" t="str">
        <v>processor</v>
      </c>
      <c r="BZ877" t="str">
        <v>Kinder Morgan Tmnls Wilmington Llc</v>
      </c>
      <c r="CA877" t="str">
        <v>blendSAF</v>
      </c>
      <c r="CB877" t="str">
        <v/>
      </c>
      <c r="CC877" t="str">
        <v/>
      </c>
      <c r="CD877" t="str">
        <v/>
      </c>
      <c r="CE877" t="str">
        <v/>
      </c>
      <c r="CF877" t="str">
        <v/>
      </c>
    </row>
    <row r="878" spans="58:84" x14ac:dyDescent="0.3">
      <c r="BF878" t="str">
        <v>processor</v>
      </c>
      <c r="BG878" t="str">
        <v>Benchmark Biodiesel Inc</v>
      </c>
      <c r="BH878" t="str">
        <v>blendSAF</v>
      </c>
      <c r="BI878" t="str">
        <v/>
      </c>
      <c r="BJ878" t="str">
        <v/>
      </c>
      <c r="BK878" t="str">
        <v/>
      </c>
      <c r="BL878" t="str">
        <v/>
      </c>
      <c r="BM878" t="str">
        <v/>
      </c>
      <c r="BY878" t="str">
        <v>processor</v>
      </c>
      <c r="BZ878" t="str">
        <v>Mplx Terminals Llc 47</v>
      </c>
      <c r="CA878" t="str">
        <v>blendSAF</v>
      </c>
      <c r="CB878" t="str">
        <v/>
      </c>
      <c r="CC878" t="str">
        <v/>
      </c>
      <c r="CD878" t="str">
        <v/>
      </c>
      <c r="CE878" t="str">
        <v/>
      </c>
      <c r="CF878" t="str">
        <v/>
      </c>
    </row>
    <row r="879" spans="58:84" x14ac:dyDescent="0.3">
      <c r="BF879" t="str">
        <v>processor</v>
      </c>
      <c r="BG879" t="str">
        <v>Buckeye Terminals Llc 32</v>
      </c>
      <c r="BH879" t="str">
        <v>blendSAF</v>
      </c>
      <c r="BI879" t="str">
        <v/>
      </c>
      <c r="BJ879" t="str">
        <v/>
      </c>
      <c r="BK879" t="str">
        <v/>
      </c>
      <c r="BL879" t="str">
        <v/>
      </c>
      <c r="BM879" t="str">
        <v/>
      </c>
      <c r="BY879" t="str">
        <v>processor</v>
      </c>
      <c r="BZ879" t="str">
        <v>Mplx Terminals Llc 48</v>
      </c>
      <c r="CA879" t="str">
        <v>blendSAF</v>
      </c>
      <c r="CB879" t="str">
        <v/>
      </c>
      <c r="CC879" t="str">
        <v/>
      </c>
      <c r="CD879" t="str">
        <v/>
      </c>
      <c r="CE879" t="str">
        <v/>
      </c>
      <c r="CF879" t="str">
        <v/>
      </c>
    </row>
    <row r="880" spans="58:84" x14ac:dyDescent="0.3">
      <c r="BF880" t="str">
        <v>processor</v>
      </c>
      <c r="BG880" t="str">
        <v>Buckeye Terminals Llc 62</v>
      </c>
      <c r="BH880" t="str">
        <v>blendSAF</v>
      </c>
      <c r="BI880" t="str">
        <v/>
      </c>
      <c r="BJ880" t="str">
        <v/>
      </c>
      <c r="BK880" t="str">
        <v/>
      </c>
      <c r="BL880" t="str">
        <v/>
      </c>
      <c r="BM880" t="str">
        <v/>
      </c>
      <c r="BY880" t="str">
        <v>processor</v>
      </c>
      <c r="BZ880" t="str">
        <v>Mplx Terminals Llc 10</v>
      </c>
      <c r="CA880" t="str">
        <v>blendSAF</v>
      </c>
      <c r="CB880" t="str">
        <v/>
      </c>
      <c r="CC880" t="str">
        <v/>
      </c>
      <c r="CD880" t="str">
        <v/>
      </c>
      <c r="CE880" t="str">
        <v/>
      </c>
      <c r="CF880" t="str">
        <v/>
      </c>
    </row>
    <row r="881" spans="58:84" x14ac:dyDescent="0.3">
      <c r="BF881" t="str">
        <v>processor</v>
      </c>
      <c r="BG881" t="str">
        <v>Buckeye Terminals Llc 39</v>
      </c>
      <c r="BH881" t="str">
        <v>blendSAF</v>
      </c>
      <c r="BI881" t="str">
        <v/>
      </c>
      <c r="BJ881" t="str">
        <v/>
      </c>
      <c r="BK881" t="str">
        <v/>
      </c>
      <c r="BL881" t="str">
        <v/>
      </c>
      <c r="BM881" t="str">
        <v/>
      </c>
      <c r="BY881" t="str">
        <v>processor</v>
      </c>
      <c r="BZ881" t="str">
        <v>Mck Terminals Llc 1</v>
      </c>
      <c r="CA881" t="str">
        <v>blendSAF</v>
      </c>
      <c r="CB881" t="str">
        <v/>
      </c>
      <c r="CC881" t="str">
        <v/>
      </c>
      <c r="CD881" t="str">
        <v/>
      </c>
      <c r="CE881" t="str">
        <v/>
      </c>
      <c r="CF881" t="str">
        <v/>
      </c>
    </row>
    <row r="882" spans="58:84" x14ac:dyDescent="0.3">
      <c r="BF882" t="str">
        <v>processor</v>
      </c>
      <c r="BG882" t="str">
        <v>Buckeye Terminals Llc 33</v>
      </c>
      <c r="BH882" t="str">
        <v>blendSAF</v>
      </c>
      <c r="BI882" t="str">
        <v/>
      </c>
      <c r="BJ882" t="str">
        <v/>
      </c>
      <c r="BK882" t="str">
        <v/>
      </c>
      <c r="BL882" t="str">
        <v/>
      </c>
      <c r="BM882" t="str">
        <v/>
      </c>
      <c r="BY882" t="str">
        <v>processor</v>
      </c>
      <c r="BZ882" t="str">
        <v>Citgo Petroleum Corp 36</v>
      </c>
      <c r="CA882" t="str">
        <v>blendSAF</v>
      </c>
      <c r="CB882" t="str">
        <v/>
      </c>
      <c r="CC882" t="str">
        <v/>
      </c>
      <c r="CD882" t="str">
        <v/>
      </c>
      <c r="CE882" t="str">
        <v/>
      </c>
      <c r="CF882" t="str">
        <v/>
      </c>
    </row>
    <row r="883" spans="58:84" x14ac:dyDescent="0.3">
      <c r="BF883" t="str">
        <v>processor</v>
      </c>
      <c r="BG883" t="str">
        <v>Buckeye Terminals Llc 35</v>
      </c>
      <c r="BH883" t="str">
        <v>blendSAF</v>
      </c>
      <c r="BI883" t="str">
        <v/>
      </c>
      <c r="BJ883" t="str">
        <v/>
      </c>
      <c r="BK883" t="str">
        <v/>
      </c>
      <c r="BL883" t="str">
        <v/>
      </c>
      <c r="BM883" t="str">
        <v/>
      </c>
      <c r="BY883" t="str">
        <v>processor</v>
      </c>
      <c r="BZ883" t="str">
        <v>Citgo Petroleum Corp 27</v>
      </c>
      <c r="CA883" t="str">
        <v>blendSAF</v>
      </c>
      <c r="CB883" t="str">
        <v/>
      </c>
      <c r="CC883" t="str">
        <v/>
      </c>
      <c r="CD883" t="str">
        <v/>
      </c>
      <c r="CE883" t="str">
        <v/>
      </c>
      <c r="CF883" t="str">
        <v/>
      </c>
    </row>
    <row r="884" spans="58:84" x14ac:dyDescent="0.3">
      <c r="BF884" t="str">
        <v>processor</v>
      </c>
      <c r="BG884" t="str">
        <v>Buckeye Terminals Llc 63</v>
      </c>
      <c r="BH884" t="str">
        <v>blendSAF</v>
      </c>
      <c r="BI884" t="str">
        <v/>
      </c>
      <c r="BJ884" t="str">
        <v/>
      </c>
      <c r="BK884" t="str">
        <v/>
      </c>
      <c r="BL884" t="str">
        <v/>
      </c>
      <c r="BM884" t="str">
        <v/>
      </c>
      <c r="BY884" t="str">
        <v>processor</v>
      </c>
      <c r="BZ884" t="str">
        <v>Motiva Enterprises Llc 16</v>
      </c>
      <c r="CA884" t="str">
        <v>blendSAF</v>
      </c>
      <c r="CB884" t="str">
        <v/>
      </c>
      <c r="CC884" t="str">
        <v/>
      </c>
      <c r="CD884" t="str">
        <v/>
      </c>
      <c r="CE884" t="str">
        <v/>
      </c>
      <c r="CF884" t="str">
        <v/>
      </c>
    </row>
    <row r="885" spans="58:84" x14ac:dyDescent="0.3">
      <c r="BF885" t="str">
        <v>processor</v>
      </c>
      <c r="BG885" t="str">
        <v>Buckeye Terminals Llc 50</v>
      </c>
      <c r="BH885" t="str">
        <v>blendSAF</v>
      </c>
      <c r="BI885" t="str">
        <v/>
      </c>
      <c r="BJ885" t="str">
        <v/>
      </c>
      <c r="BK885" t="str">
        <v/>
      </c>
      <c r="BL885" t="str">
        <v/>
      </c>
      <c r="BM885" t="str">
        <v/>
      </c>
      <c r="BY885" t="str">
        <v>processor</v>
      </c>
      <c r="BZ885" t="str">
        <v>Motiva Enterprises Llc 1</v>
      </c>
      <c r="CA885" t="str">
        <v>blendSAF</v>
      </c>
      <c r="CB885" t="str">
        <v/>
      </c>
      <c r="CC885" t="str">
        <v/>
      </c>
      <c r="CD885" t="str">
        <v/>
      </c>
      <c r="CE885" t="str">
        <v/>
      </c>
      <c r="CF885" t="str">
        <v/>
      </c>
    </row>
    <row r="886" spans="58:84" x14ac:dyDescent="0.3">
      <c r="BF886" t="str">
        <v>processor</v>
      </c>
      <c r="BG886" t="str">
        <v>Buckeye Terminals Llc 105</v>
      </c>
      <c r="BH886" t="str">
        <v>blendSAF</v>
      </c>
      <c r="BI886" t="str">
        <v/>
      </c>
      <c r="BJ886" t="str">
        <v/>
      </c>
      <c r="BK886" t="str">
        <v/>
      </c>
      <c r="BL886" t="str">
        <v/>
      </c>
      <c r="BM886" t="str">
        <v/>
      </c>
      <c r="BY886" t="str">
        <v>processor</v>
      </c>
      <c r="BZ886" t="str">
        <v>Motiva Enterprises Llc 5</v>
      </c>
      <c r="CA886" t="str">
        <v>blendSAF</v>
      </c>
      <c r="CB886" t="str">
        <v/>
      </c>
      <c r="CC886" t="str">
        <v/>
      </c>
      <c r="CD886" t="str">
        <v/>
      </c>
      <c r="CE886" t="str">
        <v/>
      </c>
      <c r="CF886" t="str">
        <v/>
      </c>
    </row>
    <row r="887" spans="58:84" x14ac:dyDescent="0.3">
      <c r="BF887" t="str">
        <v>processor</v>
      </c>
      <c r="BG887" t="str">
        <v>Buckeye Terminals Llc 36</v>
      </c>
      <c r="BH887" t="str">
        <v>blendSAF</v>
      </c>
      <c r="BI887" t="str">
        <v/>
      </c>
      <c r="BJ887" t="str">
        <v/>
      </c>
      <c r="BK887" t="str">
        <v/>
      </c>
      <c r="BL887" t="str">
        <v/>
      </c>
      <c r="BM887" t="str">
        <v/>
      </c>
      <c r="BY887" t="str">
        <v>processor</v>
      </c>
      <c r="BZ887" t="str">
        <v>Motiva Enterprises Llc 11</v>
      </c>
      <c r="CA887" t="str">
        <v>blendSAF</v>
      </c>
      <c r="CB887" t="str">
        <v/>
      </c>
      <c r="CC887" t="str">
        <v/>
      </c>
      <c r="CD887" t="str">
        <v/>
      </c>
      <c r="CE887" t="str">
        <v/>
      </c>
      <c r="CF887" t="str">
        <v/>
      </c>
    </row>
    <row r="888" spans="58:84" x14ac:dyDescent="0.3">
      <c r="BF888" t="str">
        <v>processor</v>
      </c>
      <c r="BG888" t="str">
        <v>Buckeye Terminals Llc 34</v>
      </c>
      <c r="BH888" t="str">
        <v>blendSAF</v>
      </c>
      <c r="BI888" t="str">
        <v/>
      </c>
      <c r="BJ888" t="str">
        <v/>
      </c>
      <c r="BK888" t="str">
        <v/>
      </c>
      <c r="BL888" t="str">
        <v/>
      </c>
      <c r="BM888" t="str">
        <v/>
      </c>
      <c r="BY888" t="str">
        <v>processor</v>
      </c>
      <c r="BZ888" t="str">
        <v>Motiva Enterprises Llc 6</v>
      </c>
      <c r="CA888" t="str">
        <v>blendSAF</v>
      </c>
      <c r="CB888" t="str">
        <v/>
      </c>
      <c r="CC888" t="str">
        <v/>
      </c>
      <c r="CD888" t="str">
        <v/>
      </c>
      <c r="CE888" t="str">
        <v/>
      </c>
      <c r="CF888" t="str">
        <v/>
      </c>
    </row>
    <row r="889" spans="58:84" x14ac:dyDescent="0.3">
      <c r="BF889" t="str">
        <v>processor</v>
      </c>
      <c r="BG889" t="str">
        <v>Buckeye Terminals Llc 29</v>
      </c>
      <c r="BH889" t="str">
        <v>blendSAF</v>
      </c>
      <c r="BI889" t="str">
        <v/>
      </c>
      <c r="BJ889" t="str">
        <v/>
      </c>
      <c r="BK889" t="str">
        <v/>
      </c>
      <c r="BL889" t="str">
        <v/>
      </c>
      <c r="BM889" t="str">
        <v/>
      </c>
      <c r="BY889" t="str">
        <v>processor</v>
      </c>
      <c r="BZ889" t="str">
        <v>Texon Lp</v>
      </c>
      <c r="CA889" t="str">
        <v>blendSAF</v>
      </c>
      <c r="CB889" t="str">
        <v/>
      </c>
      <c r="CC889" t="str">
        <v/>
      </c>
      <c r="CD889" t="str">
        <v/>
      </c>
      <c r="CE889" t="str">
        <v/>
      </c>
      <c r="CF889" t="str">
        <v/>
      </c>
    </row>
    <row r="890" spans="58:84" x14ac:dyDescent="0.3">
      <c r="BF890" t="str">
        <v>processor</v>
      </c>
      <c r="BG890" t="str">
        <v>Buckeye Terminals Llc 79</v>
      </c>
      <c r="BH890" t="str">
        <v>blendSAF</v>
      </c>
      <c r="BI890" t="str">
        <v/>
      </c>
      <c r="BJ890" t="str">
        <v/>
      </c>
      <c r="BK890" t="str">
        <v/>
      </c>
      <c r="BL890" t="str">
        <v/>
      </c>
      <c r="BM890" t="str">
        <v/>
      </c>
      <c r="BY890" t="str">
        <v>processor</v>
      </c>
      <c r="BZ890" t="str">
        <v>Transmontaigne Operating Company 15</v>
      </c>
      <c r="CA890" t="str">
        <v>blendSAF</v>
      </c>
      <c r="CB890" t="str">
        <v/>
      </c>
      <c r="CC890" t="str">
        <v/>
      </c>
      <c r="CD890" t="str">
        <v/>
      </c>
      <c r="CE890" t="str">
        <v/>
      </c>
      <c r="CF890" t="str">
        <v/>
      </c>
    </row>
    <row r="891" spans="58:84" x14ac:dyDescent="0.3">
      <c r="BF891" t="str">
        <v>processor</v>
      </c>
      <c r="BG891" t="str">
        <v>Pbf Logistics Products Terminals Llc 16</v>
      </c>
      <c r="BH891" t="str">
        <v>blendSAF</v>
      </c>
      <c r="BI891" t="str">
        <v/>
      </c>
      <c r="BJ891" t="str">
        <v/>
      </c>
      <c r="BK891" t="str">
        <v/>
      </c>
      <c r="BL891" t="str">
        <v/>
      </c>
      <c r="BM891" t="str">
        <v/>
      </c>
      <c r="BY891" t="str">
        <v>processor</v>
      </c>
      <c r="BZ891" t="str">
        <v>Transmontaigne Operating Company 23</v>
      </c>
      <c r="CA891" t="str">
        <v>blendSAF</v>
      </c>
      <c r="CB891" t="str">
        <v/>
      </c>
      <c r="CC891" t="str">
        <v/>
      </c>
      <c r="CD891" t="str">
        <v/>
      </c>
      <c r="CE891" t="str">
        <v/>
      </c>
      <c r="CF891" t="str">
        <v/>
      </c>
    </row>
    <row r="892" spans="58:84" x14ac:dyDescent="0.3">
      <c r="BF892" t="str">
        <v>processor</v>
      </c>
      <c r="BG892" t="str">
        <v>Sunoco Logistics 26</v>
      </c>
      <c r="BH892" t="str">
        <v>blendSAF</v>
      </c>
      <c r="BI892" t="str">
        <v/>
      </c>
      <c r="BJ892" t="str">
        <v/>
      </c>
      <c r="BK892" t="str">
        <v/>
      </c>
      <c r="BL892" t="str">
        <v/>
      </c>
      <c r="BM892" t="str">
        <v/>
      </c>
      <c r="BY892" t="str">
        <v>processor</v>
      </c>
      <c r="BZ892" t="str">
        <v>Transmontaigne Operating Company 46</v>
      </c>
      <c r="CA892" t="str">
        <v>blendSAF</v>
      </c>
      <c r="CB892" t="str">
        <v/>
      </c>
      <c r="CC892" t="str">
        <v/>
      </c>
      <c r="CD892" t="str">
        <v/>
      </c>
      <c r="CE892" t="str">
        <v/>
      </c>
      <c r="CF892" t="str">
        <v/>
      </c>
    </row>
    <row r="893" spans="58:84" x14ac:dyDescent="0.3">
      <c r="BF893" t="str">
        <v>processor</v>
      </c>
      <c r="BG893" t="str">
        <v>Sunoco Logistics 53</v>
      </c>
      <c r="BH893" t="str">
        <v>blendSAF</v>
      </c>
      <c r="BI893" t="str">
        <v/>
      </c>
      <c r="BJ893" t="str">
        <v/>
      </c>
      <c r="BK893" t="str">
        <v/>
      </c>
      <c r="BL893" t="str">
        <v/>
      </c>
      <c r="BM893" t="str">
        <v/>
      </c>
      <c r="BY893" t="str">
        <v>processor</v>
      </c>
      <c r="BZ893" t="str">
        <v>Flint Hill Resources Lp 6</v>
      </c>
      <c r="CA893" t="str">
        <v>blendSAF</v>
      </c>
      <c r="CB893" t="str">
        <v/>
      </c>
      <c r="CC893" t="str">
        <v/>
      </c>
      <c r="CD893" t="str">
        <v/>
      </c>
      <c r="CE893" t="str">
        <v/>
      </c>
      <c r="CF893" t="str">
        <v/>
      </c>
    </row>
    <row r="894" spans="58:84" x14ac:dyDescent="0.3">
      <c r="BF894" t="str">
        <v>processor</v>
      </c>
      <c r="BG894" t="str">
        <v>Sunoco Logistics 28</v>
      </c>
      <c r="BH894" t="str">
        <v>blendSAF</v>
      </c>
      <c r="BI894" t="str">
        <v/>
      </c>
      <c r="BJ894" t="str">
        <v/>
      </c>
      <c r="BK894" t="str">
        <v/>
      </c>
      <c r="BL894" t="str">
        <v/>
      </c>
      <c r="BM894" t="str">
        <v/>
      </c>
      <c r="BY894" t="str">
        <v>processor</v>
      </c>
      <c r="BZ894" t="str">
        <v>Chs Inc 4</v>
      </c>
      <c r="CA894" t="str">
        <v>blendSAF</v>
      </c>
      <c r="CB894" t="str">
        <v/>
      </c>
      <c r="CC894" t="str">
        <v/>
      </c>
      <c r="CD894" t="str">
        <v/>
      </c>
      <c r="CE894" t="str">
        <v/>
      </c>
      <c r="CF894" t="str">
        <v/>
      </c>
    </row>
    <row r="895" spans="58:84" x14ac:dyDescent="0.3">
      <c r="BF895" t="str">
        <v>processor</v>
      </c>
      <c r="BG895" t="str">
        <v>Sunoco Logistics 25</v>
      </c>
      <c r="BH895" t="str">
        <v>blendSAF</v>
      </c>
      <c r="BI895" t="str">
        <v/>
      </c>
      <c r="BJ895" t="str">
        <v/>
      </c>
      <c r="BK895" t="str">
        <v/>
      </c>
      <c r="BL895" t="str">
        <v/>
      </c>
      <c r="BM895" t="str">
        <v/>
      </c>
      <c r="BY895" t="str">
        <v>processor</v>
      </c>
      <c r="BZ895" t="str">
        <v>Magellan Pipeline Co Lp 15</v>
      </c>
      <c r="CA895" t="str">
        <v>blendSAF</v>
      </c>
      <c r="CB895" t="str">
        <v/>
      </c>
      <c r="CC895" t="str">
        <v/>
      </c>
      <c r="CD895" t="str">
        <v/>
      </c>
      <c r="CE895" t="str">
        <v/>
      </c>
      <c r="CF895" t="str">
        <v/>
      </c>
    </row>
    <row r="896" spans="58:84" x14ac:dyDescent="0.3">
      <c r="BF896" t="str">
        <v>processor</v>
      </c>
      <c r="BG896" t="str">
        <v>Sunoco Logistics 16</v>
      </c>
      <c r="BH896" t="str">
        <v>blendSAF</v>
      </c>
      <c r="BI896" t="str">
        <v/>
      </c>
      <c r="BJ896" t="str">
        <v/>
      </c>
      <c r="BK896" t="str">
        <v/>
      </c>
      <c r="BL896" t="str">
        <v/>
      </c>
      <c r="BM896" t="str">
        <v/>
      </c>
      <c r="BY896" t="str">
        <v>processor</v>
      </c>
      <c r="BZ896" t="str">
        <v>Magellan Pipeline Co Lp 13</v>
      </c>
      <c r="CA896" t="str">
        <v>blendSAF</v>
      </c>
      <c r="CB896" t="str">
        <v/>
      </c>
      <c r="CC896" t="str">
        <v/>
      </c>
      <c r="CD896" t="str">
        <v/>
      </c>
      <c r="CE896" t="str">
        <v/>
      </c>
      <c r="CF896" t="str">
        <v/>
      </c>
    </row>
    <row r="897" spans="58:84" x14ac:dyDescent="0.3">
      <c r="BF897" t="str">
        <v>processor</v>
      </c>
      <c r="BG897" t="str">
        <v>Sunoco Logistics 27</v>
      </c>
      <c r="BH897" t="str">
        <v>blendSAF</v>
      </c>
      <c r="BI897" t="str">
        <v/>
      </c>
      <c r="BJ897" t="str">
        <v/>
      </c>
      <c r="BK897" t="str">
        <v/>
      </c>
      <c r="BL897" t="str">
        <v/>
      </c>
      <c r="BM897" t="str">
        <v/>
      </c>
      <c r="BY897" t="str">
        <v>processor</v>
      </c>
      <c r="BZ897" t="str">
        <v>Nustar Energy Lp 21</v>
      </c>
      <c r="CA897" t="str">
        <v>blendSAF</v>
      </c>
      <c r="CB897" t="str">
        <v/>
      </c>
      <c r="CC897" t="str">
        <v/>
      </c>
      <c r="CD897" t="str">
        <v/>
      </c>
      <c r="CE897" t="str">
        <v/>
      </c>
      <c r="CF897" t="str">
        <v/>
      </c>
    </row>
    <row r="898" spans="58:84" x14ac:dyDescent="0.3">
      <c r="BF898" t="str">
        <v>processor</v>
      </c>
      <c r="BG898" t="str">
        <v>Sunoco Midstream Llc 5</v>
      </c>
      <c r="BH898" t="str">
        <v>blendSAF</v>
      </c>
      <c r="BI898" t="str">
        <v/>
      </c>
      <c r="BJ898" t="str">
        <v/>
      </c>
      <c r="BK898" t="str">
        <v/>
      </c>
      <c r="BL898" t="str">
        <v/>
      </c>
      <c r="BM898" t="str">
        <v/>
      </c>
      <c r="BY898" t="str">
        <v>processor</v>
      </c>
      <c r="BZ898" t="str">
        <v>Pkm Cochin Llc 2</v>
      </c>
      <c r="CA898" t="str">
        <v>blendSAF</v>
      </c>
      <c r="CB898" t="str">
        <v/>
      </c>
      <c r="CC898" t="str">
        <v/>
      </c>
      <c r="CD898" t="str">
        <v/>
      </c>
      <c r="CE898" t="str">
        <v/>
      </c>
      <c r="CF898" t="str">
        <v/>
      </c>
    </row>
    <row r="899" spans="58:84" x14ac:dyDescent="0.3">
      <c r="BF899" t="str">
        <v>processor</v>
      </c>
      <c r="BG899" t="str">
        <v>Sunoco Midstream  Llc</v>
      </c>
      <c r="BH899" t="str">
        <v>blendSAF</v>
      </c>
      <c r="BI899" t="str">
        <v/>
      </c>
      <c r="BJ899" t="str">
        <v/>
      </c>
      <c r="BK899" t="str">
        <v/>
      </c>
      <c r="BL899" t="str">
        <v/>
      </c>
      <c r="BM899" t="str">
        <v/>
      </c>
      <c r="BY899" t="str">
        <v>processor</v>
      </c>
      <c r="BZ899" t="str">
        <v>Valvoline 37</v>
      </c>
      <c r="CA899" t="str">
        <v>blendSAF</v>
      </c>
      <c r="CB899" t="str">
        <v/>
      </c>
      <c r="CC899" t="str">
        <v/>
      </c>
      <c r="CD899" t="str">
        <v/>
      </c>
      <c r="CE899" t="str">
        <v/>
      </c>
      <c r="CF899" t="str">
        <v/>
      </c>
    </row>
    <row r="900" spans="58:84" x14ac:dyDescent="0.3">
      <c r="BF900" t="str">
        <v>processor</v>
      </c>
      <c r="BG900" t="str">
        <v>Sunoco Midstream Llc 2</v>
      </c>
      <c r="BH900" t="str">
        <v>blendSAF</v>
      </c>
      <c r="BI900" t="str">
        <v/>
      </c>
      <c r="BJ900" t="str">
        <v/>
      </c>
      <c r="BK900" t="str">
        <v/>
      </c>
      <c r="BL900" t="str">
        <v/>
      </c>
      <c r="BM900" t="str">
        <v/>
      </c>
      <c r="BY900" t="str">
        <v>processor</v>
      </c>
      <c r="BZ900" t="str">
        <v>Benchmark Biodiesel Inc</v>
      </c>
      <c r="CA900" t="str">
        <v>blendSAF</v>
      </c>
      <c r="CB900" t="str">
        <v/>
      </c>
      <c r="CC900" t="str">
        <v/>
      </c>
      <c r="CD900" t="str">
        <v/>
      </c>
      <c r="CE900" t="str">
        <v/>
      </c>
      <c r="CF900" t="str">
        <v/>
      </c>
    </row>
    <row r="901" spans="58:84" x14ac:dyDescent="0.3">
      <c r="BF901" t="str">
        <v>processor</v>
      </c>
      <c r="BG901" t="str">
        <v>Enterprise Terminals &amp; Storage Llc 13</v>
      </c>
      <c r="BH901" t="str">
        <v>blendSAF</v>
      </c>
      <c r="BI901" t="str">
        <v/>
      </c>
      <c r="BJ901" t="str">
        <v/>
      </c>
      <c r="BK901" t="str">
        <v/>
      </c>
      <c r="BL901" t="str">
        <v/>
      </c>
      <c r="BM901" t="str">
        <v/>
      </c>
      <c r="BY901" t="str">
        <v>processor</v>
      </c>
      <c r="BZ901" t="str">
        <v>Buckeye Terminals Llc 32</v>
      </c>
      <c r="CA901" t="str">
        <v>blendSAF</v>
      </c>
      <c r="CB901" t="str">
        <v/>
      </c>
      <c r="CC901" t="str">
        <v/>
      </c>
      <c r="CD901" t="str">
        <v/>
      </c>
      <c r="CE901" t="str">
        <v/>
      </c>
      <c r="CF901" t="str">
        <v/>
      </c>
    </row>
    <row r="902" spans="58:84" x14ac:dyDescent="0.3">
      <c r="BF902" t="str">
        <v>processor</v>
      </c>
      <c r="BG902" t="str">
        <v>Enterprise Terminals &amp; Storage Llc 23</v>
      </c>
      <c r="BH902" t="str">
        <v>blendSAF</v>
      </c>
      <c r="BI902" t="str">
        <v/>
      </c>
      <c r="BJ902" t="str">
        <v/>
      </c>
      <c r="BK902" t="str">
        <v/>
      </c>
      <c r="BL902" t="str">
        <v/>
      </c>
      <c r="BM902" t="str">
        <v/>
      </c>
      <c r="BY902" t="str">
        <v>processor</v>
      </c>
      <c r="BZ902" t="str">
        <v>Buckeye Terminals Llc 62</v>
      </c>
      <c r="CA902" t="str">
        <v>blendSAF</v>
      </c>
      <c r="CB902" t="str">
        <v/>
      </c>
      <c r="CC902" t="str">
        <v/>
      </c>
      <c r="CD902" t="str">
        <v/>
      </c>
      <c r="CE902" t="str">
        <v/>
      </c>
      <c r="CF902" t="str">
        <v/>
      </c>
    </row>
    <row r="903" spans="58:84" x14ac:dyDescent="0.3">
      <c r="BF903" t="str">
        <v>processor</v>
      </c>
      <c r="BG903" t="str">
        <v>Enterprise Refined Products Co Llc 5</v>
      </c>
      <c r="BH903" t="str">
        <v>blendSAF</v>
      </c>
      <c r="BI903" t="str">
        <v/>
      </c>
      <c r="BJ903" t="str">
        <v/>
      </c>
      <c r="BK903" t="str">
        <v/>
      </c>
      <c r="BL903" t="str">
        <v/>
      </c>
      <c r="BM903" t="str">
        <v/>
      </c>
      <c r="BY903" t="str">
        <v>processor</v>
      </c>
      <c r="BZ903" t="str">
        <v>Buckeye Terminals Llc 39</v>
      </c>
      <c r="CA903" t="str">
        <v>blendSAF</v>
      </c>
      <c r="CB903" t="str">
        <v/>
      </c>
      <c r="CC903" t="str">
        <v/>
      </c>
      <c r="CD903" t="str">
        <v/>
      </c>
      <c r="CE903" t="str">
        <v/>
      </c>
      <c r="CF903" t="str">
        <v/>
      </c>
    </row>
    <row r="904" spans="58:84" x14ac:dyDescent="0.3">
      <c r="BF904" t="str">
        <v>processor</v>
      </c>
      <c r="BG904" t="str">
        <v>Heritage Asphalt Llc 2</v>
      </c>
      <c r="BH904" t="str">
        <v>blendSAF</v>
      </c>
      <c r="BI904" t="str">
        <v/>
      </c>
      <c r="BJ904" t="str">
        <v/>
      </c>
      <c r="BK904" t="str">
        <v/>
      </c>
      <c r="BL904" t="str">
        <v/>
      </c>
      <c r="BM904" t="str">
        <v/>
      </c>
      <c r="BY904" t="str">
        <v>processor</v>
      </c>
      <c r="BZ904" t="str">
        <v>Buckeye Terminals Llc 33</v>
      </c>
      <c r="CA904" t="str">
        <v>blendSAF</v>
      </c>
      <c r="CB904" t="str">
        <v/>
      </c>
      <c r="CC904" t="str">
        <v/>
      </c>
      <c r="CD904" t="str">
        <v/>
      </c>
      <c r="CE904" t="str">
        <v/>
      </c>
      <c r="CF904" t="str">
        <v/>
      </c>
    </row>
    <row r="905" spans="58:84" x14ac:dyDescent="0.3">
      <c r="BF905" t="str">
        <v>processor</v>
      </c>
      <c r="BG905" t="str">
        <v>Kinder Morgan Liq Termls Llc 4</v>
      </c>
      <c r="BH905" t="str">
        <v>blendSAF</v>
      </c>
      <c r="BI905" t="str">
        <v/>
      </c>
      <c r="BJ905" t="str">
        <v/>
      </c>
      <c r="BK905" t="str">
        <v/>
      </c>
      <c r="BL905" t="str">
        <v/>
      </c>
      <c r="BM905" t="str">
        <v/>
      </c>
      <c r="BY905" t="str">
        <v>processor</v>
      </c>
      <c r="BZ905" t="str">
        <v>Buckeye Terminals Llc 35</v>
      </c>
      <c r="CA905" t="str">
        <v>blendSAF</v>
      </c>
      <c r="CB905" t="str">
        <v/>
      </c>
      <c r="CC905" t="str">
        <v/>
      </c>
      <c r="CD905" t="str">
        <v/>
      </c>
      <c r="CE905" t="str">
        <v/>
      </c>
      <c r="CF905" t="str">
        <v/>
      </c>
    </row>
    <row r="906" spans="58:84" x14ac:dyDescent="0.3">
      <c r="BF906" t="str">
        <v>processor</v>
      </c>
      <c r="BG906" t="str">
        <v>Kinder Morgan Liq Termls Llc 6</v>
      </c>
      <c r="BH906" t="str">
        <v>blendSAF</v>
      </c>
      <c r="BI906" t="str">
        <v/>
      </c>
      <c r="BJ906" t="str">
        <v/>
      </c>
      <c r="BK906" t="str">
        <v/>
      </c>
      <c r="BL906" t="str">
        <v/>
      </c>
      <c r="BM906" t="str">
        <v/>
      </c>
      <c r="BY906" t="str">
        <v>processor</v>
      </c>
      <c r="BZ906" t="str">
        <v>Buckeye Terminals Llc 63</v>
      </c>
      <c r="CA906" t="str">
        <v>blendSAF</v>
      </c>
      <c r="CB906" t="str">
        <v/>
      </c>
      <c r="CC906" t="str">
        <v/>
      </c>
      <c r="CD906" t="str">
        <v/>
      </c>
      <c r="CE906" t="str">
        <v/>
      </c>
      <c r="CF906" t="str">
        <v/>
      </c>
    </row>
    <row r="907" spans="58:84" x14ac:dyDescent="0.3">
      <c r="BF907" t="str">
        <v>processor</v>
      </c>
      <c r="BG907" t="str">
        <v>Delta Fuels Inc</v>
      </c>
      <c r="BH907" t="str">
        <v>blendSAF</v>
      </c>
      <c r="BI907" t="str">
        <v/>
      </c>
      <c r="BJ907" t="str">
        <v/>
      </c>
      <c r="BK907" t="str">
        <v/>
      </c>
      <c r="BL907" t="str">
        <v/>
      </c>
      <c r="BM907" t="str">
        <v/>
      </c>
      <c r="BY907" t="str">
        <v>processor</v>
      </c>
      <c r="BZ907" t="str">
        <v>Buckeye Terminals Llc 50</v>
      </c>
      <c r="CA907" t="str">
        <v>blendSAF</v>
      </c>
      <c r="CB907" t="str">
        <v/>
      </c>
      <c r="CC907" t="str">
        <v/>
      </c>
      <c r="CD907" t="str">
        <v/>
      </c>
      <c r="CE907" t="str">
        <v/>
      </c>
      <c r="CF907" t="str">
        <v/>
      </c>
    </row>
    <row r="908" spans="58:84" x14ac:dyDescent="0.3">
      <c r="BF908" t="str">
        <v>processor</v>
      </c>
      <c r="BG908" t="str">
        <v>Marathon Petroleum Co Llc 19</v>
      </c>
      <c r="BH908" t="str">
        <v>blendSAF</v>
      </c>
      <c r="BI908" t="str">
        <v/>
      </c>
      <c r="BJ908" t="str">
        <v/>
      </c>
      <c r="BK908" t="str">
        <v/>
      </c>
      <c r="BL908" t="str">
        <v/>
      </c>
      <c r="BM908" t="str">
        <v/>
      </c>
      <c r="BY908" t="str">
        <v>processor</v>
      </c>
      <c r="BZ908" t="str">
        <v>Buckeye Terminals Llc 105</v>
      </c>
      <c r="CA908" t="str">
        <v>blendSAF</v>
      </c>
      <c r="CB908" t="str">
        <v/>
      </c>
      <c r="CC908" t="str">
        <v/>
      </c>
      <c r="CD908" t="str">
        <v/>
      </c>
      <c r="CE908" t="str">
        <v/>
      </c>
      <c r="CF908" t="str">
        <v/>
      </c>
    </row>
    <row r="909" spans="58:84" x14ac:dyDescent="0.3">
      <c r="BF909" t="str">
        <v>processor</v>
      </c>
      <c r="BG909" t="str">
        <v>Marathon Petroleum Co Llc 18</v>
      </c>
      <c r="BH909" t="str">
        <v>blendSAF</v>
      </c>
      <c r="BI909" t="str">
        <v/>
      </c>
      <c r="BJ909" t="str">
        <v/>
      </c>
      <c r="BK909" t="str">
        <v/>
      </c>
      <c r="BL909" t="str">
        <v/>
      </c>
      <c r="BM909" t="str">
        <v/>
      </c>
      <c r="BY909" t="str">
        <v>processor</v>
      </c>
      <c r="BZ909" t="str">
        <v>Buckeye Terminals Llc 36</v>
      </c>
      <c r="CA909" t="str">
        <v>blendSAF</v>
      </c>
      <c r="CB909" t="str">
        <v/>
      </c>
      <c r="CC909" t="str">
        <v/>
      </c>
      <c r="CD909" t="str">
        <v/>
      </c>
      <c r="CE909" t="str">
        <v/>
      </c>
      <c r="CF909" t="str">
        <v/>
      </c>
    </row>
    <row r="910" spans="58:84" x14ac:dyDescent="0.3">
      <c r="BF910" t="str">
        <v>processor</v>
      </c>
      <c r="BG910" t="str">
        <v>Marathon Petroleum Co Llc 21</v>
      </c>
      <c r="BH910" t="str">
        <v>blendSAF</v>
      </c>
      <c r="BI910" t="str">
        <v/>
      </c>
      <c r="BJ910" t="str">
        <v/>
      </c>
      <c r="BK910" t="str">
        <v/>
      </c>
      <c r="BL910" t="str">
        <v/>
      </c>
      <c r="BM910" t="str">
        <v/>
      </c>
      <c r="BY910" t="str">
        <v>processor</v>
      </c>
      <c r="BZ910" t="str">
        <v>Buckeye Terminals Llc 34</v>
      </c>
      <c r="CA910" t="str">
        <v>blendSAF</v>
      </c>
      <c r="CB910" t="str">
        <v/>
      </c>
      <c r="CC910" t="str">
        <v/>
      </c>
      <c r="CD910" t="str">
        <v/>
      </c>
      <c r="CE910" t="str">
        <v/>
      </c>
      <c r="CF910" t="str">
        <v/>
      </c>
    </row>
    <row r="911" spans="58:84" x14ac:dyDescent="0.3">
      <c r="BF911" t="str">
        <v>processor</v>
      </c>
      <c r="BG911" t="str">
        <v>Marathon Petroleum Co Llc 1</v>
      </c>
      <c r="BH911" t="str">
        <v>blendSAF</v>
      </c>
      <c r="BI911" t="str">
        <v/>
      </c>
      <c r="BJ911" t="str">
        <v/>
      </c>
      <c r="BK911" t="str">
        <v/>
      </c>
      <c r="BL911" t="str">
        <v/>
      </c>
      <c r="BM911" t="str">
        <v/>
      </c>
      <c r="BY911" t="str">
        <v>processor</v>
      </c>
      <c r="BZ911" t="str">
        <v>Buckeye Terminals Llc 29</v>
      </c>
      <c r="CA911" t="str">
        <v>blendSAF</v>
      </c>
      <c r="CB911" t="str">
        <v/>
      </c>
      <c r="CC911" t="str">
        <v/>
      </c>
      <c r="CD911" t="str">
        <v/>
      </c>
      <c r="CE911" t="str">
        <v/>
      </c>
      <c r="CF911" t="str">
        <v/>
      </c>
    </row>
    <row r="912" spans="58:84" x14ac:dyDescent="0.3">
      <c r="BF912" t="str">
        <v>processor</v>
      </c>
      <c r="BG912" t="str">
        <v>Marathon Petroleum Co Llc 4</v>
      </c>
      <c r="BH912" t="str">
        <v>blendSAF</v>
      </c>
      <c r="BI912" t="str">
        <v/>
      </c>
      <c r="BJ912" t="str">
        <v/>
      </c>
      <c r="BK912" t="str">
        <v/>
      </c>
      <c r="BL912" t="str">
        <v/>
      </c>
      <c r="BM912" t="str">
        <v/>
      </c>
      <c r="BY912" t="str">
        <v>processor</v>
      </c>
      <c r="BZ912" t="str">
        <v>Buckeye Terminals Llc 79</v>
      </c>
      <c r="CA912" t="str">
        <v>blendSAF</v>
      </c>
      <c r="CB912" t="str">
        <v/>
      </c>
      <c r="CC912" t="str">
        <v/>
      </c>
      <c r="CD912" t="str">
        <v/>
      </c>
      <c r="CE912" t="str">
        <v/>
      </c>
      <c r="CF912" t="str">
        <v/>
      </c>
    </row>
    <row r="913" spans="58:84" x14ac:dyDescent="0.3">
      <c r="BF913" t="str">
        <v>processor</v>
      </c>
      <c r="BG913" t="str">
        <v>Marathon Petroleum Co Llc 16</v>
      </c>
      <c r="BH913" t="str">
        <v>blendSAF</v>
      </c>
      <c r="BI913" t="str">
        <v/>
      </c>
      <c r="BJ913" t="str">
        <v/>
      </c>
      <c r="BK913" t="str">
        <v/>
      </c>
      <c r="BL913" t="str">
        <v/>
      </c>
      <c r="BM913" t="str">
        <v/>
      </c>
      <c r="BY913" t="str">
        <v>processor</v>
      </c>
      <c r="BZ913" t="str">
        <v>Pbf Logistics Products Terminals Llc 16</v>
      </c>
      <c r="CA913" t="str">
        <v>blendSAF</v>
      </c>
      <c r="CB913" t="str">
        <v/>
      </c>
      <c r="CC913" t="str">
        <v/>
      </c>
      <c r="CD913" t="str">
        <v/>
      </c>
      <c r="CE913" t="str">
        <v/>
      </c>
      <c r="CF913" t="str">
        <v/>
      </c>
    </row>
    <row r="914" spans="58:84" x14ac:dyDescent="0.3">
      <c r="BF914" t="str">
        <v>processor</v>
      </c>
      <c r="BG914" t="str">
        <v>Mplx Terminals Llc 44</v>
      </c>
      <c r="BH914" t="str">
        <v>blendSAF</v>
      </c>
      <c r="BI914" t="str">
        <v/>
      </c>
      <c r="BJ914" t="str">
        <v/>
      </c>
      <c r="BK914" t="str">
        <v/>
      </c>
      <c r="BL914" t="str">
        <v/>
      </c>
      <c r="BM914" t="str">
        <v/>
      </c>
      <c r="BY914" t="str">
        <v>processor</v>
      </c>
      <c r="BZ914" t="str">
        <v>Sunoco Logistics 26</v>
      </c>
      <c r="CA914" t="str">
        <v>blendSAF</v>
      </c>
      <c r="CB914" t="str">
        <v/>
      </c>
      <c r="CC914" t="str">
        <v/>
      </c>
      <c r="CD914" t="str">
        <v/>
      </c>
      <c r="CE914" t="str">
        <v/>
      </c>
      <c r="CF914" t="str">
        <v/>
      </c>
    </row>
    <row r="915" spans="58:84" x14ac:dyDescent="0.3">
      <c r="BF915" t="str">
        <v>processor</v>
      </c>
      <c r="BG915" t="str">
        <v>Mplx Terminals Llc 30</v>
      </c>
      <c r="BH915" t="str">
        <v>blendSAF</v>
      </c>
      <c r="BI915" t="str">
        <v/>
      </c>
      <c r="BJ915" t="str">
        <v/>
      </c>
      <c r="BK915" t="str">
        <v/>
      </c>
      <c r="BL915" t="str">
        <v/>
      </c>
      <c r="BM915" t="str">
        <v/>
      </c>
      <c r="BY915" t="str">
        <v>processor</v>
      </c>
      <c r="BZ915" t="str">
        <v>Sunoco Logistics 53</v>
      </c>
      <c r="CA915" t="str">
        <v>blendSAF</v>
      </c>
      <c r="CB915" t="str">
        <v/>
      </c>
      <c r="CC915" t="str">
        <v/>
      </c>
      <c r="CD915" t="str">
        <v/>
      </c>
      <c r="CE915" t="str">
        <v/>
      </c>
      <c r="CF915" t="str">
        <v/>
      </c>
    </row>
    <row r="916" spans="58:84" x14ac:dyDescent="0.3">
      <c r="BF916" t="str">
        <v>processor</v>
      </c>
      <c r="BG916" t="str">
        <v>Mplx Terminals Llc 22</v>
      </c>
      <c r="BH916" t="str">
        <v>blendSAF</v>
      </c>
      <c r="BI916" t="str">
        <v/>
      </c>
      <c r="BJ916" t="str">
        <v/>
      </c>
      <c r="BK916" t="str">
        <v/>
      </c>
      <c r="BL916" t="str">
        <v/>
      </c>
      <c r="BM916" t="str">
        <v/>
      </c>
      <c r="BY916" t="str">
        <v>processor</v>
      </c>
      <c r="BZ916" t="str">
        <v>Sunoco Logistics 28</v>
      </c>
      <c r="CA916" t="str">
        <v>blendSAF</v>
      </c>
      <c r="CB916" t="str">
        <v/>
      </c>
      <c r="CC916" t="str">
        <v/>
      </c>
      <c r="CD916" t="str">
        <v/>
      </c>
      <c r="CE916" t="str">
        <v/>
      </c>
      <c r="CF916" t="str">
        <v/>
      </c>
    </row>
    <row r="917" spans="58:84" x14ac:dyDescent="0.3">
      <c r="BF917" t="str">
        <v>processor</v>
      </c>
      <c r="BG917" t="str">
        <v>Mplx Terminals Llc 12</v>
      </c>
      <c r="BH917" t="str">
        <v>blendSAF</v>
      </c>
      <c r="BI917" t="str">
        <v/>
      </c>
      <c r="BJ917" t="str">
        <v/>
      </c>
      <c r="BK917" t="str">
        <v/>
      </c>
      <c r="BL917" t="str">
        <v/>
      </c>
      <c r="BM917" t="str">
        <v/>
      </c>
      <c r="BY917" t="str">
        <v>processor</v>
      </c>
      <c r="BZ917" t="str">
        <v>Sunoco Logistics 25</v>
      </c>
      <c r="CA917" t="str">
        <v>blendSAF</v>
      </c>
      <c r="CB917" t="str">
        <v/>
      </c>
      <c r="CC917" t="str">
        <v/>
      </c>
      <c r="CD917" t="str">
        <v/>
      </c>
      <c r="CE917" t="str">
        <v/>
      </c>
      <c r="CF917" t="str">
        <v/>
      </c>
    </row>
    <row r="918" spans="58:84" x14ac:dyDescent="0.3">
      <c r="BF918" t="str">
        <v>processor</v>
      </c>
      <c r="BG918" t="str">
        <v>Mplx Terminals Llc 13</v>
      </c>
      <c r="BH918" t="str">
        <v>blendSAF</v>
      </c>
      <c r="BI918" t="str">
        <v/>
      </c>
      <c r="BJ918" t="str">
        <v/>
      </c>
      <c r="BK918" t="str">
        <v/>
      </c>
      <c r="BL918" t="str">
        <v/>
      </c>
      <c r="BM918" t="str">
        <v/>
      </c>
      <c r="BY918" t="str">
        <v>processor</v>
      </c>
      <c r="BZ918" t="str">
        <v>Sunoco Logistics 16</v>
      </c>
      <c r="CA918" t="str">
        <v>blendSAF</v>
      </c>
      <c r="CB918" t="str">
        <v/>
      </c>
      <c r="CC918" t="str">
        <v/>
      </c>
      <c r="CD918" t="str">
        <v/>
      </c>
      <c r="CE918" t="str">
        <v/>
      </c>
      <c r="CF918" t="str">
        <v/>
      </c>
    </row>
    <row r="919" spans="58:84" x14ac:dyDescent="0.3">
      <c r="BF919" t="str">
        <v>processor</v>
      </c>
      <c r="BG919" t="str">
        <v>Mplx Terminals Llc 11</v>
      </c>
      <c r="BH919" t="str">
        <v>blendSAF</v>
      </c>
      <c r="BI919" t="str">
        <v/>
      </c>
      <c r="BJ919" t="str">
        <v/>
      </c>
      <c r="BK919" t="str">
        <v/>
      </c>
      <c r="BL919" t="str">
        <v/>
      </c>
      <c r="BM919" t="str">
        <v/>
      </c>
      <c r="BY919" t="str">
        <v>processor</v>
      </c>
      <c r="BZ919" t="str">
        <v>Sunoco Logistics 27</v>
      </c>
      <c r="CA919" t="str">
        <v>blendSAF</v>
      </c>
      <c r="CB919" t="str">
        <v/>
      </c>
      <c r="CC919" t="str">
        <v/>
      </c>
      <c r="CD919" t="str">
        <v/>
      </c>
      <c r="CE919" t="str">
        <v/>
      </c>
      <c r="CF919" t="str">
        <v/>
      </c>
    </row>
    <row r="920" spans="58:84" x14ac:dyDescent="0.3">
      <c r="BF920" t="str">
        <v>processor</v>
      </c>
      <c r="BG920" t="str">
        <v>Mplx Terminals Llc 5</v>
      </c>
      <c r="BH920" t="str">
        <v>blendSAF</v>
      </c>
      <c r="BI920" t="str">
        <v/>
      </c>
      <c r="BJ920" t="str">
        <v/>
      </c>
      <c r="BK920" t="str">
        <v/>
      </c>
      <c r="BL920" t="str">
        <v/>
      </c>
      <c r="BM920" t="str">
        <v/>
      </c>
      <c r="BY920" t="str">
        <v>processor</v>
      </c>
      <c r="BZ920" t="str">
        <v>Sunoco Midstream Llc 5</v>
      </c>
      <c r="CA920" t="str">
        <v>blendSAF</v>
      </c>
      <c r="CB920" t="str">
        <v/>
      </c>
      <c r="CC920" t="str">
        <v/>
      </c>
      <c r="CD920" t="str">
        <v/>
      </c>
      <c r="CE920" t="str">
        <v/>
      </c>
      <c r="CF920" t="str">
        <v/>
      </c>
    </row>
    <row r="921" spans="58:84" x14ac:dyDescent="0.3">
      <c r="BF921" t="str">
        <v>processor</v>
      </c>
      <c r="BG921" t="str">
        <v>Mplx Terminals Llc 6</v>
      </c>
      <c r="BH921" t="str">
        <v>blendSAF</v>
      </c>
      <c r="BI921" t="str">
        <v/>
      </c>
      <c r="BJ921" t="str">
        <v/>
      </c>
      <c r="BK921" t="str">
        <v/>
      </c>
      <c r="BL921" t="str">
        <v/>
      </c>
      <c r="BM921" t="str">
        <v/>
      </c>
      <c r="BY921" t="str">
        <v>processor</v>
      </c>
      <c r="BZ921" t="str">
        <v>Sunoco Midstream  Llc</v>
      </c>
      <c r="CA921" t="str">
        <v>blendSAF</v>
      </c>
      <c r="CB921" t="str">
        <v/>
      </c>
      <c r="CC921" t="str">
        <v/>
      </c>
      <c r="CD921" t="str">
        <v/>
      </c>
      <c r="CE921" t="str">
        <v/>
      </c>
      <c r="CF921" t="str">
        <v/>
      </c>
    </row>
    <row r="922" spans="58:84" x14ac:dyDescent="0.3">
      <c r="BF922" t="str">
        <v>processor</v>
      </c>
      <c r="BG922" t="str">
        <v>Mplx Terminals Llc 34</v>
      </c>
      <c r="BH922" t="str">
        <v>blendSAF</v>
      </c>
      <c r="BI922" t="str">
        <v/>
      </c>
      <c r="BJ922" t="str">
        <v/>
      </c>
      <c r="BK922" t="str">
        <v/>
      </c>
      <c r="BL922" t="str">
        <v/>
      </c>
      <c r="BM922" t="str">
        <v/>
      </c>
      <c r="BY922" t="str">
        <v>processor</v>
      </c>
      <c r="BZ922" t="str">
        <v>Sunoco Midstream Llc 2</v>
      </c>
      <c r="CA922" t="str">
        <v>blendSAF</v>
      </c>
      <c r="CB922" t="str">
        <v/>
      </c>
      <c r="CC922" t="str">
        <v/>
      </c>
      <c r="CD922" t="str">
        <v/>
      </c>
      <c r="CE922" t="str">
        <v/>
      </c>
      <c r="CF922" t="str">
        <v/>
      </c>
    </row>
    <row r="923" spans="58:84" x14ac:dyDescent="0.3">
      <c r="BF923" t="str">
        <v>processor</v>
      </c>
      <c r="BG923" t="str">
        <v>Citgo Petro Corp 10</v>
      </c>
      <c r="BH923" t="str">
        <v>blendSAF</v>
      </c>
      <c r="BI923" t="str">
        <v/>
      </c>
      <c r="BJ923" t="str">
        <v/>
      </c>
      <c r="BK923" t="str">
        <v/>
      </c>
      <c r="BL923" t="str">
        <v/>
      </c>
      <c r="BM923" t="str">
        <v/>
      </c>
      <c r="BY923" t="str">
        <v>processor</v>
      </c>
      <c r="BZ923" t="str">
        <v>Enterprise Terminals &amp; Storage Llc 13</v>
      </c>
      <c r="CA923" t="str">
        <v>blendSAF</v>
      </c>
      <c r="CB923" t="str">
        <v/>
      </c>
      <c r="CC923" t="str">
        <v/>
      </c>
      <c r="CD923" t="str">
        <v/>
      </c>
      <c r="CE923" t="str">
        <v/>
      </c>
      <c r="CF923" t="str">
        <v/>
      </c>
    </row>
    <row r="924" spans="58:84" x14ac:dyDescent="0.3">
      <c r="BF924" t="str">
        <v>processor</v>
      </c>
      <c r="BG924" t="str">
        <v>Citgo Holding Terminals Llc 1</v>
      </c>
      <c r="BH924" t="str">
        <v>blendSAF</v>
      </c>
      <c r="BI924" t="str">
        <v/>
      </c>
      <c r="BJ924" t="str">
        <v/>
      </c>
      <c r="BK924" t="str">
        <v/>
      </c>
      <c r="BL924" t="str">
        <v/>
      </c>
      <c r="BM924" t="str">
        <v/>
      </c>
      <c r="BY924" t="str">
        <v>processor</v>
      </c>
      <c r="BZ924" t="str">
        <v>Enterprise Terminals &amp; Storage Llc 23</v>
      </c>
      <c r="CA924" t="str">
        <v>blendSAF</v>
      </c>
      <c r="CB924" t="str">
        <v/>
      </c>
      <c r="CC924" t="str">
        <v/>
      </c>
      <c r="CD924" t="str">
        <v/>
      </c>
      <c r="CE924" t="str">
        <v/>
      </c>
      <c r="CF924" t="str">
        <v/>
      </c>
    </row>
    <row r="925" spans="58:84" x14ac:dyDescent="0.3">
      <c r="BF925" t="str">
        <v>processor</v>
      </c>
      <c r="BG925" t="str">
        <v>Citgo Holding Terminals Llc 5</v>
      </c>
      <c r="BH925" t="str">
        <v>blendSAF</v>
      </c>
      <c r="BI925" t="str">
        <v/>
      </c>
      <c r="BJ925" t="str">
        <v/>
      </c>
      <c r="BK925" t="str">
        <v/>
      </c>
      <c r="BL925" t="str">
        <v/>
      </c>
      <c r="BM925" t="str">
        <v/>
      </c>
      <c r="BY925" t="str">
        <v>processor</v>
      </c>
      <c r="BZ925" t="str">
        <v>Enterprise Refined Products Co Llc 5</v>
      </c>
      <c r="CA925" t="str">
        <v>blendSAF</v>
      </c>
      <c r="CB925" t="str">
        <v/>
      </c>
      <c r="CC925" t="str">
        <v/>
      </c>
      <c r="CD925" t="str">
        <v/>
      </c>
      <c r="CE925" t="str">
        <v/>
      </c>
      <c r="CF925" t="str">
        <v/>
      </c>
    </row>
    <row r="926" spans="58:84" x14ac:dyDescent="0.3">
      <c r="BF926" t="str">
        <v>processor</v>
      </c>
      <c r="BG926" t="str">
        <v>Transmontaigne Operating Company 18</v>
      </c>
      <c r="BH926" t="str">
        <v>blendSAF</v>
      </c>
      <c r="BI926" t="str">
        <v/>
      </c>
      <c r="BJ926" t="str">
        <v/>
      </c>
      <c r="BK926" t="str">
        <v/>
      </c>
      <c r="BL926" t="str">
        <v/>
      </c>
      <c r="BM926" t="str">
        <v/>
      </c>
      <c r="BY926" t="str">
        <v>processor</v>
      </c>
      <c r="BZ926" t="str">
        <v>Heritage Asphalt Llc 2</v>
      </c>
      <c r="CA926" t="str">
        <v>blendSAF</v>
      </c>
      <c r="CB926" t="str">
        <v/>
      </c>
      <c r="CC926" t="str">
        <v/>
      </c>
      <c r="CD926" t="str">
        <v/>
      </c>
      <c r="CE926" t="str">
        <v/>
      </c>
      <c r="CF926" t="str">
        <v/>
      </c>
    </row>
    <row r="927" spans="58:84" x14ac:dyDescent="0.3">
      <c r="BF927" t="str">
        <v>processor</v>
      </c>
      <c r="BG927" t="str">
        <v>Owens Corning 7</v>
      </c>
      <c r="BH927" t="str">
        <v>blendSAF</v>
      </c>
      <c r="BI927" t="str">
        <v/>
      </c>
      <c r="BJ927" t="str">
        <v/>
      </c>
      <c r="BK927" t="str">
        <v/>
      </c>
      <c r="BL927" t="str">
        <v/>
      </c>
      <c r="BM927" t="str">
        <v/>
      </c>
      <c r="BY927" t="str">
        <v>processor</v>
      </c>
      <c r="BZ927" t="str">
        <v>Kinder Morgan Liq Termls Llc 4</v>
      </c>
      <c r="CA927" t="str">
        <v>blendSAF</v>
      </c>
      <c r="CB927" t="str">
        <v/>
      </c>
      <c r="CC927" t="str">
        <v/>
      </c>
      <c r="CD927" t="str">
        <v/>
      </c>
      <c r="CE927" t="str">
        <v/>
      </c>
      <c r="CF927" t="str">
        <v/>
      </c>
    </row>
    <row r="928" spans="58:84" x14ac:dyDescent="0.3">
      <c r="BF928" t="str">
        <v>processor</v>
      </c>
      <c r="BG928" t="str">
        <v>Ergon Asphalt &amp; Emulsions</v>
      </c>
      <c r="BH928" t="str">
        <v>blendSAF</v>
      </c>
      <c r="BI928" t="str">
        <v/>
      </c>
      <c r="BJ928" t="str">
        <v/>
      </c>
      <c r="BK928" t="str">
        <v/>
      </c>
      <c r="BL928" t="str">
        <v/>
      </c>
      <c r="BM928" t="str">
        <v/>
      </c>
      <c r="BY928" t="str">
        <v>processor</v>
      </c>
      <c r="BZ928" t="str">
        <v>Kinder Morgan Liq Termls Llc 6</v>
      </c>
      <c r="CA928" t="str">
        <v>blendSAF</v>
      </c>
      <c r="CB928" t="str">
        <v/>
      </c>
      <c r="CC928" t="str">
        <v/>
      </c>
      <c r="CD928" t="str">
        <v/>
      </c>
      <c r="CE928" t="str">
        <v/>
      </c>
      <c r="CF928" t="str">
        <v/>
      </c>
    </row>
    <row r="929" spans="58:84" x14ac:dyDescent="0.3">
      <c r="BF929" t="str">
        <v>processor</v>
      </c>
      <c r="BG929" t="str">
        <v>Ergon Asphalt And Emulsions 10</v>
      </c>
      <c r="BH929" t="str">
        <v>blendSAF</v>
      </c>
      <c r="BI929" t="str">
        <v/>
      </c>
      <c r="BJ929" t="str">
        <v/>
      </c>
      <c r="BK929" t="str">
        <v/>
      </c>
      <c r="BL929" t="str">
        <v/>
      </c>
      <c r="BM929" t="str">
        <v/>
      </c>
      <c r="BY929" t="str">
        <v>processor</v>
      </c>
      <c r="BZ929" t="str">
        <v>Delta Fuels Inc</v>
      </c>
      <c r="CA929" t="str">
        <v>blendSAF</v>
      </c>
      <c r="CB929" t="str">
        <v/>
      </c>
      <c r="CC929" t="str">
        <v/>
      </c>
      <c r="CD929" t="str">
        <v/>
      </c>
      <c r="CE929" t="str">
        <v/>
      </c>
      <c r="CF929" t="str">
        <v/>
      </c>
    </row>
    <row r="930" spans="58:84" x14ac:dyDescent="0.3">
      <c r="BF930" t="str">
        <v>processor</v>
      </c>
      <c r="BG930" t="str">
        <v>Bkep Materials Llc 2</v>
      </c>
      <c r="BH930" t="str">
        <v>blendSAF</v>
      </c>
      <c r="BI930" t="str">
        <v/>
      </c>
      <c r="BJ930" t="str">
        <v/>
      </c>
      <c r="BK930" t="str">
        <v/>
      </c>
      <c r="BL930" t="str">
        <v/>
      </c>
      <c r="BM930" t="str">
        <v/>
      </c>
      <c r="BY930" t="str">
        <v>processor</v>
      </c>
      <c r="BZ930" t="str">
        <v>Marathon Petroleum Co Llc 19</v>
      </c>
      <c r="CA930" t="str">
        <v>blendSAF</v>
      </c>
      <c r="CB930" t="str">
        <v/>
      </c>
      <c r="CC930" t="str">
        <v/>
      </c>
      <c r="CD930" t="str">
        <v/>
      </c>
      <c r="CE930" t="str">
        <v/>
      </c>
      <c r="CF930" t="str">
        <v/>
      </c>
    </row>
    <row r="931" spans="58:84" x14ac:dyDescent="0.3">
      <c r="BF931" t="str">
        <v>processor</v>
      </c>
      <c r="BG931" t="str">
        <v>Bkep Materials Llc 3</v>
      </c>
      <c r="BH931" t="str">
        <v>blendSAF</v>
      </c>
      <c r="BI931" t="str">
        <v/>
      </c>
      <c r="BJ931" t="str">
        <v/>
      </c>
      <c r="BK931" t="str">
        <v/>
      </c>
      <c r="BL931" t="str">
        <v/>
      </c>
      <c r="BM931" t="str">
        <v/>
      </c>
      <c r="BY931" t="str">
        <v>processor</v>
      </c>
      <c r="BZ931" t="str">
        <v>Marathon Petroleum Co Llc 18</v>
      </c>
      <c r="CA931" t="str">
        <v>blendSAF</v>
      </c>
      <c r="CB931" t="str">
        <v/>
      </c>
      <c r="CC931" t="str">
        <v/>
      </c>
      <c r="CD931" t="str">
        <v/>
      </c>
      <c r="CE931" t="str">
        <v/>
      </c>
      <c r="CF931" t="str">
        <v/>
      </c>
    </row>
    <row r="932" spans="58:84" x14ac:dyDescent="0.3">
      <c r="BF932" t="str">
        <v>processor</v>
      </c>
      <c r="BG932" t="str">
        <v>Bkep Materials Llc 11</v>
      </c>
      <c r="BH932" t="str">
        <v>blendSAF</v>
      </c>
      <c r="BI932" t="str">
        <v/>
      </c>
      <c r="BJ932" t="str">
        <v/>
      </c>
      <c r="BK932" t="str">
        <v/>
      </c>
      <c r="BL932" t="str">
        <v/>
      </c>
      <c r="BM932" t="str">
        <v/>
      </c>
      <c r="BY932" t="str">
        <v>processor</v>
      </c>
      <c r="BZ932" t="str">
        <v>Marathon Petroleum Co Llc 21</v>
      </c>
      <c r="CA932" t="str">
        <v>blendSAF</v>
      </c>
      <c r="CB932" t="str">
        <v/>
      </c>
      <c r="CC932" t="str">
        <v/>
      </c>
      <c r="CD932" t="str">
        <v/>
      </c>
      <c r="CE932" t="str">
        <v/>
      </c>
      <c r="CF932" t="str">
        <v/>
      </c>
    </row>
    <row r="933" spans="58:84" x14ac:dyDescent="0.3">
      <c r="BF933" t="str">
        <v>processor</v>
      </c>
      <c r="BG933" t="str">
        <v>Bkep Materials Llc 12</v>
      </c>
      <c r="BH933" t="str">
        <v>blendSAF</v>
      </c>
      <c r="BI933" t="str">
        <v/>
      </c>
      <c r="BJ933" t="str">
        <v/>
      </c>
      <c r="BK933" t="str">
        <v/>
      </c>
      <c r="BL933" t="str">
        <v/>
      </c>
      <c r="BM933" t="str">
        <v/>
      </c>
      <c r="BY933" t="str">
        <v>processor</v>
      </c>
      <c r="BZ933" t="str">
        <v>Marathon Petroleum Co Llc 1</v>
      </c>
      <c r="CA933" t="str">
        <v>blendSAF</v>
      </c>
      <c r="CB933" t="str">
        <v/>
      </c>
      <c r="CC933" t="str">
        <v/>
      </c>
      <c r="CD933" t="str">
        <v/>
      </c>
      <c r="CE933" t="str">
        <v/>
      </c>
      <c r="CF933" t="str">
        <v/>
      </c>
    </row>
    <row r="934" spans="58:84" x14ac:dyDescent="0.3">
      <c r="BF934" t="str">
        <v>processor</v>
      </c>
      <c r="BG934" t="str">
        <v>Phillips 66 Company 14</v>
      </c>
      <c r="BH934" t="str">
        <v>blendSAF</v>
      </c>
      <c r="BI934" t="str">
        <v/>
      </c>
      <c r="BJ934" t="str">
        <v/>
      </c>
      <c r="BK934" t="str">
        <v/>
      </c>
      <c r="BL934" t="str">
        <v/>
      </c>
      <c r="BM934" t="str">
        <v/>
      </c>
      <c r="BY934" t="str">
        <v>processor</v>
      </c>
      <c r="BZ934" t="str">
        <v>Marathon Petroleum Co Llc 4</v>
      </c>
      <c r="CA934" t="str">
        <v>blendSAF</v>
      </c>
      <c r="CB934" t="str">
        <v/>
      </c>
      <c r="CC934" t="str">
        <v/>
      </c>
      <c r="CD934" t="str">
        <v/>
      </c>
      <c r="CE934" t="str">
        <v/>
      </c>
      <c r="CF934" t="str">
        <v/>
      </c>
    </row>
    <row r="935" spans="58:84" x14ac:dyDescent="0.3">
      <c r="BF935" t="str">
        <v>processor</v>
      </c>
      <c r="BG935" t="str">
        <v>Phillips 66 Company 7</v>
      </c>
      <c r="BH935" t="str">
        <v>blendSAF</v>
      </c>
      <c r="BI935" t="str">
        <v/>
      </c>
      <c r="BJ935" t="str">
        <v/>
      </c>
      <c r="BK935" t="str">
        <v/>
      </c>
      <c r="BL935" t="str">
        <v/>
      </c>
      <c r="BM935" t="str">
        <v/>
      </c>
      <c r="BY935" t="str">
        <v>processor</v>
      </c>
      <c r="BZ935" t="str">
        <v>Marathon Petroleum Co Llc 16</v>
      </c>
      <c r="CA935" t="str">
        <v>blendSAF</v>
      </c>
      <c r="CB935" t="str">
        <v/>
      </c>
      <c r="CC935" t="str">
        <v/>
      </c>
      <c r="CD935" t="str">
        <v/>
      </c>
      <c r="CE935" t="str">
        <v/>
      </c>
      <c r="CF935" t="str">
        <v/>
      </c>
    </row>
    <row r="936" spans="58:84" x14ac:dyDescent="0.3">
      <c r="BF936" t="str">
        <v>processor</v>
      </c>
      <c r="BG936" t="str">
        <v>Phillips 66 Company 12</v>
      </c>
      <c r="BH936" t="str">
        <v>blendSAF</v>
      </c>
      <c r="BI936" t="str">
        <v/>
      </c>
      <c r="BJ936" t="str">
        <v/>
      </c>
      <c r="BK936" t="str">
        <v/>
      </c>
      <c r="BL936" t="str">
        <v/>
      </c>
      <c r="BM936" t="str">
        <v/>
      </c>
      <c r="BY936" t="str">
        <v>processor</v>
      </c>
      <c r="BZ936" t="str">
        <v>Mplx Terminals Llc 44</v>
      </c>
      <c r="CA936" t="str">
        <v>blendSAF</v>
      </c>
      <c r="CB936" t="str">
        <v/>
      </c>
      <c r="CC936" t="str">
        <v/>
      </c>
      <c r="CD936" t="str">
        <v/>
      </c>
      <c r="CE936" t="str">
        <v/>
      </c>
      <c r="CF936" t="str">
        <v/>
      </c>
    </row>
    <row r="937" spans="58:84" x14ac:dyDescent="0.3">
      <c r="BF937" t="str">
        <v>processor</v>
      </c>
      <c r="BG937" t="str">
        <v>Phillips 66 Company 15</v>
      </c>
      <c r="BH937" t="str">
        <v>blendSAF</v>
      </c>
      <c r="BI937" t="str">
        <v/>
      </c>
      <c r="BJ937" t="str">
        <v/>
      </c>
      <c r="BK937" t="str">
        <v/>
      </c>
      <c r="BL937" t="str">
        <v/>
      </c>
      <c r="BM937" t="str">
        <v/>
      </c>
      <c r="BY937" t="str">
        <v>processor</v>
      </c>
      <c r="BZ937" t="str">
        <v>Mplx Terminals Llc 30</v>
      </c>
      <c r="CA937" t="str">
        <v>blendSAF</v>
      </c>
      <c r="CB937" t="str">
        <v/>
      </c>
      <c r="CC937" t="str">
        <v/>
      </c>
      <c r="CD937" t="str">
        <v/>
      </c>
      <c r="CE937" t="str">
        <v/>
      </c>
      <c r="CF937" t="str">
        <v/>
      </c>
    </row>
    <row r="938" spans="58:84" x14ac:dyDescent="0.3">
      <c r="BF938" t="str">
        <v>processor</v>
      </c>
      <c r="BG938" t="str">
        <v>Alon Usa Lp</v>
      </c>
      <c r="BH938" t="str">
        <v>blendSAF</v>
      </c>
      <c r="BI938" t="str">
        <v/>
      </c>
      <c r="BJ938" t="str">
        <v/>
      </c>
      <c r="BK938" t="str">
        <v/>
      </c>
      <c r="BL938" t="str">
        <v/>
      </c>
      <c r="BM938" t="str">
        <v/>
      </c>
      <c r="BY938" t="str">
        <v>processor</v>
      </c>
      <c r="BZ938" t="str">
        <v>Mplx Terminals Llc 22</v>
      </c>
      <c r="CA938" t="str">
        <v>blendSAF</v>
      </c>
      <c r="CB938" t="str">
        <v/>
      </c>
      <c r="CC938" t="str">
        <v/>
      </c>
      <c r="CD938" t="str">
        <v/>
      </c>
      <c r="CE938" t="str">
        <v/>
      </c>
      <c r="CF938" t="str">
        <v/>
      </c>
    </row>
    <row r="939" spans="58:84" x14ac:dyDescent="0.3">
      <c r="BF939" t="str">
        <v>processor</v>
      </c>
      <c r="BG939" t="str">
        <v>Keyera Energy</v>
      </c>
      <c r="BH939" t="str">
        <v>blendSAF</v>
      </c>
      <c r="BI939" t="str">
        <v/>
      </c>
      <c r="BJ939" t="str">
        <v/>
      </c>
      <c r="BK939" t="str">
        <v/>
      </c>
      <c r="BL939" t="str">
        <v/>
      </c>
      <c r="BM939" t="str">
        <v/>
      </c>
      <c r="BY939" t="str">
        <v>processor</v>
      </c>
      <c r="BZ939" t="str">
        <v>Mplx Terminals Llc 12</v>
      </c>
      <c r="CA939" t="str">
        <v>blendSAF</v>
      </c>
      <c r="CB939" t="str">
        <v/>
      </c>
      <c r="CC939" t="str">
        <v/>
      </c>
      <c r="CD939" t="str">
        <v/>
      </c>
      <c r="CE939" t="str">
        <v/>
      </c>
      <c r="CF939" t="str">
        <v/>
      </c>
    </row>
    <row r="940" spans="58:84" x14ac:dyDescent="0.3">
      <c r="BF940" t="str">
        <v>processor</v>
      </c>
      <c r="BG940" t="str">
        <v>Magellan Pipeline Co Lp 45</v>
      </c>
      <c r="BH940" t="str">
        <v>blendSAF</v>
      </c>
      <c r="BI940" t="str">
        <v/>
      </c>
      <c r="BJ940" t="str">
        <v/>
      </c>
      <c r="BK940" t="str">
        <v/>
      </c>
      <c r="BL940" t="str">
        <v/>
      </c>
      <c r="BM940" t="str">
        <v/>
      </c>
      <c r="BY940" t="str">
        <v>processor</v>
      </c>
      <c r="BZ940" t="str">
        <v>Mplx Terminals Llc 13</v>
      </c>
      <c r="CA940" t="str">
        <v>blendSAF</v>
      </c>
      <c r="CB940" t="str">
        <v/>
      </c>
      <c r="CC940" t="str">
        <v/>
      </c>
      <c r="CD940" t="str">
        <v/>
      </c>
      <c r="CE940" t="str">
        <v/>
      </c>
      <c r="CF940" t="str">
        <v/>
      </c>
    </row>
    <row r="941" spans="58:84" x14ac:dyDescent="0.3">
      <c r="BF941" t="str">
        <v>processor</v>
      </c>
      <c r="BG941" t="str">
        <v>Magellan Pipeline Co Lp 2</v>
      </c>
      <c r="BH941" t="str">
        <v>blendSAF</v>
      </c>
      <c r="BI941" t="str">
        <v/>
      </c>
      <c r="BJ941" t="str">
        <v/>
      </c>
      <c r="BK941" t="str">
        <v/>
      </c>
      <c r="BL941" t="str">
        <v/>
      </c>
      <c r="BM941" t="str">
        <v/>
      </c>
      <c r="BY941" t="str">
        <v>processor</v>
      </c>
      <c r="BZ941" t="str">
        <v>Mplx Terminals Llc 11</v>
      </c>
      <c r="CA941" t="str">
        <v>blendSAF</v>
      </c>
      <c r="CB941" t="str">
        <v/>
      </c>
      <c r="CC941" t="str">
        <v/>
      </c>
      <c r="CD941" t="str">
        <v/>
      </c>
      <c r="CE941" t="str">
        <v/>
      </c>
      <c r="CF941" t="str">
        <v/>
      </c>
    </row>
    <row r="942" spans="58:84" x14ac:dyDescent="0.3">
      <c r="BF942" t="str">
        <v>processor</v>
      </c>
      <c r="BG942" t="str">
        <v>Magellan Pipeline Co Lp 12</v>
      </c>
      <c r="BH942" t="str">
        <v>blendSAF</v>
      </c>
      <c r="BI942" t="str">
        <v/>
      </c>
      <c r="BJ942" t="str">
        <v/>
      </c>
      <c r="BK942" t="str">
        <v/>
      </c>
      <c r="BL942" t="str">
        <v/>
      </c>
      <c r="BM942" t="str">
        <v/>
      </c>
      <c r="BY942" t="str">
        <v>processor</v>
      </c>
      <c r="BZ942" t="str">
        <v>Mplx Terminals Llc 5</v>
      </c>
      <c r="CA942" t="str">
        <v>blendSAF</v>
      </c>
      <c r="CB942" t="str">
        <v/>
      </c>
      <c r="CC942" t="str">
        <v/>
      </c>
      <c r="CD942" t="str">
        <v/>
      </c>
      <c r="CE942" t="str">
        <v/>
      </c>
      <c r="CF942" t="str">
        <v/>
      </c>
    </row>
    <row r="943" spans="58:84" x14ac:dyDescent="0.3">
      <c r="BF943" t="str">
        <v>processor</v>
      </c>
      <c r="BG943" t="str">
        <v>Magellan Pipeline Co Lp 34</v>
      </c>
      <c r="BH943" t="str">
        <v>blendSAF</v>
      </c>
      <c r="BI943" t="str">
        <v/>
      </c>
      <c r="BJ943" t="str">
        <v/>
      </c>
      <c r="BK943" t="str">
        <v/>
      </c>
      <c r="BL943" t="str">
        <v/>
      </c>
      <c r="BM943" t="str">
        <v/>
      </c>
      <c r="BY943" t="str">
        <v>processor</v>
      </c>
      <c r="BZ943" t="str">
        <v>Mplx Terminals Llc 6</v>
      </c>
      <c r="CA943" t="str">
        <v>blendSAF</v>
      </c>
      <c r="CB943" t="str">
        <v/>
      </c>
      <c r="CC943" t="str">
        <v/>
      </c>
      <c r="CD943" t="str">
        <v/>
      </c>
      <c r="CE943" t="str">
        <v/>
      </c>
      <c r="CF943" t="str">
        <v/>
      </c>
    </row>
    <row r="944" spans="58:84" x14ac:dyDescent="0.3">
      <c r="BF944" t="str">
        <v>processor</v>
      </c>
      <c r="BG944" t="str">
        <v>Nustar Energy Lp 5</v>
      </c>
      <c r="BH944" t="str">
        <v>blendSAF</v>
      </c>
      <c r="BI944" t="str">
        <v/>
      </c>
      <c r="BJ944" t="str">
        <v/>
      </c>
      <c r="BK944" t="str">
        <v/>
      </c>
      <c r="BL944" t="str">
        <v/>
      </c>
      <c r="BM944" t="str">
        <v/>
      </c>
      <c r="BY944" t="str">
        <v>processor</v>
      </c>
      <c r="BZ944" t="str">
        <v>Mplx Terminals Llc 34</v>
      </c>
      <c r="CA944" t="str">
        <v>blendSAF</v>
      </c>
      <c r="CB944" t="str">
        <v/>
      </c>
      <c r="CC944" t="str">
        <v/>
      </c>
      <c r="CD944" t="str">
        <v/>
      </c>
      <c r="CE944" t="str">
        <v/>
      </c>
      <c r="CF944" t="str">
        <v/>
      </c>
    </row>
    <row r="945" spans="58:84" x14ac:dyDescent="0.3">
      <c r="BF945" t="str">
        <v>processor</v>
      </c>
      <c r="BG945" t="str">
        <v>Citgo Petroleum Corp 34</v>
      </c>
      <c r="BH945" t="str">
        <v>blendSAF</v>
      </c>
      <c r="BI945" t="str">
        <v/>
      </c>
      <c r="BJ945" t="str">
        <v/>
      </c>
      <c r="BK945" t="str">
        <v/>
      </c>
      <c r="BL945" t="str">
        <v/>
      </c>
      <c r="BM945" t="str">
        <v/>
      </c>
      <c r="BY945" t="str">
        <v>processor</v>
      </c>
      <c r="BZ945" t="str">
        <v>Citgo Petro Corp 10</v>
      </c>
      <c r="CA945" t="str">
        <v>blendSAF</v>
      </c>
      <c r="CB945" t="str">
        <v/>
      </c>
      <c r="CC945" t="str">
        <v/>
      </c>
      <c r="CD945" t="str">
        <v/>
      </c>
      <c r="CE945" t="str">
        <v/>
      </c>
      <c r="CF945" t="str">
        <v/>
      </c>
    </row>
    <row r="946" spans="58:84" x14ac:dyDescent="0.3">
      <c r="BF946" t="str">
        <v>processor</v>
      </c>
      <c r="BG946" t="str">
        <v>Plains Lpg Services 4</v>
      </c>
      <c r="BH946" t="str">
        <v>blendSAF</v>
      </c>
      <c r="BI946" t="str">
        <v/>
      </c>
      <c r="BJ946" t="str">
        <v/>
      </c>
      <c r="BK946" t="str">
        <v/>
      </c>
      <c r="BL946" t="str">
        <v/>
      </c>
      <c r="BM946" t="str">
        <v/>
      </c>
      <c r="BY946" t="str">
        <v>processor</v>
      </c>
      <c r="BZ946" t="str">
        <v>Citgo Holding Terminals Llc 1</v>
      </c>
      <c r="CA946" t="str">
        <v>blendSAF</v>
      </c>
      <c r="CB946" t="str">
        <v/>
      </c>
      <c r="CC946" t="str">
        <v/>
      </c>
      <c r="CD946" t="str">
        <v/>
      </c>
      <c r="CE946" t="str">
        <v/>
      </c>
      <c r="CF946" t="str">
        <v/>
      </c>
    </row>
    <row r="947" spans="58:84" x14ac:dyDescent="0.3">
      <c r="BF947" t="str">
        <v>processor</v>
      </c>
      <c r="BG947" t="str">
        <v>Transmontaigne Operating Company 37</v>
      </c>
      <c r="BH947" t="str">
        <v>blendSAF</v>
      </c>
      <c r="BI947" t="str">
        <v/>
      </c>
      <c r="BJ947" t="str">
        <v/>
      </c>
      <c r="BK947" t="str">
        <v/>
      </c>
      <c r="BL947" t="str">
        <v/>
      </c>
      <c r="BM947" t="str">
        <v/>
      </c>
      <c r="BY947" t="str">
        <v>processor</v>
      </c>
      <c r="BZ947" t="str">
        <v>Citgo Holding Terminals Llc 5</v>
      </c>
      <c r="CA947" t="str">
        <v>blendSAF</v>
      </c>
      <c r="CB947" t="str">
        <v/>
      </c>
      <c r="CC947" t="str">
        <v/>
      </c>
      <c r="CD947" t="str">
        <v/>
      </c>
      <c r="CE947" t="str">
        <v/>
      </c>
      <c r="CF947" t="str">
        <v/>
      </c>
    </row>
    <row r="948" spans="58:84" x14ac:dyDescent="0.3">
      <c r="BF948" t="str">
        <v>processor</v>
      </c>
      <c r="BG948" t="str">
        <v>Owens Corning 10</v>
      </c>
      <c r="BH948" t="str">
        <v>blendSAF</v>
      </c>
      <c r="BI948" t="str">
        <v/>
      </c>
      <c r="BJ948" t="str">
        <v/>
      </c>
      <c r="BK948" t="str">
        <v/>
      </c>
      <c r="BL948" t="str">
        <v/>
      </c>
      <c r="BM948" t="str">
        <v/>
      </c>
      <c r="BY948" t="str">
        <v>processor</v>
      </c>
      <c r="BZ948" t="str">
        <v>Transmontaigne Operating Company 18</v>
      </c>
      <c r="CA948" t="str">
        <v>blendSAF</v>
      </c>
      <c r="CB948" t="str">
        <v/>
      </c>
      <c r="CC948" t="str">
        <v/>
      </c>
      <c r="CD948" t="str">
        <v/>
      </c>
      <c r="CE948" t="str">
        <v/>
      </c>
      <c r="CF948" t="str">
        <v/>
      </c>
    </row>
    <row r="949" spans="58:84" x14ac:dyDescent="0.3">
      <c r="BF949" t="str">
        <v>processor</v>
      </c>
      <c r="BG949" t="str">
        <v>Chevron Usa Inc Willbridge</v>
      </c>
      <c r="BH949" t="str">
        <v>blendSAF</v>
      </c>
      <c r="BI949" t="str">
        <v/>
      </c>
      <c r="BJ949" t="str">
        <v/>
      </c>
      <c r="BK949" t="str">
        <v/>
      </c>
      <c r="BL949" t="str">
        <v/>
      </c>
      <c r="BM949" t="str">
        <v/>
      </c>
      <c r="BY949" t="str">
        <v>processor</v>
      </c>
      <c r="BZ949" t="str">
        <v>Owens Corning 7</v>
      </c>
      <c r="CA949" t="str">
        <v>blendSAF</v>
      </c>
      <c r="CB949" t="str">
        <v/>
      </c>
      <c r="CC949" t="str">
        <v/>
      </c>
      <c r="CD949" t="str">
        <v/>
      </c>
      <c r="CE949" t="str">
        <v/>
      </c>
      <c r="CF949" t="str">
        <v/>
      </c>
    </row>
    <row r="950" spans="58:84" x14ac:dyDescent="0.3">
      <c r="BF950" t="str">
        <v>processor</v>
      </c>
      <c r="BG950" t="str">
        <v>Tlp Management Services Llc 3</v>
      </c>
      <c r="BH950" t="str">
        <v>blendSAF</v>
      </c>
      <c r="BI950" t="str">
        <v/>
      </c>
      <c r="BJ950" t="str">
        <v/>
      </c>
      <c r="BK950" t="str">
        <v/>
      </c>
      <c r="BL950" t="str">
        <v/>
      </c>
      <c r="BM950" t="str">
        <v/>
      </c>
      <c r="BY950" t="str">
        <v>processor</v>
      </c>
      <c r="BZ950" t="str">
        <v>Ergon Asphalt &amp; Emulsions</v>
      </c>
      <c r="CA950" t="str">
        <v>blendSAF</v>
      </c>
      <c r="CB950" t="str">
        <v/>
      </c>
      <c r="CC950" t="str">
        <v/>
      </c>
      <c r="CD950" t="str">
        <v/>
      </c>
      <c r="CE950" t="str">
        <v/>
      </c>
      <c r="CF950" t="str">
        <v/>
      </c>
    </row>
    <row r="951" spans="58:84" x14ac:dyDescent="0.3">
      <c r="BF951" t="str">
        <v>processor</v>
      </c>
      <c r="BG951" t="str">
        <v>Phillips 66 Company 16</v>
      </c>
      <c r="BH951" t="str">
        <v>blendSAF</v>
      </c>
      <c r="BI951" t="str">
        <v/>
      </c>
      <c r="BJ951" t="str">
        <v/>
      </c>
      <c r="BK951" t="str">
        <v/>
      </c>
      <c r="BL951" t="str">
        <v/>
      </c>
      <c r="BM951" t="str">
        <v/>
      </c>
      <c r="BY951" t="str">
        <v>processor</v>
      </c>
      <c r="BZ951" t="str">
        <v>Ergon Asphalt And Emulsions 10</v>
      </c>
      <c r="CA951" t="str">
        <v>blendSAF</v>
      </c>
      <c r="CB951" t="str">
        <v/>
      </c>
      <c r="CC951" t="str">
        <v/>
      </c>
      <c r="CD951" t="str">
        <v/>
      </c>
      <c r="CE951" t="str">
        <v/>
      </c>
      <c r="CF951" t="str">
        <v/>
      </c>
    </row>
    <row r="952" spans="58:84" x14ac:dyDescent="0.3">
      <c r="BF952" t="str">
        <v>processor</v>
      </c>
      <c r="BG952" t="str">
        <v>Phillips 66 3</v>
      </c>
      <c r="BH952" t="str">
        <v>blendSAF</v>
      </c>
      <c r="BI952" t="str">
        <v/>
      </c>
      <c r="BJ952" t="str">
        <v/>
      </c>
      <c r="BK952" t="str">
        <v/>
      </c>
      <c r="BL952" t="str">
        <v/>
      </c>
      <c r="BM952" t="str">
        <v/>
      </c>
      <c r="BY952" t="str">
        <v>processor</v>
      </c>
      <c r="BZ952" t="str">
        <v>Bkep Materials Llc 2</v>
      </c>
      <c r="CA952" t="str">
        <v>blendSAF</v>
      </c>
      <c r="CB952" t="str">
        <v/>
      </c>
      <c r="CC952" t="str">
        <v/>
      </c>
      <c r="CD952" t="str">
        <v/>
      </c>
      <c r="CE952" t="str">
        <v/>
      </c>
      <c r="CF952" t="str">
        <v/>
      </c>
    </row>
    <row r="953" spans="58:84" x14ac:dyDescent="0.3">
      <c r="BF953" t="str">
        <v>processor</v>
      </c>
      <c r="BG953" t="str">
        <v>Global Co Llc 4</v>
      </c>
      <c r="BH953" t="str">
        <v>blendSAF</v>
      </c>
      <c r="BI953" t="str">
        <v/>
      </c>
      <c r="BJ953" t="str">
        <v/>
      </c>
      <c r="BK953" t="str">
        <v/>
      </c>
      <c r="BL953" t="str">
        <v/>
      </c>
      <c r="BM953" t="str">
        <v/>
      </c>
      <c r="BY953" t="str">
        <v>processor</v>
      </c>
      <c r="BZ953" t="str">
        <v>Bkep Materials Llc 3</v>
      </c>
      <c r="CA953" t="str">
        <v>blendSAF</v>
      </c>
      <c r="CB953" t="str">
        <v/>
      </c>
      <c r="CC953" t="str">
        <v/>
      </c>
      <c r="CD953" t="str">
        <v/>
      </c>
      <c r="CE953" t="str">
        <v/>
      </c>
      <c r="CF953" t="str">
        <v/>
      </c>
    </row>
    <row r="954" spans="58:84" x14ac:dyDescent="0.3">
      <c r="BF954" t="str">
        <v>processor</v>
      </c>
      <c r="BG954" t="str">
        <v>Pacific Terminal Services Inc</v>
      </c>
      <c r="BH954" t="str">
        <v>blendSAF</v>
      </c>
      <c r="BI954" t="str">
        <v/>
      </c>
      <c r="BJ954" t="str">
        <v/>
      </c>
      <c r="BK954" t="str">
        <v/>
      </c>
      <c r="BL954" t="str">
        <v/>
      </c>
      <c r="BM954" t="str">
        <v/>
      </c>
      <c r="BY954" t="str">
        <v>processor</v>
      </c>
      <c r="BZ954" t="str">
        <v>Bkep Materials Llc 11</v>
      </c>
      <c r="CA954" t="str">
        <v>blendSAF</v>
      </c>
      <c r="CB954" t="str">
        <v/>
      </c>
      <c r="CC954" t="str">
        <v/>
      </c>
      <c r="CD954" t="str">
        <v/>
      </c>
      <c r="CE954" t="str">
        <v/>
      </c>
      <c r="CF954" t="str">
        <v/>
      </c>
    </row>
    <row r="955" spans="58:84" x14ac:dyDescent="0.3">
      <c r="BF955" t="str">
        <v>processor</v>
      </c>
      <c r="BG955" t="str">
        <v>Sfpp Lp 4</v>
      </c>
      <c r="BH955" t="str">
        <v>blendSAF</v>
      </c>
      <c r="BI955" t="str">
        <v/>
      </c>
      <c r="BJ955" t="str">
        <v/>
      </c>
      <c r="BK955" t="str">
        <v/>
      </c>
      <c r="BL955" t="str">
        <v/>
      </c>
      <c r="BM955" t="str">
        <v/>
      </c>
      <c r="BY955" t="str">
        <v>processor</v>
      </c>
      <c r="BZ955" t="str">
        <v>Bkep Materials Llc 12</v>
      </c>
      <c r="CA955" t="str">
        <v>blendSAF</v>
      </c>
      <c r="CB955" t="str">
        <v/>
      </c>
      <c r="CC955" t="str">
        <v/>
      </c>
      <c r="CD955" t="str">
        <v/>
      </c>
      <c r="CE955" t="str">
        <v/>
      </c>
      <c r="CF955" t="str">
        <v/>
      </c>
    </row>
    <row r="956" spans="58:84" x14ac:dyDescent="0.3">
      <c r="BF956" t="str">
        <v>processor</v>
      </c>
      <c r="BG956" t="str">
        <v>Kinder Morgan Portland Liquids Termi</v>
      </c>
      <c r="BH956" t="str">
        <v>blendSAF</v>
      </c>
      <c r="BI956" t="str">
        <v/>
      </c>
      <c r="BJ956" t="str">
        <v/>
      </c>
      <c r="BK956" t="str">
        <v/>
      </c>
      <c r="BL956" t="str">
        <v/>
      </c>
      <c r="BM956" t="str">
        <v/>
      </c>
      <c r="BY956" t="str">
        <v>processor</v>
      </c>
      <c r="BZ956" t="str">
        <v>Phillips 66 Company 14</v>
      </c>
      <c r="CA956" t="str">
        <v>blendSAF</v>
      </c>
      <c r="CB956" t="str">
        <v/>
      </c>
      <c r="CC956" t="str">
        <v/>
      </c>
      <c r="CD956" t="str">
        <v/>
      </c>
      <c r="CE956" t="str">
        <v/>
      </c>
      <c r="CF956" t="str">
        <v/>
      </c>
    </row>
    <row r="957" spans="58:84" x14ac:dyDescent="0.3">
      <c r="BF957" t="str">
        <v>processor</v>
      </c>
      <c r="BG957" t="str">
        <v>Mccall Oil &amp; Chemical</v>
      </c>
      <c r="BH957" t="str">
        <v>blendSAF</v>
      </c>
      <c r="BI957" t="str">
        <v/>
      </c>
      <c r="BJ957" t="str">
        <v/>
      </c>
      <c r="BK957" t="str">
        <v/>
      </c>
      <c r="BL957" t="str">
        <v/>
      </c>
      <c r="BM957" t="str">
        <v/>
      </c>
      <c r="BY957" t="str">
        <v>processor</v>
      </c>
      <c r="BZ957" t="str">
        <v>Phillips 66 Company 7</v>
      </c>
      <c r="CA957" t="str">
        <v>blendSAF</v>
      </c>
      <c r="CB957" t="str">
        <v/>
      </c>
      <c r="CC957" t="str">
        <v/>
      </c>
      <c r="CD957" t="str">
        <v/>
      </c>
      <c r="CE957" t="str">
        <v/>
      </c>
      <c r="CF957" t="str">
        <v/>
      </c>
    </row>
    <row r="958" spans="58:84" x14ac:dyDescent="0.3">
      <c r="BF958" t="str">
        <v>processor</v>
      </c>
      <c r="BG958" t="str">
        <v>Nustar Energy Lp 33</v>
      </c>
      <c r="BH958" t="str">
        <v>blendSAF</v>
      </c>
      <c r="BI958" t="str">
        <v/>
      </c>
      <c r="BJ958" t="str">
        <v/>
      </c>
      <c r="BK958" t="str">
        <v/>
      </c>
      <c r="BL958" t="str">
        <v/>
      </c>
      <c r="BM958" t="str">
        <v/>
      </c>
      <c r="BY958" t="str">
        <v>processor</v>
      </c>
      <c r="BZ958" t="str">
        <v>Phillips 66 Company 12</v>
      </c>
      <c r="CA958" t="str">
        <v>blendSAF</v>
      </c>
      <c r="CB958" t="str">
        <v/>
      </c>
      <c r="CC958" t="str">
        <v/>
      </c>
      <c r="CD958" t="str">
        <v/>
      </c>
      <c r="CE958" t="str">
        <v/>
      </c>
      <c r="CF958" t="str">
        <v/>
      </c>
    </row>
    <row r="959" spans="58:84" x14ac:dyDescent="0.3">
      <c r="BF959" t="str">
        <v>processor</v>
      </c>
      <c r="BG959" t="str">
        <v>Equilon Enterprises Llc 3</v>
      </c>
      <c r="BH959" t="str">
        <v>blendSAF</v>
      </c>
      <c r="BI959" t="str">
        <v/>
      </c>
      <c r="BJ959" t="str">
        <v/>
      </c>
      <c r="BK959" t="str">
        <v/>
      </c>
      <c r="BL959" t="str">
        <v/>
      </c>
      <c r="BM959" t="str">
        <v/>
      </c>
      <c r="BY959" t="str">
        <v>processor</v>
      </c>
      <c r="BZ959" t="str">
        <v>Phillips 66 Company 15</v>
      </c>
      <c r="CA959" t="str">
        <v>blendSAF</v>
      </c>
      <c r="CB959" t="str">
        <v/>
      </c>
      <c r="CC959" t="str">
        <v/>
      </c>
      <c r="CD959" t="str">
        <v/>
      </c>
      <c r="CE959" t="str">
        <v/>
      </c>
      <c r="CF959" t="str">
        <v/>
      </c>
    </row>
    <row r="960" spans="58:84" x14ac:dyDescent="0.3">
      <c r="BF960" t="str">
        <v>processor</v>
      </c>
      <c r="BG960" t="str">
        <v>Tidewater Terminal Co 2</v>
      </c>
      <c r="BH960" t="str">
        <v>blendSAF</v>
      </c>
      <c r="BI960" t="str">
        <v/>
      </c>
      <c r="BJ960" t="str">
        <v/>
      </c>
      <c r="BK960" t="str">
        <v/>
      </c>
      <c r="BL960" t="str">
        <v/>
      </c>
      <c r="BM960" t="str">
        <v/>
      </c>
      <c r="BY960" t="str">
        <v>processor</v>
      </c>
      <c r="BZ960" t="str">
        <v>Alon Usa Lp</v>
      </c>
      <c r="CA960" t="str">
        <v>blendSAF</v>
      </c>
      <c r="CB960" t="str">
        <v/>
      </c>
      <c r="CC960" t="str">
        <v/>
      </c>
      <c r="CD960" t="str">
        <v/>
      </c>
      <c r="CE960" t="str">
        <v/>
      </c>
      <c r="CF960" t="str">
        <v/>
      </c>
    </row>
    <row r="961" spans="58:84" x14ac:dyDescent="0.3">
      <c r="BF961" t="str">
        <v>processor</v>
      </c>
      <c r="BG961" t="str">
        <v>Owens Corning 11</v>
      </c>
      <c r="BH961" t="str">
        <v>blendSAF</v>
      </c>
      <c r="BI961" t="str">
        <v/>
      </c>
      <c r="BJ961" t="str">
        <v/>
      </c>
      <c r="BK961" t="str">
        <v/>
      </c>
      <c r="BL961" t="str">
        <v/>
      </c>
      <c r="BM961" t="str">
        <v/>
      </c>
      <c r="BY961" t="str">
        <v>processor</v>
      </c>
      <c r="BZ961" t="str">
        <v>Keyera Energy</v>
      </c>
      <c r="CA961" t="str">
        <v>blendSAF</v>
      </c>
      <c r="CB961" t="str">
        <v/>
      </c>
      <c r="CC961" t="str">
        <v/>
      </c>
      <c r="CD961" t="str">
        <v/>
      </c>
      <c r="CE961" t="str">
        <v/>
      </c>
      <c r="CF961" t="str">
        <v/>
      </c>
    </row>
    <row r="962" spans="58:84" x14ac:dyDescent="0.3">
      <c r="BF962" t="str">
        <v>processor</v>
      </c>
      <c r="BG962" t="str">
        <v>Zenith Energy Terminals Holdings Llc</v>
      </c>
      <c r="BH962" t="str">
        <v>blendSAF</v>
      </c>
      <c r="BI962" t="str">
        <v/>
      </c>
      <c r="BJ962" t="str">
        <v/>
      </c>
      <c r="BK962" t="str">
        <v/>
      </c>
      <c r="BL962" t="str">
        <v/>
      </c>
      <c r="BM962" t="str">
        <v/>
      </c>
      <c r="BY962" t="str">
        <v>processor</v>
      </c>
      <c r="BZ962" t="str">
        <v>Magellan Pipeline Co Lp 45</v>
      </c>
      <c r="CA962" t="str">
        <v>blendSAF</v>
      </c>
      <c r="CB962" t="str">
        <v/>
      </c>
      <c r="CC962" t="str">
        <v/>
      </c>
      <c r="CD962" t="str">
        <v/>
      </c>
      <c r="CE962" t="str">
        <v/>
      </c>
      <c r="CF962" t="str">
        <v/>
      </c>
    </row>
    <row r="963" spans="58:84" x14ac:dyDescent="0.3">
      <c r="BF963" t="str">
        <v>processor</v>
      </c>
      <c r="BG963" t="str">
        <v>Valvoline 38</v>
      </c>
      <c r="BH963" t="str">
        <v>blendSAF</v>
      </c>
      <c r="BI963" t="str">
        <v/>
      </c>
      <c r="BJ963" t="str">
        <v/>
      </c>
      <c r="BK963" t="str">
        <v/>
      </c>
      <c r="BL963" t="str">
        <v/>
      </c>
      <c r="BM963" t="str">
        <v/>
      </c>
      <c r="BY963" t="str">
        <v>processor</v>
      </c>
      <c r="BZ963" t="str">
        <v>Magellan Pipeline Co Lp 2</v>
      </c>
      <c r="CA963" t="str">
        <v>blendSAF</v>
      </c>
      <c r="CB963" t="str">
        <v/>
      </c>
      <c r="CC963" t="str">
        <v/>
      </c>
      <c r="CD963" t="str">
        <v/>
      </c>
      <c r="CE963" t="str">
        <v/>
      </c>
      <c r="CF963" t="str">
        <v/>
      </c>
    </row>
    <row r="964" spans="58:84" x14ac:dyDescent="0.3">
      <c r="BF964" t="str">
        <v>processor</v>
      </c>
      <c r="BG964" t="str">
        <v>Lucknow - Highspire Terminal</v>
      </c>
      <c r="BH964" t="str">
        <v>blendSAF</v>
      </c>
      <c r="BI964" t="str">
        <v/>
      </c>
      <c r="BJ964" t="str">
        <v/>
      </c>
      <c r="BK964" t="str">
        <v/>
      </c>
      <c r="BL964" t="str">
        <v/>
      </c>
      <c r="BM964" t="str">
        <v/>
      </c>
      <c r="BY964" t="str">
        <v>processor</v>
      </c>
      <c r="BZ964" t="str">
        <v>Magellan Pipeline Co Lp 12</v>
      </c>
      <c r="CA964" t="str">
        <v>blendSAF</v>
      </c>
      <c r="CB964" t="str">
        <v/>
      </c>
      <c r="CC964" t="str">
        <v/>
      </c>
      <c r="CD964" t="str">
        <v/>
      </c>
      <c r="CE964" t="str">
        <v/>
      </c>
      <c r="CF964" t="str">
        <v/>
      </c>
    </row>
    <row r="965" spans="58:84" x14ac:dyDescent="0.3">
      <c r="BF965" t="str">
        <v>processor</v>
      </c>
      <c r="BG965" t="str">
        <v>Lucknow - Highspire Terminals 1</v>
      </c>
      <c r="BH965" t="str">
        <v>blendSAF</v>
      </c>
      <c r="BI965" t="str">
        <v/>
      </c>
      <c r="BJ965" t="str">
        <v/>
      </c>
      <c r="BK965" t="str">
        <v/>
      </c>
      <c r="BL965" t="str">
        <v/>
      </c>
      <c r="BM965" t="str">
        <v/>
      </c>
      <c r="BY965" t="str">
        <v>processor</v>
      </c>
      <c r="BZ965" t="str">
        <v>Magellan Pipeline Co Lp 34</v>
      </c>
      <c r="CA965" t="str">
        <v>blendSAF</v>
      </c>
      <c r="CB965" t="str">
        <v/>
      </c>
      <c r="CC965" t="str">
        <v/>
      </c>
      <c r="CD965" t="str">
        <v/>
      </c>
      <c r="CE965" t="str">
        <v/>
      </c>
      <c r="CF965" t="str">
        <v/>
      </c>
    </row>
    <row r="966" spans="58:84" x14ac:dyDescent="0.3">
      <c r="BF966" t="str">
        <v>processor</v>
      </c>
      <c r="BG966" t="str">
        <v>Lucknow - Highspire Terminals 2</v>
      </c>
      <c r="BH966" t="str">
        <v>blendSAF</v>
      </c>
      <c r="BI966" t="str">
        <v/>
      </c>
      <c r="BJ966" t="str">
        <v/>
      </c>
      <c r="BK966" t="str">
        <v/>
      </c>
      <c r="BL966" t="str">
        <v/>
      </c>
      <c r="BM966" t="str">
        <v/>
      </c>
      <c r="BY966" t="str">
        <v>processor</v>
      </c>
      <c r="BZ966" t="str">
        <v>Nustar Energy Lp 5</v>
      </c>
      <c r="CA966" t="str">
        <v>blendSAF</v>
      </c>
      <c r="CB966" t="str">
        <v/>
      </c>
      <c r="CC966" t="str">
        <v/>
      </c>
      <c r="CD966" t="str">
        <v/>
      </c>
      <c r="CE966" t="str">
        <v/>
      </c>
      <c r="CF966" t="str">
        <v/>
      </c>
    </row>
    <row r="967" spans="58:84" x14ac:dyDescent="0.3">
      <c r="BF967" t="str">
        <v>processor</v>
      </c>
      <c r="BG967" t="str">
        <v>Lucknow - Highspire Terminals 10</v>
      </c>
      <c r="BH967" t="str">
        <v>blendSAF</v>
      </c>
      <c r="BI967" t="str">
        <v/>
      </c>
      <c r="BJ967" t="str">
        <v/>
      </c>
      <c r="BK967" t="str">
        <v/>
      </c>
      <c r="BL967" t="str">
        <v/>
      </c>
      <c r="BM967" t="str">
        <v/>
      </c>
      <c r="BY967" t="str">
        <v>processor</v>
      </c>
      <c r="BZ967" t="str">
        <v>Citgo Petroleum Corp 34</v>
      </c>
      <c r="CA967" t="str">
        <v>blendSAF</v>
      </c>
      <c r="CB967" t="str">
        <v/>
      </c>
      <c r="CC967" t="str">
        <v/>
      </c>
      <c r="CD967" t="str">
        <v/>
      </c>
      <c r="CE967" t="str">
        <v/>
      </c>
      <c r="CF967" t="str">
        <v/>
      </c>
    </row>
    <row r="968" spans="58:84" x14ac:dyDescent="0.3">
      <c r="BF968" t="str">
        <v>processor</v>
      </c>
      <c r="BG968" t="str">
        <v>Lucknow - Highspire Terminals 6</v>
      </c>
      <c r="BH968" t="str">
        <v>blendSAF</v>
      </c>
      <c r="BI968" t="str">
        <v/>
      </c>
      <c r="BJ968" t="str">
        <v/>
      </c>
      <c r="BK968" t="str">
        <v/>
      </c>
      <c r="BL968" t="str">
        <v/>
      </c>
      <c r="BM968" t="str">
        <v/>
      </c>
      <c r="BY968" t="str">
        <v>processor</v>
      </c>
      <c r="BZ968" t="str">
        <v>Plains Lpg Services 4</v>
      </c>
      <c r="CA968" t="str">
        <v>blendSAF</v>
      </c>
      <c r="CB968" t="str">
        <v/>
      </c>
      <c r="CC968" t="str">
        <v/>
      </c>
      <c r="CD968" t="str">
        <v/>
      </c>
      <c r="CE968" t="str">
        <v/>
      </c>
      <c r="CF968" t="str">
        <v/>
      </c>
    </row>
    <row r="969" spans="58:84" x14ac:dyDescent="0.3">
      <c r="BF969" t="str">
        <v>processor</v>
      </c>
      <c r="BG969" t="str">
        <v>Lucknow - Highspire Terminals 8</v>
      </c>
      <c r="BH969" t="str">
        <v>blendSAF</v>
      </c>
      <c r="BI969" t="str">
        <v/>
      </c>
      <c r="BJ969" t="str">
        <v/>
      </c>
      <c r="BK969" t="str">
        <v/>
      </c>
      <c r="BL969" t="str">
        <v/>
      </c>
      <c r="BM969" t="str">
        <v/>
      </c>
      <c r="BY969" t="str">
        <v>processor</v>
      </c>
      <c r="BZ969" t="str">
        <v>Transmontaigne Operating Company 37</v>
      </c>
      <c r="CA969" t="str">
        <v>blendSAF</v>
      </c>
      <c r="CB969" t="str">
        <v/>
      </c>
      <c r="CC969" t="str">
        <v/>
      </c>
      <c r="CD969" t="str">
        <v/>
      </c>
      <c r="CE969" t="str">
        <v/>
      </c>
      <c r="CF969" t="str">
        <v/>
      </c>
    </row>
    <row r="970" spans="58:84" x14ac:dyDescent="0.3">
      <c r="BF970" t="str">
        <v>processor</v>
      </c>
      <c r="BG970" t="str">
        <v>Lucknow - Highspire Terminals 5</v>
      </c>
      <c r="BH970" t="str">
        <v>blendSAF</v>
      </c>
      <c r="BI970" t="str">
        <v/>
      </c>
      <c r="BJ970" t="str">
        <v/>
      </c>
      <c r="BK970" t="str">
        <v/>
      </c>
      <c r="BL970" t="str">
        <v/>
      </c>
      <c r="BM970" t="str">
        <v/>
      </c>
      <c r="BY970" t="str">
        <v>processor</v>
      </c>
      <c r="BZ970" t="str">
        <v>Owens Corning 10</v>
      </c>
      <c r="CA970" t="str">
        <v>blendSAF</v>
      </c>
      <c r="CB970" t="str">
        <v/>
      </c>
      <c r="CC970" t="str">
        <v/>
      </c>
      <c r="CD970" t="str">
        <v/>
      </c>
      <c r="CE970" t="str">
        <v/>
      </c>
      <c r="CF970" t="str">
        <v/>
      </c>
    </row>
    <row r="971" spans="58:84" x14ac:dyDescent="0.3">
      <c r="BF971" t="str">
        <v>processor</v>
      </c>
      <c r="BG971" t="str">
        <v>Lucknow - Highspire Terminals 7</v>
      </c>
      <c r="BH971" t="str">
        <v>blendSAF</v>
      </c>
      <c r="BI971" t="str">
        <v/>
      </c>
      <c r="BJ971" t="str">
        <v/>
      </c>
      <c r="BK971" t="str">
        <v/>
      </c>
      <c r="BL971" t="str">
        <v/>
      </c>
      <c r="BM971" t="str">
        <v/>
      </c>
      <c r="BY971" t="str">
        <v>processor</v>
      </c>
      <c r="BZ971" t="str">
        <v>Chevron Usa Inc Willbridge</v>
      </c>
      <c r="CA971" t="str">
        <v>blendSAF</v>
      </c>
      <c r="CB971" t="str">
        <v/>
      </c>
      <c r="CC971" t="str">
        <v/>
      </c>
      <c r="CD971" t="str">
        <v/>
      </c>
      <c r="CE971" t="str">
        <v/>
      </c>
      <c r="CF971" t="str">
        <v/>
      </c>
    </row>
    <row r="972" spans="58:84" x14ac:dyDescent="0.3">
      <c r="BF972" t="str">
        <v>processor</v>
      </c>
      <c r="BG972" t="str">
        <v>Lucknow - Highspire Terminals 11</v>
      </c>
      <c r="BH972" t="str">
        <v>blendSAF</v>
      </c>
      <c r="BI972" t="str">
        <v/>
      </c>
      <c r="BJ972" t="str">
        <v/>
      </c>
      <c r="BK972" t="str">
        <v/>
      </c>
      <c r="BL972" t="str">
        <v/>
      </c>
      <c r="BM972" t="str">
        <v/>
      </c>
      <c r="BY972" t="str">
        <v>processor</v>
      </c>
      <c r="BZ972" t="str">
        <v>Tlp Management Services Llc 3</v>
      </c>
      <c r="CA972" t="str">
        <v>blendSAF</v>
      </c>
      <c r="CB972" t="str">
        <v/>
      </c>
      <c r="CC972" t="str">
        <v/>
      </c>
      <c r="CD972" t="str">
        <v/>
      </c>
      <c r="CE972" t="str">
        <v/>
      </c>
      <c r="CF972" t="str">
        <v/>
      </c>
    </row>
    <row r="973" spans="58:84" x14ac:dyDescent="0.3">
      <c r="BF973" t="str">
        <v>processor</v>
      </c>
      <c r="BG973" t="str">
        <v>Lucknow - Highspire Terminals 3</v>
      </c>
      <c r="BH973" t="str">
        <v>blendSAF</v>
      </c>
      <c r="BI973" t="str">
        <v/>
      </c>
      <c r="BJ973" t="str">
        <v/>
      </c>
      <c r="BK973" t="str">
        <v/>
      </c>
      <c r="BL973" t="str">
        <v/>
      </c>
      <c r="BM973" t="str">
        <v/>
      </c>
      <c r="BY973" t="str">
        <v>processor</v>
      </c>
      <c r="BZ973" t="str">
        <v>Phillips 66 Company 16</v>
      </c>
      <c r="CA973" t="str">
        <v>blendSAF</v>
      </c>
      <c r="CB973" t="str">
        <v/>
      </c>
      <c r="CC973" t="str">
        <v/>
      </c>
      <c r="CD973" t="str">
        <v/>
      </c>
      <c r="CE973" t="str">
        <v/>
      </c>
      <c r="CF973" t="str">
        <v/>
      </c>
    </row>
    <row r="974" spans="58:84" x14ac:dyDescent="0.3">
      <c r="BF974" t="str">
        <v>processor</v>
      </c>
      <c r="BG974" t="str">
        <v>Lucknow - Highspire Terminals 4</v>
      </c>
      <c r="BH974" t="str">
        <v>blendSAF</v>
      </c>
      <c r="BI974" t="str">
        <v/>
      </c>
      <c r="BJ974" t="str">
        <v/>
      </c>
      <c r="BK974" t="str">
        <v/>
      </c>
      <c r="BL974" t="str">
        <v/>
      </c>
      <c r="BM974" t="str">
        <v/>
      </c>
      <c r="BY974" t="str">
        <v>processor</v>
      </c>
      <c r="BZ974" t="str">
        <v>Phillips 66 3</v>
      </c>
      <c r="CA974" t="str">
        <v>blendSAF</v>
      </c>
      <c r="CB974" t="str">
        <v/>
      </c>
      <c r="CC974" t="str">
        <v/>
      </c>
      <c r="CD974" t="str">
        <v/>
      </c>
      <c r="CE974" t="str">
        <v/>
      </c>
      <c r="CF974" t="str">
        <v/>
      </c>
    </row>
    <row r="975" spans="58:84" x14ac:dyDescent="0.3">
      <c r="BF975" t="str">
        <v>processor</v>
      </c>
      <c r="BG975" t="str">
        <v>Lucknow - Highspire Terminals 9</v>
      </c>
      <c r="BH975" t="str">
        <v>blendSAF</v>
      </c>
      <c r="BI975" t="str">
        <v/>
      </c>
      <c r="BJ975" t="str">
        <v/>
      </c>
      <c r="BK975" t="str">
        <v/>
      </c>
      <c r="BL975" t="str">
        <v/>
      </c>
      <c r="BM975" t="str">
        <v/>
      </c>
      <c r="BY975" t="str">
        <v>processor</v>
      </c>
      <c r="BZ975" t="str">
        <v>Global Co Llc 4</v>
      </c>
      <c r="CA975" t="str">
        <v>blendSAF</v>
      </c>
      <c r="CB975" t="str">
        <v/>
      </c>
      <c r="CC975" t="str">
        <v/>
      </c>
      <c r="CD975" t="str">
        <v/>
      </c>
      <c r="CE975" t="str">
        <v/>
      </c>
      <c r="CF975" t="str">
        <v/>
      </c>
    </row>
    <row r="976" spans="58:84" x14ac:dyDescent="0.3">
      <c r="BF976" t="str">
        <v>processor</v>
      </c>
      <c r="BG976" t="str">
        <v>Buckeye Terminals Llc 66</v>
      </c>
      <c r="BH976" t="str">
        <v>blendSAF</v>
      </c>
      <c r="BI976" t="str">
        <v/>
      </c>
      <c r="BJ976" t="str">
        <v/>
      </c>
      <c r="BK976" t="str">
        <v/>
      </c>
      <c r="BL976" t="str">
        <v/>
      </c>
      <c r="BM976" t="str">
        <v/>
      </c>
      <c r="BY976" t="str">
        <v>processor</v>
      </c>
      <c r="BZ976" t="str">
        <v>Pacific Terminal Services Inc</v>
      </c>
      <c r="CA976" t="str">
        <v>blendSAF</v>
      </c>
      <c r="CB976" t="str">
        <v/>
      </c>
      <c r="CC976" t="str">
        <v/>
      </c>
      <c r="CD976" t="str">
        <v/>
      </c>
      <c r="CE976" t="str">
        <v/>
      </c>
      <c r="CF976" t="str">
        <v/>
      </c>
    </row>
    <row r="977" spans="58:84" x14ac:dyDescent="0.3">
      <c r="BF977" t="str">
        <v>processor</v>
      </c>
      <c r="BG977" t="str">
        <v>Buckeye Terminals Llc 46</v>
      </c>
      <c r="BH977" t="str">
        <v>blendSAF</v>
      </c>
      <c r="BI977" t="str">
        <v/>
      </c>
      <c r="BJ977" t="str">
        <v/>
      </c>
      <c r="BK977" t="str">
        <v/>
      </c>
      <c r="BL977" t="str">
        <v/>
      </c>
      <c r="BM977" t="str">
        <v/>
      </c>
      <c r="BY977" t="str">
        <v>processor</v>
      </c>
      <c r="BZ977" t="str">
        <v>Sfpp Lp 4</v>
      </c>
      <c r="CA977" t="str">
        <v>blendSAF</v>
      </c>
      <c r="CB977" t="str">
        <v/>
      </c>
      <c r="CC977" t="str">
        <v/>
      </c>
      <c r="CD977" t="str">
        <v/>
      </c>
      <c r="CE977" t="str">
        <v/>
      </c>
      <c r="CF977" t="str">
        <v/>
      </c>
    </row>
    <row r="978" spans="58:84" x14ac:dyDescent="0.3">
      <c r="BF978" t="str">
        <v>processor</v>
      </c>
      <c r="BG978" t="str">
        <v>Buckeye Terminals Llc 52</v>
      </c>
      <c r="BH978" t="str">
        <v>blendSAF</v>
      </c>
      <c r="BI978" t="str">
        <v/>
      </c>
      <c r="BJ978" t="str">
        <v/>
      </c>
      <c r="BK978" t="str">
        <v/>
      </c>
      <c r="BL978" t="str">
        <v/>
      </c>
      <c r="BM978" t="str">
        <v/>
      </c>
      <c r="BY978" t="str">
        <v>processor</v>
      </c>
      <c r="BZ978" t="str">
        <v>Kinder Morgan Portland Liquids Termi</v>
      </c>
      <c r="CA978" t="str">
        <v>blendSAF</v>
      </c>
      <c r="CB978" t="str">
        <v/>
      </c>
      <c r="CC978" t="str">
        <v/>
      </c>
      <c r="CD978" t="str">
        <v/>
      </c>
      <c r="CE978" t="str">
        <v/>
      </c>
      <c r="CF978" t="str">
        <v/>
      </c>
    </row>
    <row r="979" spans="58:84" x14ac:dyDescent="0.3">
      <c r="BF979" t="str">
        <v>processor</v>
      </c>
      <c r="BG979" t="str">
        <v>Buckeye Terminals Llc 37</v>
      </c>
      <c r="BH979" t="str">
        <v>blendSAF</v>
      </c>
      <c r="BI979" t="str">
        <v/>
      </c>
      <c r="BJ979" t="str">
        <v/>
      </c>
      <c r="BK979" t="str">
        <v/>
      </c>
      <c r="BL979" t="str">
        <v/>
      </c>
      <c r="BM979" t="str">
        <v/>
      </c>
      <c r="BY979" t="str">
        <v>processor</v>
      </c>
      <c r="BZ979" t="str">
        <v>Mccall Oil &amp; Chemical</v>
      </c>
      <c r="CA979" t="str">
        <v>blendSAF</v>
      </c>
      <c r="CB979" t="str">
        <v/>
      </c>
      <c r="CC979" t="str">
        <v/>
      </c>
      <c r="CD979" t="str">
        <v/>
      </c>
      <c r="CE979" t="str">
        <v/>
      </c>
      <c r="CF979" t="str">
        <v/>
      </c>
    </row>
    <row r="980" spans="58:84" x14ac:dyDescent="0.3">
      <c r="BF980" t="str">
        <v>processor</v>
      </c>
      <c r="BG980" t="str">
        <v>Buckeye Terminals Llc 58</v>
      </c>
      <c r="BH980" t="str">
        <v>blendSAF</v>
      </c>
      <c r="BI980" t="str">
        <v/>
      </c>
      <c r="BJ980" t="str">
        <v/>
      </c>
      <c r="BK980" t="str">
        <v/>
      </c>
      <c r="BL980" t="str">
        <v/>
      </c>
      <c r="BM980" t="str">
        <v/>
      </c>
      <c r="BY980" t="str">
        <v>processor</v>
      </c>
      <c r="BZ980" t="str">
        <v>Nustar Energy Lp 33</v>
      </c>
      <c r="CA980" t="str">
        <v>blendSAF</v>
      </c>
      <c r="CB980" t="str">
        <v/>
      </c>
      <c r="CC980" t="str">
        <v/>
      </c>
      <c r="CD980" t="str">
        <v/>
      </c>
      <c r="CE980" t="str">
        <v/>
      </c>
      <c r="CF980" t="str">
        <v/>
      </c>
    </row>
    <row r="981" spans="58:84" x14ac:dyDescent="0.3">
      <c r="BF981" t="str">
        <v>processor</v>
      </c>
      <c r="BG981" t="str">
        <v>Buckeye Terminals Llc 65</v>
      </c>
      <c r="BH981" t="str">
        <v>blendSAF</v>
      </c>
      <c r="BI981" t="str">
        <v/>
      </c>
      <c r="BJ981" t="str">
        <v/>
      </c>
      <c r="BK981" t="str">
        <v/>
      </c>
      <c r="BL981" t="str">
        <v/>
      </c>
      <c r="BM981" t="str">
        <v/>
      </c>
      <c r="BY981" t="str">
        <v>processor</v>
      </c>
      <c r="BZ981" t="str">
        <v>Equilon Enterprises Llc 3</v>
      </c>
      <c r="CA981" t="str">
        <v>blendSAF</v>
      </c>
      <c r="CB981" t="str">
        <v/>
      </c>
      <c r="CC981" t="str">
        <v/>
      </c>
      <c r="CD981" t="str">
        <v/>
      </c>
      <c r="CE981" t="str">
        <v/>
      </c>
      <c r="CF981" t="str">
        <v/>
      </c>
    </row>
    <row r="982" spans="58:84" x14ac:dyDescent="0.3">
      <c r="BF982" t="str">
        <v>processor</v>
      </c>
      <c r="BG982" t="str">
        <v>Buckeye Terminals Llc 110</v>
      </c>
      <c r="BH982" t="str">
        <v>blendSAF</v>
      </c>
      <c r="BI982" t="str">
        <v/>
      </c>
      <c r="BJ982" t="str">
        <v/>
      </c>
      <c r="BK982" t="str">
        <v/>
      </c>
      <c r="BL982" t="str">
        <v/>
      </c>
      <c r="BM982" t="str">
        <v/>
      </c>
      <c r="BY982" t="str">
        <v>processor</v>
      </c>
      <c r="BZ982" t="str">
        <v>Tidewater Terminal Co 2</v>
      </c>
      <c r="CA982" t="str">
        <v>blendSAF</v>
      </c>
      <c r="CB982" t="str">
        <v/>
      </c>
      <c r="CC982" t="str">
        <v/>
      </c>
      <c r="CD982" t="str">
        <v/>
      </c>
      <c r="CE982" t="str">
        <v/>
      </c>
      <c r="CF982" t="str">
        <v/>
      </c>
    </row>
    <row r="983" spans="58:84" x14ac:dyDescent="0.3">
      <c r="BF983" t="str">
        <v>processor</v>
      </c>
      <c r="BG983" t="str">
        <v>Buckeye Energy Services</v>
      </c>
      <c r="BH983" t="str">
        <v>blendSAF</v>
      </c>
      <c r="BI983" t="str">
        <v/>
      </c>
      <c r="BJ983" t="str">
        <v/>
      </c>
      <c r="BK983" t="str">
        <v/>
      </c>
      <c r="BL983" t="str">
        <v/>
      </c>
      <c r="BM983" t="str">
        <v/>
      </c>
      <c r="BY983" t="str">
        <v>processor</v>
      </c>
      <c r="BZ983" t="str">
        <v>Owens Corning 11</v>
      </c>
      <c r="CA983" t="str">
        <v>blendSAF</v>
      </c>
      <c r="CB983" t="str">
        <v/>
      </c>
      <c r="CC983" t="str">
        <v/>
      </c>
      <c r="CD983" t="str">
        <v/>
      </c>
      <c r="CE983" t="str">
        <v/>
      </c>
      <c r="CF983" t="str">
        <v/>
      </c>
    </row>
    <row r="984" spans="58:84" x14ac:dyDescent="0.3">
      <c r="BF984" t="str">
        <v>processor</v>
      </c>
      <c r="BG984" t="str">
        <v>Crestwood Services Llc 2</v>
      </c>
      <c r="BH984" t="str">
        <v>blendSAF</v>
      </c>
      <c r="BI984" t="str">
        <v/>
      </c>
      <c r="BJ984" t="str">
        <v/>
      </c>
      <c r="BK984" t="str">
        <v/>
      </c>
      <c r="BL984" t="str">
        <v/>
      </c>
      <c r="BM984" t="str">
        <v/>
      </c>
      <c r="BY984" t="str">
        <v>processor</v>
      </c>
      <c r="BZ984" t="str">
        <v>Zenith Energy Terminals Holdings Llc</v>
      </c>
      <c r="CA984" t="str">
        <v>blendSAF</v>
      </c>
      <c r="CB984" t="str">
        <v/>
      </c>
      <c r="CC984" t="str">
        <v/>
      </c>
      <c r="CD984" t="str">
        <v/>
      </c>
      <c r="CE984" t="str">
        <v/>
      </c>
      <c r="CF984" t="str">
        <v/>
      </c>
    </row>
    <row r="985" spans="58:84" x14ac:dyDescent="0.3">
      <c r="BF985" t="str">
        <v>processor</v>
      </c>
      <c r="BG985" t="str">
        <v>Monroe Energy Llc 2</v>
      </c>
      <c r="BH985" t="str">
        <v>blendSAF</v>
      </c>
      <c r="BI985" t="str">
        <v/>
      </c>
      <c r="BJ985" t="str">
        <v/>
      </c>
      <c r="BK985" t="str">
        <v/>
      </c>
      <c r="BL985" t="str">
        <v/>
      </c>
      <c r="BM985" t="str">
        <v/>
      </c>
      <c r="BY985" t="str">
        <v>processor</v>
      </c>
      <c r="BZ985" t="str">
        <v>Valvoline 38</v>
      </c>
      <c r="CA985" t="str">
        <v>blendSAF</v>
      </c>
      <c r="CB985" t="str">
        <v/>
      </c>
      <c r="CC985" t="str">
        <v/>
      </c>
      <c r="CD985" t="str">
        <v/>
      </c>
      <c r="CE985" t="str">
        <v/>
      </c>
      <c r="CF985" t="str">
        <v/>
      </c>
    </row>
    <row r="986" spans="58:84" x14ac:dyDescent="0.3">
      <c r="BF986" t="str">
        <v>processor</v>
      </c>
      <c r="BG986" t="str">
        <v>Monroe Energy Llc 1</v>
      </c>
      <c r="BH986" t="str">
        <v>blendSAF</v>
      </c>
      <c r="BI986" t="str">
        <v/>
      </c>
      <c r="BJ986" t="str">
        <v/>
      </c>
      <c r="BK986" t="str">
        <v/>
      </c>
      <c r="BL986" t="str">
        <v/>
      </c>
      <c r="BM986" t="str">
        <v/>
      </c>
      <c r="BY986" t="str">
        <v>processor</v>
      </c>
      <c r="BZ986" t="str">
        <v>Lucknow - Highspire Terminal</v>
      </c>
      <c r="CA986" t="str">
        <v>blendSAF</v>
      </c>
      <c r="CB986" t="str">
        <v/>
      </c>
      <c r="CC986" t="str">
        <v/>
      </c>
      <c r="CD986" t="str">
        <v/>
      </c>
      <c r="CE986" t="str">
        <v/>
      </c>
      <c r="CF986" t="str">
        <v/>
      </c>
    </row>
    <row r="987" spans="58:84" x14ac:dyDescent="0.3">
      <c r="BF987" t="str">
        <v>processor</v>
      </c>
      <c r="BG987" t="str">
        <v>Pbf Logistics Products Terminals Llc 14</v>
      </c>
      <c r="BH987" t="str">
        <v>blendSAF</v>
      </c>
      <c r="BI987" t="str">
        <v/>
      </c>
      <c r="BJ987" t="str">
        <v/>
      </c>
      <c r="BK987" t="str">
        <v/>
      </c>
      <c r="BL987" t="str">
        <v/>
      </c>
      <c r="BM987" t="str">
        <v/>
      </c>
      <c r="BY987" t="str">
        <v>processor</v>
      </c>
      <c r="BZ987" t="str">
        <v>Lucknow - Highspire Terminals 1</v>
      </c>
      <c r="CA987" t="str">
        <v>blendSAF</v>
      </c>
      <c r="CB987" t="str">
        <v/>
      </c>
      <c r="CC987" t="str">
        <v/>
      </c>
      <c r="CD987" t="str">
        <v/>
      </c>
      <c r="CE987" t="str">
        <v/>
      </c>
      <c r="CF987" t="str">
        <v/>
      </c>
    </row>
    <row r="988" spans="58:84" x14ac:dyDescent="0.3">
      <c r="BF988" t="str">
        <v>processor</v>
      </c>
      <c r="BG988" t="str">
        <v>Pbf Logistics Products Terminals Llc 15</v>
      </c>
      <c r="BH988" t="str">
        <v>blendSAF</v>
      </c>
      <c r="BI988" t="str">
        <v/>
      </c>
      <c r="BJ988" t="str">
        <v/>
      </c>
      <c r="BK988" t="str">
        <v/>
      </c>
      <c r="BL988" t="str">
        <v/>
      </c>
      <c r="BM988" t="str">
        <v/>
      </c>
      <c r="BY988" t="str">
        <v>processor</v>
      </c>
      <c r="BZ988" t="str">
        <v>Lucknow - Highspire Terminals 2</v>
      </c>
      <c r="CA988" t="str">
        <v>blendSAF</v>
      </c>
      <c r="CB988" t="str">
        <v/>
      </c>
      <c r="CC988" t="str">
        <v/>
      </c>
      <c r="CD988" t="str">
        <v/>
      </c>
      <c r="CE988" t="str">
        <v/>
      </c>
      <c r="CF988" t="str">
        <v/>
      </c>
    </row>
    <row r="989" spans="58:84" x14ac:dyDescent="0.3">
      <c r="BF989" t="str">
        <v>processor</v>
      </c>
      <c r="BG989" t="str">
        <v>Eco-Energy Dstr Services Llc</v>
      </c>
      <c r="BH989" t="str">
        <v>blendSAF</v>
      </c>
      <c r="BI989" t="str">
        <v/>
      </c>
      <c r="BJ989" t="str">
        <v/>
      </c>
      <c r="BK989" t="str">
        <v/>
      </c>
      <c r="BL989" t="str">
        <v/>
      </c>
      <c r="BM989" t="str">
        <v/>
      </c>
      <c r="BY989" t="str">
        <v>processor</v>
      </c>
      <c r="BZ989" t="str">
        <v>Lucknow - Highspire Terminals 10</v>
      </c>
      <c r="CA989" t="str">
        <v>blendSAF</v>
      </c>
      <c r="CB989" t="str">
        <v/>
      </c>
      <c r="CC989" t="str">
        <v/>
      </c>
      <c r="CD989" t="str">
        <v/>
      </c>
      <c r="CE989" t="str">
        <v/>
      </c>
      <c r="CF989" t="str">
        <v/>
      </c>
    </row>
    <row r="990" spans="58:84" x14ac:dyDescent="0.3">
      <c r="BF990" t="str">
        <v>processor</v>
      </c>
      <c r="BG990" t="str">
        <v>Sunoco Logistics 17</v>
      </c>
      <c r="BH990" t="str">
        <v>blendSAF</v>
      </c>
      <c r="BI990" t="str">
        <v/>
      </c>
      <c r="BJ990" t="str">
        <v/>
      </c>
      <c r="BK990" t="str">
        <v/>
      </c>
      <c r="BL990" t="str">
        <v/>
      </c>
      <c r="BM990" t="str">
        <v/>
      </c>
      <c r="BY990" t="str">
        <v>processor</v>
      </c>
      <c r="BZ990" t="str">
        <v>Lucknow - Highspire Terminals 6</v>
      </c>
      <c r="CA990" t="str">
        <v>blendSAF</v>
      </c>
      <c r="CB990" t="str">
        <v/>
      </c>
      <c r="CC990" t="str">
        <v/>
      </c>
      <c r="CD990" t="str">
        <v/>
      </c>
      <c r="CE990" t="str">
        <v/>
      </c>
      <c r="CF990" t="str">
        <v/>
      </c>
    </row>
    <row r="991" spans="58:84" x14ac:dyDescent="0.3">
      <c r="BF991" t="str">
        <v>processor</v>
      </c>
      <c r="BG991" t="str">
        <v>Sunoco Logistics 40</v>
      </c>
      <c r="BH991" t="str">
        <v>blendSAF</v>
      </c>
      <c r="BI991" t="str">
        <v/>
      </c>
      <c r="BJ991" t="str">
        <v/>
      </c>
      <c r="BK991" t="str">
        <v/>
      </c>
      <c r="BL991" t="str">
        <v/>
      </c>
      <c r="BM991" t="str">
        <v/>
      </c>
      <c r="BY991" t="str">
        <v>processor</v>
      </c>
      <c r="BZ991" t="str">
        <v>Lucknow - Highspire Terminals 8</v>
      </c>
      <c r="CA991" t="str">
        <v>blendSAF</v>
      </c>
      <c r="CB991" t="str">
        <v/>
      </c>
      <c r="CC991" t="str">
        <v/>
      </c>
      <c r="CD991" t="str">
        <v/>
      </c>
      <c r="CE991" t="str">
        <v/>
      </c>
      <c r="CF991" t="str">
        <v/>
      </c>
    </row>
    <row r="992" spans="58:84" x14ac:dyDescent="0.3">
      <c r="BF992" t="str">
        <v>processor</v>
      </c>
      <c r="BG992" t="str">
        <v>Sunoco Logistics 45</v>
      </c>
      <c r="BH992" t="str">
        <v>blendSAF</v>
      </c>
      <c r="BI992" t="str">
        <v/>
      </c>
      <c r="BJ992" t="str">
        <v/>
      </c>
      <c r="BK992" t="str">
        <v/>
      </c>
      <c r="BL992" t="str">
        <v/>
      </c>
      <c r="BM992" t="str">
        <v/>
      </c>
      <c r="BY992" t="str">
        <v>processor</v>
      </c>
      <c r="BZ992" t="str">
        <v>Lucknow - Highspire Terminals 5</v>
      </c>
      <c r="CA992" t="str">
        <v>blendSAF</v>
      </c>
      <c r="CB992" t="str">
        <v/>
      </c>
      <c r="CC992" t="str">
        <v/>
      </c>
      <c r="CD992" t="str">
        <v/>
      </c>
      <c r="CE992" t="str">
        <v/>
      </c>
      <c r="CF992" t="str">
        <v/>
      </c>
    </row>
    <row r="993" spans="58:84" x14ac:dyDescent="0.3">
      <c r="BF993" t="str">
        <v>processor</v>
      </c>
      <c r="BG993" t="str">
        <v>Sunoco Logistics 29</v>
      </c>
      <c r="BH993" t="str">
        <v>blendSAF</v>
      </c>
      <c r="BI993" t="str">
        <v/>
      </c>
      <c r="BJ993" t="str">
        <v/>
      </c>
      <c r="BK993" t="str">
        <v/>
      </c>
      <c r="BL993" t="str">
        <v/>
      </c>
      <c r="BM993" t="str">
        <v/>
      </c>
      <c r="BY993" t="str">
        <v>processor</v>
      </c>
      <c r="BZ993" t="str">
        <v>Lucknow - Highspire Terminals 7</v>
      </c>
      <c r="CA993" t="str">
        <v>blendSAF</v>
      </c>
      <c r="CB993" t="str">
        <v/>
      </c>
      <c r="CC993" t="str">
        <v/>
      </c>
      <c r="CD993" t="str">
        <v/>
      </c>
      <c r="CE993" t="str">
        <v/>
      </c>
      <c r="CF993" t="str">
        <v/>
      </c>
    </row>
    <row r="994" spans="58:84" x14ac:dyDescent="0.3">
      <c r="BF994" t="str">
        <v>processor</v>
      </c>
      <c r="BG994" t="str">
        <v>Sunoco Logistics 48</v>
      </c>
      <c r="BH994" t="str">
        <v>blendSAF</v>
      </c>
      <c r="BI994" t="str">
        <v/>
      </c>
      <c r="BJ994" t="str">
        <v/>
      </c>
      <c r="BK994" t="str">
        <v/>
      </c>
      <c r="BL994" t="str">
        <v/>
      </c>
      <c r="BM994" t="str">
        <v/>
      </c>
      <c r="BY994" t="str">
        <v>processor</v>
      </c>
      <c r="BZ994" t="str">
        <v>Lucknow - Highspire Terminals 11</v>
      </c>
      <c r="CA994" t="str">
        <v>blendSAF</v>
      </c>
      <c r="CB994" t="str">
        <v/>
      </c>
      <c r="CC994" t="str">
        <v/>
      </c>
      <c r="CD994" t="str">
        <v/>
      </c>
      <c r="CE994" t="str">
        <v/>
      </c>
      <c r="CF994" t="str">
        <v/>
      </c>
    </row>
    <row r="995" spans="58:84" x14ac:dyDescent="0.3">
      <c r="BF995" t="str">
        <v>processor</v>
      </c>
      <c r="BG995" t="str">
        <v>Sunoco Logistics 32</v>
      </c>
      <c r="BH995" t="str">
        <v>blendSAF</v>
      </c>
      <c r="BI995" t="str">
        <v/>
      </c>
      <c r="BJ995" t="str">
        <v/>
      </c>
      <c r="BK995" t="str">
        <v/>
      </c>
      <c r="BL995" t="str">
        <v/>
      </c>
      <c r="BM995" t="str">
        <v/>
      </c>
      <c r="BY995" t="str">
        <v>processor</v>
      </c>
      <c r="BZ995" t="str">
        <v>Lucknow - Highspire Terminals 3</v>
      </c>
      <c r="CA995" t="str">
        <v>blendSAF</v>
      </c>
      <c r="CB995" t="str">
        <v/>
      </c>
      <c r="CC995" t="str">
        <v/>
      </c>
      <c r="CD995" t="str">
        <v/>
      </c>
      <c r="CE995" t="str">
        <v/>
      </c>
      <c r="CF995" t="str">
        <v/>
      </c>
    </row>
    <row r="996" spans="58:84" x14ac:dyDescent="0.3">
      <c r="BF996" t="str">
        <v>processor</v>
      </c>
      <c r="BG996" t="str">
        <v>Sunoco Logistics 36</v>
      </c>
      <c r="BH996" t="str">
        <v>blendSAF</v>
      </c>
      <c r="BI996" t="str">
        <v/>
      </c>
      <c r="BJ996" t="str">
        <v/>
      </c>
      <c r="BK996" t="str">
        <v/>
      </c>
      <c r="BL996" t="str">
        <v/>
      </c>
      <c r="BM996" t="str">
        <v/>
      </c>
      <c r="BY996" t="str">
        <v>processor</v>
      </c>
      <c r="BZ996" t="str">
        <v>Lucknow - Highspire Terminals 4</v>
      </c>
      <c r="CA996" t="str">
        <v>blendSAF</v>
      </c>
      <c r="CB996" t="str">
        <v/>
      </c>
      <c r="CC996" t="str">
        <v/>
      </c>
      <c r="CD996" t="str">
        <v/>
      </c>
      <c r="CE996" t="str">
        <v/>
      </c>
      <c r="CF996" t="str">
        <v/>
      </c>
    </row>
    <row r="997" spans="58:84" x14ac:dyDescent="0.3">
      <c r="BF997" t="str">
        <v>processor</v>
      </c>
      <c r="BG997" t="str">
        <v>Sunoco Logistics 22</v>
      </c>
      <c r="BH997" t="str">
        <v>blendSAF</v>
      </c>
      <c r="BI997" t="str">
        <v/>
      </c>
      <c r="BJ997" t="str">
        <v/>
      </c>
      <c r="BK997" t="str">
        <v/>
      </c>
      <c r="BL997" t="str">
        <v/>
      </c>
      <c r="BM997" t="str">
        <v/>
      </c>
      <c r="BY997" t="str">
        <v>processor</v>
      </c>
      <c r="BZ997" t="str">
        <v>Lucknow - Highspire Terminals 9</v>
      </c>
      <c r="CA997" t="str">
        <v>blendSAF</v>
      </c>
      <c r="CB997" t="str">
        <v/>
      </c>
      <c r="CC997" t="str">
        <v/>
      </c>
      <c r="CD997" t="str">
        <v/>
      </c>
      <c r="CE997" t="str">
        <v/>
      </c>
      <c r="CF997" t="str">
        <v/>
      </c>
    </row>
    <row r="998" spans="58:84" x14ac:dyDescent="0.3">
      <c r="BF998" t="str">
        <v>processor</v>
      </c>
      <c r="BG998" t="str">
        <v>Sunoco Logistics 43</v>
      </c>
      <c r="BH998" t="str">
        <v>blendSAF</v>
      </c>
      <c r="BI998" t="str">
        <v/>
      </c>
      <c r="BJ998" t="str">
        <v/>
      </c>
      <c r="BK998" t="str">
        <v/>
      </c>
      <c r="BL998" t="str">
        <v/>
      </c>
      <c r="BM998" t="str">
        <v/>
      </c>
      <c r="BY998" t="str">
        <v>processor</v>
      </c>
      <c r="BZ998" t="str">
        <v>Buckeye Terminals Llc 66</v>
      </c>
      <c r="CA998" t="str">
        <v>blendSAF</v>
      </c>
      <c r="CB998" t="str">
        <v/>
      </c>
      <c r="CC998" t="str">
        <v/>
      </c>
      <c r="CD998" t="str">
        <v/>
      </c>
      <c r="CE998" t="str">
        <v/>
      </c>
      <c r="CF998" t="str">
        <v/>
      </c>
    </row>
    <row r="999" spans="58:84" x14ac:dyDescent="0.3">
      <c r="BF999" t="str">
        <v>processor</v>
      </c>
      <c r="BG999" t="str">
        <v>Sunoco Logistics 37</v>
      </c>
      <c r="BH999" t="str">
        <v>blendSAF</v>
      </c>
      <c r="BI999" t="str">
        <v/>
      </c>
      <c r="BJ999" t="str">
        <v/>
      </c>
      <c r="BK999" t="str">
        <v/>
      </c>
      <c r="BL999" t="str">
        <v/>
      </c>
      <c r="BM999" t="str">
        <v/>
      </c>
      <c r="BY999" t="str">
        <v>processor</v>
      </c>
      <c r="BZ999" t="str">
        <v>Buckeye Terminals Llc 46</v>
      </c>
      <c r="CA999" t="str">
        <v>blendSAF</v>
      </c>
      <c r="CB999" t="str">
        <v/>
      </c>
      <c r="CC999" t="str">
        <v/>
      </c>
      <c r="CD999" t="str">
        <v/>
      </c>
      <c r="CE999" t="str">
        <v/>
      </c>
      <c r="CF999" t="str">
        <v/>
      </c>
    </row>
    <row r="1000" spans="58:84" x14ac:dyDescent="0.3">
      <c r="BF1000" t="str">
        <v>processor</v>
      </c>
      <c r="BG1000" t="str">
        <v>Sunoco Logistics 19</v>
      </c>
      <c r="BH1000" t="str">
        <v>blendSAF</v>
      </c>
      <c r="BI1000" t="str">
        <v/>
      </c>
      <c r="BJ1000" t="str">
        <v/>
      </c>
      <c r="BK1000" t="str">
        <v/>
      </c>
      <c r="BL1000" t="str">
        <v/>
      </c>
      <c r="BM1000" t="str">
        <v/>
      </c>
      <c r="BY1000" t="str">
        <v>processor</v>
      </c>
      <c r="BZ1000" t="str">
        <v>Buckeye Terminals Llc 52</v>
      </c>
      <c r="CA1000" t="str">
        <v>blendSAF</v>
      </c>
      <c r="CB1000" t="str">
        <v/>
      </c>
      <c r="CC1000" t="str">
        <v/>
      </c>
      <c r="CD1000" t="str">
        <v/>
      </c>
      <c r="CE1000" t="str">
        <v/>
      </c>
      <c r="CF1000" t="str">
        <v/>
      </c>
    </row>
    <row r="1001" spans="58:84" x14ac:dyDescent="0.3">
      <c r="BF1001" t="str">
        <v>processor</v>
      </c>
      <c r="BG1001" t="str">
        <v>Sunoco Logistics 39</v>
      </c>
      <c r="BH1001" t="str">
        <v>blendSAF</v>
      </c>
      <c r="BI1001" t="str">
        <v/>
      </c>
      <c r="BJ1001" t="str">
        <v/>
      </c>
      <c r="BK1001" t="str">
        <v/>
      </c>
      <c r="BL1001" t="str">
        <v/>
      </c>
      <c r="BM1001" t="str">
        <v/>
      </c>
      <c r="BY1001" t="str">
        <v>processor</v>
      </c>
      <c r="BZ1001" t="str">
        <v>Buckeye Terminals Llc 37</v>
      </c>
      <c r="CA1001" t="str">
        <v>blendSAF</v>
      </c>
      <c r="CB1001" t="str">
        <v/>
      </c>
      <c r="CC1001" t="str">
        <v/>
      </c>
      <c r="CD1001" t="str">
        <v/>
      </c>
      <c r="CE1001" t="str">
        <v/>
      </c>
      <c r="CF1001" t="str">
        <v/>
      </c>
    </row>
    <row r="1002" spans="58:84" x14ac:dyDescent="0.3">
      <c r="BF1002" t="str">
        <v>processor</v>
      </c>
      <c r="BG1002" t="str">
        <v>Sunoco Midstream Llc 1</v>
      </c>
      <c r="BH1002" t="str">
        <v>blendSAF</v>
      </c>
      <c r="BI1002" t="str">
        <v/>
      </c>
      <c r="BJ1002" t="str">
        <v/>
      </c>
      <c r="BK1002" t="str">
        <v/>
      </c>
      <c r="BL1002" t="str">
        <v/>
      </c>
      <c r="BM1002" t="str">
        <v/>
      </c>
      <c r="BY1002" t="str">
        <v>processor</v>
      </c>
      <c r="BZ1002" t="str">
        <v>Buckeye Terminals Llc 58</v>
      </c>
      <c r="CA1002" t="str">
        <v>blendSAF</v>
      </c>
      <c r="CB1002" t="str">
        <v/>
      </c>
      <c r="CC1002" t="str">
        <v/>
      </c>
      <c r="CD1002" t="str">
        <v/>
      </c>
      <c r="CE1002" t="str">
        <v/>
      </c>
      <c r="CF1002" t="str">
        <v/>
      </c>
    </row>
    <row r="1003" spans="58:84" x14ac:dyDescent="0.3">
      <c r="BF1003" t="str">
        <v>processor</v>
      </c>
      <c r="BG1003" t="str">
        <v>Sunoco Midstream Llc 6</v>
      </c>
      <c r="BH1003" t="str">
        <v>blendSAF</v>
      </c>
      <c r="BI1003" t="str">
        <v/>
      </c>
      <c r="BJ1003" t="str">
        <v/>
      </c>
      <c r="BK1003" t="str">
        <v/>
      </c>
      <c r="BL1003" t="str">
        <v/>
      </c>
      <c r="BM1003" t="str">
        <v/>
      </c>
      <c r="BY1003" t="str">
        <v>processor</v>
      </c>
      <c r="BZ1003" t="str">
        <v>Buckeye Terminals Llc 65</v>
      </c>
      <c r="CA1003" t="str">
        <v>blendSAF</v>
      </c>
      <c r="CB1003" t="str">
        <v/>
      </c>
      <c r="CC1003" t="str">
        <v/>
      </c>
      <c r="CD1003" t="str">
        <v/>
      </c>
      <c r="CE1003" t="str">
        <v/>
      </c>
      <c r="CF1003" t="str">
        <v/>
      </c>
    </row>
    <row r="1004" spans="58:84" x14ac:dyDescent="0.3">
      <c r="BF1004" t="str">
        <v>processor</v>
      </c>
      <c r="BG1004" t="str">
        <v>Sunoco Midstream Llc 8</v>
      </c>
      <c r="BH1004" t="str">
        <v>blendSAF</v>
      </c>
      <c r="BI1004" t="str">
        <v/>
      </c>
      <c r="BJ1004" t="str">
        <v/>
      </c>
      <c r="BK1004" t="str">
        <v/>
      </c>
      <c r="BL1004" t="str">
        <v/>
      </c>
      <c r="BM1004" t="str">
        <v/>
      </c>
      <c r="BY1004" t="str">
        <v>processor</v>
      </c>
      <c r="BZ1004" t="str">
        <v>Buckeye Terminals Llc 110</v>
      </c>
      <c r="CA1004" t="str">
        <v>blendSAF</v>
      </c>
      <c r="CB1004" t="str">
        <v/>
      </c>
      <c r="CC1004" t="str">
        <v/>
      </c>
      <c r="CD1004" t="str">
        <v/>
      </c>
      <c r="CE1004" t="str">
        <v/>
      </c>
      <c r="CF1004" t="str">
        <v/>
      </c>
    </row>
    <row r="1005" spans="58:84" x14ac:dyDescent="0.3">
      <c r="BF1005" t="str">
        <v>processor</v>
      </c>
      <c r="BG1005" t="str">
        <v>Sunoco Midstream Llc 12</v>
      </c>
      <c r="BH1005" t="str">
        <v>blendSAF</v>
      </c>
      <c r="BI1005" t="str">
        <v/>
      </c>
      <c r="BJ1005" t="str">
        <v/>
      </c>
      <c r="BK1005" t="str">
        <v/>
      </c>
      <c r="BL1005" t="str">
        <v/>
      </c>
      <c r="BM1005" t="str">
        <v/>
      </c>
      <c r="BY1005" t="str">
        <v>processor</v>
      </c>
      <c r="BZ1005" t="str">
        <v>Buckeye Energy Services</v>
      </c>
      <c r="CA1005" t="str">
        <v>blendSAF</v>
      </c>
      <c r="CB1005" t="str">
        <v/>
      </c>
      <c r="CC1005" t="str">
        <v/>
      </c>
      <c r="CD1005" t="str">
        <v/>
      </c>
      <c r="CE1005" t="str">
        <v/>
      </c>
      <c r="CF1005" t="str">
        <v/>
      </c>
    </row>
    <row r="1006" spans="58:84" x14ac:dyDescent="0.3">
      <c r="BF1006" t="str">
        <v>processor</v>
      </c>
      <c r="BG1006" t="str">
        <v>Sunoco Midstream Llc 3</v>
      </c>
      <c r="BH1006" t="str">
        <v>blendSAF</v>
      </c>
      <c r="BI1006" t="str">
        <v/>
      </c>
      <c r="BJ1006" t="str">
        <v/>
      </c>
      <c r="BK1006" t="str">
        <v/>
      </c>
      <c r="BL1006" t="str">
        <v/>
      </c>
      <c r="BM1006" t="str">
        <v/>
      </c>
      <c r="BY1006" t="str">
        <v>processor</v>
      </c>
      <c r="BZ1006" t="str">
        <v>Crestwood Services Llc 2</v>
      </c>
      <c r="CA1006" t="str">
        <v>blendSAF</v>
      </c>
      <c r="CB1006" t="str">
        <v/>
      </c>
      <c r="CC1006" t="str">
        <v/>
      </c>
      <c r="CD1006" t="str">
        <v/>
      </c>
      <c r="CE1006" t="str">
        <v/>
      </c>
      <c r="CF1006" t="str">
        <v/>
      </c>
    </row>
    <row r="1007" spans="58:84" x14ac:dyDescent="0.3">
      <c r="BF1007" t="str">
        <v>processor</v>
      </c>
      <c r="BG1007" t="str">
        <v>Enterprise Terminals &amp; Storage Llc 22</v>
      </c>
      <c r="BH1007" t="str">
        <v>blendSAF</v>
      </c>
      <c r="BI1007" t="str">
        <v/>
      </c>
      <c r="BJ1007" t="str">
        <v/>
      </c>
      <c r="BK1007" t="str">
        <v/>
      </c>
      <c r="BL1007" t="str">
        <v/>
      </c>
      <c r="BM1007" t="str">
        <v/>
      </c>
      <c r="BY1007" t="str">
        <v>processor</v>
      </c>
      <c r="BZ1007" t="str">
        <v>Monroe Energy Llc 2</v>
      </c>
      <c r="CA1007" t="str">
        <v>blendSAF</v>
      </c>
      <c r="CB1007" t="str">
        <v/>
      </c>
      <c r="CC1007" t="str">
        <v/>
      </c>
      <c r="CD1007" t="str">
        <v/>
      </c>
      <c r="CE1007" t="str">
        <v/>
      </c>
      <c r="CF1007" t="str">
        <v/>
      </c>
    </row>
    <row r="1008" spans="58:84" x14ac:dyDescent="0.3">
      <c r="BF1008" t="str">
        <v>processor</v>
      </c>
      <c r="BG1008" t="str">
        <v>Enterprise Terminals &amp; Storage Llc 15</v>
      </c>
      <c r="BH1008" t="str">
        <v>blendSAF</v>
      </c>
      <c r="BI1008" t="str">
        <v/>
      </c>
      <c r="BJ1008" t="str">
        <v/>
      </c>
      <c r="BK1008" t="str">
        <v/>
      </c>
      <c r="BL1008" t="str">
        <v/>
      </c>
      <c r="BM1008" t="str">
        <v/>
      </c>
      <c r="BY1008" t="str">
        <v>processor</v>
      </c>
      <c r="BZ1008" t="str">
        <v>Monroe Energy Llc 1</v>
      </c>
      <c r="CA1008" t="str">
        <v>blendSAF</v>
      </c>
      <c r="CB1008" t="str">
        <v/>
      </c>
      <c r="CC1008" t="str">
        <v/>
      </c>
      <c r="CD1008" t="str">
        <v/>
      </c>
      <c r="CE1008" t="str">
        <v/>
      </c>
      <c r="CF1008" t="str">
        <v/>
      </c>
    </row>
    <row r="1009" spans="58:84" x14ac:dyDescent="0.3">
      <c r="BF1009" t="str">
        <v>processor</v>
      </c>
      <c r="BG1009" t="str">
        <v>Global Co Llc 5</v>
      </c>
      <c r="BH1009" t="str">
        <v>blendSAF</v>
      </c>
      <c r="BI1009" t="str">
        <v/>
      </c>
      <c r="BJ1009" t="str">
        <v/>
      </c>
      <c r="BK1009" t="str">
        <v/>
      </c>
      <c r="BL1009" t="str">
        <v/>
      </c>
      <c r="BM1009" t="str">
        <v/>
      </c>
      <c r="BY1009" t="str">
        <v>processor</v>
      </c>
      <c r="BZ1009" t="str">
        <v>Pbf Logistics Products Terminals Llc 14</v>
      </c>
      <c r="CA1009" t="str">
        <v>blendSAF</v>
      </c>
      <c r="CB1009" t="str">
        <v/>
      </c>
      <c r="CC1009" t="str">
        <v/>
      </c>
      <c r="CD1009" t="str">
        <v/>
      </c>
      <c r="CE1009" t="str">
        <v/>
      </c>
      <c r="CF1009" t="str">
        <v/>
      </c>
    </row>
    <row r="1010" spans="58:84" x14ac:dyDescent="0.3">
      <c r="BF1010" t="str">
        <v>processor</v>
      </c>
      <c r="BG1010" t="str">
        <v>Gordon Terminal Service Co 4</v>
      </c>
      <c r="BH1010" t="str">
        <v>blendSAF</v>
      </c>
      <c r="BI1010" t="str">
        <v/>
      </c>
      <c r="BJ1010" t="str">
        <v/>
      </c>
      <c r="BK1010" t="str">
        <v/>
      </c>
      <c r="BL1010" t="str">
        <v/>
      </c>
      <c r="BM1010" t="str">
        <v/>
      </c>
      <c r="BY1010" t="str">
        <v>processor</v>
      </c>
      <c r="BZ1010" t="str">
        <v>Pbf Logistics Products Terminals Llc 15</v>
      </c>
      <c r="CA1010" t="str">
        <v>blendSAF</v>
      </c>
      <c r="CB1010" t="str">
        <v/>
      </c>
      <c r="CC1010" t="str">
        <v/>
      </c>
      <c r="CD1010" t="str">
        <v/>
      </c>
      <c r="CE1010" t="str">
        <v/>
      </c>
      <c r="CF1010" t="str">
        <v/>
      </c>
    </row>
    <row r="1011" spans="58:84" x14ac:dyDescent="0.3">
      <c r="BF1011" t="str">
        <v>processor</v>
      </c>
      <c r="BG1011" t="str">
        <v>Philadelphia Energy Solutions</v>
      </c>
      <c r="BH1011" t="str">
        <v>blendSAF</v>
      </c>
      <c r="BI1011" t="str">
        <v/>
      </c>
      <c r="BJ1011" t="str">
        <v/>
      </c>
      <c r="BK1011" t="str">
        <v/>
      </c>
      <c r="BL1011" t="str">
        <v/>
      </c>
      <c r="BM1011" t="str">
        <v/>
      </c>
      <c r="BY1011" t="str">
        <v>processor</v>
      </c>
      <c r="BZ1011" t="str">
        <v>Eco-Energy Dstr Services Llc</v>
      </c>
      <c r="CA1011" t="str">
        <v>blendSAF</v>
      </c>
      <c r="CB1011" t="str">
        <v/>
      </c>
      <c r="CC1011" t="str">
        <v/>
      </c>
      <c r="CD1011" t="str">
        <v/>
      </c>
      <c r="CE1011" t="str">
        <v/>
      </c>
      <c r="CF1011" t="str">
        <v/>
      </c>
    </row>
    <row r="1012" spans="58:84" x14ac:dyDescent="0.3">
      <c r="BF1012" t="str">
        <v>processor</v>
      </c>
      <c r="BG1012" t="str">
        <v>Kinder Morgan Liq Termls Llc 12</v>
      </c>
      <c r="BH1012" t="str">
        <v>blendSAF</v>
      </c>
      <c r="BI1012" t="str">
        <v/>
      </c>
      <c r="BJ1012" t="str">
        <v/>
      </c>
      <c r="BK1012" t="str">
        <v/>
      </c>
      <c r="BL1012" t="str">
        <v/>
      </c>
      <c r="BM1012" t="str">
        <v/>
      </c>
      <c r="BY1012" t="str">
        <v>processor</v>
      </c>
      <c r="BZ1012" t="str">
        <v>Sunoco Logistics 17</v>
      </c>
      <c r="CA1012" t="str">
        <v>blendSAF</v>
      </c>
      <c r="CB1012" t="str">
        <v/>
      </c>
      <c r="CC1012" t="str">
        <v/>
      </c>
      <c r="CD1012" t="str">
        <v/>
      </c>
      <c r="CE1012" t="str">
        <v/>
      </c>
      <c r="CF1012" t="str">
        <v/>
      </c>
    </row>
    <row r="1013" spans="58:84" x14ac:dyDescent="0.3">
      <c r="BF1013" t="str">
        <v>processor</v>
      </c>
      <c r="BG1013" t="str">
        <v>Marathon Petroleum Co Llc 13</v>
      </c>
      <c r="BH1013" t="str">
        <v>blendSAF</v>
      </c>
      <c r="BI1013" t="str">
        <v/>
      </c>
      <c r="BJ1013" t="str">
        <v/>
      </c>
      <c r="BK1013" t="str">
        <v/>
      </c>
      <c r="BL1013" t="str">
        <v/>
      </c>
      <c r="BM1013" t="str">
        <v/>
      </c>
      <c r="BY1013" t="str">
        <v>processor</v>
      </c>
      <c r="BZ1013" t="str">
        <v>Sunoco Logistics 40</v>
      </c>
      <c r="CA1013" t="str">
        <v>blendSAF</v>
      </c>
      <c r="CB1013" t="str">
        <v/>
      </c>
      <c r="CC1013" t="str">
        <v/>
      </c>
      <c r="CD1013" t="str">
        <v/>
      </c>
      <c r="CE1013" t="str">
        <v/>
      </c>
      <c r="CF1013" t="str">
        <v/>
      </c>
    </row>
    <row r="1014" spans="58:84" x14ac:dyDescent="0.3">
      <c r="BF1014" t="str">
        <v>processor</v>
      </c>
      <c r="BG1014" t="str">
        <v>Marathon Petroleum Co Llc 7</v>
      </c>
      <c r="BH1014" t="str">
        <v>blendSAF</v>
      </c>
      <c r="BI1014" t="str">
        <v/>
      </c>
      <c r="BJ1014" t="str">
        <v/>
      </c>
      <c r="BK1014" t="str">
        <v/>
      </c>
      <c r="BL1014" t="str">
        <v/>
      </c>
      <c r="BM1014" t="str">
        <v/>
      </c>
      <c r="BY1014" t="str">
        <v>processor</v>
      </c>
      <c r="BZ1014" t="str">
        <v>Sunoco Logistics 45</v>
      </c>
      <c r="CA1014" t="str">
        <v>blendSAF</v>
      </c>
      <c r="CB1014" t="str">
        <v/>
      </c>
      <c r="CC1014" t="str">
        <v/>
      </c>
      <c r="CD1014" t="str">
        <v/>
      </c>
      <c r="CE1014" t="str">
        <v/>
      </c>
      <c r="CF1014" t="str">
        <v/>
      </c>
    </row>
    <row r="1015" spans="58:84" x14ac:dyDescent="0.3">
      <c r="BF1015" t="str">
        <v>processor</v>
      </c>
      <c r="BG1015" t="str">
        <v>Meenan Oil Co Lp</v>
      </c>
      <c r="BH1015" t="str">
        <v>blendSAF</v>
      </c>
      <c r="BI1015" t="str">
        <v/>
      </c>
      <c r="BJ1015" t="str">
        <v/>
      </c>
      <c r="BK1015" t="str">
        <v/>
      </c>
      <c r="BL1015" t="str">
        <v/>
      </c>
      <c r="BM1015" t="str">
        <v/>
      </c>
      <c r="BY1015" t="str">
        <v>processor</v>
      </c>
      <c r="BZ1015" t="str">
        <v>Sunoco Logistics 29</v>
      </c>
      <c r="CA1015" t="str">
        <v>blendSAF</v>
      </c>
      <c r="CB1015" t="str">
        <v/>
      </c>
      <c r="CC1015" t="str">
        <v/>
      </c>
      <c r="CD1015" t="str">
        <v/>
      </c>
      <c r="CE1015" t="str">
        <v/>
      </c>
      <c r="CF1015" t="str">
        <v/>
      </c>
    </row>
    <row r="1016" spans="58:84" x14ac:dyDescent="0.3">
      <c r="BF1016" t="str">
        <v>processor</v>
      </c>
      <c r="BG1016" t="str">
        <v>Amerigas Propane</v>
      </c>
      <c r="BH1016" t="str">
        <v>blendSAF</v>
      </c>
      <c r="BI1016" t="str">
        <v/>
      </c>
      <c r="BJ1016" t="str">
        <v/>
      </c>
      <c r="BK1016" t="str">
        <v/>
      </c>
      <c r="BL1016" t="str">
        <v/>
      </c>
      <c r="BM1016" t="str">
        <v/>
      </c>
      <c r="BY1016" t="str">
        <v>processor</v>
      </c>
      <c r="BZ1016" t="str">
        <v>Sunoco Logistics 48</v>
      </c>
      <c r="CA1016" t="str">
        <v>blendSAF</v>
      </c>
      <c r="CB1016" t="str">
        <v/>
      </c>
      <c r="CC1016" t="str">
        <v/>
      </c>
      <c r="CD1016" t="str">
        <v/>
      </c>
      <c r="CE1016" t="str">
        <v/>
      </c>
      <c r="CF1016" t="str">
        <v/>
      </c>
    </row>
    <row r="1017" spans="58:84" x14ac:dyDescent="0.3">
      <c r="BF1017" t="str">
        <v>processor</v>
      </c>
      <c r="BG1017" t="str">
        <v>United Refining Co 4</v>
      </c>
      <c r="BH1017" t="str">
        <v>blendSAF</v>
      </c>
      <c r="BI1017" t="str">
        <v/>
      </c>
      <c r="BJ1017" t="str">
        <v/>
      </c>
      <c r="BK1017" t="str">
        <v/>
      </c>
      <c r="BL1017" t="str">
        <v/>
      </c>
      <c r="BM1017" t="str">
        <v/>
      </c>
      <c r="BY1017" t="str">
        <v>processor</v>
      </c>
      <c r="BZ1017" t="str">
        <v>Sunoco Logistics 32</v>
      </c>
      <c r="CA1017" t="str">
        <v>blendSAF</v>
      </c>
      <c r="CB1017" t="str">
        <v/>
      </c>
      <c r="CC1017" t="str">
        <v/>
      </c>
      <c r="CD1017" t="str">
        <v/>
      </c>
      <c r="CE1017" t="str">
        <v/>
      </c>
      <c r="CF1017" t="str">
        <v/>
      </c>
    </row>
    <row r="1018" spans="58:84" x14ac:dyDescent="0.3">
      <c r="BF1018" t="str">
        <v>processor</v>
      </c>
      <c r="BG1018" t="str">
        <v>Watco Transloading Llc</v>
      </c>
      <c r="BH1018" t="str">
        <v>blendSAF</v>
      </c>
      <c r="BI1018" t="str">
        <v/>
      </c>
      <c r="BJ1018" t="str">
        <v/>
      </c>
      <c r="BK1018" t="str">
        <v/>
      </c>
      <c r="BL1018" t="str">
        <v/>
      </c>
      <c r="BM1018" t="str">
        <v/>
      </c>
      <c r="BY1018" t="str">
        <v>processor</v>
      </c>
      <c r="BZ1018" t="str">
        <v>Sunoco Logistics 36</v>
      </c>
      <c r="CA1018" t="str">
        <v>blendSAF</v>
      </c>
      <c r="CB1018" t="str">
        <v/>
      </c>
      <c r="CC1018" t="str">
        <v/>
      </c>
      <c r="CD1018" t="str">
        <v/>
      </c>
      <c r="CE1018" t="str">
        <v/>
      </c>
      <c r="CF1018" t="str">
        <v/>
      </c>
    </row>
    <row r="1019" spans="58:84" x14ac:dyDescent="0.3">
      <c r="BF1019" t="str">
        <v>processor</v>
      </c>
      <c r="BG1019" t="str">
        <v>Sea-3 Providence Llc</v>
      </c>
      <c r="BH1019" t="str">
        <v>blendSAF</v>
      </c>
      <c r="BI1019" t="str">
        <v/>
      </c>
      <c r="BJ1019" t="str">
        <v/>
      </c>
      <c r="BK1019" t="str">
        <v/>
      </c>
      <c r="BL1019" t="str">
        <v/>
      </c>
      <c r="BM1019" t="str">
        <v/>
      </c>
      <c r="BY1019" t="str">
        <v>processor</v>
      </c>
      <c r="BZ1019" t="str">
        <v>Sunoco Logistics 22</v>
      </c>
      <c r="CA1019" t="str">
        <v>blendSAF</v>
      </c>
      <c r="CB1019" t="str">
        <v/>
      </c>
      <c r="CC1019" t="str">
        <v/>
      </c>
      <c r="CD1019" t="str">
        <v/>
      </c>
      <c r="CE1019" t="str">
        <v/>
      </c>
      <c r="CF1019" t="str">
        <v/>
      </c>
    </row>
    <row r="1020" spans="58:84" x14ac:dyDescent="0.3">
      <c r="BF1020" t="str">
        <v>processor</v>
      </c>
      <c r="BG1020" t="str">
        <v>Exxonmobil Corporation 1</v>
      </c>
      <c r="BH1020" t="str">
        <v>blendSAF</v>
      </c>
      <c r="BI1020" t="str">
        <v/>
      </c>
      <c r="BJ1020" t="str">
        <v/>
      </c>
      <c r="BK1020" t="str">
        <v/>
      </c>
      <c r="BL1020" t="str">
        <v/>
      </c>
      <c r="BM1020" t="str">
        <v/>
      </c>
      <c r="BY1020" t="str">
        <v>processor</v>
      </c>
      <c r="BZ1020" t="str">
        <v>Sunoco Logistics 43</v>
      </c>
      <c r="CA1020" t="str">
        <v>blendSAF</v>
      </c>
      <c r="CB1020" t="str">
        <v/>
      </c>
      <c r="CC1020" t="str">
        <v/>
      </c>
      <c r="CD1020" t="str">
        <v/>
      </c>
      <c r="CE1020" t="str">
        <v/>
      </c>
      <c r="CF1020" t="str">
        <v/>
      </c>
    </row>
    <row r="1021" spans="58:84" x14ac:dyDescent="0.3">
      <c r="BF1021" t="str">
        <v>processor</v>
      </c>
      <c r="BG1021" t="str">
        <v>Sprague Operating Resources Llc 5</v>
      </c>
      <c r="BH1021" t="str">
        <v>blendSAF</v>
      </c>
      <c r="BI1021" t="str">
        <v/>
      </c>
      <c r="BJ1021" t="str">
        <v/>
      </c>
      <c r="BK1021" t="str">
        <v/>
      </c>
      <c r="BL1021" t="str">
        <v/>
      </c>
      <c r="BM1021" t="str">
        <v/>
      </c>
      <c r="BY1021" t="str">
        <v>processor</v>
      </c>
      <c r="BZ1021" t="str">
        <v>Sunoco Logistics 37</v>
      </c>
      <c r="CA1021" t="str">
        <v>blendSAF</v>
      </c>
      <c r="CB1021" t="str">
        <v/>
      </c>
      <c r="CC1021" t="str">
        <v/>
      </c>
      <c r="CD1021" t="str">
        <v/>
      </c>
      <c r="CE1021" t="str">
        <v/>
      </c>
      <c r="CF1021" t="str">
        <v/>
      </c>
    </row>
    <row r="1022" spans="58:84" x14ac:dyDescent="0.3">
      <c r="BF1022" t="str">
        <v>processor</v>
      </c>
      <c r="BG1022" t="str">
        <v>Sprague Operating Resources Llc 2</v>
      </c>
      <c r="BH1022" t="str">
        <v>blendSAF</v>
      </c>
      <c r="BI1022" t="str">
        <v/>
      </c>
      <c r="BJ1022" t="str">
        <v/>
      </c>
      <c r="BK1022" t="str">
        <v/>
      </c>
      <c r="BL1022" t="str">
        <v/>
      </c>
      <c r="BM1022" t="str">
        <v/>
      </c>
      <c r="BY1022" t="str">
        <v>processor</v>
      </c>
      <c r="BZ1022" t="str">
        <v>Sunoco Logistics 19</v>
      </c>
      <c r="CA1022" t="str">
        <v>blendSAF</v>
      </c>
      <c r="CB1022" t="str">
        <v/>
      </c>
      <c r="CC1022" t="str">
        <v/>
      </c>
      <c r="CD1022" t="str">
        <v/>
      </c>
      <c r="CE1022" t="str">
        <v/>
      </c>
      <c r="CF1022" t="str">
        <v/>
      </c>
    </row>
    <row r="1023" spans="58:84" x14ac:dyDescent="0.3">
      <c r="BF1023" t="str">
        <v>processor</v>
      </c>
      <c r="BG1023" t="str">
        <v>The Hudson Co</v>
      </c>
      <c r="BH1023" t="str">
        <v>blendSAF</v>
      </c>
      <c r="BI1023" t="str">
        <v/>
      </c>
      <c r="BJ1023" t="str">
        <v/>
      </c>
      <c r="BK1023" t="str">
        <v/>
      </c>
      <c r="BL1023" t="str">
        <v/>
      </c>
      <c r="BM1023" t="str">
        <v/>
      </c>
      <c r="BY1023" t="str">
        <v>processor</v>
      </c>
      <c r="BZ1023" t="str">
        <v>Sunoco Logistics 39</v>
      </c>
      <c r="CA1023" t="str">
        <v>blendSAF</v>
      </c>
      <c r="CB1023" t="str">
        <v/>
      </c>
      <c r="CC1023" t="str">
        <v/>
      </c>
      <c r="CD1023" t="str">
        <v/>
      </c>
      <c r="CE1023" t="str">
        <v/>
      </c>
      <c r="CF1023" t="str">
        <v/>
      </c>
    </row>
    <row r="1024" spans="58:84" x14ac:dyDescent="0.3">
      <c r="BF1024" t="str">
        <v>processor</v>
      </c>
      <c r="BG1024" t="str">
        <v>Hudson Co</v>
      </c>
      <c r="BH1024" t="str">
        <v>blendSAF</v>
      </c>
      <c r="BI1024" t="str">
        <v/>
      </c>
      <c r="BJ1024" t="str">
        <v/>
      </c>
      <c r="BK1024" t="str">
        <v/>
      </c>
      <c r="BL1024" t="str">
        <v/>
      </c>
      <c r="BM1024" t="str">
        <v/>
      </c>
      <c r="BY1024" t="str">
        <v>processor</v>
      </c>
      <c r="BZ1024" t="str">
        <v>Sunoco Midstream Llc 1</v>
      </c>
      <c r="CA1024" t="str">
        <v>blendSAF</v>
      </c>
      <c r="CB1024" t="str">
        <v/>
      </c>
      <c r="CC1024" t="str">
        <v/>
      </c>
      <c r="CD1024" t="str">
        <v/>
      </c>
      <c r="CE1024" t="str">
        <v/>
      </c>
      <c r="CF1024" t="str">
        <v/>
      </c>
    </row>
    <row r="1025" spans="58:84" x14ac:dyDescent="0.3">
      <c r="BF1025" t="str">
        <v>processor</v>
      </c>
      <c r="BG1025" t="str">
        <v>Shell Oil Products Us 12</v>
      </c>
      <c r="BH1025" t="str">
        <v>blendSAF</v>
      </c>
      <c r="BI1025" t="str">
        <v/>
      </c>
      <c r="BJ1025" t="str">
        <v/>
      </c>
      <c r="BK1025" t="str">
        <v/>
      </c>
      <c r="BL1025" t="str">
        <v/>
      </c>
      <c r="BM1025" t="str">
        <v/>
      </c>
      <c r="BY1025" t="str">
        <v>processor</v>
      </c>
      <c r="BZ1025" t="str">
        <v>Sunoco Midstream Llc 6</v>
      </c>
      <c r="CA1025" t="str">
        <v>blendSAF</v>
      </c>
      <c r="CB1025" t="str">
        <v/>
      </c>
      <c r="CC1025" t="str">
        <v/>
      </c>
      <c r="CD1025" t="str">
        <v/>
      </c>
      <c r="CE1025" t="str">
        <v/>
      </c>
      <c r="CF1025" t="str">
        <v/>
      </c>
    </row>
    <row r="1026" spans="58:84" x14ac:dyDescent="0.3">
      <c r="BF1026" t="str">
        <v>processor</v>
      </c>
      <c r="BG1026" t="str">
        <v>Inland Fuel Terminals</v>
      </c>
      <c r="BH1026" t="str">
        <v>blendSAF</v>
      </c>
      <c r="BI1026" t="str">
        <v/>
      </c>
      <c r="BJ1026" t="str">
        <v/>
      </c>
      <c r="BK1026" t="str">
        <v/>
      </c>
      <c r="BL1026" t="str">
        <v/>
      </c>
      <c r="BM1026" t="str">
        <v/>
      </c>
      <c r="BY1026" t="str">
        <v>processor</v>
      </c>
      <c r="BZ1026" t="str">
        <v>Sunoco Midstream Llc 8</v>
      </c>
      <c r="CA1026" t="str">
        <v>blendSAF</v>
      </c>
      <c r="CB1026" t="str">
        <v/>
      </c>
      <c r="CC1026" t="str">
        <v/>
      </c>
      <c r="CD1026" t="str">
        <v/>
      </c>
      <c r="CE1026" t="str">
        <v/>
      </c>
      <c r="CF1026" t="str">
        <v/>
      </c>
    </row>
    <row r="1027" spans="58:84" x14ac:dyDescent="0.3">
      <c r="BF1027" t="str">
        <v>processor</v>
      </c>
      <c r="BG1027" t="str">
        <v>Chevron Usa Inc Charleston</v>
      </c>
      <c r="BH1027" t="str">
        <v>blendSAF</v>
      </c>
      <c r="BI1027" t="str">
        <v/>
      </c>
      <c r="BJ1027" t="str">
        <v/>
      </c>
      <c r="BK1027" t="str">
        <v/>
      </c>
      <c r="BL1027" t="str">
        <v/>
      </c>
      <c r="BM1027" t="str">
        <v/>
      </c>
      <c r="BY1027" t="str">
        <v>processor</v>
      </c>
      <c r="BZ1027" t="str">
        <v>Sunoco Midstream Llc 12</v>
      </c>
      <c r="CA1027" t="str">
        <v>blendSAF</v>
      </c>
      <c r="CB1027" t="str">
        <v/>
      </c>
      <c r="CC1027" t="str">
        <v/>
      </c>
      <c r="CD1027" t="str">
        <v/>
      </c>
      <c r="CE1027" t="str">
        <v/>
      </c>
      <c r="CF1027" t="str">
        <v/>
      </c>
    </row>
    <row r="1028" spans="58:84" x14ac:dyDescent="0.3">
      <c r="BF1028" t="str">
        <v>processor</v>
      </c>
      <c r="BG1028" t="str">
        <v>Associated Asphalt Inman Llc</v>
      </c>
      <c r="BH1028" t="str">
        <v>blendSAF</v>
      </c>
      <c r="BI1028" t="str">
        <v/>
      </c>
      <c r="BJ1028" t="str">
        <v/>
      </c>
      <c r="BK1028" t="str">
        <v/>
      </c>
      <c r="BL1028" t="str">
        <v/>
      </c>
      <c r="BM1028" t="str">
        <v/>
      </c>
      <c r="BY1028" t="str">
        <v>processor</v>
      </c>
      <c r="BZ1028" t="str">
        <v>Sunoco Midstream Llc 3</v>
      </c>
      <c r="CA1028" t="str">
        <v>blendSAF</v>
      </c>
      <c r="CB1028" t="str">
        <v/>
      </c>
      <c r="CC1028" t="str">
        <v/>
      </c>
      <c r="CD1028" t="str">
        <v/>
      </c>
      <c r="CE1028" t="str">
        <v/>
      </c>
      <c r="CF1028" t="str">
        <v/>
      </c>
    </row>
    <row r="1029" spans="58:84" x14ac:dyDescent="0.3">
      <c r="BF1029" t="str">
        <v>processor</v>
      </c>
      <c r="BG1029" t="str">
        <v>Us Venture Inc 28</v>
      </c>
      <c r="BH1029" t="str">
        <v>blendSAF</v>
      </c>
      <c r="BI1029" t="str">
        <v/>
      </c>
      <c r="BJ1029" t="str">
        <v/>
      </c>
      <c r="BK1029" t="str">
        <v/>
      </c>
      <c r="BL1029" t="str">
        <v/>
      </c>
      <c r="BM1029" t="str">
        <v/>
      </c>
      <c r="BY1029" t="str">
        <v>processor</v>
      </c>
      <c r="BZ1029" t="str">
        <v>Enterprise Terminals &amp; Storage Llc 22</v>
      </c>
      <c r="CA1029" t="str">
        <v>blendSAF</v>
      </c>
      <c r="CB1029" t="str">
        <v/>
      </c>
      <c r="CC1029" t="str">
        <v/>
      </c>
      <c r="CD1029" t="str">
        <v/>
      </c>
      <c r="CE1029" t="str">
        <v/>
      </c>
      <c r="CF1029" t="str">
        <v/>
      </c>
    </row>
    <row r="1030" spans="58:84" x14ac:dyDescent="0.3">
      <c r="BF1030" t="str">
        <v>processor</v>
      </c>
      <c r="BG1030" t="str">
        <v>Us Venture Inc 29</v>
      </c>
      <c r="BH1030" t="str">
        <v>blendSAF</v>
      </c>
      <c r="BI1030" t="str">
        <v/>
      </c>
      <c r="BJ1030" t="str">
        <v/>
      </c>
      <c r="BK1030" t="str">
        <v/>
      </c>
      <c r="BL1030" t="str">
        <v/>
      </c>
      <c r="BM1030" t="str">
        <v/>
      </c>
      <c r="BY1030" t="str">
        <v>processor</v>
      </c>
      <c r="BZ1030" t="str">
        <v>Enterprise Terminals &amp; Storage Llc 15</v>
      </c>
      <c r="CA1030" t="str">
        <v>blendSAF</v>
      </c>
      <c r="CB1030" t="str">
        <v/>
      </c>
      <c r="CC1030" t="str">
        <v/>
      </c>
      <c r="CD1030" t="str">
        <v/>
      </c>
      <c r="CE1030" t="str">
        <v/>
      </c>
      <c r="CF1030" t="str">
        <v/>
      </c>
    </row>
    <row r="1031" spans="58:84" x14ac:dyDescent="0.3">
      <c r="BF1031" t="str">
        <v>processor</v>
      </c>
      <c r="BG1031" t="str">
        <v>Us Venture Inc 25</v>
      </c>
      <c r="BH1031" t="str">
        <v>blendSAF</v>
      </c>
      <c r="BI1031" t="str">
        <v/>
      </c>
      <c r="BJ1031" t="str">
        <v/>
      </c>
      <c r="BK1031" t="str">
        <v/>
      </c>
      <c r="BL1031" t="str">
        <v/>
      </c>
      <c r="BM1031" t="str">
        <v/>
      </c>
      <c r="BY1031" t="str">
        <v>processor</v>
      </c>
      <c r="BZ1031" t="str">
        <v>Global Co Llc 5</v>
      </c>
      <c r="CA1031" t="str">
        <v>blendSAF</v>
      </c>
      <c r="CB1031" t="str">
        <v/>
      </c>
      <c r="CC1031" t="str">
        <v/>
      </c>
      <c r="CD1031" t="str">
        <v/>
      </c>
      <c r="CE1031" t="str">
        <v/>
      </c>
      <c r="CF1031" t="str">
        <v/>
      </c>
    </row>
    <row r="1032" spans="58:84" x14ac:dyDescent="0.3">
      <c r="BF1032" t="str">
        <v>processor</v>
      </c>
      <c r="BG1032" t="str">
        <v>Us Venture Inc 26</v>
      </c>
      <c r="BH1032" t="str">
        <v>blendSAF</v>
      </c>
      <c r="BI1032" t="str">
        <v/>
      </c>
      <c r="BJ1032" t="str">
        <v/>
      </c>
      <c r="BK1032" t="str">
        <v/>
      </c>
      <c r="BL1032" t="str">
        <v/>
      </c>
      <c r="BM1032" t="str">
        <v/>
      </c>
      <c r="BY1032" t="str">
        <v>processor</v>
      </c>
      <c r="BZ1032" t="str">
        <v>Gordon Terminal Service Co 4</v>
      </c>
      <c r="CA1032" t="str">
        <v>blendSAF</v>
      </c>
      <c r="CB1032" t="str">
        <v/>
      </c>
      <c r="CC1032" t="str">
        <v/>
      </c>
      <c r="CD1032" t="str">
        <v/>
      </c>
      <c r="CE1032" t="str">
        <v/>
      </c>
      <c r="CF1032" t="str">
        <v/>
      </c>
    </row>
    <row r="1033" spans="58:84" x14ac:dyDescent="0.3">
      <c r="BF1033" t="str">
        <v>processor</v>
      </c>
      <c r="BG1033" t="str">
        <v>Buckeye Terminals Llc 97</v>
      </c>
      <c r="BH1033" t="str">
        <v>blendSAF</v>
      </c>
      <c r="BI1033" t="str">
        <v/>
      </c>
      <c r="BJ1033" t="str">
        <v/>
      </c>
      <c r="BK1033" t="str">
        <v/>
      </c>
      <c r="BL1033" t="str">
        <v/>
      </c>
      <c r="BM1033" t="str">
        <v/>
      </c>
      <c r="BY1033" t="str">
        <v>processor</v>
      </c>
      <c r="BZ1033" t="str">
        <v>Philadelphia Energy Solutions</v>
      </c>
      <c r="CA1033" t="str">
        <v>blendSAF</v>
      </c>
      <c r="CB1033" t="str">
        <v/>
      </c>
      <c r="CC1033" t="str">
        <v/>
      </c>
      <c r="CD1033" t="str">
        <v/>
      </c>
      <c r="CE1033" t="str">
        <v/>
      </c>
      <c r="CF1033" t="str">
        <v/>
      </c>
    </row>
    <row r="1034" spans="58:84" x14ac:dyDescent="0.3">
      <c r="BF1034" t="str">
        <v>processor</v>
      </c>
      <c r="BG1034" t="str">
        <v>Buckeye Terminals Llc 24</v>
      </c>
      <c r="BH1034" t="str">
        <v>blendSAF</v>
      </c>
      <c r="BI1034" t="str">
        <v/>
      </c>
      <c r="BJ1034" t="str">
        <v/>
      </c>
      <c r="BK1034" t="str">
        <v/>
      </c>
      <c r="BL1034" t="str">
        <v/>
      </c>
      <c r="BM1034" t="str">
        <v/>
      </c>
      <c r="BY1034" t="str">
        <v>processor</v>
      </c>
      <c r="BZ1034" t="str">
        <v>Kinder Morgan Liq Termls Llc 12</v>
      </c>
      <c r="CA1034" t="str">
        <v>blendSAF</v>
      </c>
      <c r="CB1034" t="str">
        <v/>
      </c>
      <c r="CC1034" t="str">
        <v/>
      </c>
      <c r="CD1034" t="str">
        <v/>
      </c>
      <c r="CE1034" t="str">
        <v/>
      </c>
      <c r="CF1034" t="str">
        <v/>
      </c>
    </row>
    <row r="1035" spans="58:84" x14ac:dyDescent="0.3">
      <c r="BF1035" t="str">
        <v>processor</v>
      </c>
      <c r="BG1035" t="str">
        <v>Buckeye Terminals Llc 80</v>
      </c>
      <c r="BH1035" t="str">
        <v>blendSAF</v>
      </c>
      <c r="BI1035" t="str">
        <v/>
      </c>
      <c r="BJ1035" t="str">
        <v/>
      </c>
      <c r="BK1035" t="str">
        <v/>
      </c>
      <c r="BL1035" t="str">
        <v/>
      </c>
      <c r="BM1035" t="str">
        <v/>
      </c>
      <c r="BY1035" t="str">
        <v>processor</v>
      </c>
      <c r="BZ1035" t="str">
        <v>Marathon Petroleum Co Llc 13</v>
      </c>
      <c r="CA1035" t="str">
        <v>blendSAF</v>
      </c>
      <c r="CB1035" t="str">
        <v/>
      </c>
      <c r="CC1035" t="str">
        <v/>
      </c>
      <c r="CD1035" t="str">
        <v/>
      </c>
      <c r="CE1035" t="str">
        <v/>
      </c>
      <c r="CF1035" t="str">
        <v/>
      </c>
    </row>
    <row r="1036" spans="58:84" x14ac:dyDescent="0.3">
      <c r="BF1036" t="str">
        <v>processor</v>
      </c>
      <c r="BG1036" t="str">
        <v>Buckeye Terminals Llc 30</v>
      </c>
      <c r="BH1036" t="str">
        <v>blendSAF</v>
      </c>
      <c r="BI1036" t="str">
        <v/>
      </c>
      <c r="BJ1036" t="str">
        <v/>
      </c>
      <c r="BK1036" t="str">
        <v/>
      </c>
      <c r="BL1036" t="str">
        <v/>
      </c>
      <c r="BM1036" t="str">
        <v/>
      </c>
      <c r="BY1036" t="str">
        <v>processor</v>
      </c>
      <c r="BZ1036" t="str">
        <v>Marathon Petroleum Co Llc 7</v>
      </c>
      <c r="CA1036" t="str">
        <v>blendSAF</v>
      </c>
      <c r="CB1036" t="str">
        <v/>
      </c>
      <c r="CC1036" t="str">
        <v/>
      </c>
      <c r="CD1036" t="str">
        <v/>
      </c>
      <c r="CE1036" t="str">
        <v/>
      </c>
      <c r="CF1036" t="str">
        <v/>
      </c>
    </row>
    <row r="1037" spans="58:84" x14ac:dyDescent="0.3">
      <c r="BF1037" t="str">
        <v>processor</v>
      </c>
      <c r="BG1037" t="str">
        <v>Crestwood Services Llc 3</v>
      </c>
      <c r="BH1037" t="str">
        <v>blendSAF</v>
      </c>
      <c r="BI1037" t="str">
        <v/>
      </c>
      <c r="BJ1037" t="str">
        <v/>
      </c>
      <c r="BK1037" t="str">
        <v/>
      </c>
      <c r="BL1037" t="str">
        <v/>
      </c>
      <c r="BM1037" t="str">
        <v/>
      </c>
      <c r="BY1037" t="str">
        <v>processor</v>
      </c>
      <c r="BZ1037" t="str">
        <v>Meenan Oil Co Lp</v>
      </c>
      <c r="CA1037" t="str">
        <v>blendSAF</v>
      </c>
      <c r="CB1037" t="str">
        <v/>
      </c>
      <c r="CC1037" t="str">
        <v/>
      </c>
      <c r="CD1037" t="str">
        <v/>
      </c>
      <c r="CE1037" t="str">
        <v/>
      </c>
      <c r="CF1037" t="str">
        <v/>
      </c>
    </row>
    <row r="1038" spans="58:84" x14ac:dyDescent="0.3">
      <c r="BF1038" t="str">
        <v>processor</v>
      </c>
      <c r="BG1038" t="str">
        <v>Ent Propane Terminals &amp; Storage Llc 6</v>
      </c>
      <c r="BH1038" t="str">
        <v>blendSAF</v>
      </c>
      <c r="BI1038" t="str">
        <v/>
      </c>
      <c r="BJ1038" t="str">
        <v/>
      </c>
      <c r="BK1038" t="str">
        <v/>
      </c>
      <c r="BL1038" t="str">
        <v/>
      </c>
      <c r="BM1038" t="str">
        <v/>
      </c>
      <c r="BY1038" t="str">
        <v>processor</v>
      </c>
      <c r="BZ1038" t="str">
        <v>Amerigas Propane</v>
      </c>
      <c r="CA1038" t="str">
        <v>blendSAF</v>
      </c>
      <c r="CB1038" t="str">
        <v/>
      </c>
      <c r="CC1038" t="str">
        <v/>
      </c>
      <c r="CD1038" t="str">
        <v/>
      </c>
      <c r="CE1038" t="str">
        <v/>
      </c>
      <c r="CF1038" t="str">
        <v/>
      </c>
    </row>
    <row r="1039" spans="58:84" x14ac:dyDescent="0.3">
      <c r="BF1039" t="str">
        <v>processor</v>
      </c>
      <c r="BG1039" t="str">
        <v>Ent Propane Terminals &amp; Storage Llc 4</v>
      </c>
      <c r="BH1039" t="str">
        <v>blendSAF</v>
      </c>
      <c r="BI1039" t="str">
        <v/>
      </c>
      <c r="BJ1039" t="str">
        <v/>
      </c>
      <c r="BK1039" t="str">
        <v/>
      </c>
      <c r="BL1039" t="str">
        <v/>
      </c>
      <c r="BM1039" t="str">
        <v/>
      </c>
      <c r="BY1039" t="str">
        <v>processor</v>
      </c>
      <c r="BZ1039" t="str">
        <v>United Refining Co 4</v>
      </c>
      <c r="CA1039" t="str">
        <v>blendSAF</v>
      </c>
      <c r="CB1039" t="str">
        <v/>
      </c>
      <c r="CC1039" t="str">
        <v/>
      </c>
      <c r="CD1039" t="str">
        <v/>
      </c>
      <c r="CE1039" t="str">
        <v/>
      </c>
      <c r="CF1039" t="str">
        <v/>
      </c>
    </row>
    <row r="1040" spans="58:84" x14ac:dyDescent="0.3">
      <c r="BF1040" t="str">
        <v>processor</v>
      </c>
      <c r="BG1040" t="str">
        <v>Kinder Morgan Se Trmnls Llc 1</v>
      </c>
      <c r="BH1040" t="str">
        <v>blendSAF</v>
      </c>
      <c r="BI1040" t="str">
        <v/>
      </c>
      <c r="BJ1040" t="str">
        <v/>
      </c>
      <c r="BK1040" t="str">
        <v/>
      </c>
      <c r="BL1040" t="str">
        <v/>
      </c>
      <c r="BM1040" t="str">
        <v/>
      </c>
      <c r="BY1040" t="str">
        <v>processor</v>
      </c>
      <c r="BZ1040" t="str">
        <v>Watco Transloading Llc</v>
      </c>
      <c r="CA1040" t="str">
        <v>blendSAF</v>
      </c>
      <c r="CB1040" t="str">
        <v/>
      </c>
      <c r="CC1040" t="str">
        <v/>
      </c>
      <c r="CD1040" t="str">
        <v/>
      </c>
      <c r="CE1040" t="str">
        <v/>
      </c>
      <c r="CF1040" t="str">
        <v/>
      </c>
    </row>
    <row r="1041" spans="58:84" x14ac:dyDescent="0.3">
      <c r="BF1041" t="str">
        <v>processor</v>
      </c>
      <c r="BG1041" t="str">
        <v>Kinder Morgan Southeast Terminal 15</v>
      </c>
      <c r="BH1041" t="str">
        <v>blendSAF</v>
      </c>
      <c r="BI1041" t="str">
        <v/>
      </c>
      <c r="BJ1041" t="str">
        <v/>
      </c>
      <c r="BK1041" t="str">
        <v/>
      </c>
      <c r="BL1041" t="str">
        <v/>
      </c>
      <c r="BM1041" t="str">
        <v/>
      </c>
      <c r="BY1041" t="str">
        <v>processor</v>
      </c>
      <c r="BZ1041" t="str">
        <v>Sea-3 Providence Llc</v>
      </c>
      <c r="CA1041" t="str">
        <v>blendSAF</v>
      </c>
      <c r="CB1041" t="str">
        <v/>
      </c>
      <c r="CC1041" t="str">
        <v/>
      </c>
      <c r="CD1041" t="str">
        <v/>
      </c>
      <c r="CE1041" t="str">
        <v/>
      </c>
      <c r="CF1041" t="str">
        <v/>
      </c>
    </row>
    <row r="1042" spans="58:84" x14ac:dyDescent="0.3">
      <c r="BF1042" t="str">
        <v>processor</v>
      </c>
      <c r="BG1042" t="str">
        <v>Kinder Morgan Southeast Terminal 16</v>
      </c>
      <c r="BH1042" t="str">
        <v>blendSAF</v>
      </c>
      <c r="BI1042" t="str">
        <v/>
      </c>
      <c r="BJ1042" t="str">
        <v/>
      </c>
      <c r="BK1042" t="str">
        <v/>
      </c>
      <c r="BL1042" t="str">
        <v/>
      </c>
      <c r="BM1042" t="str">
        <v/>
      </c>
      <c r="BY1042" t="str">
        <v>processor</v>
      </c>
      <c r="BZ1042" t="str">
        <v>Exxonmobil Corporation 1</v>
      </c>
      <c r="CA1042" t="str">
        <v>blendSAF</v>
      </c>
      <c r="CB1042" t="str">
        <v/>
      </c>
      <c r="CC1042" t="str">
        <v/>
      </c>
      <c r="CD1042" t="str">
        <v/>
      </c>
      <c r="CE1042" t="str">
        <v/>
      </c>
      <c r="CF1042" t="str">
        <v/>
      </c>
    </row>
    <row r="1043" spans="58:84" x14ac:dyDescent="0.3">
      <c r="BF1043" t="str">
        <v>processor</v>
      </c>
      <c r="BG1043" t="str">
        <v>Kindermorgan Southeast Terminals Llc 4</v>
      </c>
      <c r="BH1043" t="str">
        <v>blendSAF</v>
      </c>
      <c r="BI1043" t="str">
        <v/>
      </c>
      <c r="BJ1043" t="str">
        <v/>
      </c>
      <c r="BK1043" t="str">
        <v/>
      </c>
      <c r="BL1043" t="str">
        <v/>
      </c>
      <c r="BM1043" t="str">
        <v/>
      </c>
      <c r="BY1043" t="str">
        <v>processor</v>
      </c>
      <c r="BZ1043" t="str">
        <v>Sprague Operating Resources Llc 5</v>
      </c>
      <c r="CA1043" t="str">
        <v>blendSAF</v>
      </c>
      <c r="CB1043" t="str">
        <v/>
      </c>
      <c r="CC1043" t="str">
        <v/>
      </c>
      <c r="CD1043" t="str">
        <v/>
      </c>
      <c r="CE1043" t="str">
        <v/>
      </c>
      <c r="CF1043" t="str">
        <v/>
      </c>
    </row>
    <row r="1044" spans="58:84" x14ac:dyDescent="0.3">
      <c r="BF1044" t="str">
        <v>processor</v>
      </c>
      <c r="BG1044" t="str">
        <v>Kinder Morgan 4</v>
      </c>
      <c r="BH1044" t="str">
        <v>blendSAF</v>
      </c>
      <c r="BI1044" t="str">
        <v/>
      </c>
      <c r="BJ1044" t="str">
        <v/>
      </c>
      <c r="BK1044" t="str">
        <v/>
      </c>
      <c r="BL1044" t="str">
        <v/>
      </c>
      <c r="BM1044" t="str">
        <v/>
      </c>
      <c r="BY1044" t="str">
        <v>processor</v>
      </c>
      <c r="BZ1044" t="str">
        <v>Sprague Operating Resources Llc 2</v>
      </c>
      <c r="CA1044" t="str">
        <v>blendSAF</v>
      </c>
      <c r="CB1044" t="str">
        <v/>
      </c>
      <c r="CC1044" t="str">
        <v/>
      </c>
      <c r="CD1044" t="str">
        <v/>
      </c>
      <c r="CE1044" t="str">
        <v/>
      </c>
      <c r="CF1044" t="str">
        <v/>
      </c>
    </row>
    <row r="1045" spans="58:84" x14ac:dyDescent="0.3">
      <c r="BF1045" t="str">
        <v>processor</v>
      </c>
      <c r="BG1045" t="str">
        <v>Mplx Terminals Llc 3</v>
      </c>
      <c r="BH1045" t="str">
        <v>blendSAF</v>
      </c>
      <c r="BI1045" t="str">
        <v/>
      </c>
      <c r="BJ1045" t="str">
        <v/>
      </c>
      <c r="BK1045" t="str">
        <v/>
      </c>
      <c r="BL1045" t="str">
        <v/>
      </c>
      <c r="BM1045" t="str">
        <v/>
      </c>
      <c r="BY1045" t="str">
        <v>processor</v>
      </c>
      <c r="BZ1045" t="str">
        <v>The Hudson Co</v>
      </c>
      <c r="CA1045" t="str">
        <v>blendSAF</v>
      </c>
      <c r="CB1045" t="str">
        <v/>
      </c>
      <c r="CC1045" t="str">
        <v/>
      </c>
      <c r="CD1045" t="str">
        <v/>
      </c>
      <c r="CE1045" t="str">
        <v/>
      </c>
      <c r="CF1045" t="str">
        <v/>
      </c>
    </row>
    <row r="1046" spans="58:84" x14ac:dyDescent="0.3">
      <c r="BF1046" t="str">
        <v>processor</v>
      </c>
      <c r="BG1046" t="str">
        <v>Citgo Petroleum Corp 37</v>
      </c>
      <c r="BH1046" t="str">
        <v>blendSAF</v>
      </c>
      <c r="BI1046" t="str">
        <v/>
      </c>
      <c r="BJ1046" t="str">
        <v/>
      </c>
      <c r="BK1046" t="str">
        <v/>
      </c>
      <c r="BL1046" t="str">
        <v/>
      </c>
      <c r="BM1046" t="str">
        <v/>
      </c>
      <c r="BY1046" t="str">
        <v>processor</v>
      </c>
      <c r="BZ1046" t="str">
        <v>Hudson Co</v>
      </c>
      <c r="CA1046" t="str">
        <v>blendSAF</v>
      </c>
      <c r="CB1046" t="str">
        <v/>
      </c>
      <c r="CC1046" t="str">
        <v/>
      </c>
      <c r="CD1046" t="str">
        <v/>
      </c>
      <c r="CE1046" t="str">
        <v/>
      </c>
      <c r="CF1046" t="str">
        <v/>
      </c>
    </row>
    <row r="1047" spans="58:84" x14ac:dyDescent="0.3">
      <c r="BF1047" t="str">
        <v>processor</v>
      </c>
      <c r="BG1047" t="str">
        <v>Motiva Enterprises Llc 21</v>
      </c>
      <c r="BH1047" t="str">
        <v>blendSAF</v>
      </c>
      <c r="BI1047" t="str">
        <v/>
      </c>
      <c r="BJ1047" t="str">
        <v/>
      </c>
      <c r="BK1047" t="str">
        <v/>
      </c>
      <c r="BL1047" t="str">
        <v/>
      </c>
      <c r="BM1047" t="str">
        <v/>
      </c>
      <c r="BY1047" t="str">
        <v>processor</v>
      </c>
      <c r="BZ1047" t="str">
        <v>Shell Oil Products Us 12</v>
      </c>
      <c r="CA1047" t="str">
        <v>blendSAF</v>
      </c>
      <c r="CB1047" t="str">
        <v/>
      </c>
      <c r="CC1047" t="str">
        <v/>
      </c>
      <c r="CD1047" t="str">
        <v/>
      </c>
      <c r="CE1047" t="str">
        <v/>
      </c>
      <c r="CF1047" t="str">
        <v/>
      </c>
    </row>
    <row r="1048" spans="58:84" x14ac:dyDescent="0.3">
      <c r="BF1048" t="str">
        <v>processor</v>
      </c>
      <c r="BG1048" t="str">
        <v>Southeast Emulsions Inc 2</v>
      </c>
      <c r="BH1048" t="str">
        <v>blendSAF</v>
      </c>
      <c r="BI1048" t="str">
        <v/>
      </c>
      <c r="BJ1048" t="str">
        <v/>
      </c>
      <c r="BK1048" t="str">
        <v/>
      </c>
      <c r="BL1048" t="str">
        <v/>
      </c>
      <c r="BM1048" t="str">
        <v/>
      </c>
      <c r="BY1048" t="str">
        <v>processor</v>
      </c>
      <c r="BZ1048" t="str">
        <v>Inland Fuel Terminals</v>
      </c>
      <c r="CA1048" t="str">
        <v>blendSAF</v>
      </c>
      <c r="CB1048" t="str">
        <v/>
      </c>
      <c r="CC1048" t="str">
        <v/>
      </c>
      <c r="CD1048" t="str">
        <v/>
      </c>
      <c r="CE1048" t="str">
        <v/>
      </c>
      <c r="CF1048" t="str">
        <v/>
      </c>
    </row>
    <row r="1049" spans="58:84" x14ac:dyDescent="0.3">
      <c r="BF1049" t="str">
        <v>processor</v>
      </c>
      <c r="BG1049" t="str">
        <v>Transmontaigne Operating Company 47</v>
      </c>
      <c r="BH1049" t="str">
        <v>blendSAF</v>
      </c>
      <c r="BI1049" t="str">
        <v/>
      </c>
      <c r="BJ1049" t="str">
        <v/>
      </c>
      <c r="BK1049" t="str">
        <v/>
      </c>
      <c r="BL1049" t="str">
        <v/>
      </c>
      <c r="BM1049" t="str">
        <v/>
      </c>
      <c r="BY1049" t="str">
        <v>processor</v>
      </c>
      <c r="BZ1049" t="str">
        <v>Chevron Usa Inc Charleston</v>
      </c>
      <c r="CA1049" t="str">
        <v>blendSAF</v>
      </c>
      <c r="CB1049" t="str">
        <v/>
      </c>
      <c r="CC1049" t="str">
        <v/>
      </c>
      <c r="CD1049" t="str">
        <v/>
      </c>
      <c r="CE1049" t="str">
        <v/>
      </c>
      <c r="CF1049" t="str">
        <v/>
      </c>
    </row>
    <row r="1050" spans="58:84" x14ac:dyDescent="0.3">
      <c r="BF1050" t="str">
        <v>processor</v>
      </c>
      <c r="BG1050" t="str">
        <v>Jebro Incorporated 2</v>
      </c>
      <c r="BH1050" t="str">
        <v>blendSAF</v>
      </c>
      <c r="BI1050" t="str">
        <v/>
      </c>
      <c r="BJ1050" t="str">
        <v/>
      </c>
      <c r="BK1050" t="str">
        <v/>
      </c>
      <c r="BL1050" t="str">
        <v/>
      </c>
      <c r="BM1050" t="str">
        <v/>
      </c>
      <c r="BY1050" t="str">
        <v>processor</v>
      </c>
      <c r="BZ1050" t="str">
        <v>Associated Asphalt Inman Llc</v>
      </c>
      <c r="CA1050" t="str">
        <v>blendSAF</v>
      </c>
      <c r="CB1050" t="str">
        <v/>
      </c>
      <c r="CC1050" t="str">
        <v/>
      </c>
      <c r="CD1050" t="str">
        <v/>
      </c>
      <c r="CE1050" t="str">
        <v/>
      </c>
      <c r="CF1050" t="str">
        <v/>
      </c>
    </row>
    <row r="1051" spans="58:84" x14ac:dyDescent="0.3">
      <c r="BF1051" t="str">
        <v>processor</v>
      </c>
      <c r="BG1051" t="str">
        <v>Magellan Pipeline Co Lp 43</v>
      </c>
      <c r="BH1051" t="str">
        <v>blendSAF</v>
      </c>
      <c r="BI1051" t="str">
        <v/>
      </c>
      <c r="BJ1051" t="str">
        <v/>
      </c>
      <c r="BK1051" t="str">
        <v/>
      </c>
      <c r="BL1051" t="str">
        <v/>
      </c>
      <c r="BM1051" t="str">
        <v/>
      </c>
      <c r="BY1051" t="str">
        <v>processor</v>
      </c>
      <c r="BZ1051" t="str">
        <v>Us Venture Inc 28</v>
      </c>
      <c r="CA1051" t="str">
        <v>blendSAF</v>
      </c>
      <c r="CB1051" t="str">
        <v/>
      </c>
      <c r="CC1051" t="str">
        <v/>
      </c>
      <c r="CD1051" t="str">
        <v/>
      </c>
      <c r="CE1051" t="str">
        <v/>
      </c>
      <c r="CF1051" t="str">
        <v/>
      </c>
    </row>
    <row r="1052" spans="58:84" x14ac:dyDescent="0.3">
      <c r="BF1052" t="str">
        <v>processor</v>
      </c>
      <c r="BG1052" t="str">
        <v>Magellan Pipeline Co Lp 48</v>
      </c>
      <c r="BH1052" t="str">
        <v>blendSAF</v>
      </c>
      <c r="BI1052" t="str">
        <v/>
      </c>
      <c r="BJ1052" t="str">
        <v/>
      </c>
      <c r="BK1052" t="str">
        <v/>
      </c>
      <c r="BL1052" t="str">
        <v/>
      </c>
      <c r="BM1052" t="str">
        <v/>
      </c>
      <c r="BY1052" t="str">
        <v>processor</v>
      </c>
      <c r="BZ1052" t="str">
        <v>Us Venture Inc 29</v>
      </c>
      <c r="CA1052" t="str">
        <v>blendSAF</v>
      </c>
      <c r="CB1052" t="str">
        <v/>
      </c>
      <c r="CC1052" t="str">
        <v/>
      </c>
      <c r="CD1052" t="str">
        <v/>
      </c>
      <c r="CE1052" t="str">
        <v/>
      </c>
      <c r="CF1052" t="str">
        <v/>
      </c>
    </row>
    <row r="1053" spans="58:84" x14ac:dyDescent="0.3">
      <c r="BF1053" t="str">
        <v>processor</v>
      </c>
      <c r="BG1053" t="str">
        <v>Magellan Pipeline Co Lp 38</v>
      </c>
      <c r="BH1053" t="str">
        <v>blendSAF</v>
      </c>
      <c r="BI1053" t="str">
        <v/>
      </c>
      <c r="BJ1053" t="str">
        <v/>
      </c>
      <c r="BK1053" t="str">
        <v/>
      </c>
      <c r="BL1053" t="str">
        <v/>
      </c>
      <c r="BM1053" t="str">
        <v/>
      </c>
      <c r="BY1053" t="str">
        <v>processor</v>
      </c>
      <c r="BZ1053" t="str">
        <v>Us Venture Inc 25</v>
      </c>
      <c r="CA1053" t="str">
        <v>blendSAF</v>
      </c>
      <c r="CB1053" t="str">
        <v/>
      </c>
      <c r="CC1053" t="str">
        <v/>
      </c>
      <c r="CD1053" t="str">
        <v/>
      </c>
      <c r="CE1053" t="str">
        <v/>
      </c>
      <c r="CF1053" t="str">
        <v/>
      </c>
    </row>
    <row r="1054" spans="58:84" x14ac:dyDescent="0.3">
      <c r="BF1054" t="str">
        <v>processor</v>
      </c>
      <c r="BG1054" t="str">
        <v>Nustar Energy Lp 26</v>
      </c>
      <c r="BH1054" t="str">
        <v>blendSAF</v>
      </c>
      <c r="BI1054" t="str">
        <v/>
      </c>
      <c r="BJ1054" t="str">
        <v/>
      </c>
      <c r="BK1054" t="str">
        <v/>
      </c>
      <c r="BL1054" t="str">
        <v/>
      </c>
      <c r="BM1054" t="str">
        <v/>
      </c>
      <c r="BY1054" t="str">
        <v>processor</v>
      </c>
      <c r="BZ1054" t="str">
        <v>Us Venture Inc 26</v>
      </c>
      <c r="CA1054" t="str">
        <v>blendSAF</v>
      </c>
      <c r="CB1054" t="str">
        <v/>
      </c>
      <c r="CC1054" t="str">
        <v/>
      </c>
      <c r="CD1054" t="str">
        <v/>
      </c>
      <c r="CE1054" t="str">
        <v/>
      </c>
      <c r="CF1054" t="str">
        <v/>
      </c>
    </row>
    <row r="1055" spans="58:84" x14ac:dyDescent="0.3">
      <c r="BF1055" t="str">
        <v>processor</v>
      </c>
      <c r="BG1055" t="str">
        <v>Nustar Energy Lp 47</v>
      </c>
      <c r="BH1055" t="str">
        <v>blendSAF</v>
      </c>
      <c r="BI1055" t="str">
        <v/>
      </c>
      <c r="BJ1055" t="str">
        <v/>
      </c>
      <c r="BK1055" t="str">
        <v/>
      </c>
      <c r="BL1055" t="str">
        <v/>
      </c>
      <c r="BM1055" t="str">
        <v/>
      </c>
      <c r="BY1055" t="str">
        <v>processor</v>
      </c>
      <c r="BZ1055" t="str">
        <v>Buckeye Terminals Llc 97</v>
      </c>
      <c r="CA1055" t="str">
        <v>blendSAF</v>
      </c>
      <c r="CB1055" t="str">
        <v/>
      </c>
      <c r="CC1055" t="str">
        <v/>
      </c>
      <c r="CD1055" t="str">
        <v/>
      </c>
      <c r="CE1055" t="str">
        <v/>
      </c>
      <c r="CF1055" t="str">
        <v/>
      </c>
    </row>
    <row r="1056" spans="58:84" x14ac:dyDescent="0.3">
      <c r="BF1056" t="str">
        <v>processor</v>
      </c>
      <c r="BG1056" t="str">
        <v>Nustar Energy Lp 1</v>
      </c>
      <c r="BH1056" t="str">
        <v>blendSAF</v>
      </c>
      <c r="BI1056" t="str">
        <v/>
      </c>
      <c r="BJ1056" t="str">
        <v/>
      </c>
      <c r="BK1056" t="str">
        <v/>
      </c>
      <c r="BL1056" t="str">
        <v/>
      </c>
      <c r="BM1056" t="str">
        <v/>
      </c>
      <c r="BY1056" t="str">
        <v>processor</v>
      </c>
      <c r="BZ1056" t="str">
        <v>Buckeye Terminals Llc 24</v>
      </c>
      <c r="CA1056" t="str">
        <v>blendSAF</v>
      </c>
      <c r="CB1056" t="str">
        <v/>
      </c>
      <c r="CC1056" t="str">
        <v/>
      </c>
      <c r="CD1056" t="str">
        <v/>
      </c>
      <c r="CE1056" t="str">
        <v/>
      </c>
      <c r="CF1056" t="str">
        <v/>
      </c>
    </row>
    <row r="1057" spans="58:84" x14ac:dyDescent="0.3">
      <c r="BF1057" t="str">
        <v>processor</v>
      </c>
      <c r="BG1057" t="str">
        <v>Nustar Energy Lp 40</v>
      </c>
      <c r="BH1057" t="str">
        <v>blendSAF</v>
      </c>
      <c r="BI1057" t="str">
        <v/>
      </c>
      <c r="BJ1057" t="str">
        <v/>
      </c>
      <c r="BK1057" t="str">
        <v/>
      </c>
      <c r="BL1057" t="str">
        <v/>
      </c>
      <c r="BM1057" t="str">
        <v/>
      </c>
      <c r="BY1057" t="str">
        <v>processor</v>
      </c>
      <c r="BZ1057" t="str">
        <v>Buckeye Terminals Llc 80</v>
      </c>
      <c r="CA1057" t="str">
        <v>blendSAF</v>
      </c>
      <c r="CB1057" t="str">
        <v/>
      </c>
      <c r="CC1057" t="str">
        <v/>
      </c>
      <c r="CD1057" t="str">
        <v/>
      </c>
      <c r="CE1057" t="str">
        <v/>
      </c>
      <c r="CF1057" t="str">
        <v/>
      </c>
    </row>
    <row r="1058" spans="58:84" x14ac:dyDescent="0.3">
      <c r="BF1058" t="str">
        <v>processor</v>
      </c>
      <c r="BG1058" t="str">
        <v>Nustar Energy Lp 46</v>
      </c>
      <c r="BH1058" t="str">
        <v>blendSAF</v>
      </c>
      <c r="BI1058" t="str">
        <v/>
      </c>
      <c r="BJ1058" t="str">
        <v/>
      </c>
      <c r="BK1058" t="str">
        <v/>
      </c>
      <c r="BL1058" t="str">
        <v/>
      </c>
      <c r="BM1058" t="str">
        <v/>
      </c>
      <c r="BY1058" t="str">
        <v>processor</v>
      </c>
      <c r="BZ1058" t="str">
        <v>Buckeye Terminals Llc 30</v>
      </c>
      <c r="CA1058" t="str">
        <v>blendSAF</v>
      </c>
      <c r="CB1058" t="str">
        <v/>
      </c>
      <c r="CC1058" t="str">
        <v/>
      </c>
      <c r="CD1058" t="str">
        <v/>
      </c>
      <c r="CE1058" t="str">
        <v/>
      </c>
      <c r="CF1058" t="str">
        <v/>
      </c>
    </row>
    <row r="1059" spans="58:84" x14ac:dyDescent="0.3">
      <c r="BF1059" t="str">
        <v>processor</v>
      </c>
      <c r="BG1059" t="str">
        <v>Petroleum Fuel &amp; Terminal Co 9</v>
      </c>
      <c r="BH1059" t="str">
        <v>blendSAF</v>
      </c>
      <c r="BI1059" t="str">
        <v/>
      </c>
      <c r="BJ1059" t="str">
        <v/>
      </c>
      <c r="BK1059" t="str">
        <v/>
      </c>
      <c r="BL1059" t="str">
        <v/>
      </c>
      <c r="BM1059" t="str">
        <v/>
      </c>
      <c r="BY1059" t="str">
        <v>processor</v>
      </c>
      <c r="BZ1059" t="str">
        <v>Crestwood Services Llc 3</v>
      </c>
      <c r="CA1059" t="str">
        <v>blendSAF</v>
      </c>
      <c r="CB1059" t="str">
        <v/>
      </c>
      <c r="CC1059" t="str">
        <v/>
      </c>
      <c r="CD1059" t="str">
        <v/>
      </c>
      <c r="CE1059" t="str">
        <v/>
      </c>
      <c r="CF1059" t="str">
        <v/>
      </c>
    </row>
    <row r="1060" spans="58:84" x14ac:dyDescent="0.3">
      <c r="BF1060" t="str">
        <v>processor</v>
      </c>
      <c r="BG1060" t="str">
        <v>Ergon Asphalt &amp; Emulsions Inc 8</v>
      </c>
      <c r="BH1060" t="str">
        <v>blendSAF</v>
      </c>
      <c r="BI1060" t="str">
        <v/>
      </c>
      <c r="BJ1060" t="str">
        <v/>
      </c>
      <c r="BK1060" t="str">
        <v/>
      </c>
      <c r="BL1060" t="str">
        <v/>
      </c>
      <c r="BM1060" t="str">
        <v/>
      </c>
      <c r="BY1060" t="str">
        <v>processor</v>
      </c>
      <c r="BZ1060" t="str">
        <v>Ent Propane Terminals &amp; Storage Llc 6</v>
      </c>
      <c r="CA1060" t="str">
        <v>blendSAF</v>
      </c>
      <c r="CB1060" t="str">
        <v/>
      </c>
      <c r="CC1060" t="str">
        <v/>
      </c>
      <c r="CD1060" t="str">
        <v/>
      </c>
      <c r="CE1060" t="str">
        <v/>
      </c>
      <c r="CF1060" t="str">
        <v/>
      </c>
    </row>
    <row r="1061" spans="58:84" x14ac:dyDescent="0.3">
      <c r="BF1061" t="str">
        <v>processor</v>
      </c>
      <c r="BG1061" t="str">
        <v>Ergon Asphalt &amp; Emulsions Inc 10</v>
      </c>
      <c r="BH1061" t="str">
        <v>blendSAF</v>
      </c>
      <c r="BI1061" t="str">
        <v/>
      </c>
      <c r="BJ1061" t="str">
        <v/>
      </c>
      <c r="BK1061" t="str">
        <v/>
      </c>
      <c r="BL1061" t="str">
        <v/>
      </c>
      <c r="BM1061" t="str">
        <v/>
      </c>
      <c r="BY1061" t="str">
        <v>processor</v>
      </c>
      <c r="BZ1061" t="str">
        <v>Ent Propane Terminals &amp; Storage Llc 4</v>
      </c>
      <c r="CA1061" t="str">
        <v>blendSAF</v>
      </c>
      <c r="CB1061" t="str">
        <v/>
      </c>
      <c r="CC1061" t="str">
        <v/>
      </c>
      <c r="CD1061" t="str">
        <v/>
      </c>
      <c r="CE1061" t="str">
        <v/>
      </c>
      <c r="CF1061" t="str">
        <v/>
      </c>
    </row>
    <row r="1062" spans="58:84" x14ac:dyDescent="0.3">
      <c r="BF1062" t="str">
        <v>processor</v>
      </c>
      <c r="BG1062" t="str">
        <v>Ergon Asphalt And Emulsions 12</v>
      </c>
      <c r="BH1062" t="str">
        <v>blendSAF</v>
      </c>
      <c r="BI1062" t="str">
        <v/>
      </c>
      <c r="BJ1062" t="str">
        <v/>
      </c>
      <c r="BK1062" t="str">
        <v/>
      </c>
      <c r="BL1062" t="str">
        <v/>
      </c>
      <c r="BM1062" t="str">
        <v/>
      </c>
      <c r="BY1062" t="str">
        <v>processor</v>
      </c>
      <c r="BZ1062" t="str">
        <v>Kinder Morgan Se Trmnls Llc 1</v>
      </c>
      <c r="CA1062" t="str">
        <v>blendSAF</v>
      </c>
      <c r="CB1062" t="str">
        <v/>
      </c>
      <c r="CC1062" t="str">
        <v/>
      </c>
      <c r="CD1062" t="str">
        <v/>
      </c>
      <c r="CE1062" t="str">
        <v/>
      </c>
      <c r="CF1062" t="str">
        <v/>
      </c>
    </row>
    <row r="1063" spans="58:84" x14ac:dyDescent="0.3">
      <c r="BF1063" t="str">
        <v>processor</v>
      </c>
      <c r="BG1063" t="str">
        <v>Bkep Materials Llc 10</v>
      </c>
      <c r="BH1063" t="str">
        <v>blendSAF</v>
      </c>
      <c r="BI1063" t="str">
        <v/>
      </c>
      <c r="BJ1063" t="str">
        <v/>
      </c>
      <c r="BK1063" t="str">
        <v/>
      </c>
      <c r="BL1063" t="str">
        <v/>
      </c>
      <c r="BM1063" t="str">
        <v/>
      </c>
      <c r="BY1063" t="str">
        <v>processor</v>
      </c>
      <c r="BZ1063" t="str">
        <v>Kinder Morgan Southeast Terminal 15</v>
      </c>
      <c r="CA1063" t="str">
        <v>blendSAF</v>
      </c>
      <c r="CB1063" t="str">
        <v/>
      </c>
      <c r="CC1063" t="str">
        <v/>
      </c>
      <c r="CD1063" t="str">
        <v/>
      </c>
      <c r="CE1063" t="str">
        <v/>
      </c>
      <c r="CF1063" t="str">
        <v/>
      </c>
    </row>
    <row r="1064" spans="58:84" x14ac:dyDescent="0.3">
      <c r="BF1064" t="str">
        <v>processor</v>
      </c>
      <c r="BG1064" t="str">
        <v>Buckeye Terminals Llc 43</v>
      </c>
      <c r="BH1064" t="str">
        <v>blendSAF</v>
      </c>
      <c r="BI1064" t="str">
        <v/>
      </c>
      <c r="BJ1064" t="str">
        <v/>
      </c>
      <c r="BK1064" t="str">
        <v/>
      </c>
      <c r="BL1064" t="str">
        <v/>
      </c>
      <c r="BM1064" t="str">
        <v/>
      </c>
      <c r="BY1064" t="str">
        <v>processor</v>
      </c>
      <c r="BZ1064" t="str">
        <v>Kinder Morgan Southeast Terminal 16</v>
      </c>
      <c r="CA1064" t="str">
        <v>blendSAF</v>
      </c>
      <c r="CB1064" t="str">
        <v/>
      </c>
      <c r="CC1064" t="str">
        <v/>
      </c>
      <c r="CD1064" t="str">
        <v/>
      </c>
      <c r="CE1064" t="str">
        <v/>
      </c>
      <c r="CF1064" t="str">
        <v/>
      </c>
    </row>
    <row r="1065" spans="58:84" x14ac:dyDescent="0.3">
      <c r="BF1065" t="str">
        <v>processor</v>
      </c>
      <c r="BG1065" t="str">
        <v>Buckeye Se Terminals Lp 14</v>
      </c>
      <c r="BH1065" t="str">
        <v>blendSAF</v>
      </c>
      <c r="BI1065" t="str">
        <v/>
      </c>
      <c r="BJ1065" t="str">
        <v/>
      </c>
      <c r="BK1065" t="str">
        <v/>
      </c>
      <c r="BL1065" t="str">
        <v/>
      </c>
      <c r="BM1065" t="str">
        <v/>
      </c>
      <c r="BY1065" t="str">
        <v>processor</v>
      </c>
      <c r="BZ1065" t="str">
        <v>Kindermorgan Southeast Terminals Llc 4</v>
      </c>
      <c r="CA1065" t="str">
        <v>blendSAF</v>
      </c>
      <c r="CB1065" t="str">
        <v/>
      </c>
      <c r="CC1065" t="str">
        <v/>
      </c>
      <c r="CD1065" t="str">
        <v/>
      </c>
      <c r="CE1065" t="str">
        <v/>
      </c>
      <c r="CF1065" t="str">
        <v/>
      </c>
    </row>
    <row r="1066" spans="58:84" x14ac:dyDescent="0.3">
      <c r="BF1066" t="str">
        <v>processor</v>
      </c>
      <c r="BG1066" t="str">
        <v>Buckeye Se Terminals Lp 15</v>
      </c>
      <c r="BH1066" t="str">
        <v>blendSAF</v>
      </c>
      <c r="BI1066" t="str">
        <v/>
      </c>
      <c r="BJ1066" t="str">
        <v/>
      </c>
      <c r="BK1066" t="str">
        <v/>
      </c>
      <c r="BL1066" t="str">
        <v/>
      </c>
      <c r="BM1066" t="str">
        <v/>
      </c>
      <c r="BY1066" t="str">
        <v>processor</v>
      </c>
      <c r="BZ1066" t="str">
        <v>Kinder Morgan 4</v>
      </c>
      <c r="CA1066" t="str">
        <v>blendSAF</v>
      </c>
      <c r="CB1066" t="str">
        <v/>
      </c>
      <c r="CC1066" t="str">
        <v/>
      </c>
      <c r="CD1066" t="str">
        <v/>
      </c>
      <c r="CE1066" t="str">
        <v/>
      </c>
      <c r="CF1066" t="str">
        <v/>
      </c>
    </row>
    <row r="1067" spans="58:84" x14ac:dyDescent="0.3">
      <c r="BF1067" t="str">
        <v>processor</v>
      </c>
      <c r="BG1067" t="str">
        <v>Buckeye Se Terminals Lp 12</v>
      </c>
      <c r="BH1067" t="str">
        <v>blendSAF</v>
      </c>
      <c r="BI1067" t="str">
        <v/>
      </c>
      <c r="BJ1067" t="str">
        <v/>
      </c>
      <c r="BK1067" t="str">
        <v/>
      </c>
      <c r="BL1067" t="str">
        <v/>
      </c>
      <c r="BM1067" t="str">
        <v/>
      </c>
      <c r="BY1067" t="str">
        <v>processor</v>
      </c>
      <c r="BZ1067" t="str">
        <v>Mplx Terminals Llc 3</v>
      </c>
      <c r="CA1067" t="str">
        <v>blendSAF</v>
      </c>
      <c r="CB1067" t="str">
        <v/>
      </c>
      <c r="CC1067" t="str">
        <v/>
      </c>
      <c r="CD1067" t="str">
        <v/>
      </c>
      <c r="CE1067" t="str">
        <v/>
      </c>
      <c r="CF1067" t="str">
        <v/>
      </c>
    </row>
    <row r="1068" spans="58:84" x14ac:dyDescent="0.3">
      <c r="BF1068" t="str">
        <v>processor</v>
      </c>
      <c r="BG1068" t="str">
        <v>Buckeye Se Terminals</v>
      </c>
      <c r="BH1068" t="str">
        <v>blendSAF</v>
      </c>
      <c r="BI1068" t="str">
        <v/>
      </c>
      <c r="BJ1068" t="str">
        <v/>
      </c>
      <c r="BK1068" t="str">
        <v/>
      </c>
      <c r="BL1068" t="str">
        <v/>
      </c>
      <c r="BM1068" t="str">
        <v/>
      </c>
      <c r="BY1068" t="str">
        <v>processor</v>
      </c>
      <c r="BZ1068" t="str">
        <v>Citgo Petroleum Corp 37</v>
      </c>
      <c r="CA1068" t="str">
        <v>blendSAF</v>
      </c>
      <c r="CB1068" t="str">
        <v/>
      </c>
      <c r="CC1068" t="str">
        <v/>
      </c>
      <c r="CD1068" t="str">
        <v/>
      </c>
      <c r="CE1068" t="str">
        <v/>
      </c>
      <c r="CF1068" t="str">
        <v/>
      </c>
    </row>
    <row r="1069" spans="58:84" x14ac:dyDescent="0.3">
      <c r="BF1069" t="str">
        <v>processor</v>
      </c>
      <c r="BG1069" t="str">
        <v>Buckeye Se Terminals Lp 6</v>
      </c>
      <c r="BH1069" t="str">
        <v>blendSAF</v>
      </c>
      <c r="BI1069" t="str">
        <v/>
      </c>
      <c r="BJ1069" t="str">
        <v/>
      </c>
      <c r="BK1069" t="str">
        <v/>
      </c>
      <c r="BL1069" t="str">
        <v/>
      </c>
      <c r="BM1069" t="str">
        <v/>
      </c>
      <c r="BY1069" t="str">
        <v>processor</v>
      </c>
      <c r="BZ1069" t="str">
        <v>Motiva Enterprises Llc 21</v>
      </c>
      <c r="CA1069" t="str">
        <v>blendSAF</v>
      </c>
      <c r="CB1069" t="str">
        <v/>
      </c>
      <c r="CC1069" t="str">
        <v/>
      </c>
      <c r="CD1069" t="str">
        <v/>
      </c>
      <c r="CE1069" t="str">
        <v/>
      </c>
      <c r="CF1069" t="str">
        <v/>
      </c>
    </row>
    <row r="1070" spans="58:84" x14ac:dyDescent="0.3">
      <c r="BF1070" t="str">
        <v>processor</v>
      </c>
      <c r="BG1070" t="str">
        <v>Buckeye Se Terminals Lp 7</v>
      </c>
      <c r="BH1070" t="str">
        <v>blendSAF</v>
      </c>
      <c r="BI1070" t="str">
        <v/>
      </c>
      <c r="BJ1070" t="str">
        <v/>
      </c>
      <c r="BK1070" t="str">
        <v/>
      </c>
      <c r="BL1070" t="str">
        <v/>
      </c>
      <c r="BM1070" t="str">
        <v/>
      </c>
      <c r="BY1070" t="str">
        <v>processor</v>
      </c>
      <c r="BZ1070" t="str">
        <v>Southeast Emulsions Inc 2</v>
      </c>
      <c r="CA1070" t="str">
        <v>blendSAF</v>
      </c>
      <c r="CB1070" t="str">
        <v/>
      </c>
      <c r="CC1070" t="str">
        <v/>
      </c>
      <c r="CD1070" t="str">
        <v/>
      </c>
      <c r="CE1070" t="str">
        <v/>
      </c>
      <c r="CF1070" t="str">
        <v/>
      </c>
    </row>
    <row r="1071" spans="58:84" x14ac:dyDescent="0.3">
      <c r="BF1071" t="str">
        <v>processor</v>
      </c>
      <c r="BG1071" t="str">
        <v>Colonial Terminal Operating Co Llc</v>
      </c>
      <c r="BH1071" t="str">
        <v>blendSAF</v>
      </c>
      <c r="BI1071" t="str">
        <v/>
      </c>
      <c r="BJ1071" t="str">
        <v/>
      </c>
      <c r="BK1071" t="str">
        <v/>
      </c>
      <c r="BL1071" t="str">
        <v/>
      </c>
      <c r="BM1071" t="str">
        <v/>
      </c>
      <c r="BY1071" t="str">
        <v>processor</v>
      </c>
      <c r="BZ1071" t="str">
        <v>Transmontaigne Operating Company 47</v>
      </c>
      <c r="CA1071" t="str">
        <v>blendSAF</v>
      </c>
      <c r="CB1071" t="str">
        <v/>
      </c>
      <c r="CC1071" t="str">
        <v/>
      </c>
      <c r="CD1071" t="str">
        <v/>
      </c>
      <c r="CE1071" t="str">
        <v/>
      </c>
      <c r="CF1071" t="str">
        <v/>
      </c>
    </row>
    <row r="1072" spans="58:84" x14ac:dyDescent="0.3">
      <c r="BF1072" t="str">
        <v>processor</v>
      </c>
      <c r="BG1072" t="str">
        <v>Cumberland Terminals Inc</v>
      </c>
      <c r="BH1072" t="str">
        <v>blendSAF</v>
      </c>
      <c r="BI1072" t="str">
        <v/>
      </c>
      <c r="BJ1072" t="str">
        <v/>
      </c>
      <c r="BK1072" t="str">
        <v/>
      </c>
      <c r="BL1072" t="str">
        <v/>
      </c>
      <c r="BM1072" t="str">
        <v/>
      </c>
      <c r="BY1072" t="str">
        <v>processor</v>
      </c>
      <c r="BZ1072" t="str">
        <v>Jebro Incorporated 2</v>
      </c>
      <c r="CA1072" t="str">
        <v>blendSAF</v>
      </c>
      <c r="CB1072" t="str">
        <v/>
      </c>
      <c r="CC1072" t="str">
        <v/>
      </c>
      <c r="CD1072" t="str">
        <v/>
      </c>
      <c r="CE1072" t="str">
        <v/>
      </c>
      <c r="CF1072" t="str">
        <v/>
      </c>
    </row>
    <row r="1073" spans="58:84" x14ac:dyDescent="0.3">
      <c r="BF1073" t="str">
        <v>processor</v>
      </c>
      <c r="BG1073" t="str">
        <v>Lion Oil Co 2</v>
      </c>
      <c r="BH1073" t="str">
        <v>blendSAF</v>
      </c>
      <c r="BI1073" t="str">
        <v/>
      </c>
      <c r="BJ1073" t="str">
        <v/>
      </c>
      <c r="BK1073" t="str">
        <v/>
      </c>
      <c r="BL1073" t="str">
        <v/>
      </c>
      <c r="BM1073" t="str">
        <v/>
      </c>
      <c r="BY1073" t="str">
        <v>processor</v>
      </c>
      <c r="BZ1073" t="str">
        <v>Magellan Pipeline Co Lp 43</v>
      </c>
      <c r="CA1073" t="str">
        <v>blendSAF</v>
      </c>
      <c r="CB1073" t="str">
        <v/>
      </c>
      <c r="CC1073" t="str">
        <v/>
      </c>
      <c r="CD1073" t="str">
        <v/>
      </c>
      <c r="CE1073" t="str">
        <v/>
      </c>
      <c r="CF1073" t="str">
        <v/>
      </c>
    </row>
    <row r="1074" spans="58:84" x14ac:dyDescent="0.3">
      <c r="BF1074" t="str">
        <v>processor</v>
      </c>
      <c r="BG1074" t="str">
        <v>Lion Oil Co 1</v>
      </c>
      <c r="BH1074" t="str">
        <v>blendSAF</v>
      </c>
      <c r="BI1074" t="str">
        <v/>
      </c>
      <c r="BJ1074" t="str">
        <v/>
      </c>
      <c r="BK1074" t="str">
        <v/>
      </c>
      <c r="BL1074" t="str">
        <v/>
      </c>
      <c r="BM1074" t="str">
        <v/>
      </c>
      <c r="BY1074" t="str">
        <v>processor</v>
      </c>
      <c r="BZ1074" t="str">
        <v>Magellan Pipeline Co Lp 48</v>
      </c>
      <c r="CA1074" t="str">
        <v>blendSAF</v>
      </c>
      <c r="CB1074" t="str">
        <v/>
      </c>
      <c r="CC1074" t="str">
        <v/>
      </c>
      <c r="CD1074" t="str">
        <v/>
      </c>
      <c r="CE1074" t="str">
        <v/>
      </c>
      <c r="CF1074" t="str">
        <v/>
      </c>
    </row>
    <row r="1075" spans="58:84" x14ac:dyDescent="0.3">
      <c r="BF1075" t="str">
        <v>processor</v>
      </c>
      <c r="BG1075" t="str">
        <v>Pbf Logistics Products Terminals Llc 11</v>
      </c>
      <c r="BH1075" t="str">
        <v>blendSAF</v>
      </c>
      <c r="BI1075" t="str">
        <v/>
      </c>
      <c r="BJ1075" t="str">
        <v/>
      </c>
      <c r="BK1075" t="str">
        <v/>
      </c>
      <c r="BL1075" t="str">
        <v/>
      </c>
      <c r="BM1075" t="str">
        <v/>
      </c>
      <c r="BY1075" t="str">
        <v>processor</v>
      </c>
      <c r="BZ1075" t="str">
        <v>Magellan Pipeline Co Lp 38</v>
      </c>
      <c r="CA1075" t="str">
        <v>blendSAF</v>
      </c>
      <c r="CB1075" t="str">
        <v/>
      </c>
      <c r="CC1075" t="str">
        <v/>
      </c>
      <c r="CD1075" t="str">
        <v/>
      </c>
      <c r="CE1075" t="str">
        <v/>
      </c>
      <c r="CF1075" t="str">
        <v/>
      </c>
    </row>
    <row r="1076" spans="58:84" x14ac:dyDescent="0.3">
      <c r="BF1076" t="str">
        <v>processor</v>
      </c>
      <c r="BG1076" t="str">
        <v>Pbf Logistics Products Terminals Llc 12</v>
      </c>
      <c r="BH1076" t="str">
        <v>blendSAF</v>
      </c>
      <c r="BI1076" t="str">
        <v/>
      </c>
      <c r="BJ1076" t="str">
        <v/>
      </c>
      <c r="BK1076" t="str">
        <v/>
      </c>
      <c r="BL1076" t="str">
        <v/>
      </c>
      <c r="BM1076" t="str">
        <v/>
      </c>
      <c r="BY1076" t="str">
        <v>processor</v>
      </c>
      <c r="BZ1076" t="str">
        <v>Nustar Energy Lp 26</v>
      </c>
      <c r="CA1076" t="str">
        <v>blendSAF</v>
      </c>
      <c r="CB1076" t="str">
        <v/>
      </c>
      <c r="CC1076" t="str">
        <v/>
      </c>
      <c r="CD1076" t="str">
        <v/>
      </c>
      <c r="CE1076" t="str">
        <v/>
      </c>
      <c r="CF1076" t="str">
        <v/>
      </c>
    </row>
    <row r="1077" spans="58:84" x14ac:dyDescent="0.3">
      <c r="BF1077" t="str">
        <v>processor</v>
      </c>
      <c r="BG1077" t="str">
        <v>Exxon Mobil Refg &amp; Sply Comp 5</v>
      </c>
      <c r="BH1077" t="str">
        <v>blendSAF</v>
      </c>
      <c r="BI1077" t="str">
        <v/>
      </c>
      <c r="BJ1077" t="str">
        <v/>
      </c>
      <c r="BK1077" t="str">
        <v/>
      </c>
      <c r="BL1077" t="str">
        <v/>
      </c>
      <c r="BM1077" t="str">
        <v/>
      </c>
      <c r="BY1077" t="str">
        <v>processor</v>
      </c>
      <c r="BZ1077" t="str">
        <v>Nustar Energy Lp 47</v>
      </c>
      <c r="CA1077" t="str">
        <v>blendSAF</v>
      </c>
      <c r="CB1077" t="str">
        <v/>
      </c>
      <c r="CC1077" t="str">
        <v/>
      </c>
      <c r="CD1077" t="str">
        <v/>
      </c>
      <c r="CE1077" t="str">
        <v/>
      </c>
      <c r="CF1077" t="str">
        <v/>
      </c>
    </row>
    <row r="1078" spans="58:84" x14ac:dyDescent="0.3">
      <c r="BF1078" t="str">
        <v>processor</v>
      </c>
      <c r="BG1078" t="str">
        <v>Exxonmobil Corporation 4</v>
      </c>
      <c r="BH1078" t="str">
        <v>blendSAF</v>
      </c>
      <c r="BI1078" t="str">
        <v/>
      </c>
      <c r="BJ1078" t="str">
        <v/>
      </c>
      <c r="BK1078" t="str">
        <v/>
      </c>
      <c r="BL1078" t="str">
        <v/>
      </c>
      <c r="BM1078" t="str">
        <v/>
      </c>
      <c r="BY1078" t="str">
        <v>processor</v>
      </c>
      <c r="BZ1078" t="str">
        <v>Nustar Energy Lp 1</v>
      </c>
      <c r="CA1078" t="str">
        <v>blendSAF</v>
      </c>
      <c r="CB1078" t="str">
        <v/>
      </c>
      <c r="CC1078" t="str">
        <v/>
      </c>
      <c r="CD1078" t="str">
        <v/>
      </c>
      <c r="CE1078" t="str">
        <v/>
      </c>
      <c r="CF1078" t="str">
        <v/>
      </c>
    </row>
    <row r="1079" spans="58:84" x14ac:dyDescent="0.3">
      <c r="BF1079" t="str">
        <v>processor</v>
      </c>
      <c r="BG1079" t="str">
        <v>Kinder Morgan Southeast Terminal 8</v>
      </c>
      <c r="BH1079" t="str">
        <v>blendSAF</v>
      </c>
      <c r="BI1079" t="str">
        <v/>
      </c>
      <c r="BJ1079" t="str">
        <v/>
      </c>
      <c r="BK1079" t="str">
        <v/>
      </c>
      <c r="BL1079" t="str">
        <v/>
      </c>
      <c r="BM1079" t="str">
        <v/>
      </c>
      <c r="BY1079" t="str">
        <v>processor</v>
      </c>
      <c r="BZ1079" t="str">
        <v>Nustar Energy Lp 40</v>
      </c>
      <c r="CA1079" t="str">
        <v>blendSAF</v>
      </c>
      <c r="CB1079" t="str">
        <v/>
      </c>
      <c r="CC1079" t="str">
        <v/>
      </c>
      <c r="CD1079" t="str">
        <v/>
      </c>
      <c r="CE1079" t="str">
        <v/>
      </c>
      <c r="CF1079" t="str">
        <v/>
      </c>
    </row>
    <row r="1080" spans="58:84" x14ac:dyDescent="0.3">
      <c r="BF1080" t="str">
        <v>processor</v>
      </c>
      <c r="BG1080" t="str">
        <v>Kinder Morgan Southeast Terminal 12</v>
      </c>
      <c r="BH1080" t="str">
        <v>blendSAF</v>
      </c>
      <c r="BI1080" t="str">
        <v/>
      </c>
      <c r="BJ1080" t="str">
        <v/>
      </c>
      <c r="BK1080" t="str">
        <v/>
      </c>
      <c r="BL1080" t="str">
        <v/>
      </c>
      <c r="BM1080" t="str">
        <v/>
      </c>
      <c r="BY1080" t="str">
        <v>processor</v>
      </c>
      <c r="BZ1080" t="str">
        <v>Nustar Energy Lp 46</v>
      </c>
      <c r="CA1080" t="str">
        <v>blendSAF</v>
      </c>
      <c r="CB1080" t="str">
        <v/>
      </c>
      <c r="CC1080" t="str">
        <v/>
      </c>
      <c r="CD1080" t="str">
        <v/>
      </c>
      <c r="CE1080" t="str">
        <v/>
      </c>
      <c r="CF1080" t="str">
        <v/>
      </c>
    </row>
    <row r="1081" spans="58:84" x14ac:dyDescent="0.3">
      <c r="BF1081" t="str">
        <v>processor</v>
      </c>
      <c r="BG1081" t="str">
        <v>Marathon Petroleum Co Llc 2</v>
      </c>
      <c r="BH1081" t="str">
        <v>blendSAF</v>
      </c>
      <c r="BI1081" t="str">
        <v/>
      </c>
      <c r="BJ1081" t="str">
        <v/>
      </c>
      <c r="BK1081" t="str">
        <v/>
      </c>
      <c r="BL1081" t="str">
        <v/>
      </c>
      <c r="BM1081" t="str">
        <v/>
      </c>
      <c r="BY1081" t="str">
        <v>processor</v>
      </c>
      <c r="BZ1081" t="str">
        <v>Petroleum Fuel &amp; Terminal Co 9</v>
      </c>
      <c r="CA1081" t="str">
        <v>blendSAF</v>
      </c>
      <c r="CB1081" t="str">
        <v/>
      </c>
      <c r="CC1081" t="str">
        <v/>
      </c>
      <c r="CD1081" t="str">
        <v/>
      </c>
      <c r="CE1081" t="str">
        <v/>
      </c>
      <c r="CF1081" t="str">
        <v/>
      </c>
    </row>
    <row r="1082" spans="58:84" x14ac:dyDescent="0.3">
      <c r="BF1082" t="str">
        <v>processor</v>
      </c>
      <c r="BG1082" t="str">
        <v>Marathon Petroleum Co Llc 10</v>
      </c>
      <c r="BH1082" t="str">
        <v>blendSAF</v>
      </c>
      <c r="BI1082" t="str">
        <v/>
      </c>
      <c r="BJ1082" t="str">
        <v/>
      </c>
      <c r="BK1082" t="str">
        <v/>
      </c>
      <c r="BL1082" t="str">
        <v/>
      </c>
      <c r="BM1082" t="str">
        <v/>
      </c>
      <c r="BY1082" t="str">
        <v>processor</v>
      </c>
      <c r="BZ1082" t="str">
        <v>Ergon Asphalt &amp; Emulsions Inc 8</v>
      </c>
      <c r="CA1082" t="str">
        <v>blendSAF</v>
      </c>
      <c r="CB1082" t="str">
        <v/>
      </c>
      <c r="CC1082" t="str">
        <v/>
      </c>
      <c r="CD1082" t="str">
        <v/>
      </c>
      <c r="CE1082" t="str">
        <v/>
      </c>
      <c r="CF1082" t="str">
        <v/>
      </c>
    </row>
    <row r="1083" spans="58:84" x14ac:dyDescent="0.3">
      <c r="BF1083" t="str">
        <v>processor</v>
      </c>
      <c r="BG1083" t="str">
        <v>Marathon Petroleum Co Llc 14</v>
      </c>
      <c r="BH1083" t="str">
        <v>blendSAF</v>
      </c>
      <c r="BI1083" t="str">
        <v/>
      </c>
      <c r="BJ1083" t="str">
        <v/>
      </c>
      <c r="BK1083" t="str">
        <v/>
      </c>
      <c r="BL1083" t="str">
        <v/>
      </c>
      <c r="BM1083" t="str">
        <v/>
      </c>
      <c r="BY1083" t="str">
        <v>processor</v>
      </c>
      <c r="BZ1083" t="str">
        <v>Ergon Asphalt &amp; Emulsions Inc 10</v>
      </c>
      <c r="CA1083" t="str">
        <v>blendSAF</v>
      </c>
      <c r="CB1083" t="str">
        <v/>
      </c>
      <c r="CC1083" t="str">
        <v/>
      </c>
      <c r="CD1083" t="str">
        <v/>
      </c>
      <c r="CE1083" t="str">
        <v/>
      </c>
      <c r="CF1083" t="str">
        <v/>
      </c>
    </row>
    <row r="1084" spans="58:84" x14ac:dyDescent="0.3">
      <c r="BF1084" t="str">
        <v>processor</v>
      </c>
      <c r="BG1084" t="str">
        <v>Mplx Terminals Llc 27</v>
      </c>
      <c r="BH1084" t="str">
        <v>blendSAF</v>
      </c>
      <c r="BI1084" t="str">
        <v/>
      </c>
      <c r="BJ1084" t="str">
        <v/>
      </c>
      <c r="BK1084" t="str">
        <v/>
      </c>
      <c r="BL1084" t="str">
        <v/>
      </c>
      <c r="BM1084" t="str">
        <v/>
      </c>
      <c r="BY1084" t="str">
        <v>processor</v>
      </c>
      <c r="BZ1084" t="str">
        <v>Ergon Asphalt And Emulsions 12</v>
      </c>
      <c r="CA1084" t="str">
        <v>blendSAF</v>
      </c>
      <c r="CB1084" t="str">
        <v/>
      </c>
      <c r="CC1084" t="str">
        <v/>
      </c>
      <c r="CD1084" t="str">
        <v/>
      </c>
      <c r="CE1084" t="str">
        <v/>
      </c>
      <c r="CF1084" t="str">
        <v/>
      </c>
    </row>
    <row r="1085" spans="58:84" x14ac:dyDescent="0.3">
      <c r="BF1085" t="str">
        <v>processor</v>
      </c>
      <c r="BG1085" t="str">
        <v>Mplx Terminals Llc 40</v>
      </c>
      <c r="BH1085" t="str">
        <v>blendSAF</v>
      </c>
      <c r="BI1085" t="str">
        <v/>
      </c>
      <c r="BJ1085" t="str">
        <v/>
      </c>
      <c r="BK1085" t="str">
        <v/>
      </c>
      <c r="BL1085" t="str">
        <v/>
      </c>
      <c r="BM1085" t="str">
        <v/>
      </c>
      <c r="BY1085" t="str">
        <v>processor</v>
      </c>
      <c r="BZ1085" t="str">
        <v>Bkep Materials Llc 10</v>
      </c>
      <c r="CA1085" t="str">
        <v>blendSAF</v>
      </c>
      <c r="CB1085" t="str">
        <v/>
      </c>
      <c r="CC1085" t="str">
        <v/>
      </c>
      <c r="CD1085" t="str">
        <v/>
      </c>
      <c r="CE1085" t="str">
        <v/>
      </c>
      <c r="CF1085" t="str">
        <v/>
      </c>
    </row>
    <row r="1086" spans="58:84" x14ac:dyDescent="0.3">
      <c r="BF1086" t="str">
        <v>processor</v>
      </c>
      <c r="BG1086" t="str">
        <v>Mplx Terminals Llc 41</v>
      </c>
      <c r="BH1086" t="str">
        <v>blendSAF</v>
      </c>
      <c r="BI1086" t="str">
        <v/>
      </c>
      <c r="BJ1086" t="str">
        <v/>
      </c>
      <c r="BK1086" t="str">
        <v/>
      </c>
      <c r="BL1086" t="str">
        <v/>
      </c>
      <c r="BM1086" t="str">
        <v/>
      </c>
      <c r="BY1086" t="str">
        <v>processor</v>
      </c>
      <c r="BZ1086" t="str">
        <v>Buckeye Terminals Llc 43</v>
      </c>
      <c r="CA1086" t="str">
        <v>blendSAF</v>
      </c>
      <c r="CB1086" t="str">
        <v/>
      </c>
      <c r="CC1086" t="str">
        <v/>
      </c>
      <c r="CD1086" t="str">
        <v/>
      </c>
      <c r="CE1086" t="str">
        <v/>
      </c>
      <c r="CF1086" t="str">
        <v/>
      </c>
    </row>
    <row r="1087" spans="58:84" x14ac:dyDescent="0.3">
      <c r="BF1087" t="str">
        <v>processor</v>
      </c>
      <c r="BG1087" t="str">
        <v>Bright Star Energy Inc</v>
      </c>
      <c r="BH1087" t="str">
        <v>blendSAF</v>
      </c>
      <c r="BI1087" t="str">
        <v/>
      </c>
      <c r="BJ1087" t="str">
        <v/>
      </c>
      <c r="BK1087" t="str">
        <v/>
      </c>
      <c r="BL1087" t="str">
        <v/>
      </c>
      <c r="BM1087" t="str">
        <v/>
      </c>
      <c r="BY1087" t="str">
        <v>processor</v>
      </c>
      <c r="BZ1087" t="str">
        <v>Buckeye Se Terminals Lp 14</v>
      </c>
      <c r="CA1087" t="str">
        <v>blendSAF</v>
      </c>
      <c r="CB1087" t="str">
        <v/>
      </c>
      <c r="CC1087" t="str">
        <v/>
      </c>
      <c r="CD1087" t="str">
        <v/>
      </c>
      <c r="CE1087" t="str">
        <v/>
      </c>
      <c r="CF1087" t="str">
        <v/>
      </c>
    </row>
    <row r="1088" spans="58:84" x14ac:dyDescent="0.3">
      <c r="BF1088" t="str">
        <v>processor</v>
      </c>
      <c r="BG1088" t="str">
        <v>Citgo Petroleum Corp 30</v>
      </c>
      <c r="BH1088" t="str">
        <v>blendSAF</v>
      </c>
      <c r="BI1088" t="str">
        <v/>
      </c>
      <c r="BJ1088" t="str">
        <v/>
      </c>
      <c r="BK1088" t="str">
        <v/>
      </c>
      <c r="BL1088" t="str">
        <v/>
      </c>
      <c r="BM1088" t="str">
        <v/>
      </c>
      <c r="BY1088" t="str">
        <v>processor</v>
      </c>
      <c r="BZ1088" t="str">
        <v>Buckeye Se Terminals Lp 15</v>
      </c>
      <c r="CA1088" t="str">
        <v>blendSAF</v>
      </c>
      <c r="CB1088" t="str">
        <v/>
      </c>
      <c r="CC1088" t="str">
        <v/>
      </c>
      <c r="CD1088" t="str">
        <v/>
      </c>
      <c r="CE1088" t="str">
        <v/>
      </c>
      <c r="CF1088" t="str">
        <v/>
      </c>
    </row>
    <row r="1089" spans="58:84" x14ac:dyDescent="0.3">
      <c r="BF1089" t="str">
        <v>processor</v>
      </c>
      <c r="BG1089" t="str">
        <v>Citgo Petroleum Corp 28</v>
      </c>
      <c r="BH1089" t="str">
        <v>blendSAF</v>
      </c>
      <c r="BI1089" t="str">
        <v/>
      </c>
      <c r="BJ1089" t="str">
        <v/>
      </c>
      <c r="BK1089" t="str">
        <v/>
      </c>
      <c r="BL1089" t="str">
        <v/>
      </c>
      <c r="BM1089" t="str">
        <v/>
      </c>
      <c r="BY1089" t="str">
        <v>processor</v>
      </c>
      <c r="BZ1089" t="str">
        <v>Buckeye Se Terminals Lp 12</v>
      </c>
      <c r="CA1089" t="str">
        <v>blendSAF</v>
      </c>
      <c r="CB1089" t="str">
        <v/>
      </c>
      <c r="CC1089" t="str">
        <v/>
      </c>
      <c r="CD1089" t="str">
        <v/>
      </c>
      <c r="CE1089" t="str">
        <v/>
      </c>
      <c r="CF1089" t="str">
        <v/>
      </c>
    </row>
    <row r="1090" spans="58:84" x14ac:dyDescent="0.3">
      <c r="BF1090" t="str">
        <v>processor</v>
      </c>
      <c r="BG1090" t="str">
        <v>Citgo Petroleum Corp 32</v>
      </c>
      <c r="BH1090" t="str">
        <v>blendSAF</v>
      </c>
      <c r="BI1090" t="str">
        <v/>
      </c>
      <c r="BJ1090" t="str">
        <v/>
      </c>
      <c r="BK1090" t="str">
        <v/>
      </c>
      <c r="BL1090" t="str">
        <v/>
      </c>
      <c r="BM1090" t="str">
        <v/>
      </c>
      <c r="BY1090" t="str">
        <v>processor</v>
      </c>
      <c r="BZ1090" t="str">
        <v>Buckeye Se Terminals</v>
      </c>
      <c r="CA1090" t="str">
        <v>blendSAF</v>
      </c>
      <c r="CB1090" t="str">
        <v/>
      </c>
      <c r="CC1090" t="str">
        <v/>
      </c>
      <c r="CD1090" t="str">
        <v/>
      </c>
      <c r="CE1090" t="str">
        <v/>
      </c>
      <c r="CF1090" t="str">
        <v/>
      </c>
    </row>
    <row r="1091" spans="58:84" x14ac:dyDescent="0.3">
      <c r="BF1091" t="str">
        <v>processor</v>
      </c>
      <c r="BG1091" t="str">
        <v>Shell Oil Products Us 5</v>
      </c>
      <c r="BH1091" t="str">
        <v>blendSAF</v>
      </c>
      <c r="BI1091" t="str">
        <v/>
      </c>
      <c r="BJ1091" t="str">
        <v/>
      </c>
      <c r="BK1091" t="str">
        <v/>
      </c>
      <c r="BL1091" t="str">
        <v/>
      </c>
      <c r="BM1091" t="str">
        <v/>
      </c>
      <c r="BY1091" t="str">
        <v>processor</v>
      </c>
      <c r="BZ1091" t="str">
        <v>Buckeye Se Terminals Lp 6</v>
      </c>
      <c r="CA1091" t="str">
        <v>blendSAF</v>
      </c>
      <c r="CB1091" t="str">
        <v/>
      </c>
      <c r="CC1091" t="str">
        <v/>
      </c>
      <c r="CD1091" t="str">
        <v/>
      </c>
      <c r="CE1091" t="str">
        <v/>
      </c>
      <c r="CF1091" t="str">
        <v/>
      </c>
    </row>
    <row r="1092" spans="58:84" x14ac:dyDescent="0.3">
      <c r="BF1092" t="str">
        <v>processor</v>
      </c>
      <c r="BG1092" t="str">
        <v>Shell Oil Products Us 8</v>
      </c>
      <c r="BH1092" t="str">
        <v>blendSAF</v>
      </c>
      <c r="BI1092" t="str">
        <v/>
      </c>
      <c r="BJ1092" t="str">
        <v/>
      </c>
      <c r="BK1092" t="str">
        <v/>
      </c>
      <c r="BL1092" t="str">
        <v/>
      </c>
      <c r="BM1092" t="str">
        <v/>
      </c>
      <c r="BY1092" t="str">
        <v>processor</v>
      </c>
      <c r="BZ1092" t="str">
        <v>Buckeye Se Terminals Lp 7</v>
      </c>
      <c r="CA1092" t="str">
        <v>blendSAF</v>
      </c>
      <c r="CB1092" t="str">
        <v/>
      </c>
      <c r="CC1092" t="str">
        <v/>
      </c>
      <c r="CD1092" t="str">
        <v/>
      </c>
      <c r="CE1092" t="str">
        <v/>
      </c>
      <c r="CF1092" t="str">
        <v/>
      </c>
    </row>
    <row r="1093" spans="58:84" x14ac:dyDescent="0.3">
      <c r="BF1093" t="str">
        <v>processor</v>
      </c>
      <c r="BG1093" t="str">
        <v>Owens Corning 8</v>
      </c>
      <c r="BH1093" t="str">
        <v>blendSAF</v>
      </c>
      <c r="BI1093" t="str">
        <v/>
      </c>
      <c r="BJ1093" t="str">
        <v/>
      </c>
      <c r="BK1093" t="str">
        <v/>
      </c>
      <c r="BL1093" t="str">
        <v/>
      </c>
      <c r="BM1093" t="str">
        <v/>
      </c>
      <c r="BY1093" t="str">
        <v>processor</v>
      </c>
      <c r="BZ1093" t="str">
        <v>Colonial Terminal Operating Co Llc</v>
      </c>
      <c r="CA1093" t="str">
        <v>blendSAF</v>
      </c>
      <c r="CB1093" t="str">
        <v/>
      </c>
      <c r="CC1093" t="str">
        <v/>
      </c>
      <c r="CD1093" t="str">
        <v/>
      </c>
      <c r="CE1093" t="str">
        <v/>
      </c>
      <c r="CF1093" t="str">
        <v/>
      </c>
    </row>
    <row r="1094" spans="58:84" x14ac:dyDescent="0.3">
      <c r="BF1094" t="str">
        <v>processor</v>
      </c>
      <c r="BG1094" t="str">
        <v>Abc Gulf Coast Terminal</v>
      </c>
      <c r="BH1094" t="str">
        <v>blendSAF</v>
      </c>
      <c r="BI1094" t="str">
        <v/>
      </c>
      <c r="BJ1094" t="str">
        <v/>
      </c>
      <c r="BK1094" t="str">
        <v/>
      </c>
      <c r="BL1094" t="str">
        <v/>
      </c>
      <c r="BM1094" t="str">
        <v/>
      </c>
      <c r="BY1094" t="str">
        <v>processor</v>
      </c>
      <c r="BZ1094" t="str">
        <v>Cumberland Terminals Inc</v>
      </c>
      <c r="CA1094" t="str">
        <v>blendSAF</v>
      </c>
      <c r="CB1094" t="str">
        <v/>
      </c>
      <c r="CC1094" t="str">
        <v/>
      </c>
      <c r="CD1094" t="str">
        <v/>
      </c>
      <c r="CE1094" t="str">
        <v/>
      </c>
      <c r="CF1094" t="str">
        <v/>
      </c>
    </row>
    <row r="1095" spans="58:84" x14ac:dyDescent="0.3">
      <c r="BF1095" t="str">
        <v>processor</v>
      </c>
      <c r="BG1095" t="str">
        <v>Chevron Usa Inc Galena Park</v>
      </c>
      <c r="BH1095" t="str">
        <v>blendSAF</v>
      </c>
      <c r="BI1095" t="str">
        <v/>
      </c>
      <c r="BJ1095" t="str">
        <v/>
      </c>
      <c r="BK1095" t="str">
        <v/>
      </c>
      <c r="BL1095" t="str">
        <v/>
      </c>
      <c r="BM1095" t="str">
        <v/>
      </c>
      <c r="BY1095" t="str">
        <v>processor</v>
      </c>
      <c r="BZ1095" t="str">
        <v>Lion Oil Co 2</v>
      </c>
      <c r="CA1095" t="str">
        <v>blendSAF</v>
      </c>
      <c r="CB1095" t="str">
        <v/>
      </c>
      <c r="CC1095" t="str">
        <v/>
      </c>
      <c r="CD1095" t="str">
        <v/>
      </c>
      <c r="CE1095" t="str">
        <v/>
      </c>
      <c r="CF1095" t="str">
        <v/>
      </c>
    </row>
    <row r="1096" spans="58:84" x14ac:dyDescent="0.3">
      <c r="BF1096" t="str">
        <v>processor</v>
      </c>
      <c r="BG1096" t="str">
        <v>Ergon Asphalt &amp; Emulsions Inc 9</v>
      </c>
      <c r="BH1096" t="str">
        <v>blendSAF</v>
      </c>
      <c r="BI1096" t="str">
        <v/>
      </c>
      <c r="BJ1096" t="str">
        <v/>
      </c>
      <c r="BK1096" t="str">
        <v/>
      </c>
      <c r="BL1096" t="str">
        <v/>
      </c>
      <c r="BM1096" t="str">
        <v/>
      </c>
      <c r="BY1096" t="str">
        <v>processor</v>
      </c>
      <c r="BZ1096" t="str">
        <v>Lion Oil Co 1</v>
      </c>
      <c r="CA1096" t="str">
        <v>blendSAF</v>
      </c>
      <c r="CB1096" t="str">
        <v/>
      </c>
      <c r="CC1096" t="str">
        <v/>
      </c>
      <c r="CD1096" t="str">
        <v/>
      </c>
      <c r="CE1096" t="str">
        <v/>
      </c>
      <c r="CF1096" t="str">
        <v/>
      </c>
    </row>
    <row r="1097" spans="58:84" x14ac:dyDescent="0.3">
      <c r="BF1097" t="str">
        <v>processor</v>
      </c>
      <c r="BG1097" t="str">
        <v>Ergon Asphalt &amp; Emulsions Inc 12</v>
      </c>
      <c r="BH1097" t="str">
        <v>blendSAF</v>
      </c>
      <c r="BI1097" t="str">
        <v/>
      </c>
      <c r="BJ1097" t="str">
        <v/>
      </c>
      <c r="BK1097" t="str">
        <v/>
      </c>
      <c r="BL1097" t="str">
        <v/>
      </c>
      <c r="BM1097" t="str">
        <v/>
      </c>
      <c r="BY1097" t="str">
        <v>processor</v>
      </c>
      <c r="BZ1097" t="str">
        <v>Pbf Logistics Products Terminals Llc 11</v>
      </c>
      <c r="CA1097" t="str">
        <v>blendSAF</v>
      </c>
      <c r="CB1097" t="str">
        <v/>
      </c>
      <c r="CC1097" t="str">
        <v/>
      </c>
      <c r="CD1097" t="str">
        <v/>
      </c>
      <c r="CE1097" t="str">
        <v/>
      </c>
      <c r="CF1097" t="str">
        <v/>
      </c>
    </row>
    <row r="1098" spans="58:84" x14ac:dyDescent="0.3">
      <c r="BF1098" t="str">
        <v>processor</v>
      </c>
      <c r="BG1098" t="str">
        <v>Ergon Asphalt And Emulsions 1</v>
      </c>
      <c r="BH1098" t="str">
        <v>blendSAF</v>
      </c>
      <c r="BI1098" t="str">
        <v/>
      </c>
      <c r="BJ1098" t="str">
        <v/>
      </c>
      <c r="BK1098" t="str">
        <v/>
      </c>
      <c r="BL1098" t="str">
        <v/>
      </c>
      <c r="BM1098" t="str">
        <v/>
      </c>
      <c r="BY1098" t="str">
        <v>processor</v>
      </c>
      <c r="BZ1098" t="str">
        <v>Pbf Logistics Products Terminals Llc 12</v>
      </c>
      <c r="CA1098" t="str">
        <v>blendSAF</v>
      </c>
      <c r="CB1098" t="str">
        <v/>
      </c>
      <c r="CC1098" t="str">
        <v/>
      </c>
      <c r="CD1098" t="str">
        <v/>
      </c>
      <c r="CE1098" t="str">
        <v/>
      </c>
      <c r="CF1098" t="str">
        <v/>
      </c>
    </row>
    <row r="1099" spans="58:84" x14ac:dyDescent="0.3">
      <c r="BF1099" t="str">
        <v>processor</v>
      </c>
      <c r="BG1099" t="str">
        <v>Ergon Asphalt And Emulsions 5</v>
      </c>
      <c r="BH1099" t="str">
        <v>blendSAF</v>
      </c>
      <c r="BI1099" t="str">
        <v/>
      </c>
      <c r="BJ1099" t="str">
        <v/>
      </c>
      <c r="BK1099" t="str">
        <v/>
      </c>
      <c r="BL1099" t="str">
        <v/>
      </c>
      <c r="BM1099" t="str">
        <v/>
      </c>
      <c r="BY1099" t="str">
        <v>processor</v>
      </c>
      <c r="BZ1099" t="str">
        <v>Exxon Mobil Refg &amp; Sply Comp 5</v>
      </c>
      <c r="CA1099" t="str">
        <v>blendSAF</v>
      </c>
      <c r="CB1099" t="str">
        <v/>
      </c>
      <c r="CC1099" t="str">
        <v/>
      </c>
      <c r="CD1099" t="str">
        <v/>
      </c>
      <c r="CE1099" t="str">
        <v/>
      </c>
      <c r="CF1099" t="str">
        <v/>
      </c>
    </row>
    <row r="1100" spans="58:84" x14ac:dyDescent="0.3">
      <c r="BF1100" t="str">
        <v>processor</v>
      </c>
      <c r="BG1100" t="str">
        <v>Ergon Asphalt And Emulsions 2</v>
      </c>
      <c r="BH1100" t="str">
        <v>blendSAF</v>
      </c>
      <c r="BI1100" t="str">
        <v/>
      </c>
      <c r="BJ1100" t="str">
        <v/>
      </c>
      <c r="BK1100" t="str">
        <v/>
      </c>
      <c r="BL1100" t="str">
        <v/>
      </c>
      <c r="BM1100" t="str">
        <v/>
      </c>
      <c r="BY1100" t="str">
        <v>processor</v>
      </c>
      <c r="BZ1100" t="str">
        <v>Exxonmobil Corporation 4</v>
      </c>
      <c r="CA1100" t="str">
        <v>blendSAF</v>
      </c>
      <c r="CB1100" t="str">
        <v/>
      </c>
      <c r="CC1100" t="str">
        <v/>
      </c>
      <c r="CD1100" t="str">
        <v/>
      </c>
      <c r="CE1100" t="str">
        <v/>
      </c>
      <c r="CF1100" t="str">
        <v/>
      </c>
    </row>
    <row r="1101" spans="58:84" x14ac:dyDescent="0.3">
      <c r="BF1101" t="str">
        <v>processor</v>
      </c>
      <c r="BG1101" t="str">
        <v>Ergon Asphalt &amp; Emulsions Inc 13</v>
      </c>
      <c r="BH1101" t="str">
        <v>blendSAF</v>
      </c>
      <c r="BI1101" t="str">
        <v/>
      </c>
      <c r="BJ1101" t="str">
        <v/>
      </c>
      <c r="BK1101" t="str">
        <v/>
      </c>
      <c r="BL1101" t="str">
        <v/>
      </c>
      <c r="BM1101" t="str">
        <v/>
      </c>
      <c r="BY1101" t="str">
        <v>processor</v>
      </c>
      <c r="BZ1101" t="str">
        <v>Kinder Morgan Southeast Terminal 8</v>
      </c>
      <c r="CA1101" t="str">
        <v>blendSAF</v>
      </c>
      <c r="CB1101" t="str">
        <v/>
      </c>
      <c r="CC1101" t="str">
        <v/>
      </c>
      <c r="CD1101" t="str">
        <v/>
      </c>
      <c r="CE1101" t="str">
        <v/>
      </c>
      <c r="CF1101" t="str">
        <v/>
      </c>
    </row>
    <row r="1102" spans="58:84" x14ac:dyDescent="0.3">
      <c r="BF1102" t="str">
        <v>processor</v>
      </c>
      <c r="BG1102" t="str">
        <v>Ergon Asphalt &amp; Emulsions Inc 7</v>
      </c>
      <c r="BH1102" t="str">
        <v>blendSAF</v>
      </c>
      <c r="BI1102" t="str">
        <v/>
      </c>
      <c r="BJ1102" t="str">
        <v/>
      </c>
      <c r="BK1102" t="str">
        <v/>
      </c>
      <c r="BL1102" t="str">
        <v/>
      </c>
      <c r="BM1102" t="str">
        <v/>
      </c>
      <c r="BY1102" t="str">
        <v>processor</v>
      </c>
      <c r="BZ1102" t="str">
        <v>Kinder Morgan Southeast Terminal 12</v>
      </c>
      <c r="CA1102" t="str">
        <v>blendSAF</v>
      </c>
      <c r="CB1102" t="str">
        <v/>
      </c>
      <c r="CC1102" t="str">
        <v/>
      </c>
      <c r="CD1102" t="str">
        <v/>
      </c>
      <c r="CE1102" t="str">
        <v/>
      </c>
      <c r="CF1102" t="str">
        <v/>
      </c>
    </row>
    <row r="1103" spans="58:84" x14ac:dyDescent="0.3">
      <c r="BF1103" t="str">
        <v>processor</v>
      </c>
      <c r="BG1103" t="str">
        <v>Flint Hills Resources Lp 13</v>
      </c>
      <c r="BH1103" t="str">
        <v>blendSAF</v>
      </c>
      <c r="BI1103" t="str">
        <v/>
      </c>
      <c r="BJ1103" t="str">
        <v/>
      </c>
      <c r="BK1103" t="str">
        <v/>
      </c>
      <c r="BL1103" t="str">
        <v/>
      </c>
      <c r="BM1103" t="str">
        <v/>
      </c>
      <c r="BY1103" t="str">
        <v>processor</v>
      </c>
      <c r="BZ1103" t="str">
        <v>Marathon Petroleum Co Llc 2</v>
      </c>
      <c r="CA1103" t="str">
        <v>blendSAF</v>
      </c>
      <c r="CB1103" t="str">
        <v/>
      </c>
      <c r="CC1103" t="str">
        <v/>
      </c>
      <c r="CD1103" t="str">
        <v/>
      </c>
      <c r="CE1103" t="str">
        <v/>
      </c>
      <c r="CF1103" t="str">
        <v/>
      </c>
    </row>
    <row r="1104" spans="58:84" x14ac:dyDescent="0.3">
      <c r="BF1104" t="str">
        <v>processor</v>
      </c>
      <c r="BG1104" t="str">
        <v>Flint Hills Resources Lp 7</v>
      </c>
      <c r="BH1104" t="str">
        <v>blendSAF</v>
      </c>
      <c r="BI1104" t="str">
        <v/>
      </c>
      <c r="BJ1104" t="str">
        <v/>
      </c>
      <c r="BK1104" t="str">
        <v/>
      </c>
      <c r="BL1104" t="str">
        <v/>
      </c>
      <c r="BM1104" t="str">
        <v/>
      </c>
      <c r="BY1104" t="str">
        <v>processor</v>
      </c>
      <c r="BZ1104" t="str">
        <v>Marathon Petroleum Co Llc 10</v>
      </c>
      <c r="CA1104" t="str">
        <v>blendSAF</v>
      </c>
      <c r="CB1104" t="str">
        <v/>
      </c>
      <c r="CC1104" t="str">
        <v/>
      </c>
      <c r="CD1104" t="str">
        <v/>
      </c>
      <c r="CE1104" t="str">
        <v/>
      </c>
      <c r="CF1104" t="str">
        <v/>
      </c>
    </row>
    <row r="1105" spans="58:84" x14ac:dyDescent="0.3">
      <c r="BF1105" t="str">
        <v>processor</v>
      </c>
      <c r="BG1105" t="str">
        <v>Flint Hills Resources Lp 9</v>
      </c>
      <c r="BH1105" t="str">
        <v>blendSAF</v>
      </c>
      <c r="BI1105" t="str">
        <v/>
      </c>
      <c r="BJ1105" t="str">
        <v/>
      </c>
      <c r="BK1105" t="str">
        <v/>
      </c>
      <c r="BL1105" t="str">
        <v/>
      </c>
      <c r="BM1105" t="str">
        <v/>
      </c>
      <c r="BY1105" t="str">
        <v>processor</v>
      </c>
      <c r="BZ1105" t="str">
        <v>Marathon Petroleum Co Llc 14</v>
      </c>
      <c r="CA1105" t="str">
        <v>blendSAF</v>
      </c>
      <c r="CB1105" t="str">
        <v/>
      </c>
      <c r="CC1105" t="str">
        <v/>
      </c>
      <c r="CD1105" t="str">
        <v/>
      </c>
      <c r="CE1105" t="str">
        <v/>
      </c>
      <c r="CF1105" t="str">
        <v/>
      </c>
    </row>
    <row r="1106" spans="58:84" x14ac:dyDescent="0.3">
      <c r="BF1106" t="str">
        <v>processor</v>
      </c>
      <c r="BG1106" t="str">
        <v>Flint Hills Resources Lp 23</v>
      </c>
      <c r="BH1106" t="str">
        <v>blendSAF</v>
      </c>
      <c r="BI1106" t="str">
        <v/>
      </c>
      <c r="BJ1106" t="str">
        <v/>
      </c>
      <c r="BK1106" t="str">
        <v/>
      </c>
      <c r="BL1106" t="str">
        <v/>
      </c>
      <c r="BM1106" t="str">
        <v/>
      </c>
      <c r="BY1106" t="str">
        <v>processor</v>
      </c>
      <c r="BZ1106" t="str">
        <v>Mplx Terminals Llc 27</v>
      </c>
      <c r="CA1106" t="str">
        <v>blendSAF</v>
      </c>
      <c r="CB1106" t="str">
        <v/>
      </c>
      <c r="CC1106" t="str">
        <v/>
      </c>
      <c r="CD1106" t="str">
        <v/>
      </c>
      <c r="CE1106" t="str">
        <v/>
      </c>
      <c r="CF1106" t="str">
        <v/>
      </c>
    </row>
    <row r="1107" spans="58:84" x14ac:dyDescent="0.3">
      <c r="BF1107" t="str">
        <v>processor</v>
      </c>
      <c r="BG1107" t="str">
        <v>Flint Hills Resources Lp 20</v>
      </c>
      <c r="BH1107" t="str">
        <v>blendSAF</v>
      </c>
      <c r="BI1107" t="str">
        <v/>
      </c>
      <c r="BJ1107" t="str">
        <v/>
      </c>
      <c r="BK1107" t="str">
        <v/>
      </c>
      <c r="BL1107" t="str">
        <v/>
      </c>
      <c r="BM1107" t="str">
        <v/>
      </c>
      <c r="BY1107" t="str">
        <v>processor</v>
      </c>
      <c r="BZ1107" t="str">
        <v>Mplx Terminals Llc 40</v>
      </c>
      <c r="CA1107" t="str">
        <v>blendSAF</v>
      </c>
      <c r="CB1107" t="str">
        <v/>
      </c>
      <c r="CC1107" t="str">
        <v/>
      </c>
      <c r="CD1107" t="str">
        <v/>
      </c>
      <c r="CE1107" t="str">
        <v/>
      </c>
      <c r="CF1107" t="str">
        <v/>
      </c>
    </row>
    <row r="1108" spans="58:84" x14ac:dyDescent="0.3">
      <c r="BF1108" t="str">
        <v>processor</v>
      </c>
      <c r="BG1108" t="str">
        <v>Flint Hills Resources Lp 8</v>
      </c>
      <c r="BH1108" t="str">
        <v>blendSAF</v>
      </c>
      <c r="BI1108" t="str">
        <v/>
      </c>
      <c r="BJ1108" t="str">
        <v/>
      </c>
      <c r="BK1108" t="str">
        <v/>
      </c>
      <c r="BL1108" t="str">
        <v/>
      </c>
      <c r="BM1108" t="str">
        <v/>
      </c>
      <c r="BY1108" t="str">
        <v>processor</v>
      </c>
      <c r="BZ1108" t="str">
        <v>Mplx Terminals Llc 41</v>
      </c>
      <c r="CA1108" t="str">
        <v>blendSAF</v>
      </c>
      <c r="CB1108" t="str">
        <v/>
      </c>
      <c r="CC1108" t="str">
        <v/>
      </c>
      <c r="CD1108" t="str">
        <v/>
      </c>
      <c r="CE1108" t="str">
        <v/>
      </c>
      <c r="CF1108" t="str">
        <v/>
      </c>
    </row>
    <row r="1109" spans="58:84" x14ac:dyDescent="0.3">
      <c r="BF1109" t="str">
        <v>processor</v>
      </c>
      <c r="BG1109" t="str">
        <v>Flint Hills Resources Lp 21</v>
      </c>
      <c r="BH1109" t="str">
        <v>blendSAF</v>
      </c>
      <c r="BI1109" t="str">
        <v/>
      </c>
      <c r="BJ1109" t="str">
        <v/>
      </c>
      <c r="BK1109" t="str">
        <v/>
      </c>
      <c r="BL1109" t="str">
        <v/>
      </c>
      <c r="BM1109" t="str">
        <v/>
      </c>
      <c r="BY1109" t="str">
        <v>processor</v>
      </c>
      <c r="BZ1109" t="str">
        <v>Bright Star Energy Inc</v>
      </c>
      <c r="CA1109" t="str">
        <v>blendSAF</v>
      </c>
      <c r="CB1109" t="str">
        <v/>
      </c>
      <c r="CC1109" t="str">
        <v/>
      </c>
      <c r="CD1109" t="str">
        <v/>
      </c>
      <c r="CE1109" t="str">
        <v/>
      </c>
      <c r="CF1109" t="str">
        <v/>
      </c>
    </row>
    <row r="1110" spans="58:84" x14ac:dyDescent="0.3">
      <c r="BF1110" t="str">
        <v>processor</v>
      </c>
      <c r="BG1110" t="str">
        <v>Flint Hills Resources Lp 22</v>
      </c>
      <c r="BH1110" t="str">
        <v>blendSAF</v>
      </c>
      <c r="BI1110" t="str">
        <v/>
      </c>
      <c r="BJ1110" t="str">
        <v/>
      </c>
      <c r="BK1110" t="str">
        <v/>
      </c>
      <c r="BL1110" t="str">
        <v/>
      </c>
      <c r="BM1110" t="str">
        <v/>
      </c>
      <c r="BY1110" t="str">
        <v>processor</v>
      </c>
      <c r="BZ1110" t="str">
        <v>Citgo Petroleum Corp 30</v>
      </c>
      <c r="CA1110" t="str">
        <v>blendSAF</v>
      </c>
      <c r="CB1110" t="str">
        <v/>
      </c>
      <c r="CC1110" t="str">
        <v/>
      </c>
      <c r="CD1110" t="str">
        <v/>
      </c>
      <c r="CE1110" t="str">
        <v/>
      </c>
      <c r="CF1110" t="str">
        <v/>
      </c>
    </row>
    <row r="1111" spans="58:84" x14ac:dyDescent="0.3">
      <c r="BF1111" t="str">
        <v>processor</v>
      </c>
      <c r="BG1111" t="str">
        <v>Flint Hills Resources Lp 11</v>
      </c>
      <c r="BH1111" t="str">
        <v>blendSAF</v>
      </c>
      <c r="BI1111" t="str">
        <v/>
      </c>
      <c r="BJ1111" t="str">
        <v/>
      </c>
      <c r="BK1111" t="str">
        <v/>
      </c>
      <c r="BL1111" t="str">
        <v/>
      </c>
      <c r="BM1111" t="str">
        <v/>
      </c>
      <c r="BY1111" t="str">
        <v>processor</v>
      </c>
      <c r="BZ1111" t="str">
        <v>Citgo Petroleum Corp 28</v>
      </c>
      <c r="CA1111" t="str">
        <v>blendSAF</v>
      </c>
      <c r="CB1111" t="str">
        <v/>
      </c>
      <c r="CC1111" t="str">
        <v/>
      </c>
      <c r="CD1111" t="str">
        <v/>
      </c>
      <c r="CE1111" t="str">
        <v/>
      </c>
      <c r="CF1111" t="str">
        <v/>
      </c>
    </row>
    <row r="1112" spans="58:84" x14ac:dyDescent="0.3">
      <c r="BF1112" t="str">
        <v>processor</v>
      </c>
      <c r="BG1112" t="str">
        <v>Pro Petroleum Inc 5</v>
      </c>
      <c r="BH1112" t="str">
        <v>blendSAF</v>
      </c>
      <c r="BI1112" t="str">
        <v/>
      </c>
      <c r="BJ1112" t="str">
        <v/>
      </c>
      <c r="BK1112" t="str">
        <v/>
      </c>
      <c r="BL1112" t="str">
        <v/>
      </c>
      <c r="BM1112" t="str">
        <v/>
      </c>
      <c r="BY1112" t="str">
        <v>processor</v>
      </c>
      <c r="BZ1112" t="str">
        <v>Citgo Petroleum Corp 32</v>
      </c>
      <c r="CA1112" t="str">
        <v>blendSAF</v>
      </c>
      <c r="CB1112" t="str">
        <v/>
      </c>
      <c r="CC1112" t="str">
        <v/>
      </c>
      <c r="CD1112" t="str">
        <v/>
      </c>
      <c r="CE1112" t="str">
        <v/>
      </c>
      <c r="CF1112" t="str">
        <v/>
      </c>
    </row>
    <row r="1113" spans="58:84" x14ac:dyDescent="0.3">
      <c r="BF1113" t="str">
        <v>processor</v>
      </c>
      <c r="BG1113" t="str">
        <v>Us Venture Inc 2</v>
      </c>
      <c r="BH1113" t="str">
        <v>blendSAF</v>
      </c>
      <c r="BI1113" t="str">
        <v/>
      </c>
      <c r="BJ1113" t="str">
        <v/>
      </c>
      <c r="BK1113" t="str">
        <v/>
      </c>
      <c r="BL1113" t="str">
        <v/>
      </c>
      <c r="BM1113" t="str">
        <v/>
      </c>
      <c r="BY1113" t="str">
        <v>processor</v>
      </c>
      <c r="BZ1113" t="str">
        <v>Shell Oil Products Us 5</v>
      </c>
      <c r="CA1113" t="str">
        <v>blendSAF</v>
      </c>
      <c r="CB1113" t="str">
        <v/>
      </c>
      <c r="CC1113" t="str">
        <v/>
      </c>
      <c r="CD1113" t="str">
        <v/>
      </c>
      <c r="CE1113" t="str">
        <v/>
      </c>
      <c r="CF1113" t="str">
        <v/>
      </c>
    </row>
    <row r="1114" spans="58:84" x14ac:dyDescent="0.3">
      <c r="BF1114" t="str">
        <v>processor</v>
      </c>
      <c r="BG1114" t="str">
        <v>Us Venture Inc 5</v>
      </c>
      <c r="BH1114" t="str">
        <v>blendSAF</v>
      </c>
      <c r="BI1114" t="str">
        <v/>
      </c>
      <c r="BJ1114" t="str">
        <v/>
      </c>
      <c r="BK1114" t="str">
        <v/>
      </c>
      <c r="BL1114" t="str">
        <v/>
      </c>
      <c r="BM1114" t="str">
        <v/>
      </c>
      <c r="BY1114" t="str">
        <v>processor</v>
      </c>
      <c r="BZ1114" t="str">
        <v>Shell Oil Products Us 8</v>
      </c>
      <c r="CA1114" t="str">
        <v>blendSAF</v>
      </c>
      <c r="CB1114" t="str">
        <v/>
      </c>
      <c r="CC1114" t="str">
        <v/>
      </c>
      <c r="CD1114" t="str">
        <v/>
      </c>
      <c r="CE1114" t="str">
        <v/>
      </c>
      <c r="CF1114" t="str">
        <v/>
      </c>
    </row>
    <row r="1115" spans="58:84" x14ac:dyDescent="0.3">
      <c r="BF1115" t="str">
        <v>processor</v>
      </c>
      <c r="BG1115" t="str">
        <v>Us Venture Inc 13</v>
      </c>
      <c r="BH1115" t="str">
        <v>blendSAF</v>
      </c>
      <c r="BI1115" t="str">
        <v/>
      </c>
      <c r="BJ1115" t="str">
        <v/>
      </c>
      <c r="BK1115" t="str">
        <v/>
      </c>
      <c r="BL1115" t="str">
        <v/>
      </c>
      <c r="BM1115" t="str">
        <v/>
      </c>
      <c r="BY1115" t="str">
        <v>processor</v>
      </c>
      <c r="BZ1115" t="str">
        <v>Owens Corning 8</v>
      </c>
      <c r="CA1115" t="str">
        <v>blendSAF</v>
      </c>
      <c r="CB1115" t="str">
        <v/>
      </c>
      <c r="CC1115" t="str">
        <v/>
      </c>
      <c r="CD1115" t="str">
        <v/>
      </c>
      <c r="CE1115" t="str">
        <v/>
      </c>
      <c r="CF1115" t="str">
        <v/>
      </c>
    </row>
    <row r="1116" spans="58:84" x14ac:dyDescent="0.3">
      <c r="BF1116" t="str">
        <v>processor</v>
      </c>
      <c r="BG1116" t="str">
        <v>Us Venture Inc 6</v>
      </c>
      <c r="BH1116" t="str">
        <v>blendSAF</v>
      </c>
      <c r="BI1116" t="str">
        <v/>
      </c>
      <c r="BJ1116" t="str">
        <v/>
      </c>
      <c r="BK1116" t="str">
        <v/>
      </c>
      <c r="BL1116" t="str">
        <v/>
      </c>
      <c r="BM1116" t="str">
        <v/>
      </c>
      <c r="BY1116" t="str">
        <v>processor</v>
      </c>
      <c r="BZ1116" t="str">
        <v>Abc Gulf Coast Terminal</v>
      </c>
      <c r="CA1116" t="str">
        <v>blendSAF</v>
      </c>
      <c r="CB1116" t="str">
        <v/>
      </c>
      <c r="CC1116" t="str">
        <v/>
      </c>
      <c r="CD1116" t="str">
        <v/>
      </c>
      <c r="CE1116" t="str">
        <v/>
      </c>
      <c r="CF1116" t="str">
        <v/>
      </c>
    </row>
    <row r="1117" spans="58:84" x14ac:dyDescent="0.3">
      <c r="BF1117" t="str">
        <v>processor</v>
      </c>
      <c r="BG1117" t="str">
        <v>Us Venture Inc 18</v>
      </c>
      <c r="BH1117" t="str">
        <v>blendSAF</v>
      </c>
      <c r="BI1117" t="str">
        <v/>
      </c>
      <c r="BJ1117" t="str">
        <v/>
      </c>
      <c r="BK1117" t="str">
        <v/>
      </c>
      <c r="BL1117" t="str">
        <v/>
      </c>
      <c r="BM1117" t="str">
        <v/>
      </c>
      <c r="BY1117" t="str">
        <v>processor</v>
      </c>
      <c r="BZ1117" t="str">
        <v>Chevron Usa Inc Galena Park</v>
      </c>
      <c r="CA1117" t="str">
        <v>blendSAF</v>
      </c>
      <c r="CB1117" t="str">
        <v/>
      </c>
      <c r="CC1117" t="str">
        <v/>
      </c>
      <c r="CD1117" t="str">
        <v/>
      </c>
      <c r="CE1117" t="str">
        <v/>
      </c>
      <c r="CF1117" t="str">
        <v/>
      </c>
    </row>
    <row r="1118" spans="58:84" x14ac:dyDescent="0.3">
      <c r="BF1118" t="str">
        <v>processor</v>
      </c>
      <c r="BG1118" t="str">
        <v>Premcor Refining Group Inc 2</v>
      </c>
      <c r="BH1118" t="str">
        <v>blendSAF</v>
      </c>
      <c r="BI1118" t="str">
        <v/>
      </c>
      <c r="BJ1118" t="str">
        <v/>
      </c>
      <c r="BK1118" t="str">
        <v/>
      </c>
      <c r="BL1118" t="str">
        <v/>
      </c>
      <c r="BM1118" t="str">
        <v/>
      </c>
      <c r="BY1118" t="str">
        <v>processor</v>
      </c>
      <c r="BZ1118" t="str">
        <v>Ergon Asphalt &amp; Emulsions Inc 9</v>
      </c>
      <c r="CA1118" t="str">
        <v>blendSAF</v>
      </c>
      <c r="CB1118" t="str">
        <v/>
      </c>
      <c r="CC1118" t="str">
        <v/>
      </c>
      <c r="CD1118" t="str">
        <v/>
      </c>
      <c r="CE1118" t="str">
        <v/>
      </c>
      <c r="CF1118" t="str">
        <v/>
      </c>
    </row>
    <row r="1119" spans="58:84" x14ac:dyDescent="0.3">
      <c r="BF1119" t="str">
        <v>processor</v>
      </c>
      <c r="BG1119" t="str">
        <v>V-Tex Logistics Llc 2</v>
      </c>
      <c r="BH1119" t="str">
        <v>blendSAF</v>
      </c>
      <c r="BI1119" t="str">
        <v/>
      </c>
      <c r="BJ1119" t="str">
        <v/>
      </c>
      <c r="BK1119" t="str">
        <v/>
      </c>
      <c r="BL1119" t="str">
        <v/>
      </c>
      <c r="BM1119" t="str">
        <v/>
      </c>
      <c r="BY1119" t="str">
        <v>processor</v>
      </c>
      <c r="BZ1119" t="str">
        <v>Ergon Asphalt &amp; Emulsions Inc 12</v>
      </c>
      <c r="CA1119" t="str">
        <v>blendSAF</v>
      </c>
      <c r="CB1119" t="str">
        <v/>
      </c>
      <c r="CC1119" t="str">
        <v/>
      </c>
      <c r="CD1119" t="str">
        <v/>
      </c>
      <c r="CE1119" t="str">
        <v/>
      </c>
      <c r="CF1119" t="str">
        <v/>
      </c>
    </row>
    <row r="1120" spans="58:84" x14ac:dyDescent="0.3">
      <c r="BF1120" t="str">
        <v>processor</v>
      </c>
      <c r="BG1120" t="str">
        <v>V-Tex Logistics Llc 1</v>
      </c>
      <c r="BH1120" t="str">
        <v>blendSAF</v>
      </c>
      <c r="BI1120" t="str">
        <v/>
      </c>
      <c r="BJ1120" t="str">
        <v/>
      </c>
      <c r="BK1120" t="str">
        <v/>
      </c>
      <c r="BL1120" t="str">
        <v/>
      </c>
      <c r="BM1120" t="str">
        <v/>
      </c>
      <c r="BY1120" t="str">
        <v>processor</v>
      </c>
      <c r="BZ1120" t="str">
        <v>Ergon Asphalt And Emulsions 1</v>
      </c>
      <c r="CA1120" t="str">
        <v>blendSAF</v>
      </c>
      <c r="CB1120" t="str">
        <v/>
      </c>
      <c r="CC1120" t="str">
        <v/>
      </c>
      <c r="CD1120" t="str">
        <v/>
      </c>
      <c r="CE1120" t="str">
        <v/>
      </c>
      <c r="CF1120" t="str">
        <v/>
      </c>
    </row>
    <row r="1121" spans="58:84" x14ac:dyDescent="0.3">
      <c r="BF1121" t="str">
        <v>processor</v>
      </c>
      <c r="BG1121" t="str">
        <v>Bluewing One Llc</v>
      </c>
      <c r="BH1121" t="str">
        <v>blendSAF</v>
      </c>
      <c r="BI1121" t="str">
        <v/>
      </c>
      <c r="BJ1121" t="str">
        <v/>
      </c>
      <c r="BK1121" t="str">
        <v/>
      </c>
      <c r="BL1121" t="str">
        <v/>
      </c>
      <c r="BM1121" t="str">
        <v/>
      </c>
      <c r="BY1121" t="str">
        <v>processor</v>
      </c>
      <c r="BZ1121" t="str">
        <v>Ergon Asphalt And Emulsions 5</v>
      </c>
      <c r="CA1121" t="str">
        <v>blendSAF</v>
      </c>
      <c r="CB1121" t="str">
        <v/>
      </c>
      <c r="CC1121" t="str">
        <v/>
      </c>
      <c r="CD1121" t="str">
        <v/>
      </c>
      <c r="CE1121" t="str">
        <v/>
      </c>
      <c r="CF1121" t="str">
        <v/>
      </c>
    </row>
    <row r="1122" spans="58:84" x14ac:dyDescent="0.3">
      <c r="BF1122" t="str">
        <v>processor</v>
      </c>
      <c r="BG1122" t="str">
        <v>Bluewing Royal Llc</v>
      </c>
      <c r="BH1122" t="str">
        <v>blendSAF</v>
      </c>
      <c r="BI1122" t="str">
        <v/>
      </c>
      <c r="BJ1122" t="str">
        <v/>
      </c>
      <c r="BK1122" t="str">
        <v/>
      </c>
      <c r="BL1122" t="str">
        <v/>
      </c>
      <c r="BM1122" t="str">
        <v/>
      </c>
      <c r="BY1122" t="str">
        <v>processor</v>
      </c>
      <c r="BZ1122" t="str">
        <v>Ergon Asphalt And Emulsions 2</v>
      </c>
      <c r="CA1122" t="str">
        <v>blendSAF</v>
      </c>
      <c r="CB1122" t="str">
        <v/>
      </c>
      <c r="CC1122" t="str">
        <v/>
      </c>
      <c r="CD1122" t="str">
        <v/>
      </c>
      <c r="CE1122" t="str">
        <v/>
      </c>
      <c r="CF1122" t="str">
        <v/>
      </c>
    </row>
    <row r="1123" spans="58:84" x14ac:dyDescent="0.3">
      <c r="BF1123" t="str">
        <v>processor</v>
      </c>
      <c r="BG1123" t="str">
        <v>Ineos Usa Llc</v>
      </c>
      <c r="BH1123" t="str">
        <v>blendSAF</v>
      </c>
      <c r="BI1123" t="str">
        <v/>
      </c>
      <c r="BJ1123" t="str">
        <v/>
      </c>
      <c r="BK1123" t="str">
        <v/>
      </c>
      <c r="BL1123" t="str">
        <v/>
      </c>
      <c r="BM1123" t="str">
        <v/>
      </c>
      <c r="BY1123" t="str">
        <v>processor</v>
      </c>
      <c r="BZ1123" t="str">
        <v>Ergon Asphalt &amp; Emulsions Inc 13</v>
      </c>
      <c r="CA1123" t="str">
        <v>blendSAF</v>
      </c>
      <c r="CB1123" t="str">
        <v/>
      </c>
      <c r="CC1123" t="str">
        <v/>
      </c>
      <c r="CD1123" t="str">
        <v/>
      </c>
      <c r="CE1123" t="str">
        <v/>
      </c>
      <c r="CF1123" t="str">
        <v/>
      </c>
    </row>
    <row r="1124" spans="58:84" x14ac:dyDescent="0.3">
      <c r="BF1124" t="str">
        <v>processor</v>
      </c>
      <c r="BG1124" t="str">
        <v>Buckeye Texas Hub Llc</v>
      </c>
      <c r="BH1124" t="str">
        <v>blendSAF</v>
      </c>
      <c r="BI1124" t="str">
        <v/>
      </c>
      <c r="BJ1124" t="str">
        <v/>
      </c>
      <c r="BK1124" t="str">
        <v/>
      </c>
      <c r="BL1124" t="str">
        <v/>
      </c>
      <c r="BM1124" t="str">
        <v/>
      </c>
      <c r="BY1124" t="str">
        <v>processor</v>
      </c>
      <c r="BZ1124" t="str">
        <v>Ergon Asphalt &amp; Emulsions Inc 7</v>
      </c>
      <c r="CA1124" t="str">
        <v>blendSAF</v>
      </c>
      <c r="CB1124" t="str">
        <v/>
      </c>
      <c r="CC1124" t="str">
        <v/>
      </c>
      <c r="CD1124" t="str">
        <v/>
      </c>
      <c r="CE1124" t="str">
        <v/>
      </c>
      <c r="CF1124" t="str">
        <v/>
      </c>
    </row>
    <row r="1125" spans="58:84" x14ac:dyDescent="0.3">
      <c r="BF1125" t="str">
        <v>processor</v>
      </c>
      <c r="BG1125" t="str">
        <v>Chevron Phillips Chemical Co</v>
      </c>
      <c r="BH1125" t="str">
        <v>blendSAF</v>
      </c>
      <c r="BI1125" t="str">
        <v/>
      </c>
      <c r="BJ1125" t="str">
        <v/>
      </c>
      <c r="BK1125" t="str">
        <v/>
      </c>
      <c r="BL1125" t="str">
        <v/>
      </c>
      <c r="BM1125" t="str">
        <v/>
      </c>
      <c r="BY1125" t="str">
        <v>processor</v>
      </c>
      <c r="BZ1125" t="str">
        <v>Flint Hills Resources Lp 13</v>
      </c>
      <c r="CA1125" t="str">
        <v>blendSAF</v>
      </c>
      <c r="CB1125" t="str">
        <v/>
      </c>
      <c r="CC1125" t="str">
        <v/>
      </c>
      <c r="CD1125" t="str">
        <v/>
      </c>
      <c r="CE1125" t="str">
        <v/>
      </c>
      <c r="CF1125" t="str">
        <v/>
      </c>
    </row>
    <row r="1126" spans="58:84" x14ac:dyDescent="0.3">
      <c r="BF1126" t="str">
        <v>processor</v>
      </c>
      <c r="BG1126" t="str">
        <v>Phillips 66 1</v>
      </c>
      <c r="BH1126" t="str">
        <v>blendSAF</v>
      </c>
      <c r="BI1126" t="str">
        <v/>
      </c>
      <c r="BJ1126" t="str">
        <v/>
      </c>
      <c r="BK1126" t="str">
        <v/>
      </c>
      <c r="BL1126" t="str">
        <v/>
      </c>
      <c r="BM1126" t="str">
        <v/>
      </c>
      <c r="BY1126" t="str">
        <v>processor</v>
      </c>
      <c r="BZ1126" t="str">
        <v>Flint Hills Resources Lp 7</v>
      </c>
      <c r="CA1126" t="str">
        <v>blendSAF</v>
      </c>
      <c r="CB1126" t="str">
        <v/>
      </c>
      <c r="CC1126" t="str">
        <v/>
      </c>
      <c r="CD1126" t="str">
        <v/>
      </c>
      <c r="CE1126" t="str">
        <v/>
      </c>
      <c r="CF1126" t="str">
        <v/>
      </c>
    </row>
    <row r="1127" spans="58:84" x14ac:dyDescent="0.3">
      <c r="BF1127" t="str">
        <v>processor</v>
      </c>
      <c r="BG1127" t="str">
        <v>Phillips 66 Company 11</v>
      </c>
      <c r="BH1127" t="str">
        <v>blendSAF</v>
      </c>
      <c r="BI1127" t="str">
        <v/>
      </c>
      <c r="BJ1127" t="str">
        <v/>
      </c>
      <c r="BK1127" t="str">
        <v/>
      </c>
      <c r="BL1127" t="str">
        <v/>
      </c>
      <c r="BM1127" t="str">
        <v/>
      </c>
      <c r="BY1127" t="str">
        <v>processor</v>
      </c>
      <c r="BZ1127" t="str">
        <v>Flint Hills Resources Lp 9</v>
      </c>
      <c r="CA1127" t="str">
        <v>blendSAF</v>
      </c>
      <c r="CB1127" t="str">
        <v/>
      </c>
      <c r="CC1127" t="str">
        <v/>
      </c>
      <c r="CD1127" t="str">
        <v/>
      </c>
      <c r="CE1127" t="str">
        <v/>
      </c>
      <c r="CF1127" t="str">
        <v/>
      </c>
    </row>
    <row r="1128" spans="58:84" x14ac:dyDescent="0.3">
      <c r="BF1128" t="str">
        <v>processor</v>
      </c>
      <c r="BG1128" t="str">
        <v>Phillips 66 Pipeline Llc 2</v>
      </c>
      <c r="BH1128" t="str">
        <v>blendSAF</v>
      </c>
      <c r="BI1128" t="str">
        <v/>
      </c>
      <c r="BJ1128" t="str">
        <v/>
      </c>
      <c r="BK1128" t="str">
        <v/>
      </c>
      <c r="BL1128" t="str">
        <v/>
      </c>
      <c r="BM1128" t="str">
        <v/>
      </c>
      <c r="BY1128" t="str">
        <v>processor</v>
      </c>
      <c r="BZ1128" t="str">
        <v>Flint Hills Resources Lp 23</v>
      </c>
      <c r="CA1128" t="str">
        <v>blendSAF</v>
      </c>
      <c r="CB1128" t="str">
        <v/>
      </c>
      <c r="CC1128" t="str">
        <v/>
      </c>
      <c r="CD1128" t="str">
        <v/>
      </c>
      <c r="CE1128" t="str">
        <v/>
      </c>
      <c r="CF1128" t="str">
        <v/>
      </c>
    </row>
    <row r="1129" spans="58:84" x14ac:dyDescent="0.3">
      <c r="BF1129" t="str">
        <v>processor</v>
      </c>
      <c r="BG1129" t="str">
        <v>Phillips 66 Pipeline Llc 3</v>
      </c>
      <c r="BH1129" t="str">
        <v>blendSAF</v>
      </c>
      <c r="BI1129" t="str">
        <v/>
      </c>
      <c r="BJ1129" t="str">
        <v/>
      </c>
      <c r="BK1129" t="str">
        <v/>
      </c>
      <c r="BL1129" t="str">
        <v/>
      </c>
      <c r="BM1129" t="str">
        <v/>
      </c>
      <c r="BY1129" t="str">
        <v>processor</v>
      </c>
      <c r="BZ1129" t="str">
        <v>Flint Hills Resources Lp 20</v>
      </c>
      <c r="CA1129" t="str">
        <v>blendSAF</v>
      </c>
      <c r="CB1129" t="str">
        <v/>
      </c>
      <c r="CC1129" t="str">
        <v/>
      </c>
      <c r="CD1129" t="str">
        <v/>
      </c>
      <c r="CE1129" t="str">
        <v/>
      </c>
      <c r="CF1129" t="str">
        <v/>
      </c>
    </row>
    <row r="1130" spans="58:84" x14ac:dyDescent="0.3">
      <c r="BF1130" t="str">
        <v>processor</v>
      </c>
      <c r="BG1130" t="str">
        <v>Phillips 66 Carrier Llc 1</v>
      </c>
      <c r="BH1130" t="str">
        <v>blendSAF</v>
      </c>
      <c r="BI1130" t="str">
        <v/>
      </c>
      <c r="BJ1130" t="str">
        <v/>
      </c>
      <c r="BK1130" t="str">
        <v/>
      </c>
      <c r="BL1130" t="str">
        <v/>
      </c>
      <c r="BM1130" t="str">
        <v/>
      </c>
      <c r="BY1130" t="str">
        <v>processor</v>
      </c>
      <c r="BZ1130" t="str">
        <v>Flint Hills Resources Lp 8</v>
      </c>
      <c r="CA1130" t="str">
        <v>blendSAF</v>
      </c>
      <c r="CB1130" t="str">
        <v/>
      </c>
      <c r="CC1130" t="str">
        <v/>
      </c>
      <c r="CD1130" t="str">
        <v/>
      </c>
      <c r="CE1130" t="str">
        <v/>
      </c>
      <c r="CF1130" t="str">
        <v/>
      </c>
    </row>
    <row r="1131" spans="58:84" x14ac:dyDescent="0.3">
      <c r="BF1131" t="str">
        <v>processor</v>
      </c>
      <c r="BG1131" t="str">
        <v>Phillips 66 Gulf Coast Properties Ll</v>
      </c>
      <c r="BH1131" t="str">
        <v>blendSAF</v>
      </c>
      <c r="BI1131" t="str">
        <v/>
      </c>
      <c r="BJ1131" t="str">
        <v/>
      </c>
      <c r="BK1131" t="str">
        <v/>
      </c>
      <c r="BL1131" t="str">
        <v/>
      </c>
      <c r="BM1131" t="str">
        <v/>
      </c>
      <c r="BY1131" t="str">
        <v>processor</v>
      </c>
      <c r="BZ1131" t="str">
        <v>Flint Hills Resources Lp 21</v>
      </c>
      <c r="CA1131" t="str">
        <v>blendSAF</v>
      </c>
      <c r="CB1131" t="str">
        <v/>
      </c>
      <c r="CC1131" t="str">
        <v/>
      </c>
      <c r="CD1131" t="str">
        <v/>
      </c>
      <c r="CE1131" t="str">
        <v/>
      </c>
      <c r="CF1131" t="str">
        <v/>
      </c>
    </row>
    <row r="1132" spans="58:84" x14ac:dyDescent="0.3">
      <c r="BF1132" t="str">
        <v>processor</v>
      </c>
      <c r="BG1132" t="str">
        <v>Delek Marketing - Big Sandy Llc</v>
      </c>
      <c r="BH1132" t="str">
        <v>blendSAF</v>
      </c>
      <c r="BI1132" t="str">
        <v/>
      </c>
      <c r="BJ1132" t="str">
        <v/>
      </c>
      <c r="BK1132" t="str">
        <v/>
      </c>
      <c r="BL1132" t="str">
        <v/>
      </c>
      <c r="BM1132" t="str">
        <v/>
      </c>
      <c r="BY1132" t="str">
        <v>processor</v>
      </c>
      <c r="BZ1132" t="str">
        <v>Flint Hills Resources Lp 22</v>
      </c>
      <c r="CA1132" t="str">
        <v>blendSAF</v>
      </c>
      <c r="CB1132" t="str">
        <v/>
      </c>
      <c r="CC1132" t="str">
        <v/>
      </c>
      <c r="CD1132" t="str">
        <v/>
      </c>
      <c r="CE1132" t="str">
        <v/>
      </c>
      <c r="CF1132" t="str">
        <v/>
      </c>
    </row>
    <row r="1133" spans="58:84" x14ac:dyDescent="0.3">
      <c r="BF1133" t="str">
        <v>processor</v>
      </c>
      <c r="BG1133" t="str">
        <v>Delek Marketing &amp; Supply Lp 1</v>
      </c>
      <c r="BH1133" t="str">
        <v>blendSAF</v>
      </c>
      <c r="BI1133" t="str">
        <v/>
      </c>
      <c r="BJ1133" t="str">
        <v/>
      </c>
      <c r="BK1133" t="str">
        <v/>
      </c>
      <c r="BL1133" t="str">
        <v/>
      </c>
      <c r="BM1133" t="str">
        <v/>
      </c>
      <c r="BY1133" t="str">
        <v>processor</v>
      </c>
      <c r="BZ1133" t="str">
        <v>Flint Hills Resources Lp 11</v>
      </c>
      <c r="CA1133" t="str">
        <v>blendSAF</v>
      </c>
      <c r="CB1133" t="str">
        <v/>
      </c>
      <c r="CC1133" t="str">
        <v/>
      </c>
      <c r="CD1133" t="str">
        <v/>
      </c>
      <c r="CE1133" t="str">
        <v/>
      </c>
      <c r="CF1133" t="str">
        <v/>
      </c>
    </row>
    <row r="1134" spans="58:84" x14ac:dyDescent="0.3">
      <c r="BF1134" t="str">
        <v>processor</v>
      </c>
      <c r="BG1134" t="str">
        <v>Delek Marketing &amp; Supply Lp 4</v>
      </c>
      <c r="BH1134" t="str">
        <v>blendSAF</v>
      </c>
      <c r="BI1134" t="str">
        <v/>
      </c>
      <c r="BJ1134" t="str">
        <v/>
      </c>
      <c r="BK1134" t="str">
        <v/>
      </c>
      <c r="BL1134" t="str">
        <v/>
      </c>
      <c r="BM1134" t="str">
        <v/>
      </c>
      <c r="BY1134" t="str">
        <v>processor</v>
      </c>
      <c r="BZ1134" t="str">
        <v>Pro Petroleum Inc 5</v>
      </c>
      <c r="CA1134" t="str">
        <v>blendSAF</v>
      </c>
      <c r="CB1134" t="str">
        <v/>
      </c>
      <c r="CC1134" t="str">
        <v/>
      </c>
      <c r="CD1134" t="str">
        <v/>
      </c>
      <c r="CE1134" t="str">
        <v/>
      </c>
      <c r="CF1134" t="str">
        <v/>
      </c>
    </row>
    <row r="1135" spans="58:84" x14ac:dyDescent="0.3">
      <c r="BF1135" t="str">
        <v>processor</v>
      </c>
      <c r="BG1135" t="str">
        <v>Delek Marketing &amp; Supply Lp 3</v>
      </c>
      <c r="BH1135" t="str">
        <v>blendSAF</v>
      </c>
      <c r="BI1135" t="str">
        <v/>
      </c>
      <c r="BJ1135" t="str">
        <v/>
      </c>
      <c r="BK1135" t="str">
        <v/>
      </c>
      <c r="BL1135" t="str">
        <v/>
      </c>
      <c r="BM1135" t="str">
        <v/>
      </c>
      <c r="BY1135" t="str">
        <v>processor</v>
      </c>
      <c r="BZ1135" t="str">
        <v>Us Venture Inc 2</v>
      </c>
      <c r="CA1135" t="str">
        <v>blendSAF</v>
      </c>
      <c r="CB1135" t="str">
        <v/>
      </c>
      <c r="CC1135" t="str">
        <v/>
      </c>
      <c r="CD1135" t="str">
        <v/>
      </c>
      <c r="CE1135" t="str">
        <v/>
      </c>
      <c r="CF1135" t="str">
        <v/>
      </c>
    </row>
    <row r="1136" spans="58:84" x14ac:dyDescent="0.3">
      <c r="BF1136" t="str">
        <v>processor</v>
      </c>
      <c r="BG1136" t="str">
        <v>Dow Hydrocarbons &amp; Resrcs Llc 8</v>
      </c>
      <c r="BH1136" t="str">
        <v>blendSAF</v>
      </c>
      <c r="BI1136" t="str">
        <v/>
      </c>
      <c r="BJ1136" t="str">
        <v/>
      </c>
      <c r="BK1136" t="str">
        <v/>
      </c>
      <c r="BL1136" t="str">
        <v/>
      </c>
      <c r="BM1136" t="str">
        <v/>
      </c>
      <c r="BY1136" t="str">
        <v>processor</v>
      </c>
      <c r="BZ1136" t="str">
        <v>Us Venture Inc 5</v>
      </c>
      <c r="CA1136" t="str">
        <v>blendSAF</v>
      </c>
      <c r="CB1136" t="str">
        <v/>
      </c>
      <c r="CC1136" t="str">
        <v/>
      </c>
      <c r="CD1136" t="str">
        <v/>
      </c>
      <c r="CE1136" t="str">
        <v/>
      </c>
      <c r="CF1136" t="str">
        <v/>
      </c>
    </row>
    <row r="1137" spans="58:84" x14ac:dyDescent="0.3">
      <c r="BF1137" t="str">
        <v>processor</v>
      </c>
      <c r="BG1137" t="str">
        <v>Dow Hydrocarbons &amp; Resrcs Llc 7</v>
      </c>
      <c r="BH1137" t="str">
        <v>blendSAF</v>
      </c>
      <c r="BI1137" t="str">
        <v/>
      </c>
      <c r="BJ1137" t="str">
        <v/>
      </c>
      <c r="BK1137" t="str">
        <v/>
      </c>
      <c r="BL1137" t="str">
        <v/>
      </c>
      <c r="BM1137" t="str">
        <v/>
      </c>
      <c r="BY1137" t="str">
        <v>processor</v>
      </c>
      <c r="BZ1137" t="str">
        <v>Us Venture Inc 13</v>
      </c>
      <c r="CA1137" t="str">
        <v>blendSAF</v>
      </c>
      <c r="CB1137" t="str">
        <v/>
      </c>
      <c r="CC1137" t="str">
        <v/>
      </c>
      <c r="CD1137" t="str">
        <v/>
      </c>
      <c r="CE1137" t="str">
        <v/>
      </c>
      <c r="CF1137" t="str">
        <v/>
      </c>
    </row>
    <row r="1138" spans="58:84" x14ac:dyDescent="0.3">
      <c r="BF1138" t="str">
        <v>processor</v>
      </c>
      <c r="BG1138" t="str">
        <v>Texas Eastman Div Eastman Chem Co</v>
      </c>
      <c r="BH1138" t="str">
        <v>blendSAF</v>
      </c>
      <c r="BI1138" t="str">
        <v/>
      </c>
      <c r="BJ1138" t="str">
        <v/>
      </c>
      <c r="BK1138" t="str">
        <v/>
      </c>
      <c r="BL1138" t="str">
        <v/>
      </c>
      <c r="BM1138" t="str">
        <v/>
      </c>
      <c r="BY1138" t="str">
        <v>processor</v>
      </c>
      <c r="BZ1138" t="str">
        <v>Us Venture Inc 6</v>
      </c>
      <c r="CA1138" t="str">
        <v>blendSAF</v>
      </c>
      <c r="CB1138" t="str">
        <v/>
      </c>
      <c r="CC1138" t="str">
        <v/>
      </c>
      <c r="CD1138" t="str">
        <v/>
      </c>
      <c r="CE1138" t="str">
        <v/>
      </c>
      <c r="CF1138" t="str">
        <v/>
      </c>
    </row>
    <row r="1139" spans="58:84" x14ac:dyDescent="0.3">
      <c r="BF1139" t="str">
        <v>processor</v>
      </c>
      <c r="BG1139" t="str">
        <v>Enbridge Ingleside Energy Center Llc</v>
      </c>
      <c r="BH1139" t="str">
        <v>blendSAF</v>
      </c>
      <c r="BI1139" t="str">
        <v/>
      </c>
      <c r="BJ1139" t="str">
        <v/>
      </c>
      <c r="BK1139" t="str">
        <v/>
      </c>
      <c r="BL1139" t="str">
        <v/>
      </c>
      <c r="BM1139" t="str">
        <v/>
      </c>
      <c r="BY1139" t="str">
        <v>processor</v>
      </c>
      <c r="BZ1139" t="str">
        <v>Us Venture Inc 18</v>
      </c>
      <c r="CA1139" t="str">
        <v>blendSAF</v>
      </c>
      <c r="CB1139" t="str">
        <v/>
      </c>
      <c r="CC1139" t="str">
        <v/>
      </c>
      <c r="CD1139" t="str">
        <v/>
      </c>
      <c r="CE1139" t="str">
        <v/>
      </c>
      <c r="CF1139" t="str">
        <v/>
      </c>
    </row>
    <row r="1140" spans="58:84" x14ac:dyDescent="0.3">
      <c r="BF1140" t="str">
        <v>processor</v>
      </c>
      <c r="BG1140" t="str">
        <v>Sunoco Logistics 41</v>
      </c>
      <c r="BH1140" t="str">
        <v>blendSAF</v>
      </c>
      <c r="BI1140" t="str">
        <v/>
      </c>
      <c r="BJ1140" t="str">
        <v/>
      </c>
      <c r="BK1140" t="str">
        <v/>
      </c>
      <c r="BL1140" t="str">
        <v/>
      </c>
      <c r="BM1140" t="str">
        <v/>
      </c>
      <c r="BY1140" t="str">
        <v>processor</v>
      </c>
      <c r="BZ1140" t="str">
        <v>Premcor Refining Group Inc 2</v>
      </c>
      <c r="CA1140" t="str">
        <v>blendSAF</v>
      </c>
      <c r="CB1140" t="str">
        <v/>
      </c>
      <c r="CC1140" t="str">
        <v/>
      </c>
      <c r="CD1140" t="str">
        <v/>
      </c>
      <c r="CE1140" t="str">
        <v/>
      </c>
      <c r="CF1140" t="str">
        <v/>
      </c>
    </row>
    <row r="1141" spans="58:84" x14ac:dyDescent="0.3">
      <c r="BF1141" t="str">
        <v>processor</v>
      </c>
      <c r="BG1141" t="str">
        <v>Sunoco Logistics 24</v>
      </c>
      <c r="BH1141" t="str">
        <v>blendSAF</v>
      </c>
      <c r="BI1141" t="str">
        <v/>
      </c>
      <c r="BJ1141" t="str">
        <v/>
      </c>
      <c r="BK1141" t="str">
        <v/>
      </c>
      <c r="BL1141" t="str">
        <v/>
      </c>
      <c r="BM1141" t="str">
        <v/>
      </c>
      <c r="BY1141" t="str">
        <v>processor</v>
      </c>
      <c r="BZ1141" t="str">
        <v>V-Tex Logistics Llc 2</v>
      </c>
      <c r="CA1141" t="str">
        <v>blendSAF</v>
      </c>
      <c r="CB1141" t="str">
        <v/>
      </c>
      <c r="CC1141" t="str">
        <v/>
      </c>
      <c r="CD1141" t="str">
        <v/>
      </c>
      <c r="CE1141" t="str">
        <v/>
      </c>
      <c r="CF1141" t="str">
        <v/>
      </c>
    </row>
    <row r="1142" spans="58:84" x14ac:dyDescent="0.3">
      <c r="BF1142" t="str">
        <v>processor</v>
      </c>
      <c r="BG1142" t="str">
        <v>Sunoco Logistics 33</v>
      </c>
      <c r="BH1142" t="str">
        <v>blendSAF</v>
      </c>
      <c r="BI1142" t="str">
        <v/>
      </c>
      <c r="BJ1142" t="str">
        <v/>
      </c>
      <c r="BK1142" t="str">
        <v/>
      </c>
      <c r="BL1142" t="str">
        <v/>
      </c>
      <c r="BM1142" t="str">
        <v/>
      </c>
      <c r="BY1142" t="str">
        <v>processor</v>
      </c>
      <c r="BZ1142" t="str">
        <v>V-Tex Logistics Llc 1</v>
      </c>
      <c r="CA1142" t="str">
        <v>blendSAF</v>
      </c>
      <c r="CB1142" t="str">
        <v/>
      </c>
      <c r="CC1142" t="str">
        <v/>
      </c>
      <c r="CD1142" t="str">
        <v/>
      </c>
      <c r="CE1142" t="str">
        <v/>
      </c>
      <c r="CF1142" t="str">
        <v/>
      </c>
    </row>
    <row r="1143" spans="58:84" x14ac:dyDescent="0.3">
      <c r="BF1143" t="str">
        <v>processor</v>
      </c>
      <c r="BG1143" t="str">
        <v>Sunoco Logistics 50</v>
      </c>
      <c r="BH1143" t="str">
        <v>blendSAF</v>
      </c>
      <c r="BI1143" t="str">
        <v/>
      </c>
      <c r="BJ1143" t="str">
        <v/>
      </c>
      <c r="BK1143" t="str">
        <v/>
      </c>
      <c r="BL1143" t="str">
        <v/>
      </c>
      <c r="BM1143" t="str">
        <v/>
      </c>
      <c r="BY1143" t="str">
        <v>processor</v>
      </c>
      <c r="BZ1143" t="str">
        <v>Bluewing One Llc</v>
      </c>
      <c r="CA1143" t="str">
        <v>blendSAF</v>
      </c>
      <c r="CB1143" t="str">
        <v/>
      </c>
      <c r="CC1143" t="str">
        <v/>
      </c>
      <c r="CD1143" t="str">
        <v/>
      </c>
      <c r="CE1143" t="str">
        <v/>
      </c>
      <c r="CF1143" t="str">
        <v/>
      </c>
    </row>
    <row r="1144" spans="58:84" x14ac:dyDescent="0.3">
      <c r="BF1144" t="str">
        <v>processor</v>
      </c>
      <c r="BG1144" t="str">
        <v>Sunoco Logistics 21</v>
      </c>
      <c r="BH1144" t="str">
        <v>blendSAF</v>
      </c>
      <c r="BI1144" t="str">
        <v/>
      </c>
      <c r="BJ1144" t="str">
        <v/>
      </c>
      <c r="BK1144" t="str">
        <v/>
      </c>
      <c r="BL1144" t="str">
        <v/>
      </c>
      <c r="BM1144" t="str">
        <v/>
      </c>
      <c r="BY1144" t="str">
        <v>processor</v>
      </c>
      <c r="BZ1144" t="str">
        <v>Bluewing Royal Llc</v>
      </c>
      <c r="CA1144" t="str">
        <v>blendSAF</v>
      </c>
      <c r="CB1144" t="str">
        <v/>
      </c>
      <c r="CC1144" t="str">
        <v/>
      </c>
      <c r="CD1144" t="str">
        <v/>
      </c>
      <c r="CE1144" t="str">
        <v/>
      </c>
      <c r="CF1144" t="str">
        <v/>
      </c>
    </row>
    <row r="1145" spans="58:84" x14ac:dyDescent="0.3">
      <c r="BF1145" t="str">
        <v>processor</v>
      </c>
      <c r="BG1145" t="str">
        <v>Sunoco Partners Ngl Facilities Llc</v>
      </c>
      <c r="BH1145" t="str">
        <v>blendSAF</v>
      </c>
      <c r="BI1145" t="str">
        <v/>
      </c>
      <c r="BJ1145" t="str">
        <v/>
      </c>
      <c r="BK1145" t="str">
        <v/>
      </c>
      <c r="BL1145" t="str">
        <v/>
      </c>
      <c r="BM1145" t="str">
        <v/>
      </c>
      <c r="BY1145" t="str">
        <v>processor</v>
      </c>
      <c r="BZ1145" t="str">
        <v>Ineos Usa Llc</v>
      </c>
      <c r="CA1145" t="str">
        <v>blendSAF</v>
      </c>
      <c r="CB1145" t="str">
        <v/>
      </c>
      <c r="CC1145" t="str">
        <v/>
      </c>
      <c r="CD1145" t="str">
        <v/>
      </c>
      <c r="CE1145" t="str">
        <v/>
      </c>
      <c r="CF1145" t="str">
        <v/>
      </c>
    </row>
    <row r="1146" spans="58:84" x14ac:dyDescent="0.3">
      <c r="BF1146" t="str">
        <v>processor</v>
      </c>
      <c r="BG1146" t="str">
        <v>Sunoco Llc 6</v>
      </c>
      <c r="BH1146" t="str">
        <v>blendSAF</v>
      </c>
      <c r="BI1146" t="str">
        <v/>
      </c>
      <c r="BJ1146" t="str">
        <v/>
      </c>
      <c r="BK1146" t="str">
        <v/>
      </c>
      <c r="BL1146" t="str">
        <v/>
      </c>
      <c r="BM1146" t="str">
        <v/>
      </c>
      <c r="BY1146" t="str">
        <v>processor</v>
      </c>
      <c r="BZ1146" t="str">
        <v>Buckeye Texas Hub Llc</v>
      </c>
      <c r="CA1146" t="str">
        <v>blendSAF</v>
      </c>
      <c r="CB1146" t="str">
        <v/>
      </c>
      <c r="CC1146" t="str">
        <v/>
      </c>
      <c r="CD1146" t="str">
        <v/>
      </c>
      <c r="CE1146" t="str">
        <v/>
      </c>
      <c r="CF1146" t="str">
        <v/>
      </c>
    </row>
    <row r="1147" spans="58:84" x14ac:dyDescent="0.3">
      <c r="BF1147" t="str">
        <v>processor</v>
      </c>
      <c r="BG1147" t="str">
        <v>Sunoco Llc 7</v>
      </c>
      <c r="BH1147" t="str">
        <v>blendSAF</v>
      </c>
      <c r="BI1147" t="str">
        <v/>
      </c>
      <c r="BJ1147" t="str">
        <v/>
      </c>
      <c r="BK1147" t="str">
        <v/>
      </c>
      <c r="BL1147" t="str">
        <v/>
      </c>
      <c r="BM1147" t="str">
        <v/>
      </c>
      <c r="BY1147" t="str">
        <v>processor</v>
      </c>
      <c r="BZ1147" t="str">
        <v>Chevron Phillips Chemical Co</v>
      </c>
      <c r="CA1147" t="str">
        <v>blendSAF</v>
      </c>
      <c r="CB1147" t="str">
        <v/>
      </c>
      <c r="CC1147" t="str">
        <v/>
      </c>
      <c r="CD1147" t="str">
        <v/>
      </c>
      <c r="CE1147" t="str">
        <v/>
      </c>
      <c r="CF1147" t="str">
        <v/>
      </c>
    </row>
    <row r="1148" spans="58:84" x14ac:dyDescent="0.3">
      <c r="BF1148" t="str">
        <v>processor</v>
      </c>
      <c r="BG1148" t="str">
        <v>Sunoco Llc 5</v>
      </c>
      <c r="BH1148" t="str">
        <v>blendSAF</v>
      </c>
      <c r="BI1148" t="str">
        <v/>
      </c>
      <c r="BJ1148" t="str">
        <v/>
      </c>
      <c r="BK1148" t="str">
        <v/>
      </c>
      <c r="BL1148" t="str">
        <v/>
      </c>
      <c r="BM1148" t="str">
        <v/>
      </c>
      <c r="BY1148" t="str">
        <v>processor</v>
      </c>
      <c r="BZ1148" t="str">
        <v>Phillips 66 1</v>
      </c>
      <c r="CA1148" t="str">
        <v>blendSAF</v>
      </c>
      <c r="CB1148" t="str">
        <v/>
      </c>
      <c r="CC1148" t="str">
        <v/>
      </c>
      <c r="CD1148" t="str">
        <v/>
      </c>
      <c r="CE1148" t="str">
        <v/>
      </c>
      <c r="CF1148" t="str">
        <v/>
      </c>
    </row>
    <row r="1149" spans="58:84" x14ac:dyDescent="0.3">
      <c r="BF1149" t="str">
        <v>processor</v>
      </c>
      <c r="BG1149" t="str">
        <v>Hfotco Llc</v>
      </c>
      <c r="BH1149" t="str">
        <v>blendSAF</v>
      </c>
      <c r="BI1149" t="str">
        <v/>
      </c>
      <c r="BJ1149" t="str">
        <v/>
      </c>
      <c r="BK1149" t="str">
        <v/>
      </c>
      <c r="BL1149" t="str">
        <v/>
      </c>
      <c r="BM1149" t="str">
        <v/>
      </c>
      <c r="BY1149" t="str">
        <v>processor</v>
      </c>
      <c r="BZ1149" t="str">
        <v>Phillips 66 Company 11</v>
      </c>
      <c r="CA1149" t="str">
        <v>blendSAF</v>
      </c>
      <c r="CB1149" t="str">
        <v/>
      </c>
      <c r="CC1149" t="str">
        <v/>
      </c>
      <c r="CD1149" t="str">
        <v/>
      </c>
      <c r="CE1149" t="str">
        <v/>
      </c>
      <c r="CF1149" t="str">
        <v/>
      </c>
    </row>
    <row r="1150" spans="58:84" x14ac:dyDescent="0.3">
      <c r="BF1150" t="str">
        <v>processor</v>
      </c>
      <c r="BG1150" t="str">
        <v>Orbit Gulf Coast Ng Exports Llc</v>
      </c>
      <c r="BH1150" t="str">
        <v>blendSAF</v>
      </c>
      <c r="BI1150" t="str">
        <v/>
      </c>
      <c r="BJ1150" t="str">
        <v/>
      </c>
      <c r="BK1150" t="str">
        <v/>
      </c>
      <c r="BL1150" t="str">
        <v/>
      </c>
      <c r="BM1150" t="str">
        <v/>
      </c>
      <c r="BY1150" t="str">
        <v>processor</v>
      </c>
      <c r="BZ1150" t="str">
        <v>Phillips 66 Pipeline Llc 2</v>
      </c>
      <c r="CA1150" t="str">
        <v>blendSAF</v>
      </c>
      <c r="CB1150" t="str">
        <v/>
      </c>
      <c r="CC1150" t="str">
        <v/>
      </c>
      <c r="CD1150" t="str">
        <v/>
      </c>
      <c r="CE1150" t="str">
        <v/>
      </c>
      <c r="CF1150" t="str">
        <v/>
      </c>
    </row>
    <row r="1151" spans="58:84" x14ac:dyDescent="0.3">
      <c r="BF1151" t="str">
        <v>processor</v>
      </c>
      <c r="BG1151" t="str">
        <v>Energy Transfer Gc Ngls Lls</v>
      </c>
      <c r="BH1151" t="str">
        <v>blendSAF</v>
      </c>
      <c r="BI1151" t="str">
        <v/>
      </c>
      <c r="BJ1151" t="str">
        <v/>
      </c>
      <c r="BK1151" t="str">
        <v/>
      </c>
      <c r="BL1151" t="str">
        <v/>
      </c>
      <c r="BM1151" t="str">
        <v/>
      </c>
      <c r="BY1151" t="str">
        <v>processor</v>
      </c>
      <c r="BZ1151" t="str">
        <v>Phillips 66 Pipeline Llc 3</v>
      </c>
      <c r="CA1151" t="str">
        <v>blendSAF</v>
      </c>
      <c r="CB1151" t="str">
        <v/>
      </c>
      <c r="CC1151" t="str">
        <v/>
      </c>
      <c r="CD1151" t="str">
        <v/>
      </c>
      <c r="CE1151" t="str">
        <v/>
      </c>
      <c r="CF1151" t="str">
        <v/>
      </c>
    </row>
    <row r="1152" spans="58:84" x14ac:dyDescent="0.3">
      <c r="BF1152" t="str">
        <v>processor</v>
      </c>
      <c r="BG1152" t="str">
        <v>Pelican Island Storage Termls</v>
      </c>
      <c r="BH1152" t="str">
        <v>blendSAF</v>
      </c>
      <c r="BI1152" t="str">
        <v/>
      </c>
      <c r="BJ1152" t="str">
        <v/>
      </c>
      <c r="BK1152" t="str">
        <v/>
      </c>
      <c r="BL1152" t="str">
        <v/>
      </c>
      <c r="BM1152" t="str">
        <v/>
      </c>
      <c r="BY1152" t="str">
        <v>processor</v>
      </c>
      <c r="BZ1152" t="str">
        <v>Phillips 66 Carrier Llc 1</v>
      </c>
      <c r="CA1152" t="str">
        <v>blendSAF</v>
      </c>
      <c r="CB1152" t="str">
        <v/>
      </c>
      <c r="CC1152" t="str">
        <v/>
      </c>
      <c r="CD1152" t="str">
        <v/>
      </c>
      <c r="CE1152" t="str">
        <v/>
      </c>
      <c r="CF1152" t="str">
        <v/>
      </c>
    </row>
    <row r="1153" spans="58:84" x14ac:dyDescent="0.3">
      <c r="BF1153" t="str">
        <v>processor</v>
      </c>
      <c r="BG1153" t="str">
        <v>Ent Houston Ship Channel Lp</v>
      </c>
      <c r="BH1153" t="str">
        <v>blendSAF</v>
      </c>
      <c r="BI1153" t="str">
        <v/>
      </c>
      <c r="BJ1153" t="str">
        <v/>
      </c>
      <c r="BK1153" t="str">
        <v/>
      </c>
      <c r="BL1153" t="str">
        <v/>
      </c>
      <c r="BM1153" t="str">
        <v/>
      </c>
      <c r="BY1153" t="str">
        <v>processor</v>
      </c>
      <c r="BZ1153" t="str">
        <v>Phillips 66 Gulf Coast Properties Ll</v>
      </c>
      <c r="CA1153" t="str">
        <v>blendSAF</v>
      </c>
      <c r="CB1153" t="str">
        <v/>
      </c>
      <c r="CC1153" t="str">
        <v/>
      </c>
      <c r="CD1153" t="str">
        <v/>
      </c>
      <c r="CE1153" t="str">
        <v/>
      </c>
      <c r="CF1153" t="str">
        <v/>
      </c>
    </row>
    <row r="1154" spans="58:84" x14ac:dyDescent="0.3">
      <c r="BF1154" t="str">
        <v>processor</v>
      </c>
      <c r="BG1154" t="str">
        <v>Enterprise Products Operating Llc 10</v>
      </c>
      <c r="BH1154" t="str">
        <v>blendSAF</v>
      </c>
      <c r="BI1154" t="str">
        <v/>
      </c>
      <c r="BJ1154" t="str">
        <v/>
      </c>
      <c r="BK1154" t="str">
        <v/>
      </c>
      <c r="BL1154" t="str">
        <v/>
      </c>
      <c r="BM1154" t="str">
        <v/>
      </c>
      <c r="BY1154" t="str">
        <v>processor</v>
      </c>
      <c r="BZ1154" t="str">
        <v>Delek Marketing - Big Sandy Llc</v>
      </c>
      <c r="CA1154" t="str">
        <v>blendSAF</v>
      </c>
      <c r="CB1154" t="str">
        <v/>
      </c>
      <c r="CC1154" t="str">
        <v/>
      </c>
      <c r="CD1154" t="str">
        <v/>
      </c>
      <c r="CE1154" t="str">
        <v/>
      </c>
      <c r="CF1154" t="str">
        <v/>
      </c>
    </row>
    <row r="1155" spans="58:84" x14ac:dyDescent="0.3">
      <c r="BF1155" t="str">
        <v>processor</v>
      </c>
      <c r="BG1155" t="str">
        <v>Mont Belvieu Caverns Llc</v>
      </c>
      <c r="BH1155" t="str">
        <v>blendSAF</v>
      </c>
      <c r="BI1155" t="str">
        <v/>
      </c>
      <c r="BJ1155" t="str">
        <v/>
      </c>
      <c r="BK1155" t="str">
        <v/>
      </c>
      <c r="BL1155" t="str">
        <v/>
      </c>
      <c r="BM1155" t="str">
        <v/>
      </c>
      <c r="BY1155" t="str">
        <v>processor</v>
      </c>
      <c r="BZ1155" t="str">
        <v>Delek Marketing &amp; Supply Lp 1</v>
      </c>
      <c r="CA1155" t="str">
        <v>blendSAF</v>
      </c>
      <c r="CB1155" t="str">
        <v/>
      </c>
      <c r="CC1155" t="str">
        <v/>
      </c>
      <c r="CD1155" t="str">
        <v/>
      </c>
      <c r="CE1155" t="str">
        <v/>
      </c>
      <c r="CF1155" t="str">
        <v/>
      </c>
    </row>
    <row r="1156" spans="58:84" x14ac:dyDescent="0.3">
      <c r="BF1156" t="str">
        <v>processor</v>
      </c>
      <c r="BG1156" t="str">
        <v>Enterprise Terminals &amp; Storage Llc 18</v>
      </c>
      <c r="BH1156" t="str">
        <v>blendSAF</v>
      </c>
      <c r="BI1156" t="str">
        <v/>
      </c>
      <c r="BJ1156" t="str">
        <v/>
      </c>
      <c r="BK1156" t="str">
        <v/>
      </c>
      <c r="BL1156" t="str">
        <v/>
      </c>
      <c r="BM1156" t="str">
        <v/>
      </c>
      <c r="BY1156" t="str">
        <v>processor</v>
      </c>
      <c r="BZ1156" t="str">
        <v>Delek Marketing &amp; Supply Lp 4</v>
      </c>
      <c r="CA1156" t="str">
        <v>blendSAF</v>
      </c>
      <c r="CB1156" t="str">
        <v/>
      </c>
      <c r="CC1156" t="str">
        <v/>
      </c>
      <c r="CD1156" t="str">
        <v/>
      </c>
      <c r="CE1156" t="str">
        <v/>
      </c>
      <c r="CF1156" t="str">
        <v/>
      </c>
    </row>
    <row r="1157" spans="58:84" x14ac:dyDescent="0.3">
      <c r="BF1157" t="str">
        <v>processor</v>
      </c>
      <c r="BG1157" t="str">
        <v>Enterprise Termls &amp; Stge Llc</v>
      </c>
      <c r="BH1157" t="str">
        <v>blendSAF</v>
      </c>
      <c r="BI1157" t="str">
        <v/>
      </c>
      <c r="BJ1157" t="str">
        <v/>
      </c>
      <c r="BK1157" t="str">
        <v/>
      </c>
      <c r="BL1157" t="str">
        <v/>
      </c>
      <c r="BM1157" t="str">
        <v/>
      </c>
      <c r="BY1157" t="str">
        <v>processor</v>
      </c>
      <c r="BZ1157" t="str">
        <v>Delek Marketing &amp; Supply Lp 3</v>
      </c>
      <c r="CA1157" t="str">
        <v>blendSAF</v>
      </c>
      <c r="CB1157" t="str">
        <v/>
      </c>
      <c r="CC1157" t="str">
        <v/>
      </c>
      <c r="CD1157" t="str">
        <v/>
      </c>
      <c r="CE1157" t="str">
        <v/>
      </c>
      <c r="CF1157" t="str">
        <v/>
      </c>
    </row>
    <row r="1158" spans="58:84" x14ac:dyDescent="0.3">
      <c r="BF1158" t="str">
        <v>processor</v>
      </c>
      <c r="BG1158" t="str">
        <v>Enterprise Gc Llc 2</v>
      </c>
      <c r="BH1158" t="str">
        <v>blendSAF</v>
      </c>
      <c r="BI1158" t="str">
        <v/>
      </c>
      <c r="BJ1158" t="str">
        <v/>
      </c>
      <c r="BK1158" t="str">
        <v/>
      </c>
      <c r="BL1158" t="str">
        <v/>
      </c>
      <c r="BM1158" t="str">
        <v/>
      </c>
      <c r="BY1158" t="str">
        <v>processor</v>
      </c>
      <c r="BZ1158" t="str">
        <v>Dow Hydrocarbons &amp; Resrcs Llc 8</v>
      </c>
      <c r="CA1158" t="str">
        <v>blendSAF</v>
      </c>
      <c r="CB1158" t="str">
        <v/>
      </c>
      <c r="CC1158" t="str">
        <v/>
      </c>
      <c r="CD1158" t="str">
        <v/>
      </c>
      <c r="CE1158" t="str">
        <v/>
      </c>
      <c r="CF1158" t="str">
        <v/>
      </c>
    </row>
    <row r="1159" spans="58:84" x14ac:dyDescent="0.3">
      <c r="BF1159" t="str">
        <v>processor</v>
      </c>
      <c r="BG1159" t="str">
        <v>Enterprise Gc Llc 4</v>
      </c>
      <c r="BH1159" t="str">
        <v>blendSAF</v>
      </c>
      <c r="BI1159" t="str">
        <v/>
      </c>
      <c r="BJ1159" t="str">
        <v/>
      </c>
      <c r="BK1159" t="str">
        <v/>
      </c>
      <c r="BL1159" t="str">
        <v/>
      </c>
      <c r="BM1159" t="str">
        <v/>
      </c>
      <c r="BY1159" t="str">
        <v>processor</v>
      </c>
      <c r="BZ1159" t="str">
        <v>Dow Hydrocarbons &amp; Resrcs Llc 7</v>
      </c>
      <c r="CA1159" t="str">
        <v>blendSAF</v>
      </c>
      <c r="CB1159" t="str">
        <v/>
      </c>
      <c r="CC1159" t="str">
        <v/>
      </c>
      <c r="CD1159" t="str">
        <v/>
      </c>
      <c r="CE1159" t="str">
        <v/>
      </c>
      <c r="CF1159" t="str">
        <v/>
      </c>
    </row>
    <row r="1160" spans="58:84" x14ac:dyDescent="0.3">
      <c r="BF1160" t="str">
        <v>processor</v>
      </c>
      <c r="BG1160" t="str">
        <v>Enterprise Gc Llc 1</v>
      </c>
      <c r="BH1160" t="str">
        <v>blendSAF</v>
      </c>
      <c r="BI1160" t="str">
        <v/>
      </c>
      <c r="BJ1160" t="str">
        <v/>
      </c>
      <c r="BK1160" t="str">
        <v/>
      </c>
      <c r="BL1160" t="str">
        <v/>
      </c>
      <c r="BM1160" t="str">
        <v/>
      </c>
      <c r="BY1160" t="str">
        <v>processor</v>
      </c>
      <c r="BZ1160" t="str">
        <v>Texas Eastman Div Eastman Chem Co</v>
      </c>
      <c r="CA1160" t="str">
        <v>blendSAF</v>
      </c>
      <c r="CB1160" t="str">
        <v/>
      </c>
      <c r="CC1160" t="str">
        <v/>
      </c>
      <c r="CD1160" t="str">
        <v/>
      </c>
      <c r="CE1160" t="str">
        <v/>
      </c>
      <c r="CF1160" t="str">
        <v/>
      </c>
    </row>
    <row r="1161" spans="58:84" x14ac:dyDescent="0.3">
      <c r="BF1161" t="str">
        <v>processor</v>
      </c>
      <c r="BG1161" t="str">
        <v>Enterprise Gc Llc 3</v>
      </c>
      <c r="BH1161" t="str">
        <v>blendSAF</v>
      </c>
      <c r="BI1161" t="str">
        <v/>
      </c>
      <c r="BJ1161" t="str">
        <v/>
      </c>
      <c r="BK1161" t="str">
        <v/>
      </c>
      <c r="BL1161" t="str">
        <v/>
      </c>
      <c r="BM1161" t="str">
        <v/>
      </c>
      <c r="BY1161" t="str">
        <v>processor</v>
      </c>
      <c r="BZ1161" t="str">
        <v>Enbridge Ingleside Energy Center Llc</v>
      </c>
      <c r="CA1161" t="str">
        <v>blendSAF</v>
      </c>
      <c r="CB1161" t="str">
        <v/>
      </c>
      <c r="CC1161" t="str">
        <v/>
      </c>
      <c r="CD1161" t="str">
        <v/>
      </c>
      <c r="CE1161" t="str">
        <v/>
      </c>
      <c r="CF1161" t="str">
        <v/>
      </c>
    </row>
    <row r="1162" spans="58:84" x14ac:dyDescent="0.3">
      <c r="BF1162" t="str">
        <v>processor</v>
      </c>
      <c r="BG1162" t="str">
        <v>Enterprise Refined Products Co Llc 7</v>
      </c>
      <c r="BH1162" t="str">
        <v>blendSAF</v>
      </c>
      <c r="BI1162" t="str">
        <v/>
      </c>
      <c r="BJ1162" t="str">
        <v/>
      </c>
      <c r="BK1162" t="str">
        <v/>
      </c>
      <c r="BL1162" t="str">
        <v/>
      </c>
      <c r="BM1162" t="str">
        <v/>
      </c>
      <c r="BY1162" t="str">
        <v>processor</v>
      </c>
      <c r="BZ1162" t="str">
        <v>Sunoco Logistics 41</v>
      </c>
      <c r="CA1162" t="str">
        <v>blendSAF</v>
      </c>
      <c r="CB1162" t="str">
        <v/>
      </c>
      <c r="CC1162" t="str">
        <v/>
      </c>
      <c r="CD1162" t="str">
        <v/>
      </c>
      <c r="CE1162" t="str">
        <v/>
      </c>
      <c r="CF1162" t="str">
        <v/>
      </c>
    </row>
    <row r="1163" spans="58:84" x14ac:dyDescent="0.3">
      <c r="BF1163" t="str">
        <v>processor</v>
      </c>
      <c r="BG1163" t="str">
        <v>Enterprise Refined Products Co Llc 4</v>
      </c>
      <c r="BH1163" t="str">
        <v>blendSAF</v>
      </c>
      <c r="BI1163" t="str">
        <v/>
      </c>
      <c r="BJ1163" t="str">
        <v/>
      </c>
      <c r="BK1163" t="str">
        <v/>
      </c>
      <c r="BL1163" t="str">
        <v/>
      </c>
      <c r="BM1163" t="str">
        <v/>
      </c>
      <c r="BY1163" t="str">
        <v>processor</v>
      </c>
      <c r="BZ1163" t="str">
        <v>Sunoco Logistics 24</v>
      </c>
      <c r="CA1163" t="str">
        <v>blendSAF</v>
      </c>
      <c r="CB1163" t="str">
        <v/>
      </c>
      <c r="CC1163" t="str">
        <v/>
      </c>
      <c r="CD1163" t="str">
        <v/>
      </c>
      <c r="CE1163" t="str">
        <v/>
      </c>
      <c r="CF1163" t="str">
        <v/>
      </c>
    </row>
    <row r="1164" spans="58:84" x14ac:dyDescent="0.3">
      <c r="BF1164" t="str">
        <v>processor</v>
      </c>
      <c r="BG1164" t="str">
        <v>Enterprise Refined Products Co Llc 9</v>
      </c>
      <c r="BH1164" t="str">
        <v>blendSAF</v>
      </c>
      <c r="BI1164" t="str">
        <v/>
      </c>
      <c r="BJ1164" t="str">
        <v/>
      </c>
      <c r="BK1164" t="str">
        <v/>
      </c>
      <c r="BL1164" t="str">
        <v/>
      </c>
      <c r="BM1164" t="str">
        <v/>
      </c>
      <c r="BY1164" t="str">
        <v>processor</v>
      </c>
      <c r="BZ1164" t="str">
        <v>Sunoco Logistics 33</v>
      </c>
      <c r="CA1164" t="str">
        <v>blendSAF</v>
      </c>
      <c r="CB1164" t="str">
        <v/>
      </c>
      <c r="CC1164" t="str">
        <v/>
      </c>
      <c r="CD1164" t="str">
        <v/>
      </c>
      <c r="CE1164" t="str">
        <v/>
      </c>
      <c r="CF1164" t="str">
        <v/>
      </c>
    </row>
    <row r="1165" spans="58:84" x14ac:dyDescent="0.3">
      <c r="BF1165" t="str">
        <v>processor</v>
      </c>
      <c r="BG1165" t="str">
        <v>Ent Beaumont Marine West Lp</v>
      </c>
      <c r="BH1165" t="str">
        <v>blendSAF</v>
      </c>
      <c r="BI1165" t="str">
        <v/>
      </c>
      <c r="BJ1165" t="str">
        <v/>
      </c>
      <c r="BK1165" t="str">
        <v/>
      </c>
      <c r="BL1165" t="str">
        <v/>
      </c>
      <c r="BM1165" t="str">
        <v/>
      </c>
      <c r="BY1165" t="str">
        <v>processor</v>
      </c>
      <c r="BZ1165" t="str">
        <v>Sunoco Logistics 50</v>
      </c>
      <c r="CA1165" t="str">
        <v>blendSAF</v>
      </c>
      <c r="CB1165" t="str">
        <v/>
      </c>
      <c r="CC1165" t="str">
        <v/>
      </c>
      <c r="CD1165" t="str">
        <v/>
      </c>
      <c r="CE1165" t="str">
        <v/>
      </c>
      <c r="CF1165" t="str">
        <v/>
      </c>
    </row>
    <row r="1166" spans="58:84" x14ac:dyDescent="0.3">
      <c r="BF1166" t="str">
        <v>processor</v>
      </c>
      <c r="BG1166" t="str">
        <v>Exxon Mobil Refg &amp; Sply Comp 7</v>
      </c>
      <c r="BH1166" t="str">
        <v>blendSAF</v>
      </c>
      <c r="BI1166" t="str">
        <v/>
      </c>
      <c r="BJ1166" t="str">
        <v/>
      </c>
      <c r="BK1166" t="str">
        <v/>
      </c>
      <c r="BL1166" t="str">
        <v/>
      </c>
      <c r="BM1166" t="str">
        <v/>
      </c>
      <c r="BY1166" t="str">
        <v>processor</v>
      </c>
      <c r="BZ1166" t="str">
        <v>Sunoco Logistics 21</v>
      </c>
      <c r="CA1166" t="str">
        <v>blendSAF</v>
      </c>
      <c r="CB1166" t="str">
        <v/>
      </c>
      <c r="CC1166" t="str">
        <v/>
      </c>
      <c r="CD1166" t="str">
        <v/>
      </c>
      <c r="CE1166" t="str">
        <v/>
      </c>
      <c r="CF1166" t="str">
        <v/>
      </c>
    </row>
    <row r="1167" spans="58:84" x14ac:dyDescent="0.3">
      <c r="BF1167" t="str">
        <v>processor</v>
      </c>
      <c r="BG1167" t="str">
        <v>Exxon Mobil Refg &amp; Sply Comp 2</v>
      </c>
      <c r="BH1167" t="str">
        <v>blendSAF</v>
      </c>
      <c r="BI1167" t="str">
        <v/>
      </c>
      <c r="BJ1167" t="str">
        <v/>
      </c>
      <c r="BK1167" t="str">
        <v/>
      </c>
      <c r="BL1167" t="str">
        <v/>
      </c>
      <c r="BM1167" t="str">
        <v/>
      </c>
      <c r="BY1167" t="str">
        <v>processor</v>
      </c>
      <c r="BZ1167" t="str">
        <v>Sunoco Partners Ngl Facilities Llc</v>
      </c>
      <c r="CA1167" t="str">
        <v>blendSAF</v>
      </c>
      <c r="CB1167" t="str">
        <v/>
      </c>
      <c r="CC1167" t="str">
        <v/>
      </c>
      <c r="CD1167" t="str">
        <v/>
      </c>
      <c r="CE1167" t="str">
        <v/>
      </c>
      <c r="CF1167" t="str">
        <v/>
      </c>
    </row>
    <row r="1168" spans="58:84" x14ac:dyDescent="0.3">
      <c r="BF1168" t="str">
        <v>processor</v>
      </c>
      <c r="BG1168" t="str">
        <v>Exxonmobil P L Co</v>
      </c>
      <c r="BH1168" t="str">
        <v>blendSAF</v>
      </c>
      <c r="BI1168" t="str">
        <v/>
      </c>
      <c r="BJ1168" t="str">
        <v/>
      </c>
      <c r="BK1168" t="str">
        <v/>
      </c>
      <c r="BL1168" t="str">
        <v/>
      </c>
      <c r="BM1168" t="str">
        <v/>
      </c>
      <c r="BY1168" t="str">
        <v>processor</v>
      </c>
      <c r="BZ1168" t="str">
        <v>Sunoco Llc 6</v>
      </c>
      <c r="CA1168" t="str">
        <v>blendSAF</v>
      </c>
      <c r="CB1168" t="str">
        <v/>
      </c>
      <c r="CC1168" t="str">
        <v/>
      </c>
      <c r="CD1168" t="str">
        <v/>
      </c>
      <c r="CE1168" t="str">
        <v/>
      </c>
      <c r="CF1168" t="str">
        <v/>
      </c>
    </row>
    <row r="1169" spans="58:84" x14ac:dyDescent="0.3">
      <c r="BF1169" t="str">
        <v>processor</v>
      </c>
      <c r="BG1169" t="str">
        <v>Exxonmobil Corporation 2</v>
      </c>
      <c r="BH1169" t="str">
        <v>blendSAF</v>
      </c>
      <c r="BI1169" t="str">
        <v/>
      </c>
      <c r="BJ1169" t="str">
        <v/>
      </c>
      <c r="BK1169" t="str">
        <v/>
      </c>
      <c r="BL1169" t="str">
        <v/>
      </c>
      <c r="BM1169" t="str">
        <v/>
      </c>
      <c r="BY1169" t="str">
        <v>processor</v>
      </c>
      <c r="BZ1169" t="str">
        <v>Sunoco Llc 7</v>
      </c>
      <c r="CA1169" t="str">
        <v>blendSAF</v>
      </c>
      <c r="CB1169" t="str">
        <v/>
      </c>
      <c r="CC1169" t="str">
        <v/>
      </c>
      <c r="CD1169" t="str">
        <v/>
      </c>
      <c r="CE1169" t="str">
        <v/>
      </c>
      <c r="CF1169" t="str">
        <v/>
      </c>
    </row>
    <row r="1170" spans="58:84" x14ac:dyDescent="0.3">
      <c r="BF1170" t="str">
        <v>processor</v>
      </c>
      <c r="BG1170" t="str">
        <v>Exxonmobil Corporation 3</v>
      </c>
      <c r="BH1170" t="str">
        <v>blendSAF</v>
      </c>
      <c r="BI1170" t="str">
        <v/>
      </c>
      <c r="BJ1170" t="str">
        <v/>
      </c>
      <c r="BK1170" t="str">
        <v/>
      </c>
      <c r="BL1170" t="str">
        <v/>
      </c>
      <c r="BM1170" t="str">
        <v/>
      </c>
      <c r="BY1170" t="str">
        <v>processor</v>
      </c>
      <c r="BZ1170" t="str">
        <v>Sunoco Llc 5</v>
      </c>
      <c r="CA1170" t="str">
        <v>blendSAF</v>
      </c>
      <c r="CB1170" t="str">
        <v/>
      </c>
      <c r="CC1170" t="str">
        <v/>
      </c>
      <c r="CD1170" t="str">
        <v/>
      </c>
      <c r="CE1170" t="str">
        <v/>
      </c>
      <c r="CF1170" t="str">
        <v/>
      </c>
    </row>
    <row r="1171" spans="58:84" x14ac:dyDescent="0.3">
      <c r="BF1171" t="str">
        <v>processor</v>
      </c>
      <c r="BG1171" t="str">
        <v>Exxonmobil Pl Co 4</v>
      </c>
      <c r="BH1171" t="str">
        <v>blendSAF</v>
      </c>
      <c r="BI1171" t="str">
        <v/>
      </c>
      <c r="BJ1171" t="str">
        <v/>
      </c>
      <c r="BK1171" t="str">
        <v/>
      </c>
      <c r="BL1171" t="str">
        <v/>
      </c>
      <c r="BM1171" t="str">
        <v/>
      </c>
      <c r="BY1171" t="str">
        <v>processor</v>
      </c>
      <c r="BZ1171" t="str">
        <v>Hfotco Llc</v>
      </c>
      <c r="CA1171" t="str">
        <v>blendSAF</v>
      </c>
      <c r="CB1171" t="str">
        <v/>
      </c>
      <c r="CC1171" t="str">
        <v/>
      </c>
      <c r="CD1171" t="str">
        <v/>
      </c>
      <c r="CE1171" t="str">
        <v/>
      </c>
      <c r="CF1171" t="str">
        <v/>
      </c>
    </row>
    <row r="1172" spans="58:84" x14ac:dyDescent="0.3">
      <c r="BF1172" t="str">
        <v>processor</v>
      </c>
      <c r="BG1172" t="str">
        <v>Jefferson Gulf Coast Energy Partners</v>
      </c>
      <c r="BH1172" t="str">
        <v>blendSAF</v>
      </c>
      <c r="BI1172" t="str">
        <v/>
      </c>
      <c r="BJ1172" t="str">
        <v/>
      </c>
      <c r="BK1172" t="str">
        <v/>
      </c>
      <c r="BL1172" t="str">
        <v/>
      </c>
      <c r="BM1172" t="str">
        <v/>
      </c>
      <c r="BY1172" t="str">
        <v>processor</v>
      </c>
      <c r="BZ1172" t="str">
        <v>Orbit Gulf Coast Ng Exports Llc</v>
      </c>
      <c r="CA1172" t="str">
        <v>blendSAF</v>
      </c>
      <c r="CB1172" t="str">
        <v/>
      </c>
      <c r="CC1172" t="str">
        <v/>
      </c>
      <c r="CD1172" t="str">
        <v/>
      </c>
      <c r="CE1172" t="str">
        <v/>
      </c>
      <c r="CF1172" t="str">
        <v/>
      </c>
    </row>
    <row r="1173" spans="58:84" x14ac:dyDescent="0.3">
      <c r="BF1173" t="str">
        <v>processor</v>
      </c>
      <c r="BG1173" t="str">
        <v>Fikes Wholesale Inc</v>
      </c>
      <c r="BH1173" t="str">
        <v>blendSAF</v>
      </c>
      <c r="BI1173" t="str">
        <v/>
      </c>
      <c r="BJ1173" t="str">
        <v/>
      </c>
      <c r="BK1173" t="str">
        <v/>
      </c>
      <c r="BL1173" t="str">
        <v/>
      </c>
      <c r="BM1173" t="str">
        <v/>
      </c>
      <c r="BY1173" t="str">
        <v>processor</v>
      </c>
      <c r="BZ1173" t="str">
        <v>Energy Transfer Gc Ngls Lls</v>
      </c>
      <c r="CA1173" t="str">
        <v>blendSAF</v>
      </c>
      <c r="CB1173" t="str">
        <v/>
      </c>
      <c r="CC1173" t="str">
        <v/>
      </c>
      <c r="CD1173" t="str">
        <v/>
      </c>
      <c r="CE1173" t="str">
        <v/>
      </c>
      <c r="CF1173" t="str">
        <v/>
      </c>
    </row>
    <row r="1174" spans="58:84" x14ac:dyDescent="0.3">
      <c r="BF1174" t="str">
        <v>processor</v>
      </c>
      <c r="BG1174" t="str">
        <v>Gulf Coast Energy Llc</v>
      </c>
      <c r="BH1174" t="str">
        <v>blendSAF</v>
      </c>
      <c r="BI1174" t="str">
        <v/>
      </c>
      <c r="BJ1174" t="str">
        <v/>
      </c>
      <c r="BK1174" t="str">
        <v/>
      </c>
      <c r="BL1174" t="str">
        <v/>
      </c>
      <c r="BM1174" t="str">
        <v/>
      </c>
      <c r="BY1174" t="str">
        <v>processor</v>
      </c>
      <c r="BZ1174" t="str">
        <v>Pelican Island Storage Termls</v>
      </c>
      <c r="CA1174" t="str">
        <v>blendSAF</v>
      </c>
      <c r="CB1174" t="str">
        <v/>
      </c>
      <c r="CC1174" t="str">
        <v/>
      </c>
      <c r="CD1174" t="str">
        <v/>
      </c>
      <c r="CE1174" t="str">
        <v/>
      </c>
      <c r="CF1174" t="str">
        <v/>
      </c>
    </row>
    <row r="1175" spans="58:84" x14ac:dyDescent="0.3">
      <c r="BF1175" t="str">
        <v>processor</v>
      </c>
      <c r="BG1175" t="str">
        <v>Gt Logistics Llc</v>
      </c>
      <c r="BH1175" t="str">
        <v>blendSAF</v>
      </c>
      <c r="BI1175" t="str">
        <v/>
      </c>
      <c r="BJ1175" t="str">
        <v/>
      </c>
      <c r="BK1175" t="str">
        <v/>
      </c>
      <c r="BL1175" t="str">
        <v/>
      </c>
      <c r="BM1175" t="str">
        <v/>
      </c>
      <c r="BY1175" t="str">
        <v>processor</v>
      </c>
      <c r="BZ1175" t="str">
        <v>Ent Houston Ship Channel Lp</v>
      </c>
      <c r="CA1175" t="str">
        <v>blendSAF</v>
      </c>
      <c r="CB1175" t="str">
        <v/>
      </c>
      <c r="CC1175" t="str">
        <v/>
      </c>
      <c r="CD1175" t="str">
        <v/>
      </c>
      <c r="CE1175" t="str">
        <v/>
      </c>
      <c r="CF1175" t="str">
        <v/>
      </c>
    </row>
    <row r="1176" spans="58:84" x14ac:dyDescent="0.3">
      <c r="BF1176" t="str">
        <v>processor</v>
      </c>
      <c r="BG1176" t="str">
        <v>Maverick Terminals Corpus Llc</v>
      </c>
      <c r="BH1176" t="str">
        <v>blendSAF</v>
      </c>
      <c r="BI1176" t="str">
        <v/>
      </c>
      <c r="BJ1176" t="str">
        <v/>
      </c>
      <c r="BK1176" t="str">
        <v/>
      </c>
      <c r="BL1176" t="str">
        <v/>
      </c>
      <c r="BM1176" t="str">
        <v/>
      </c>
      <c r="BY1176" t="str">
        <v>processor</v>
      </c>
      <c r="BZ1176" t="str">
        <v>Enterprise Products Operating Llc 10</v>
      </c>
      <c r="CA1176" t="str">
        <v>blendSAF</v>
      </c>
      <c r="CB1176" t="str">
        <v/>
      </c>
      <c r="CC1176" t="str">
        <v/>
      </c>
      <c r="CD1176" t="str">
        <v/>
      </c>
      <c r="CE1176" t="str">
        <v/>
      </c>
      <c r="CF1176" t="str">
        <v/>
      </c>
    </row>
    <row r="1177" spans="58:84" x14ac:dyDescent="0.3">
      <c r="BF1177" t="str">
        <v>processor</v>
      </c>
      <c r="BG1177" t="str">
        <v>Gt Gulfway Llc</v>
      </c>
      <c r="BH1177" t="str">
        <v>blendSAF</v>
      </c>
      <c r="BI1177" t="str">
        <v/>
      </c>
      <c r="BJ1177" t="str">
        <v/>
      </c>
      <c r="BK1177" t="str">
        <v/>
      </c>
      <c r="BL1177" t="str">
        <v/>
      </c>
      <c r="BM1177" t="str">
        <v/>
      </c>
      <c r="BY1177" t="str">
        <v>processor</v>
      </c>
      <c r="BZ1177" t="str">
        <v>Mont Belvieu Caverns Llc</v>
      </c>
      <c r="CA1177" t="str">
        <v>blendSAF</v>
      </c>
      <c r="CB1177" t="str">
        <v/>
      </c>
      <c r="CC1177" t="str">
        <v/>
      </c>
      <c r="CD1177" t="str">
        <v/>
      </c>
      <c r="CE1177" t="str">
        <v/>
      </c>
      <c r="CF1177" t="str">
        <v/>
      </c>
    </row>
    <row r="1178" spans="58:84" x14ac:dyDescent="0.3">
      <c r="BF1178" t="str">
        <v>processor</v>
      </c>
      <c r="BG1178" t="str">
        <v>Holly Energy Partners Oper Lp 2</v>
      </c>
      <c r="BH1178" t="str">
        <v>blendSAF</v>
      </c>
      <c r="BI1178" t="str">
        <v/>
      </c>
      <c r="BJ1178" t="str">
        <v/>
      </c>
      <c r="BK1178" t="str">
        <v/>
      </c>
      <c r="BL1178" t="str">
        <v/>
      </c>
      <c r="BM1178" t="str">
        <v/>
      </c>
      <c r="BY1178" t="str">
        <v>processor</v>
      </c>
      <c r="BZ1178" t="str">
        <v>Enterprise Terminals &amp; Storage Llc 18</v>
      </c>
      <c r="CA1178" t="str">
        <v>blendSAF</v>
      </c>
      <c r="CB1178" t="str">
        <v/>
      </c>
      <c r="CC1178" t="str">
        <v/>
      </c>
      <c r="CD1178" t="str">
        <v/>
      </c>
      <c r="CE1178" t="str">
        <v/>
      </c>
      <c r="CF1178" t="str">
        <v/>
      </c>
    </row>
    <row r="1179" spans="58:84" x14ac:dyDescent="0.3">
      <c r="BF1179" t="str">
        <v>processor</v>
      </c>
      <c r="BG1179" t="str">
        <v>Holly Energy Partners Oper Lp 7</v>
      </c>
      <c r="BH1179" t="str">
        <v>blendSAF</v>
      </c>
      <c r="BI1179" t="str">
        <v/>
      </c>
      <c r="BJ1179" t="str">
        <v/>
      </c>
      <c r="BK1179" t="str">
        <v/>
      </c>
      <c r="BL1179" t="str">
        <v/>
      </c>
      <c r="BM1179" t="str">
        <v/>
      </c>
      <c r="BY1179" t="str">
        <v>processor</v>
      </c>
      <c r="BZ1179" t="str">
        <v>Enterprise Termls &amp; Stge Llc</v>
      </c>
      <c r="CA1179" t="str">
        <v>blendSAF</v>
      </c>
      <c r="CB1179" t="str">
        <v/>
      </c>
      <c r="CC1179" t="str">
        <v/>
      </c>
      <c r="CD1179" t="str">
        <v/>
      </c>
      <c r="CE1179" t="str">
        <v/>
      </c>
      <c r="CF1179" t="str">
        <v/>
      </c>
    </row>
    <row r="1180" spans="58:84" x14ac:dyDescent="0.3">
      <c r="BF1180" t="str">
        <v>processor</v>
      </c>
      <c r="BG1180" t="str">
        <v>Holly Energy Partners Oper Lp 1</v>
      </c>
      <c r="BH1180" t="str">
        <v>blendSAF</v>
      </c>
      <c r="BI1180" t="str">
        <v/>
      </c>
      <c r="BJ1180" t="str">
        <v/>
      </c>
      <c r="BK1180" t="str">
        <v/>
      </c>
      <c r="BL1180" t="str">
        <v/>
      </c>
      <c r="BM1180" t="str">
        <v/>
      </c>
      <c r="BY1180" t="str">
        <v>processor</v>
      </c>
      <c r="BZ1180" t="str">
        <v>Enterprise Gc Llc 2</v>
      </c>
      <c r="CA1180" t="str">
        <v>blendSAF</v>
      </c>
      <c r="CB1180" t="str">
        <v/>
      </c>
      <c r="CC1180" t="str">
        <v/>
      </c>
      <c r="CD1180" t="str">
        <v/>
      </c>
      <c r="CE1180" t="str">
        <v/>
      </c>
      <c r="CF1180" t="str">
        <v/>
      </c>
    </row>
    <row r="1181" spans="58:84" x14ac:dyDescent="0.3">
      <c r="BF1181" t="str">
        <v>processor</v>
      </c>
      <c r="BG1181" t="str">
        <v>Holly Energy Partners Oper Lp 4</v>
      </c>
      <c r="BH1181" t="str">
        <v>blendSAF</v>
      </c>
      <c r="BI1181" t="str">
        <v/>
      </c>
      <c r="BJ1181" t="str">
        <v/>
      </c>
      <c r="BK1181" t="str">
        <v/>
      </c>
      <c r="BL1181" t="str">
        <v/>
      </c>
      <c r="BM1181" t="str">
        <v/>
      </c>
      <c r="BY1181" t="str">
        <v>processor</v>
      </c>
      <c r="BZ1181" t="str">
        <v>Enterprise Gc Llc 4</v>
      </c>
      <c r="CA1181" t="str">
        <v>blendSAF</v>
      </c>
      <c r="CB1181" t="str">
        <v/>
      </c>
      <c r="CC1181" t="str">
        <v/>
      </c>
      <c r="CD1181" t="str">
        <v/>
      </c>
      <c r="CE1181" t="str">
        <v/>
      </c>
      <c r="CF1181" t="str">
        <v/>
      </c>
    </row>
    <row r="1182" spans="58:84" x14ac:dyDescent="0.3">
      <c r="BF1182" t="str">
        <v>processor</v>
      </c>
      <c r="BG1182" t="str">
        <v>Intercontinental Terminals Co</v>
      </c>
      <c r="BH1182" t="str">
        <v>blendSAF</v>
      </c>
      <c r="BI1182" t="str">
        <v/>
      </c>
      <c r="BJ1182" t="str">
        <v/>
      </c>
      <c r="BK1182" t="str">
        <v/>
      </c>
      <c r="BL1182" t="str">
        <v/>
      </c>
      <c r="BM1182" t="str">
        <v/>
      </c>
      <c r="BY1182" t="str">
        <v>processor</v>
      </c>
      <c r="BZ1182" t="str">
        <v>Enterprise Gc Llc 1</v>
      </c>
      <c r="CA1182" t="str">
        <v>blendSAF</v>
      </c>
      <c r="CB1182" t="str">
        <v/>
      </c>
      <c r="CC1182" t="str">
        <v/>
      </c>
      <c r="CD1182" t="str">
        <v/>
      </c>
      <c r="CE1182" t="str">
        <v/>
      </c>
      <c r="CF1182" t="str">
        <v/>
      </c>
    </row>
    <row r="1183" spans="58:84" x14ac:dyDescent="0.3">
      <c r="BF1183" t="str">
        <v>processor</v>
      </c>
      <c r="BG1183" t="str">
        <v>Intercontinental Terminals Company</v>
      </c>
      <c r="BH1183" t="str">
        <v>blendSAF</v>
      </c>
      <c r="BI1183" t="str">
        <v/>
      </c>
      <c r="BJ1183" t="str">
        <v/>
      </c>
      <c r="BK1183" t="str">
        <v/>
      </c>
      <c r="BL1183" t="str">
        <v/>
      </c>
      <c r="BM1183" t="str">
        <v/>
      </c>
      <c r="BY1183" t="str">
        <v>processor</v>
      </c>
      <c r="BZ1183" t="str">
        <v>Enterprise Gc Llc 3</v>
      </c>
      <c r="CA1183" t="str">
        <v>blendSAF</v>
      </c>
      <c r="CB1183" t="str">
        <v/>
      </c>
      <c r="CC1183" t="str">
        <v/>
      </c>
      <c r="CD1183" t="str">
        <v/>
      </c>
      <c r="CE1183" t="str">
        <v/>
      </c>
      <c r="CF1183" t="str">
        <v/>
      </c>
    </row>
    <row r="1184" spans="58:84" x14ac:dyDescent="0.3">
      <c r="BF1184" t="str">
        <v>processor</v>
      </c>
      <c r="BG1184" t="str">
        <v>Intergulf Corporation</v>
      </c>
      <c r="BH1184" t="str">
        <v>blendSAF</v>
      </c>
      <c r="BI1184" t="str">
        <v/>
      </c>
      <c r="BJ1184" t="str">
        <v/>
      </c>
      <c r="BK1184" t="str">
        <v/>
      </c>
      <c r="BL1184" t="str">
        <v/>
      </c>
      <c r="BM1184" t="str">
        <v/>
      </c>
      <c r="BY1184" t="str">
        <v>processor</v>
      </c>
      <c r="BZ1184" t="str">
        <v>Enterprise Refined Products Co Llc 7</v>
      </c>
      <c r="CA1184" t="str">
        <v>blendSAF</v>
      </c>
      <c r="CB1184" t="str">
        <v/>
      </c>
      <c r="CC1184" t="str">
        <v/>
      </c>
      <c r="CD1184" t="str">
        <v/>
      </c>
      <c r="CE1184" t="str">
        <v/>
      </c>
      <c r="CF1184" t="str">
        <v/>
      </c>
    </row>
    <row r="1185" spans="58:84" x14ac:dyDescent="0.3">
      <c r="BF1185" t="str">
        <v>processor</v>
      </c>
      <c r="BG1185" t="str">
        <v>Jebro Incorporated 4</v>
      </c>
      <c r="BH1185" t="str">
        <v>blendSAF</v>
      </c>
      <c r="BI1185" t="str">
        <v/>
      </c>
      <c r="BJ1185" t="str">
        <v/>
      </c>
      <c r="BK1185" t="str">
        <v/>
      </c>
      <c r="BL1185" t="str">
        <v/>
      </c>
      <c r="BM1185" t="str">
        <v/>
      </c>
      <c r="BY1185" t="str">
        <v>processor</v>
      </c>
      <c r="BZ1185" t="str">
        <v>Enterprise Refined Products Co Llc 4</v>
      </c>
      <c r="CA1185" t="str">
        <v>blendSAF</v>
      </c>
      <c r="CB1185" t="str">
        <v/>
      </c>
      <c r="CC1185" t="str">
        <v/>
      </c>
      <c r="CD1185" t="str">
        <v/>
      </c>
      <c r="CE1185" t="str">
        <v/>
      </c>
      <c r="CF1185" t="str">
        <v/>
      </c>
    </row>
    <row r="1186" spans="58:84" x14ac:dyDescent="0.3">
      <c r="BF1186" t="str">
        <v>processor</v>
      </c>
      <c r="BG1186" t="str">
        <v>Key Petrol Llc</v>
      </c>
      <c r="BH1186" t="str">
        <v>blendSAF</v>
      </c>
      <c r="BI1186" t="str">
        <v/>
      </c>
      <c r="BJ1186" t="str">
        <v/>
      </c>
      <c r="BK1186" t="str">
        <v/>
      </c>
      <c r="BL1186" t="str">
        <v/>
      </c>
      <c r="BM1186" t="str">
        <v/>
      </c>
      <c r="BY1186" t="str">
        <v>processor</v>
      </c>
      <c r="BZ1186" t="str">
        <v>Enterprise Refined Products Co Llc 9</v>
      </c>
      <c r="CA1186" t="str">
        <v>blendSAF</v>
      </c>
      <c r="CB1186" t="str">
        <v/>
      </c>
      <c r="CC1186" t="str">
        <v/>
      </c>
      <c r="CD1186" t="str">
        <v/>
      </c>
      <c r="CE1186" t="str">
        <v/>
      </c>
      <c r="CF1186" t="str">
        <v/>
      </c>
    </row>
    <row r="1187" spans="58:84" x14ac:dyDescent="0.3">
      <c r="BF1187" t="str">
        <v>processor</v>
      </c>
      <c r="BG1187" t="str">
        <v>Kinder Morgan Liq Trmnls Llc</v>
      </c>
      <c r="BH1187" t="str">
        <v>blendSAF</v>
      </c>
      <c r="BI1187" t="str">
        <v/>
      </c>
      <c r="BJ1187" t="str">
        <v/>
      </c>
      <c r="BK1187" t="str">
        <v/>
      </c>
      <c r="BL1187" t="str">
        <v/>
      </c>
      <c r="BM1187" t="str">
        <v/>
      </c>
      <c r="BY1187" t="str">
        <v>processor</v>
      </c>
      <c r="BZ1187" t="str">
        <v>Ent Beaumont Marine West Lp</v>
      </c>
      <c r="CA1187" t="str">
        <v>blendSAF</v>
      </c>
      <c r="CB1187" t="str">
        <v/>
      </c>
      <c r="CC1187" t="str">
        <v/>
      </c>
      <c r="CD1187" t="str">
        <v/>
      </c>
      <c r="CE1187" t="str">
        <v/>
      </c>
      <c r="CF1187" t="str">
        <v/>
      </c>
    </row>
    <row r="1188" spans="58:84" x14ac:dyDescent="0.3">
      <c r="BF1188" t="str">
        <v>processor</v>
      </c>
      <c r="BG1188" t="str">
        <v>Km Liquids Terminals Lp 5</v>
      </c>
      <c r="BH1188" t="str">
        <v>blendSAF</v>
      </c>
      <c r="BI1188" t="str">
        <v/>
      </c>
      <c r="BJ1188" t="str">
        <v/>
      </c>
      <c r="BK1188" t="str">
        <v/>
      </c>
      <c r="BL1188" t="str">
        <v/>
      </c>
      <c r="BM1188" t="str">
        <v/>
      </c>
      <c r="BY1188" t="str">
        <v>processor</v>
      </c>
      <c r="BZ1188" t="str">
        <v>Exxon Mobil Refg &amp; Sply Comp 7</v>
      </c>
      <c r="CA1188" t="str">
        <v>blendSAF</v>
      </c>
      <c r="CB1188" t="str">
        <v/>
      </c>
      <c r="CC1188" t="str">
        <v/>
      </c>
      <c r="CD1188" t="str">
        <v/>
      </c>
      <c r="CE1188" t="str">
        <v/>
      </c>
      <c r="CF1188" t="str">
        <v/>
      </c>
    </row>
    <row r="1189" spans="58:84" x14ac:dyDescent="0.3">
      <c r="BF1189" t="str">
        <v>processor</v>
      </c>
      <c r="BG1189" t="str">
        <v>Km Liquids Terminals Lp 6</v>
      </c>
      <c r="BH1189" t="str">
        <v>blendSAF</v>
      </c>
      <c r="BI1189" t="str">
        <v/>
      </c>
      <c r="BJ1189" t="str">
        <v/>
      </c>
      <c r="BK1189" t="str">
        <v/>
      </c>
      <c r="BL1189" t="str">
        <v/>
      </c>
      <c r="BM1189" t="str">
        <v/>
      </c>
      <c r="BY1189" t="str">
        <v>processor</v>
      </c>
      <c r="BZ1189" t="str">
        <v>Exxon Mobil Refg &amp; Sply Comp 2</v>
      </c>
      <c r="CA1189" t="str">
        <v>blendSAF</v>
      </c>
      <c r="CB1189" t="str">
        <v/>
      </c>
      <c r="CC1189" t="str">
        <v/>
      </c>
      <c r="CD1189" t="str">
        <v/>
      </c>
      <c r="CE1189" t="str">
        <v/>
      </c>
      <c r="CF1189" t="str">
        <v/>
      </c>
    </row>
    <row r="1190" spans="58:84" x14ac:dyDescent="0.3">
      <c r="BF1190" t="str">
        <v>processor</v>
      </c>
      <c r="BG1190" t="str">
        <v>Kinder Morgan 2</v>
      </c>
      <c r="BH1190" t="str">
        <v>blendSAF</v>
      </c>
      <c r="BI1190" t="str">
        <v/>
      </c>
      <c r="BJ1190" t="str">
        <v/>
      </c>
      <c r="BK1190" t="str">
        <v/>
      </c>
      <c r="BL1190" t="str">
        <v/>
      </c>
      <c r="BM1190" t="str">
        <v/>
      </c>
      <c r="BY1190" t="str">
        <v>processor</v>
      </c>
      <c r="BZ1190" t="str">
        <v>Exxonmobil P L Co</v>
      </c>
      <c r="CA1190" t="str">
        <v>blendSAF</v>
      </c>
      <c r="CB1190" t="str">
        <v/>
      </c>
      <c r="CC1190" t="str">
        <v/>
      </c>
      <c r="CD1190" t="str">
        <v/>
      </c>
      <c r="CE1190" t="str">
        <v/>
      </c>
      <c r="CF1190" t="str">
        <v/>
      </c>
    </row>
    <row r="1191" spans="58:84" x14ac:dyDescent="0.3">
      <c r="BF1191" t="str">
        <v>processor</v>
      </c>
      <c r="BG1191" t="str">
        <v>Battleground Oil Specialty Terminal</v>
      </c>
      <c r="BH1191" t="str">
        <v>blendSAF</v>
      </c>
      <c r="BI1191" t="str">
        <v/>
      </c>
      <c r="BJ1191" t="str">
        <v/>
      </c>
      <c r="BK1191" t="str">
        <v/>
      </c>
      <c r="BL1191" t="str">
        <v/>
      </c>
      <c r="BM1191" t="str">
        <v/>
      </c>
      <c r="BY1191" t="str">
        <v>processor</v>
      </c>
      <c r="BZ1191" t="str">
        <v>Exxonmobil Corporation 2</v>
      </c>
      <c r="CA1191" t="str">
        <v>blendSAF</v>
      </c>
      <c r="CB1191" t="str">
        <v/>
      </c>
      <c r="CC1191" t="str">
        <v/>
      </c>
      <c r="CD1191" t="str">
        <v/>
      </c>
      <c r="CE1191" t="str">
        <v/>
      </c>
      <c r="CF1191" t="str">
        <v/>
      </c>
    </row>
    <row r="1192" spans="58:84" x14ac:dyDescent="0.3">
      <c r="BF1192" t="str">
        <v>processor</v>
      </c>
      <c r="BG1192" t="str">
        <v>Kinder Morgan Galena Park West Llc</v>
      </c>
      <c r="BH1192" t="str">
        <v>blendSAF</v>
      </c>
      <c r="BI1192" t="str">
        <v/>
      </c>
      <c r="BJ1192" t="str">
        <v/>
      </c>
      <c r="BK1192" t="str">
        <v/>
      </c>
      <c r="BL1192" t="str">
        <v/>
      </c>
      <c r="BM1192" t="str">
        <v/>
      </c>
      <c r="BY1192" t="str">
        <v>processor</v>
      </c>
      <c r="BZ1192" t="str">
        <v>Exxonmobil Corporation 3</v>
      </c>
      <c r="CA1192" t="str">
        <v>blendSAF</v>
      </c>
      <c r="CB1192" t="str">
        <v/>
      </c>
      <c r="CC1192" t="str">
        <v/>
      </c>
      <c r="CD1192" t="str">
        <v/>
      </c>
      <c r="CE1192" t="str">
        <v/>
      </c>
      <c r="CF1192" t="str">
        <v/>
      </c>
    </row>
    <row r="1193" spans="58:84" x14ac:dyDescent="0.3">
      <c r="BF1193" t="str">
        <v>processor</v>
      </c>
      <c r="BG1193" t="str">
        <v>Greens Port Crude By Rail</v>
      </c>
      <c r="BH1193" t="str">
        <v>blendSAF</v>
      </c>
      <c r="BI1193" t="str">
        <v/>
      </c>
      <c r="BJ1193" t="str">
        <v/>
      </c>
      <c r="BK1193" t="str">
        <v/>
      </c>
      <c r="BL1193" t="str">
        <v/>
      </c>
      <c r="BM1193" t="str">
        <v/>
      </c>
      <c r="BY1193" t="str">
        <v>processor</v>
      </c>
      <c r="BZ1193" t="str">
        <v>Exxonmobil Pl Co 4</v>
      </c>
      <c r="CA1193" t="str">
        <v>blendSAF</v>
      </c>
      <c r="CB1193" t="str">
        <v/>
      </c>
      <c r="CC1193" t="str">
        <v/>
      </c>
      <c r="CD1193" t="str">
        <v/>
      </c>
      <c r="CE1193" t="str">
        <v/>
      </c>
      <c r="CF1193" t="str">
        <v/>
      </c>
    </row>
    <row r="1194" spans="58:84" x14ac:dyDescent="0.3">
      <c r="BF1194" t="str">
        <v>processor</v>
      </c>
      <c r="BG1194" t="str">
        <v>Mvp Terminalling Llc</v>
      </c>
      <c r="BH1194" t="str">
        <v>blendSAF</v>
      </c>
      <c r="BI1194" t="str">
        <v/>
      </c>
      <c r="BJ1194" t="str">
        <v/>
      </c>
      <c r="BK1194" t="str">
        <v/>
      </c>
      <c r="BL1194" t="str">
        <v/>
      </c>
      <c r="BM1194" t="str">
        <v/>
      </c>
      <c r="BY1194" t="str">
        <v>processor</v>
      </c>
      <c r="BZ1194" t="str">
        <v>Jefferson Gulf Coast Energy Partners</v>
      </c>
      <c r="CA1194" t="str">
        <v>blendSAF</v>
      </c>
      <c r="CB1194" t="str">
        <v/>
      </c>
      <c r="CC1194" t="str">
        <v/>
      </c>
      <c r="CD1194" t="str">
        <v/>
      </c>
      <c r="CE1194" t="str">
        <v/>
      </c>
      <c r="CF1194" t="str">
        <v/>
      </c>
    </row>
    <row r="1195" spans="58:84" x14ac:dyDescent="0.3">
      <c r="BF1195" t="str">
        <v>processor</v>
      </c>
      <c r="BG1195" t="str">
        <v>Magellan Pipeline Co Lp 33</v>
      </c>
      <c r="BH1195" t="str">
        <v>blendSAF</v>
      </c>
      <c r="BI1195" t="str">
        <v/>
      </c>
      <c r="BJ1195" t="str">
        <v/>
      </c>
      <c r="BK1195" t="str">
        <v/>
      </c>
      <c r="BL1195" t="str">
        <v/>
      </c>
      <c r="BM1195" t="str">
        <v/>
      </c>
      <c r="BY1195" t="str">
        <v>processor</v>
      </c>
      <c r="BZ1195" t="str">
        <v>Fikes Wholesale Inc</v>
      </c>
      <c r="CA1195" t="str">
        <v>blendSAF</v>
      </c>
      <c r="CB1195" t="str">
        <v/>
      </c>
      <c r="CC1195" t="str">
        <v/>
      </c>
      <c r="CD1195" t="str">
        <v/>
      </c>
      <c r="CE1195" t="str">
        <v/>
      </c>
      <c r="CF1195" t="str">
        <v/>
      </c>
    </row>
    <row r="1196" spans="58:84" x14ac:dyDescent="0.3">
      <c r="BF1196" t="str">
        <v>processor</v>
      </c>
      <c r="BG1196" t="str">
        <v>Magellan Pl Co 4</v>
      </c>
      <c r="BH1196" t="str">
        <v>blendSAF</v>
      </c>
      <c r="BI1196" t="str">
        <v/>
      </c>
      <c r="BJ1196" t="str">
        <v/>
      </c>
      <c r="BK1196" t="str">
        <v/>
      </c>
      <c r="BL1196" t="str">
        <v/>
      </c>
      <c r="BM1196" t="str">
        <v/>
      </c>
      <c r="BY1196" t="str">
        <v>processor</v>
      </c>
      <c r="BZ1196" t="str">
        <v>Gulf Coast Energy Llc</v>
      </c>
      <c r="CA1196" t="str">
        <v>blendSAF</v>
      </c>
      <c r="CB1196" t="str">
        <v/>
      </c>
      <c r="CC1196" t="str">
        <v/>
      </c>
      <c r="CD1196" t="str">
        <v/>
      </c>
      <c r="CE1196" t="str">
        <v/>
      </c>
      <c r="CF1196" t="str">
        <v/>
      </c>
    </row>
    <row r="1197" spans="58:84" x14ac:dyDescent="0.3">
      <c r="BF1197" t="str">
        <v>processor</v>
      </c>
      <c r="BG1197" t="str">
        <v>Magellan Pl Co 1</v>
      </c>
      <c r="BH1197" t="str">
        <v>blendSAF</v>
      </c>
      <c r="BI1197" t="str">
        <v/>
      </c>
      <c r="BJ1197" t="str">
        <v/>
      </c>
      <c r="BK1197" t="str">
        <v/>
      </c>
      <c r="BL1197" t="str">
        <v/>
      </c>
      <c r="BM1197" t="str">
        <v/>
      </c>
      <c r="BY1197" t="str">
        <v>processor</v>
      </c>
      <c r="BZ1197" t="str">
        <v>Gt Logistics Llc</v>
      </c>
      <c r="CA1197" t="str">
        <v>blendSAF</v>
      </c>
      <c r="CB1197" t="str">
        <v/>
      </c>
      <c r="CC1197" t="str">
        <v/>
      </c>
      <c r="CD1197" t="str">
        <v/>
      </c>
      <c r="CE1197" t="str">
        <v/>
      </c>
      <c r="CF1197" t="str">
        <v/>
      </c>
    </row>
    <row r="1198" spans="58:84" x14ac:dyDescent="0.3">
      <c r="BF1198" t="str">
        <v>processor</v>
      </c>
      <c r="BG1198" t="str">
        <v>Magellan Pipeline Company Lp</v>
      </c>
      <c r="BH1198" t="str">
        <v>blendSAF</v>
      </c>
      <c r="BI1198" t="str">
        <v/>
      </c>
      <c r="BJ1198" t="str">
        <v/>
      </c>
      <c r="BK1198" t="str">
        <v/>
      </c>
      <c r="BL1198" t="str">
        <v/>
      </c>
      <c r="BM1198" t="str">
        <v/>
      </c>
      <c r="BY1198" t="str">
        <v>processor</v>
      </c>
      <c r="BZ1198" t="str">
        <v>Maverick Terminals Corpus Llc</v>
      </c>
      <c r="CA1198" t="str">
        <v>blendSAF</v>
      </c>
      <c r="CB1198" t="str">
        <v/>
      </c>
      <c r="CC1198" t="str">
        <v/>
      </c>
      <c r="CD1198" t="str">
        <v/>
      </c>
      <c r="CE1198" t="str">
        <v/>
      </c>
      <c r="CF1198" t="str">
        <v/>
      </c>
    </row>
    <row r="1199" spans="58:84" x14ac:dyDescent="0.3">
      <c r="BF1199" t="str">
        <v>processor</v>
      </c>
      <c r="BG1199" t="str">
        <v>Magellan Pipeline Co Lp 7</v>
      </c>
      <c r="BH1199" t="str">
        <v>blendSAF</v>
      </c>
      <c r="BI1199" t="str">
        <v/>
      </c>
      <c r="BJ1199" t="str">
        <v/>
      </c>
      <c r="BK1199" t="str">
        <v/>
      </c>
      <c r="BL1199" t="str">
        <v/>
      </c>
      <c r="BM1199" t="str">
        <v/>
      </c>
      <c r="BY1199" t="str">
        <v>processor</v>
      </c>
      <c r="BZ1199" t="str">
        <v>Gt Gulfway Llc</v>
      </c>
      <c r="CA1199" t="str">
        <v>blendSAF</v>
      </c>
      <c r="CB1199" t="str">
        <v/>
      </c>
      <c r="CC1199" t="str">
        <v/>
      </c>
      <c r="CD1199" t="str">
        <v/>
      </c>
      <c r="CE1199" t="str">
        <v/>
      </c>
      <c r="CF1199" t="str">
        <v/>
      </c>
    </row>
    <row r="1200" spans="58:84" x14ac:dyDescent="0.3">
      <c r="BF1200" t="str">
        <v>processor</v>
      </c>
      <c r="BG1200" t="str">
        <v>Magellan Pipeline Co Lp 26</v>
      </c>
      <c r="BH1200" t="str">
        <v>blendSAF</v>
      </c>
      <c r="BI1200" t="str">
        <v/>
      </c>
      <c r="BJ1200" t="str">
        <v/>
      </c>
      <c r="BK1200" t="str">
        <v/>
      </c>
      <c r="BL1200" t="str">
        <v/>
      </c>
      <c r="BM1200" t="str">
        <v/>
      </c>
      <c r="BY1200" t="str">
        <v>processor</v>
      </c>
      <c r="BZ1200" t="str">
        <v>Holly Energy Partners Oper Lp 2</v>
      </c>
      <c r="CA1200" t="str">
        <v>blendSAF</v>
      </c>
      <c r="CB1200" t="str">
        <v/>
      </c>
      <c r="CC1200" t="str">
        <v/>
      </c>
      <c r="CD1200" t="str">
        <v/>
      </c>
      <c r="CE1200" t="str">
        <v/>
      </c>
      <c r="CF1200" t="str">
        <v/>
      </c>
    </row>
    <row r="1201" spans="58:84" x14ac:dyDescent="0.3">
      <c r="BF1201" t="str">
        <v>processor</v>
      </c>
      <c r="BG1201" t="str">
        <v>Magellan Pipeline Co Lp 11</v>
      </c>
      <c r="BH1201" t="str">
        <v>blendSAF</v>
      </c>
      <c r="BI1201" t="str">
        <v/>
      </c>
      <c r="BJ1201" t="str">
        <v/>
      </c>
      <c r="BK1201" t="str">
        <v/>
      </c>
      <c r="BL1201" t="str">
        <v/>
      </c>
      <c r="BM1201" t="str">
        <v/>
      </c>
      <c r="BY1201" t="str">
        <v>processor</v>
      </c>
      <c r="BZ1201" t="str">
        <v>Holly Energy Partners Oper Lp 7</v>
      </c>
      <c r="CA1201" t="str">
        <v>blendSAF</v>
      </c>
      <c r="CB1201" t="str">
        <v/>
      </c>
      <c r="CC1201" t="str">
        <v/>
      </c>
      <c r="CD1201" t="str">
        <v/>
      </c>
      <c r="CE1201" t="str">
        <v/>
      </c>
      <c r="CF1201" t="str">
        <v/>
      </c>
    </row>
    <row r="1202" spans="58:84" x14ac:dyDescent="0.3">
      <c r="BF1202" t="str">
        <v>processor</v>
      </c>
      <c r="BG1202" t="str">
        <v>Magellan Pipeline Co Lp 16</v>
      </c>
      <c r="BH1202" t="str">
        <v>blendSAF</v>
      </c>
      <c r="BI1202" t="str">
        <v/>
      </c>
      <c r="BJ1202" t="str">
        <v/>
      </c>
      <c r="BK1202" t="str">
        <v/>
      </c>
      <c r="BL1202" t="str">
        <v/>
      </c>
      <c r="BM1202" t="str">
        <v/>
      </c>
      <c r="BY1202" t="str">
        <v>processor</v>
      </c>
      <c r="BZ1202" t="str">
        <v>Holly Energy Partners Oper Lp 1</v>
      </c>
      <c r="CA1202" t="str">
        <v>blendSAF</v>
      </c>
      <c r="CB1202" t="str">
        <v/>
      </c>
      <c r="CC1202" t="str">
        <v/>
      </c>
      <c r="CD1202" t="str">
        <v/>
      </c>
      <c r="CE1202" t="str">
        <v/>
      </c>
      <c r="CF1202" t="str">
        <v/>
      </c>
    </row>
    <row r="1203" spans="58:84" x14ac:dyDescent="0.3">
      <c r="BF1203" t="str">
        <v>processor</v>
      </c>
      <c r="BG1203" t="str">
        <v>Magellan Trmnls Holdings Lp</v>
      </c>
      <c r="BH1203" t="str">
        <v>blendSAF</v>
      </c>
      <c r="BI1203" t="str">
        <v/>
      </c>
      <c r="BJ1203" t="str">
        <v/>
      </c>
      <c r="BK1203" t="str">
        <v/>
      </c>
      <c r="BL1203" t="str">
        <v/>
      </c>
      <c r="BM1203" t="str">
        <v/>
      </c>
      <c r="BY1203" t="str">
        <v>processor</v>
      </c>
      <c r="BZ1203" t="str">
        <v>Holly Energy Partners Oper Lp 4</v>
      </c>
      <c r="CA1203" t="str">
        <v>blendSAF</v>
      </c>
      <c r="CB1203" t="str">
        <v/>
      </c>
      <c r="CC1203" t="str">
        <v/>
      </c>
      <c r="CD1203" t="str">
        <v/>
      </c>
      <c r="CE1203" t="str">
        <v/>
      </c>
      <c r="CF1203" t="str">
        <v/>
      </c>
    </row>
    <row r="1204" spans="58:84" x14ac:dyDescent="0.3">
      <c r="BF1204" t="str">
        <v>processor</v>
      </c>
      <c r="BG1204" t="str">
        <v>Magellan Terminal Holdings Lp</v>
      </c>
      <c r="BH1204" t="str">
        <v>blendSAF</v>
      </c>
      <c r="BI1204" t="str">
        <v/>
      </c>
      <c r="BJ1204" t="str">
        <v/>
      </c>
      <c r="BK1204" t="str">
        <v/>
      </c>
      <c r="BL1204" t="str">
        <v/>
      </c>
      <c r="BM1204" t="str">
        <v/>
      </c>
      <c r="BY1204" t="str">
        <v>processor</v>
      </c>
      <c r="BZ1204" t="str">
        <v>Intercontinental Terminals Co</v>
      </c>
      <c r="CA1204" t="str">
        <v>blendSAF</v>
      </c>
      <c r="CB1204" t="str">
        <v/>
      </c>
      <c r="CC1204" t="str">
        <v/>
      </c>
      <c r="CD1204" t="str">
        <v/>
      </c>
      <c r="CE1204" t="str">
        <v/>
      </c>
      <c r="CF1204" t="str">
        <v/>
      </c>
    </row>
    <row r="1205" spans="58:84" x14ac:dyDescent="0.3">
      <c r="BF1205" t="str">
        <v>processor</v>
      </c>
      <c r="BG1205" t="str">
        <v>Andeavor Logistics Lp 9</v>
      </c>
      <c r="BH1205" t="str">
        <v>blendSAF</v>
      </c>
      <c r="BI1205" t="str">
        <v/>
      </c>
      <c r="BJ1205" t="str">
        <v/>
      </c>
      <c r="BK1205" t="str">
        <v/>
      </c>
      <c r="BL1205" t="str">
        <v/>
      </c>
      <c r="BM1205" t="str">
        <v/>
      </c>
      <c r="BY1205" t="str">
        <v>processor</v>
      </c>
      <c r="BZ1205" t="str">
        <v>Intercontinental Terminals Company</v>
      </c>
      <c r="CA1205" t="str">
        <v>blendSAF</v>
      </c>
      <c r="CB1205" t="str">
        <v/>
      </c>
      <c r="CC1205" t="str">
        <v/>
      </c>
      <c r="CD1205" t="str">
        <v/>
      </c>
      <c r="CE1205" t="str">
        <v/>
      </c>
      <c r="CF1205" t="str">
        <v/>
      </c>
    </row>
    <row r="1206" spans="58:84" x14ac:dyDescent="0.3">
      <c r="BF1206" t="str">
        <v>processor</v>
      </c>
      <c r="BG1206" t="str">
        <v>Advario Texas City Lp</v>
      </c>
      <c r="BH1206" t="str">
        <v>blendSAF</v>
      </c>
      <c r="BI1206" t="str">
        <v/>
      </c>
      <c r="BJ1206" t="str">
        <v/>
      </c>
      <c r="BK1206" t="str">
        <v/>
      </c>
      <c r="BL1206" t="str">
        <v/>
      </c>
      <c r="BM1206" t="str">
        <v/>
      </c>
      <c r="BY1206" t="str">
        <v>processor</v>
      </c>
      <c r="BZ1206" t="str">
        <v>Intergulf Corporation</v>
      </c>
      <c r="CA1206" t="str">
        <v>blendSAF</v>
      </c>
      <c r="CB1206" t="str">
        <v/>
      </c>
      <c r="CC1206" t="str">
        <v/>
      </c>
      <c r="CD1206" t="str">
        <v/>
      </c>
      <c r="CE1206" t="str">
        <v/>
      </c>
      <c r="CF1206" t="str">
        <v/>
      </c>
    </row>
    <row r="1207" spans="58:84" x14ac:dyDescent="0.3">
      <c r="BF1207" t="str">
        <v>processor</v>
      </c>
      <c r="BG1207" t="str">
        <v>Martin Operating Partnership Lp 1</v>
      </c>
      <c r="BH1207" t="str">
        <v>blendSAF</v>
      </c>
      <c r="BI1207" t="str">
        <v/>
      </c>
      <c r="BJ1207" t="str">
        <v/>
      </c>
      <c r="BK1207" t="str">
        <v/>
      </c>
      <c r="BL1207" t="str">
        <v/>
      </c>
      <c r="BM1207" t="str">
        <v/>
      </c>
      <c r="BY1207" t="str">
        <v>processor</v>
      </c>
      <c r="BZ1207" t="str">
        <v>Jebro Incorporated 4</v>
      </c>
      <c r="CA1207" t="str">
        <v>blendSAF</v>
      </c>
      <c r="CB1207" t="str">
        <v/>
      </c>
      <c r="CC1207" t="str">
        <v/>
      </c>
      <c r="CD1207" t="str">
        <v/>
      </c>
      <c r="CE1207" t="str">
        <v/>
      </c>
      <c r="CF1207" t="str">
        <v/>
      </c>
    </row>
    <row r="1208" spans="58:84" x14ac:dyDescent="0.3">
      <c r="BF1208" t="str">
        <v>processor</v>
      </c>
      <c r="BG1208" t="str">
        <v>Martin Operating Partnership Lp 2</v>
      </c>
      <c r="BH1208" t="str">
        <v>blendSAF</v>
      </c>
      <c r="BI1208" t="str">
        <v/>
      </c>
      <c r="BJ1208" t="str">
        <v/>
      </c>
      <c r="BK1208" t="str">
        <v/>
      </c>
      <c r="BL1208" t="str">
        <v/>
      </c>
      <c r="BM1208" t="str">
        <v/>
      </c>
      <c r="BY1208" t="str">
        <v>processor</v>
      </c>
      <c r="BZ1208" t="str">
        <v>Key Petrol Llc</v>
      </c>
      <c r="CA1208" t="str">
        <v>blendSAF</v>
      </c>
      <c r="CB1208" t="str">
        <v/>
      </c>
      <c r="CC1208" t="str">
        <v/>
      </c>
      <c r="CD1208" t="str">
        <v/>
      </c>
      <c r="CE1208" t="str">
        <v/>
      </c>
      <c r="CF1208" t="str">
        <v/>
      </c>
    </row>
    <row r="1209" spans="58:84" x14ac:dyDescent="0.3">
      <c r="BF1209" t="str">
        <v>processor</v>
      </c>
      <c r="BG1209" t="str">
        <v>Martin Energy Services Llc 6</v>
      </c>
      <c r="BH1209" t="str">
        <v>blendSAF</v>
      </c>
      <c r="BI1209" t="str">
        <v/>
      </c>
      <c r="BJ1209" t="str">
        <v/>
      </c>
      <c r="BK1209" t="str">
        <v/>
      </c>
      <c r="BL1209" t="str">
        <v/>
      </c>
      <c r="BM1209" t="str">
        <v/>
      </c>
      <c r="BY1209" t="str">
        <v>processor</v>
      </c>
      <c r="BZ1209" t="str">
        <v>Kinder Morgan Liq Trmnls Llc</v>
      </c>
      <c r="CA1209" t="str">
        <v>blendSAF</v>
      </c>
      <c r="CB1209" t="str">
        <v/>
      </c>
      <c r="CC1209" t="str">
        <v/>
      </c>
      <c r="CD1209" t="str">
        <v/>
      </c>
      <c r="CE1209" t="str">
        <v/>
      </c>
      <c r="CF1209" t="str">
        <v/>
      </c>
    </row>
    <row r="1210" spans="58:84" x14ac:dyDescent="0.3">
      <c r="BF1210" t="str">
        <v>processor</v>
      </c>
      <c r="BG1210" t="str">
        <v>Martin Energy Services Llc 5</v>
      </c>
      <c r="BH1210" t="str">
        <v>blendSAF</v>
      </c>
      <c r="BI1210" t="str">
        <v/>
      </c>
      <c r="BJ1210" t="str">
        <v/>
      </c>
      <c r="BK1210" t="str">
        <v/>
      </c>
      <c r="BL1210" t="str">
        <v/>
      </c>
      <c r="BM1210" t="str">
        <v/>
      </c>
      <c r="BY1210" t="str">
        <v>processor</v>
      </c>
      <c r="BZ1210" t="str">
        <v>Km Liquids Terminals Lp 5</v>
      </c>
      <c r="CA1210" t="str">
        <v>blendSAF</v>
      </c>
      <c r="CB1210" t="str">
        <v/>
      </c>
      <c r="CC1210" t="str">
        <v/>
      </c>
      <c r="CD1210" t="str">
        <v/>
      </c>
      <c r="CE1210" t="str">
        <v/>
      </c>
      <c r="CF1210" t="str">
        <v/>
      </c>
    </row>
    <row r="1211" spans="58:84" x14ac:dyDescent="0.3">
      <c r="BF1211" t="str">
        <v>processor</v>
      </c>
      <c r="BG1211" t="str">
        <v>Martin Energy Services Llc 13</v>
      </c>
      <c r="BH1211" t="str">
        <v>blendSAF</v>
      </c>
      <c r="BI1211" t="str">
        <v/>
      </c>
      <c r="BJ1211" t="str">
        <v/>
      </c>
      <c r="BK1211" t="str">
        <v/>
      </c>
      <c r="BL1211" t="str">
        <v/>
      </c>
      <c r="BM1211" t="str">
        <v/>
      </c>
      <c r="BY1211" t="str">
        <v>processor</v>
      </c>
      <c r="BZ1211" t="str">
        <v>Km Liquids Terminals Lp 6</v>
      </c>
      <c r="CA1211" t="str">
        <v>blendSAF</v>
      </c>
      <c r="CB1211" t="str">
        <v/>
      </c>
      <c r="CC1211" t="str">
        <v/>
      </c>
      <c r="CD1211" t="str">
        <v/>
      </c>
      <c r="CE1211" t="str">
        <v/>
      </c>
      <c r="CF1211" t="str">
        <v/>
      </c>
    </row>
    <row r="1212" spans="58:84" x14ac:dyDescent="0.3">
      <c r="BF1212" t="str">
        <v>processor</v>
      </c>
      <c r="BG1212" t="str">
        <v>Midstream Texas Ingleside Llc</v>
      </c>
      <c r="BH1212" t="str">
        <v>blendSAF</v>
      </c>
      <c r="BI1212" t="str">
        <v/>
      </c>
      <c r="BJ1212" t="str">
        <v/>
      </c>
      <c r="BK1212" t="str">
        <v/>
      </c>
      <c r="BL1212" t="str">
        <v/>
      </c>
      <c r="BM1212" t="str">
        <v/>
      </c>
      <c r="BY1212" t="str">
        <v>processor</v>
      </c>
      <c r="BZ1212" t="str">
        <v>Kinder Morgan 2</v>
      </c>
      <c r="CA1212" t="str">
        <v>blendSAF</v>
      </c>
      <c r="CB1212" t="str">
        <v/>
      </c>
      <c r="CC1212" t="str">
        <v/>
      </c>
      <c r="CD1212" t="str">
        <v/>
      </c>
      <c r="CE1212" t="str">
        <v/>
      </c>
      <c r="CF1212" t="str">
        <v/>
      </c>
    </row>
    <row r="1213" spans="58:84" x14ac:dyDescent="0.3">
      <c r="BF1213" t="str">
        <v>processor</v>
      </c>
      <c r="BG1213" t="str">
        <v>Motus T1 Llc</v>
      </c>
      <c r="BH1213" t="str">
        <v>blendSAF</v>
      </c>
      <c r="BI1213" t="str">
        <v/>
      </c>
      <c r="BJ1213" t="str">
        <v/>
      </c>
      <c r="BK1213" t="str">
        <v/>
      </c>
      <c r="BL1213" t="str">
        <v/>
      </c>
      <c r="BM1213" t="str">
        <v/>
      </c>
      <c r="BY1213" t="str">
        <v>processor</v>
      </c>
      <c r="BZ1213" t="str">
        <v>Battleground Oil Specialty Terminal</v>
      </c>
      <c r="CA1213" t="str">
        <v>blendSAF</v>
      </c>
      <c r="CB1213" t="str">
        <v/>
      </c>
      <c r="CC1213" t="str">
        <v/>
      </c>
      <c r="CD1213" t="str">
        <v/>
      </c>
      <c r="CE1213" t="str">
        <v/>
      </c>
      <c r="CF1213" t="str">
        <v/>
      </c>
    </row>
    <row r="1214" spans="58:84" x14ac:dyDescent="0.3">
      <c r="BF1214" t="str">
        <v>processor</v>
      </c>
      <c r="BG1214" t="str">
        <v>Motus T2 Llc</v>
      </c>
      <c r="BH1214" t="str">
        <v>blendSAF</v>
      </c>
      <c r="BI1214" t="str">
        <v/>
      </c>
      <c r="BJ1214" t="str">
        <v/>
      </c>
      <c r="BK1214" t="str">
        <v/>
      </c>
      <c r="BL1214" t="str">
        <v/>
      </c>
      <c r="BM1214" t="str">
        <v/>
      </c>
      <c r="BY1214" t="str">
        <v>processor</v>
      </c>
      <c r="BZ1214" t="str">
        <v>Kinder Morgan Galena Park West Llc</v>
      </c>
      <c r="CA1214" t="str">
        <v>blendSAF</v>
      </c>
      <c r="CB1214" t="str">
        <v/>
      </c>
      <c r="CC1214" t="str">
        <v/>
      </c>
      <c r="CD1214" t="str">
        <v/>
      </c>
      <c r="CE1214" t="str">
        <v/>
      </c>
      <c r="CF1214" t="str">
        <v/>
      </c>
    </row>
    <row r="1215" spans="58:84" x14ac:dyDescent="0.3">
      <c r="BF1215" t="str">
        <v>processor</v>
      </c>
      <c r="BG1215" t="str">
        <v>Musket Corp 58</v>
      </c>
      <c r="BH1215" t="str">
        <v>blendSAF</v>
      </c>
      <c r="BI1215" t="str">
        <v/>
      </c>
      <c r="BJ1215" t="str">
        <v/>
      </c>
      <c r="BK1215" t="str">
        <v/>
      </c>
      <c r="BL1215" t="str">
        <v/>
      </c>
      <c r="BM1215" t="str">
        <v/>
      </c>
      <c r="BY1215" t="str">
        <v>processor</v>
      </c>
      <c r="BZ1215" t="str">
        <v>Greens Port Crude By Rail</v>
      </c>
      <c r="CA1215" t="str">
        <v>blendSAF</v>
      </c>
      <c r="CB1215" t="str">
        <v/>
      </c>
      <c r="CC1215" t="str">
        <v/>
      </c>
      <c r="CD1215" t="str">
        <v/>
      </c>
      <c r="CE1215" t="str">
        <v/>
      </c>
      <c r="CF1215" t="str">
        <v/>
      </c>
    </row>
    <row r="1216" spans="58:84" x14ac:dyDescent="0.3">
      <c r="BF1216" t="str">
        <v>processor</v>
      </c>
      <c r="BG1216" t="str">
        <v>Musket Corp 59</v>
      </c>
      <c r="BH1216" t="str">
        <v>blendSAF</v>
      </c>
      <c r="BI1216" t="str">
        <v/>
      </c>
      <c r="BJ1216" t="str">
        <v/>
      </c>
      <c r="BK1216" t="str">
        <v/>
      </c>
      <c r="BL1216" t="str">
        <v/>
      </c>
      <c r="BM1216" t="str">
        <v/>
      </c>
      <c r="BY1216" t="str">
        <v>processor</v>
      </c>
      <c r="BZ1216" t="str">
        <v>Mvp Terminalling Llc</v>
      </c>
      <c r="CA1216" t="str">
        <v>blendSAF</v>
      </c>
      <c r="CB1216" t="str">
        <v/>
      </c>
      <c r="CC1216" t="str">
        <v/>
      </c>
      <c r="CD1216" t="str">
        <v/>
      </c>
      <c r="CE1216" t="str">
        <v/>
      </c>
      <c r="CF1216" t="str">
        <v/>
      </c>
    </row>
    <row r="1217" spans="58:84" x14ac:dyDescent="0.3">
      <c r="BF1217" t="str">
        <v>processor</v>
      </c>
      <c r="BG1217" t="str">
        <v>Pelican Asphalt Co Llc</v>
      </c>
      <c r="BH1217" t="str">
        <v>blendSAF</v>
      </c>
      <c r="BI1217" t="str">
        <v/>
      </c>
      <c r="BJ1217" t="str">
        <v/>
      </c>
      <c r="BK1217" t="str">
        <v/>
      </c>
      <c r="BL1217" t="str">
        <v/>
      </c>
      <c r="BM1217" t="str">
        <v/>
      </c>
      <c r="BY1217" t="str">
        <v>processor</v>
      </c>
      <c r="BZ1217" t="str">
        <v>Magellan Pipeline Co Lp 33</v>
      </c>
      <c r="CA1217" t="str">
        <v>blendSAF</v>
      </c>
      <c r="CB1217" t="str">
        <v/>
      </c>
      <c r="CC1217" t="str">
        <v/>
      </c>
      <c r="CD1217" t="str">
        <v/>
      </c>
      <c r="CE1217" t="str">
        <v/>
      </c>
      <c r="CF1217" t="str">
        <v/>
      </c>
    </row>
    <row r="1218" spans="58:84" x14ac:dyDescent="0.3">
      <c r="BF1218" t="str">
        <v>processor</v>
      </c>
      <c r="BG1218" t="str">
        <v>Nustar Energy Lp 41</v>
      </c>
      <c r="BH1218" t="str">
        <v>blendSAF</v>
      </c>
      <c r="BI1218" t="str">
        <v/>
      </c>
      <c r="BJ1218" t="str">
        <v/>
      </c>
      <c r="BK1218" t="str">
        <v/>
      </c>
      <c r="BL1218" t="str">
        <v/>
      </c>
      <c r="BM1218" t="str">
        <v/>
      </c>
      <c r="BY1218" t="str">
        <v>processor</v>
      </c>
      <c r="BZ1218" t="str">
        <v>Magellan Pl Co 4</v>
      </c>
      <c r="CA1218" t="str">
        <v>blendSAF</v>
      </c>
      <c r="CB1218" t="str">
        <v/>
      </c>
      <c r="CC1218" t="str">
        <v/>
      </c>
      <c r="CD1218" t="str">
        <v/>
      </c>
      <c r="CE1218" t="str">
        <v/>
      </c>
      <c r="CF1218" t="str">
        <v/>
      </c>
    </row>
    <row r="1219" spans="58:84" x14ac:dyDescent="0.3">
      <c r="BF1219" t="str">
        <v>processor</v>
      </c>
      <c r="BG1219" t="str">
        <v>Nustar Energy Lp 16</v>
      </c>
      <c r="BH1219" t="str">
        <v>blendSAF</v>
      </c>
      <c r="BI1219" t="str">
        <v/>
      </c>
      <c r="BJ1219" t="str">
        <v/>
      </c>
      <c r="BK1219" t="str">
        <v/>
      </c>
      <c r="BL1219" t="str">
        <v/>
      </c>
      <c r="BM1219" t="str">
        <v/>
      </c>
      <c r="BY1219" t="str">
        <v>processor</v>
      </c>
      <c r="BZ1219" t="str">
        <v>Magellan Pl Co 1</v>
      </c>
      <c r="CA1219" t="str">
        <v>blendSAF</v>
      </c>
      <c r="CB1219" t="str">
        <v/>
      </c>
      <c r="CC1219" t="str">
        <v/>
      </c>
      <c r="CD1219" t="str">
        <v/>
      </c>
      <c r="CE1219" t="str">
        <v/>
      </c>
      <c r="CF1219" t="str">
        <v/>
      </c>
    </row>
    <row r="1220" spans="58:84" x14ac:dyDescent="0.3">
      <c r="BF1220" t="str">
        <v>processor</v>
      </c>
      <c r="BG1220" t="str">
        <v>Nustar Energy Lp 2</v>
      </c>
      <c r="BH1220" t="str">
        <v>blendSAF</v>
      </c>
      <c r="BI1220" t="str">
        <v/>
      </c>
      <c r="BJ1220" t="str">
        <v/>
      </c>
      <c r="BK1220" t="str">
        <v/>
      </c>
      <c r="BL1220" t="str">
        <v/>
      </c>
      <c r="BM1220" t="str">
        <v/>
      </c>
      <c r="BY1220" t="str">
        <v>processor</v>
      </c>
      <c r="BZ1220" t="str">
        <v>Magellan Pipeline Company Lp</v>
      </c>
      <c r="CA1220" t="str">
        <v>blendSAF</v>
      </c>
      <c r="CB1220" t="str">
        <v/>
      </c>
      <c r="CC1220" t="str">
        <v/>
      </c>
      <c r="CD1220" t="str">
        <v/>
      </c>
      <c r="CE1220" t="str">
        <v/>
      </c>
      <c r="CF1220" t="str">
        <v/>
      </c>
    </row>
    <row r="1221" spans="58:84" x14ac:dyDescent="0.3">
      <c r="BF1221" t="str">
        <v>processor</v>
      </c>
      <c r="BG1221" t="str">
        <v>Nustar Energy Lp 4</v>
      </c>
      <c r="BH1221" t="str">
        <v>blendSAF</v>
      </c>
      <c r="BI1221" t="str">
        <v/>
      </c>
      <c r="BJ1221" t="str">
        <v/>
      </c>
      <c r="BK1221" t="str">
        <v/>
      </c>
      <c r="BL1221" t="str">
        <v/>
      </c>
      <c r="BM1221" t="str">
        <v/>
      </c>
      <c r="BY1221" t="str">
        <v>processor</v>
      </c>
      <c r="BZ1221" t="str">
        <v>Magellan Pipeline Co Lp 7</v>
      </c>
      <c r="CA1221" t="str">
        <v>blendSAF</v>
      </c>
      <c r="CB1221" t="str">
        <v/>
      </c>
      <c r="CC1221" t="str">
        <v/>
      </c>
      <c r="CD1221" t="str">
        <v/>
      </c>
      <c r="CE1221" t="str">
        <v/>
      </c>
      <c r="CF1221" t="str">
        <v/>
      </c>
    </row>
    <row r="1222" spans="58:84" x14ac:dyDescent="0.3">
      <c r="BF1222" t="str">
        <v>processor</v>
      </c>
      <c r="BG1222" t="str">
        <v>Nustar Energy Lp 9</v>
      </c>
      <c r="BH1222" t="str">
        <v>blendSAF</v>
      </c>
      <c r="BI1222" t="str">
        <v/>
      </c>
      <c r="BJ1222" t="str">
        <v/>
      </c>
      <c r="BK1222" t="str">
        <v/>
      </c>
      <c r="BL1222" t="str">
        <v/>
      </c>
      <c r="BM1222" t="str">
        <v/>
      </c>
      <c r="BY1222" t="str">
        <v>processor</v>
      </c>
      <c r="BZ1222" t="str">
        <v>Magellan Pipeline Co Lp 26</v>
      </c>
      <c r="CA1222" t="str">
        <v>blendSAF</v>
      </c>
      <c r="CB1222" t="str">
        <v/>
      </c>
      <c r="CC1222" t="str">
        <v/>
      </c>
      <c r="CD1222" t="str">
        <v/>
      </c>
      <c r="CE1222" t="str">
        <v/>
      </c>
      <c r="CF1222" t="str">
        <v/>
      </c>
    </row>
    <row r="1223" spans="58:84" x14ac:dyDescent="0.3">
      <c r="BF1223" t="str">
        <v>processor</v>
      </c>
      <c r="BG1223" t="str">
        <v>Nustar Energy Lp 14</v>
      </c>
      <c r="BH1223" t="str">
        <v>blendSAF</v>
      </c>
      <c r="BI1223" t="str">
        <v/>
      </c>
      <c r="BJ1223" t="str">
        <v/>
      </c>
      <c r="BK1223" t="str">
        <v/>
      </c>
      <c r="BL1223" t="str">
        <v/>
      </c>
      <c r="BM1223" t="str">
        <v/>
      </c>
      <c r="BY1223" t="str">
        <v>processor</v>
      </c>
      <c r="BZ1223" t="str">
        <v>Magellan Pipeline Co Lp 11</v>
      </c>
      <c r="CA1223" t="str">
        <v>blendSAF</v>
      </c>
      <c r="CB1223" t="str">
        <v/>
      </c>
      <c r="CC1223" t="str">
        <v/>
      </c>
      <c r="CD1223" t="str">
        <v/>
      </c>
      <c r="CE1223" t="str">
        <v/>
      </c>
      <c r="CF1223" t="str">
        <v/>
      </c>
    </row>
    <row r="1224" spans="58:84" x14ac:dyDescent="0.3">
      <c r="BF1224" t="str">
        <v>processor</v>
      </c>
      <c r="BG1224" t="str">
        <v>Nustar Energy Lp 18</v>
      </c>
      <c r="BH1224" t="str">
        <v>blendSAF</v>
      </c>
      <c r="BI1224" t="str">
        <v/>
      </c>
      <c r="BJ1224" t="str">
        <v/>
      </c>
      <c r="BK1224" t="str">
        <v/>
      </c>
      <c r="BL1224" t="str">
        <v/>
      </c>
      <c r="BM1224" t="str">
        <v/>
      </c>
      <c r="BY1224" t="str">
        <v>processor</v>
      </c>
      <c r="BZ1224" t="str">
        <v>Magellan Pipeline Co Lp 16</v>
      </c>
      <c r="CA1224" t="str">
        <v>blendSAF</v>
      </c>
      <c r="CB1224" t="str">
        <v/>
      </c>
      <c r="CC1224" t="str">
        <v/>
      </c>
      <c r="CD1224" t="str">
        <v/>
      </c>
      <c r="CE1224" t="str">
        <v/>
      </c>
      <c r="CF1224" t="str">
        <v/>
      </c>
    </row>
    <row r="1225" spans="58:84" x14ac:dyDescent="0.3">
      <c r="BF1225" t="str">
        <v>processor</v>
      </c>
      <c r="BG1225" t="str">
        <v>Nustar Energy Lp 19</v>
      </c>
      <c r="BH1225" t="str">
        <v>blendSAF</v>
      </c>
      <c r="BI1225" t="str">
        <v/>
      </c>
      <c r="BJ1225" t="str">
        <v/>
      </c>
      <c r="BK1225" t="str">
        <v/>
      </c>
      <c r="BL1225" t="str">
        <v/>
      </c>
      <c r="BM1225" t="str">
        <v/>
      </c>
      <c r="BY1225" t="str">
        <v>processor</v>
      </c>
      <c r="BZ1225" t="str">
        <v>Magellan Trmnls Holdings Lp</v>
      </c>
      <c r="CA1225" t="str">
        <v>blendSAF</v>
      </c>
      <c r="CB1225" t="str">
        <v/>
      </c>
      <c r="CC1225" t="str">
        <v/>
      </c>
      <c r="CD1225" t="str">
        <v/>
      </c>
      <c r="CE1225" t="str">
        <v/>
      </c>
      <c r="CF1225" t="str">
        <v/>
      </c>
    </row>
    <row r="1226" spans="58:84" x14ac:dyDescent="0.3">
      <c r="BF1226" t="str">
        <v>processor</v>
      </c>
      <c r="BG1226" t="str">
        <v>Nustar Energy Lp 22</v>
      </c>
      <c r="BH1226" t="str">
        <v>blendSAF</v>
      </c>
      <c r="BI1226" t="str">
        <v/>
      </c>
      <c r="BJ1226" t="str">
        <v/>
      </c>
      <c r="BK1226" t="str">
        <v/>
      </c>
      <c r="BL1226" t="str">
        <v/>
      </c>
      <c r="BM1226" t="str">
        <v/>
      </c>
      <c r="BY1226" t="str">
        <v>processor</v>
      </c>
      <c r="BZ1226" t="str">
        <v>Magellan Terminal Holdings Lp</v>
      </c>
      <c r="CA1226" t="str">
        <v>blendSAF</v>
      </c>
      <c r="CB1226" t="str">
        <v/>
      </c>
      <c r="CC1226" t="str">
        <v/>
      </c>
      <c r="CD1226" t="str">
        <v/>
      </c>
      <c r="CE1226" t="str">
        <v/>
      </c>
      <c r="CF1226" t="str">
        <v/>
      </c>
    </row>
    <row r="1227" spans="58:84" x14ac:dyDescent="0.3">
      <c r="BF1227" t="str">
        <v>processor</v>
      </c>
      <c r="BG1227" t="str">
        <v>Nustar Energy Lp 37</v>
      </c>
      <c r="BH1227" t="str">
        <v>blendSAF</v>
      </c>
      <c r="BI1227" t="str">
        <v/>
      </c>
      <c r="BJ1227" t="str">
        <v/>
      </c>
      <c r="BK1227" t="str">
        <v/>
      </c>
      <c r="BL1227" t="str">
        <v/>
      </c>
      <c r="BM1227" t="str">
        <v/>
      </c>
      <c r="BY1227" t="str">
        <v>processor</v>
      </c>
      <c r="BZ1227" t="str">
        <v>Andeavor Logistics Lp 9</v>
      </c>
      <c r="CA1227" t="str">
        <v>blendSAF</v>
      </c>
      <c r="CB1227" t="str">
        <v/>
      </c>
      <c r="CC1227" t="str">
        <v/>
      </c>
      <c r="CD1227" t="str">
        <v/>
      </c>
      <c r="CE1227" t="str">
        <v/>
      </c>
      <c r="CF1227" t="str">
        <v/>
      </c>
    </row>
    <row r="1228" spans="58:84" x14ac:dyDescent="0.3">
      <c r="BF1228" t="str">
        <v>processor</v>
      </c>
      <c r="BG1228" t="str">
        <v>Nustar Energy Lp 38</v>
      </c>
      <c r="BH1228" t="str">
        <v>blendSAF</v>
      </c>
      <c r="BI1228" t="str">
        <v/>
      </c>
      <c r="BJ1228" t="str">
        <v/>
      </c>
      <c r="BK1228" t="str">
        <v/>
      </c>
      <c r="BL1228" t="str">
        <v/>
      </c>
      <c r="BM1228" t="str">
        <v/>
      </c>
      <c r="BY1228" t="str">
        <v>processor</v>
      </c>
      <c r="BZ1228" t="str">
        <v>Advario Texas City Lp</v>
      </c>
      <c r="CA1228" t="str">
        <v>blendSAF</v>
      </c>
      <c r="CB1228" t="str">
        <v/>
      </c>
      <c r="CC1228" t="str">
        <v/>
      </c>
      <c r="CD1228" t="str">
        <v/>
      </c>
      <c r="CE1228" t="str">
        <v/>
      </c>
      <c r="CF1228" t="str">
        <v/>
      </c>
    </row>
    <row r="1229" spans="58:84" x14ac:dyDescent="0.3">
      <c r="BF1229" t="str">
        <v>processor</v>
      </c>
      <c r="BG1229" t="str">
        <v>Nustar Energy Lp 10</v>
      </c>
      <c r="BH1229" t="str">
        <v>blendSAF</v>
      </c>
      <c r="BI1229" t="str">
        <v/>
      </c>
      <c r="BJ1229" t="str">
        <v/>
      </c>
      <c r="BK1229" t="str">
        <v/>
      </c>
      <c r="BL1229" t="str">
        <v/>
      </c>
      <c r="BM1229" t="str">
        <v/>
      </c>
      <c r="BY1229" t="str">
        <v>processor</v>
      </c>
      <c r="BZ1229" t="str">
        <v>Martin Operating Partnership Lp 1</v>
      </c>
      <c r="CA1229" t="str">
        <v>blendSAF</v>
      </c>
      <c r="CB1229" t="str">
        <v/>
      </c>
      <c r="CC1229" t="str">
        <v/>
      </c>
      <c r="CD1229" t="str">
        <v/>
      </c>
      <c r="CE1229" t="str">
        <v/>
      </c>
      <c r="CF1229" t="str">
        <v/>
      </c>
    </row>
    <row r="1230" spans="58:84" x14ac:dyDescent="0.3">
      <c r="BF1230" t="str">
        <v>processor</v>
      </c>
      <c r="BG1230" t="str">
        <v>Oneok Hydrocarbon Lp 4</v>
      </c>
      <c r="BH1230" t="str">
        <v>blendSAF</v>
      </c>
      <c r="BI1230" t="str">
        <v/>
      </c>
      <c r="BJ1230" t="str">
        <v/>
      </c>
      <c r="BK1230" t="str">
        <v/>
      </c>
      <c r="BL1230" t="str">
        <v/>
      </c>
      <c r="BM1230" t="str">
        <v/>
      </c>
      <c r="BY1230" t="str">
        <v>processor</v>
      </c>
      <c r="BZ1230" t="str">
        <v>Martin Operating Partnership Lp 2</v>
      </c>
      <c r="CA1230" t="str">
        <v>blendSAF</v>
      </c>
      <c r="CB1230" t="str">
        <v/>
      </c>
      <c r="CC1230" t="str">
        <v/>
      </c>
      <c r="CD1230" t="str">
        <v/>
      </c>
      <c r="CE1230" t="str">
        <v/>
      </c>
      <c r="CF1230" t="str">
        <v/>
      </c>
    </row>
    <row r="1231" spans="58:84" x14ac:dyDescent="0.3">
      <c r="BF1231" t="str">
        <v>processor</v>
      </c>
      <c r="BG1231" t="str">
        <v>Citgo Petroleum Corp 26</v>
      </c>
      <c r="BH1231" t="str">
        <v>blendSAF</v>
      </c>
      <c r="BI1231" t="str">
        <v/>
      </c>
      <c r="BJ1231" t="str">
        <v/>
      </c>
      <c r="BK1231" t="str">
        <v/>
      </c>
      <c r="BL1231" t="str">
        <v/>
      </c>
      <c r="BM1231" t="str">
        <v/>
      </c>
      <c r="BY1231" t="str">
        <v>processor</v>
      </c>
      <c r="BZ1231" t="str">
        <v>Martin Energy Services Llc 6</v>
      </c>
      <c r="CA1231" t="str">
        <v>blendSAF</v>
      </c>
      <c r="CB1231" t="str">
        <v/>
      </c>
      <c r="CC1231" t="str">
        <v/>
      </c>
      <c r="CD1231" t="str">
        <v/>
      </c>
      <c r="CE1231" t="str">
        <v/>
      </c>
      <c r="CF1231" t="str">
        <v/>
      </c>
    </row>
    <row r="1232" spans="58:84" x14ac:dyDescent="0.3">
      <c r="BF1232" t="str">
        <v>processor</v>
      </c>
      <c r="BG1232" t="str">
        <v>Citgo Petroleum Corp 41</v>
      </c>
      <c r="BH1232" t="str">
        <v>blendSAF</v>
      </c>
      <c r="BI1232" t="str">
        <v/>
      </c>
      <c r="BJ1232" t="str">
        <v/>
      </c>
      <c r="BK1232" t="str">
        <v/>
      </c>
      <c r="BL1232" t="str">
        <v/>
      </c>
      <c r="BM1232" t="str">
        <v/>
      </c>
      <c r="BY1232" t="str">
        <v>processor</v>
      </c>
      <c r="BZ1232" t="str">
        <v>Martin Energy Services Llc 5</v>
      </c>
      <c r="CA1232" t="str">
        <v>blendSAF</v>
      </c>
      <c r="CB1232" t="str">
        <v/>
      </c>
      <c r="CC1232" t="str">
        <v/>
      </c>
      <c r="CD1232" t="str">
        <v/>
      </c>
      <c r="CE1232" t="str">
        <v/>
      </c>
      <c r="CF1232" t="str">
        <v/>
      </c>
    </row>
    <row r="1233" spans="58:84" x14ac:dyDescent="0.3">
      <c r="BF1233" t="str">
        <v>processor</v>
      </c>
      <c r="BG1233" t="str">
        <v>Citgo Petroleum Corp 35</v>
      </c>
      <c r="BH1233" t="str">
        <v>blendSAF</v>
      </c>
      <c r="BI1233" t="str">
        <v/>
      </c>
      <c r="BJ1233" t="str">
        <v/>
      </c>
      <c r="BK1233" t="str">
        <v/>
      </c>
      <c r="BL1233" t="str">
        <v/>
      </c>
      <c r="BM1233" t="str">
        <v/>
      </c>
      <c r="BY1233" t="str">
        <v>processor</v>
      </c>
      <c r="BZ1233" t="str">
        <v>Martin Energy Services Llc 13</v>
      </c>
      <c r="CA1233" t="str">
        <v>blendSAF</v>
      </c>
      <c r="CB1233" t="str">
        <v/>
      </c>
      <c r="CC1233" t="str">
        <v/>
      </c>
      <c r="CD1233" t="str">
        <v/>
      </c>
      <c r="CE1233" t="str">
        <v/>
      </c>
      <c r="CF1233" t="str">
        <v/>
      </c>
    </row>
    <row r="1234" spans="58:84" x14ac:dyDescent="0.3">
      <c r="BF1234" t="str">
        <v>processor</v>
      </c>
      <c r="BG1234" t="str">
        <v>Citgo Petro Corp 11</v>
      </c>
      <c r="BH1234" t="str">
        <v>blendSAF</v>
      </c>
      <c r="BI1234" t="str">
        <v/>
      </c>
      <c r="BJ1234" t="str">
        <v/>
      </c>
      <c r="BK1234" t="str">
        <v/>
      </c>
      <c r="BL1234" t="str">
        <v/>
      </c>
      <c r="BM1234" t="str">
        <v/>
      </c>
      <c r="BY1234" t="str">
        <v>processor</v>
      </c>
      <c r="BZ1234" t="str">
        <v>Midstream Texas Ingleside Llc</v>
      </c>
      <c r="CA1234" t="str">
        <v>blendSAF</v>
      </c>
      <c r="CB1234" t="str">
        <v/>
      </c>
      <c r="CC1234" t="str">
        <v/>
      </c>
      <c r="CD1234" t="str">
        <v/>
      </c>
      <c r="CE1234" t="str">
        <v/>
      </c>
      <c r="CF1234" t="str">
        <v/>
      </c>
    </row>
    <row r="1235" spans="58:84" x14ac:dyDescent="0.3">
      <c r="BF1235" t="str">
        <v>processor</v>
      </c>
      <c r="BG1235" t="str">
        <v>Petroleum Wholesale Lp</v>
      </c>
      <c r="BH1235" t="str">
        <v>blendSAF</v>
      </c>
      <c r="BI1235" t="str">
        <v/>
      </c>
      <c r="BJ1235" t="str">
        <v/>
      </c>
      <c r="BK1235" t="str">
        <v/>
      </c>
      <c r="BL1235" t="str">
        <v/>
      </c>
      <c r="BM1235" t="str">
        <v/>
      </c>
      <c r="BY1235" t="str">
        <v>processor</v>
      </c>
      <c r="BZ1235" t="str">
        <v>Motus T1 Llc</v>
      </c>
      <c r="CA1235" t="str">
        <v>blendSAF</v>
      </c>
      <c r="CB1235" t="str">
        <v/>
      </c>
      <c r="CC1235" t="str">
        <v/>
      </c>
      <c r="CD1235" t="str">
        <v/>
      </c>
      <c r="CE1235" t="str">
        <v/>
      </c>
      <c r="CF1235" t="str">
        <v/>
      </c>
    </row>
    <row r="1236" spans="58:84" x14ac:dyDescent="0.3">
      <c r="BF1236" t="str">
        <v>processor</v>
      </c>
      <c r="BG1236" t="str">
        <v>Lbc Houston Lp</v>
      </c>
      <c r="BH1236" t="str">
        <v>blendSAF</v>
      </c>
      <c r="BI1236" t="str">
        <v/>
      </c>
      <c r="BJ1236" t="str">
        <v/>
      </c>
      <c r="BK1236" t="str">
        <v/>
      </c>
      <c r="BL1236" t="str">
        <v/>
      </c>
      <c r="BM1236" t="str">
        <v/>
      </c>
      <c r="BY1236" t="str">
        <v>processor</v>
      </c>
      <c r="BZ1236" t="str">
        <v>Motus T2 Llc</v>
      </c>
      <c r="CA1236" t="str">
        <v>blendSAF</v>
      </c>
      <c r="CB1236" t="str">
        <v/>
      </c>
      <c r="CC1236" t="str">
        <v/>
      </c>
      <c r="CD1236" t="str">
        <v/>
      </c>
      <c r="CE1236" t="str">
        <v/>
      </c>
      <c r="CF1236" t="str">
        <v/>
      </c>
    </row>
    <row r="1237" spans="58:84" x14ac:dyDescent="0.3">
      <c r="BF1237" t="str">
        <v>processor</v>
      </c>
      <c r="BG1237" t="str">
        <v>Phoenix Park Energy Marketing Llc</v>
      </c>
      <c r="BH1237" t="str">
        <v>blendSAF</v>
      </c>
      <c r="BI1237" t="str">
        <v/>
      </c>
      <c r="BJ1237" t="str">
        <v/>
      </c>
      <c r="BK1237" t="str">
        <v/>
      </c>
      <c r="BL1237" t="str">
        <v/>
      </c>
      <c r="BM1237" t="str">
        <v/>
      </c>
      <c r="BY1237" t="str">
        <v>processor</v>
      </c>
      <c r="BZ1237" t="str">
        <v>Musket Corp 58</v>
      </c>
      <c r="CA1237" t="str">
        <v>blendSAF</v>
      </c>
      <c r="CB1237" t="str">
        <v/>
      </c>
      <c r="CC1237" t="str">
        <v/>
      </c>
      <c r="CD1237" t="str">
        <v/>
      </c>
      <c r="CE1237" t="str">
        <v/>
      </c>
      <c r="CF1237" t="str">
        <v/>
      </c>
    </row>
    <row r="1238" spans="58:84" x14ac:dyDescent="0.3">
      <c r="BF1238" t="str">
        <v>processor</v>
      </c>
      <c r="BG1238" t="str">
        <v>Potac Llc</v>
      </c>
      <c r="BH1238" t="str">
        <v>blendSAF</v>
      </c>
      <c r="BI1238" t="str">
        <v/>
      </c>
      <c r="BJ1238" t="str">
        <v/>
      </c>
      <c r="BK1238" t="str">
        <v/>
      </c>
      <c r="BL1238" t="str">
        <v/>
      </c>
      <c r="BM1238" t="str">
        <v/>
      </c>
      <c r="BY1238" t="str">
        <v>processor</v>
      </c>
      <c r="BZ1238" t="str">
        <v>Musket Corp 59</v>
      </c>
      <c r="CA1238" t="str">
        <v>blendSAF</v>
      </c>
      <c r="CB1238" t="str">
        <v/>
      </c>
      <c r="CC1238" t="str">
        <v/>
      </c>
      <c r="CD1238" t="str">
        <v/>
      </c>
      <c r="CE1238" t="str">
        <v/>
      </c>
      <c r="CF1238" t="str">
        <v/>
      </c>
    </row>
    <row r="1239" spans="58:84" x14ac:dyDescent="0.3">
      <c r="BF1239" t="str">
        <v>processor</v>
      </c>
      <c r="BG1239" t="str">
        <v>Arguindegui Oil Co Ii Ltd</v>
      </c>
      <c r="BH1239" t="str">
        <v>blendSAF</v>
      </c>
      <c r="BI1239" t="str">
        <v/>
      </c>
      <c r="BJ1239" t="str">
        <v/>
      </c>
      <c r="BK1239" t="str">
        <v/>
      </c>
      <c r="BL1239" t="str">
        <v/>
      </c>
      <c r="BM1239" t="str">
        <v/>
      </c>
      <c r="BY1239" t="str">
        <v>processor</v>
      </c>
      <c r="BZ1239" t="str">
        <v>Pelican Asphalt Co Llc</v>
      </c>
      <c r="CA1239" t="str">
        <v>blendSAF</v>
      </c>
      <c r="CB1239" t="str">
        <v/>
      </c>
      <c r="CC1239" t="str">
        <v/>
      </c>
      <c r="CD1239" t="str">
        <v/>
      </c>
      <c r="CE1239" t="str">
        <v/>
      </c>
      <c r="CF1239" t="str">
        <v/>
      </c>
    </row>
    <row r="1240" spans="58:84" x14ac:dyDescent="0.3">
      <c r="BF1240" t="str">
        <v>processor</v>
      </c>
      <c r="BG1240" t="str">
        <v>Shell Oil Products Us 3</v>
      </c>
      <c r="BH1240" t="str">
        <v>blendSAF</v>
      </c>
      <c r="BI1240" t="str">
        <v/>
      </c>
      <c r="BJ1240" t="str">
        <v/>
      </c>
      <c r="BK1240" t="str">
        <v/>
      </c>
      <c r="BL1240" t="str">
        <v/>
      </c>
      <c r="BM1240" t="str">
        <v/>
      </c>
      <c r="BY1240" t="str">
        <v>processor</v>
      </c>
      <c r="BZ1240" t="str">
        <v>Nustar Energy Lp 41</v>
      </c>
      <c r="CA1240" t="str">
        <v>blendSAF</v>
      </c>
      <c r="CB1240" t="str">
        <v/>
      </c>
      <c r="CC1240" t="str">
        <v/>
      </c>
      <c r="CD1240" t="str">
        <v/>
      </c>
      <c r="CE1240" t="str">
        <v/>
      </c>
      <c r="CF1240" t="str">
        <v/>
      </c>
    </row>
    <row r="1241" spans="58:84" x14ac:dyDescent="0.3">
      <c r="BF1241" t="str">
        <v>processor</v>
      </c>
      <c r="BG1241" t="str">
        <v>Motiva Enterprises Llc 7</v>
      </c>
      <c r="BH1241" t="str">
        <v>blendSAF</v>
      </c>
      <c r="BI1241" t="str">
        <v/>
      </c>
      <c r="BJ1241" t="str">
        <v/>
      </c>
      <c r="BK1241" t="str">
        <v/>
      </c>
      <c r="BL1241" t="str">
        <v/>
      </c>
      <c r="BM1241" t="str">
        <v/>
      </c>
      <c r="BY1241" t="str">
        <v>processor</v>
      </c>
      <c r="BZ1241" t="str">
        <v>Nustar Energy Lp 16</v>
      </c>
      <c r="CA1241" t="str">
        <v>blendSAF</v>
      </c>
      <c r="CB1241" t="str">
        <v/>
      </c>
      <c r="CC1241" t="str">
        <v/>
      </c>
      <c r="CD1241" t="str">
        <v/>
      </c>
      <c r="CE1241" t="str">
        <v/>
      </c>
      <c r="CF1241" t="str">
        <v/>
      </c>
    </row>
    <row r="1242" spans="58:84" x14ac:dyDescent="0.3">
      <c r="BF1242" t="str">
        <v>processor</v>
      </c>
      <c r="BG1242" t="str">
        <v>Motiva Enterprises Llc 15</v>
      </c>
      <c r="BH1242" t="str">
        <v>blendSAF</v>
      </c>
      <c r="BI1242" t="str">
        <v/>
      </c>
      <c r="BJ1242" t="str">
        <v/>
      </c>
      <c r="BK1242" t="str">
        <v/>
      </c>
      <c r="BL1242" t="str">
        <v/>
      </c>
      <c r="BM1242" t="str">
        <v/>
      </c>
      <c r="BY1242" t="str">
        <v>processor</v>
      </c>
      <c r="BZ1242" t="str">
        <v>Nustar Energy Lp 2</v>
      </c>
      <c r="CA1242" t="str">
        <v>blendSAF</v>
      </c>
      <c r="CB1242" t="str">
        <v/>
      </c>
      <c r="CC1242" t="str">
        <v/>
      </c>
      <c r="CD1242" t="str">
        <v/>
      </c>
      <c r="CE1242" t="str">
        <v/>
      </c>
      <c r="CF1242" t="str">
        <v/>
      </c>
    </row>
    <row r="1243" spans="58:84" x14ac:dyDescent="0.3">
      <c r="BF1243" t="str">
        <v>processor</v>
      </c>
      <c r="BG1243" t="str">
        <v>Motiva Enterprises Llc 18</v>
      </c>
      <c r="BH1243" t="str">
        <v>blendSAF</v>
      </c>
      <c r="BI1243" t="str">
        <v/>
      </c>
      <c r="BJ1243" t="str">
        <v/>
      </c>
      <c r="BK1243" t="str">
        <v/>
      </c>
      <c r="BL1243" t="str">
        <v/>
      </c>
      <c r="BM1243" t="str">
        <v/>
      </c>
      <c r="BY1243" t="str">
        <v>processor</v>
      </c>
      <c r="BZ1243" t="str">
        <v>Nustar Energy Lp 4</v>
      </c>
      <c r="CA1243" t="str">
        <v>blendSAF</v>
      </c>
      <c r="CB1243" t="str">
        <v/>
      </c>
      <c r="CC1243" t="str">
        <v/>
      </c>
      <c r="CD1243" t="str">
        <v/>
      </c>
      <c r="CE1243" t="str">
        <v/>
      </c>
      <c r="CF1243" t="str">
        <v/>
      </c>
    </row>
    <row r="1244" spans="58:84" x14ac:dyDescent="0.3">
      <c r="BF1244" t="str">
        <v>processor</v>
      </c>
      <c r="BG1244" t="str">
        <v>Motiva Enterprises Llc 17</v>
      </c>
      <c r="BH1244" t="str">
        <v>blendSAF</v>
      </c>
      <c r="BI1244" t="str">
        <v/>
      </c>
      <c r="BJ1244" t="str">
        <v/>
      </c>
      <c r="BK1244" t="str">
        <v/>
      </c>
      <c r="BL1244" t="str">
        <v/>
      </c>
      <c r="BM1244" t="str">
        <v/>
      </c>
      <c r="BY1244" t="str">
        <v>processor</v>
      </c>
      <c r="BZ1244" t="str">
        <v>Nustar Energy Lp 9</v>
      </c>
      <c r="CA1244" t="str">
        <v>blendSAF</v>
      </c>
      <c r="CB1244" t="str">
        <v/>
      </c>
      <c r="CC1244" t="str">
        <v/>
      </c>
      <c r="CD1244" t="str">
        <v/>
      </c>
      <c r="CE1244" t="str">
        <v/>
      </c>
      <c r="CF1244" t="str">
        <v/>
      </c>
    </row>
    <row r="1245" spans="58:84" x14ac:dyDescent="0.3">
      <c r="BF1245" t="str">
        <v>processor</v>
      </c>
      <c r="BG1245" t="str">
        <v>Motiva Enterprises Llc 20</v>
      </c>
      <c r="BH1245" t="str">
        <v>blendSAF</v>
      </c>
      <c r="BI1245" t="str">
        <v/>
      </c>
      <c r="BJ1245" t="str">
        <v/>
      </c>
      <c r="BK1245" t="str">
        <v/>
      </c>
      <c r="BL1245" t="str">
        <v/>
      </c>
      <c r="BM1245" t="str">
        <v/>
      </c>
      <c r="BY1245" t="str">
        <v>processor</v>
      </c>
      <c r="BZ1245" t="str">
        <v>Nustar Energy Lp 14</v>
      </c>
      <c r="CA1245" t="str">
        <v>blendSAF</v>
      </c>
      <c r="CB1245" t="str">
        <v/>
      </c>
      <c r="CC1245" t="str">
        <v/>
      </c>
      <c r="CD1245" t="str">
        <v/>
      </c>
      <c r="CE1245" t="str">
        <v/>
      </c>
      <c r="CF1245" t="str">
        <v/>
      </c>
    </row>
    <row r="1246" spans="58:84" x14ac:dyDescent="0.3">
      <c r="BF1246" t="str">
        <v>processor</v>
      </c>
      <c r="BG1246" t="str">
        <v>Motiva Enterprises Llc 23</v>
      </c>
      <c r="BH1246" t="str">
        <v>blendSAF</v>
      </c>
      <c r="BI1246" t="str">
        <v/>
      </c>
      <c r="BJ1246" t="str">
        <v/>
      </c>
      <c r="BK1246" t="str">
        <v/>
      </c>
      <c r="BL1246" t="str">
        <v/>
      </c>
      <c r="BM1246" t="str">
        <v/>
      </c>
      <c r="BY1246" t="str">
        <v>processor</v>
      </c>
      <c r="BZ1246" t="str">
        <v>Nustar Energy Lp 18</v>
      </c>
      <c r="CA1246" t="str">
        <v>blendSAF</v>
      </c>
      <c r="CB1246" t="str">
        <v/>
      </c>
      <c r="CC1246" t="str">
        <v/>
      </c>
      <c r="CD1246" t="str">
        <v/>
      </c>
      <c r="CE1246" t="str">
        <v/>
      </c>
      <c r="CF1246" t="str">
        <v/>
      </c>
    </row>
    <row r="1247" spans="58:84" x14ac:dyDescent="0.3">
      <c r="BF1247" t="str">
        <v>processor</v>
      </c>
      <c r="BG1247" t="str">
        <v>Motiva Enterprises Llc 4</v>
      </c>
      <c r="BH1247" t="str">
        <v>blendSAF</v>
      </c>
      <c r="BI1247" t="str">
        <v/>
      </c>
      <c r="BJ1247" t="str">
        <v/>
      </c>
      <c r="BK1247" t="str">
        <v/>
      </c>
      <c r="BL1247" t="str">
        <v/>
      </c>
      <c r="BM1247" t="str">
        <v/>
      </c>
      <c r="BY1247" t="str">
        <v>processor</v>
      </c>
      <c r="BZ1247" t="str">
        <v>Nustar Energy Lp 19</v>
      </c>
      <c r="CA1247" t="str">
        <v>blendSAF</v>
      </c>
      <c r="CB1247" t="str">
        <v/>
      </c>
      <c r="CC1247" t="str">
        <v/>
      </c>
      <c r="CD1247" t="str">
        <v/>
      </c>
      <c r="CE1247" t="str">
        <v/>
      </c>
      <c r="CF1247" t="str">
        <v/>
      </c>
    </row>
    <row r="1248" spans="58:84" x14ac:dyDescent="0.3">
      <c r="BF1248" t="str">
        <v>processor</v>
      </c>
      <c r="BG1248" t="str">
        <v>Motiva Enterprises Llc Port Neches</v>
      </c>
      <c r="BH1248" t="str">
        <v>blendSAF</v>
      </c>
      <c r="BI1248" t="str">
        <v/>
      </c>
      <c r="BJ1248" t="str">
        <v/>
      </c>
      <c r="BK1248" t="str">
        <v/>
      </c>
      <c r="BL1248" t="str">
        <v/>
      </c>
      <c r="BM1248" t="str">
        <v/>
      </c>
      <c r="BY1248" t="str">
        <v>processor</v>
      </c>
      <c r="BZ1248" t="str">
        <v>Nustar Energy Lp 22</v>
      </c>
      <c r="CA1248" t="str">
        <v>blendSAF</v>
      </c>
      <c r="CB1248" t="str">
        <v/>
      </c>
      <c r="CC1248" t="str">
        <v/>
      </c>
      <c r="CD1248" t="str">
        <v/>
      </c>
      <c r="CE1248" t="str">
        <v/>
      </c>
      <c r="CF1248" t="str">
        <v/>
      </c>
    </row>
    <row r="1249" spans="58:84" x14ac:dyDescent="0.3">
      <c r="BF1249" t="str">
        <v>processor</v>
      </c>
      <c r="BG1249" t="str">
        <v>Stolthaven Houston Llc</v>
      </c>
      <c r="BH1249" t="str">
        <v>blendSAF</v>
      </c>
      <c r="BI1249" t="str">
        <v/>
      </c>
      <c r="BJ1249" t="str">
        <v/>
      </c>
      <c r="BK1249" t="str">
        <v/>
      </c>
      <c r="BL1249" t="str">
        <v/>
      </c>
      <c r="BM1249" t="str">
        <v/>
      </c>
      <c r="BY1249" t="str">
        <v>processor</v>
      </c>
      <c r="BZ1249" t="str">
        <v>Nustar Energy Lp 37</v>
      </c>
      <c r="CA1249" t="str">
        <v>blendSAF</v>
      </c>
      <c r="CB1249" t="str">
        <v/>
      </c>
      <c r="CC1249" t="str">
        <v/>
      </c>
      <c r="CD1249" t="str">
        <v/>
      </c>
      <c r="CE1249" t="str">
        <v/>
      </c>
      <c r="CF1249" t="str">
        <v/>
      </c>
    </row>
    <row r="1250" spans="58:84" x14ac:dyDescent="0.3">
      <c r="BF1250" t="str">
        <v>processor</v>
      </c>
      <c r="BG1250" t="str">
        <v>Targa Midstream Services Llc 4</v>
      </c>
      <c r="BH1250" t="str">
        <v>blendSAF</v>
      </c>
      <c r="BI1250" t="str">
        <v/>
      </c>
      <c r="BJ1250" t="str">
        <v/>
      </c>
      <c r="BK1250" t="str">
        <v/>
      </c>
      <c r="BL1250" t="str">
        <v/>
      </c>
      <c r="BM1250" t="str">
        <v/>
      </c>
      <c r="BY1250" t="str">
        <v>processor</v>
      </c>
      <c r="BZ1250" t="str">
        <v>Nustar Energy Lp 38</v>
      </c>
      <c r="CA1250" t="str">
        <v>blendSAF</v>
      </c>
      <c r="CB1250" t="str">
        <v/>
      </c>
      <c r="CC1250" t="str">
        <v/>
      </c>
      <c r="CD1250" t="str">
        <v/>
      </c>
      <c r="CE1250" t="str">
        <v/>
      </c>
      <c r="CF1250" t="str">
        <v/>
      </c>
    </row>
    <row r="1251" spans="58:84" x14ac:dyDescent="0.3">
      <c r="BF1251" t="str">
        <v>processor</v>
      </c>
      <c r="BG1251" t="str">
        <v>Targa Midstream Services Llc 1</v>
      </c>
      <c r="BH1251" t="str">
        <v>blendSAF</v>
      </c>
      <c r="BI1251" t="str">
        <v/>
      </c>
      <c r="BJ1251" t="str">
        <v/>
      </c>
      <c r="BK1251" t="str">
        <v/>
      </c>
      <c r="BL1251" t="str">
        <v/>
      </c>
      <c r="BM1251" t="str">
        <v/>
      </c>
      <c r="BY1251" t="str">
        <v>processor</v>
      </c>
      <c r="BZ1251" t="str">
        <v>Nustar Energy Lp 10</v>
      </c>
      <c r="CA1251" t="str">
        <v>blendSAF</v>
      </c>
      <c r="CB1251" t="str">
        <v/>
      </c>
      <c r="CC1251" t="str">
        <v/>
      </c>
      <c r="CD1251" t="str">
        <v/>
      </c>
      <c r="CE1251" t="str">
        <v/>
      </c>
      <c r="CF1251" t="str">
        <v/>
      </c>
    </row>
    <row r="1252" spans="58:84" x14ac:dyDescent="0.3">
      <c r="BF1252" t="str">
        <v>processor</v>
      </c>
      <c r="BG1252" t="str">
        <v>Valero Marketing &amp; Supply Co 30</v>
      </c>
      <c r="BH1252" t="str">
        <v>blendSAF</v>
      </c>
      <c r="BI1252" t="str">
        <v/>
      </c>
      <c r="BJ1252" t="str">
        <v/>
      </c>
      <c r="BK1252" t="str">
        <v/>
      </c>
      <c r="BL1252" t="str">
        <v/>
      </c>
      <c r="BM1252" t="str">
        <v/>
      </c>
      <c r="BY1252" t="str">
        <v>processor</v>
      </c>
      <c r="BZ1252" t="str">
        <v>Oneok Hydrocarbon Lp 4</v>
      </c>
      <c r="CA1252" t="str">
        <v>blendSAF</v>
      </c>
      <c r="CB1252" t="str">
        <v/>
      </c>
      <c r="CC1252" t="str">
        <v/>
      </c>
      <c r="CD1252" t="str">
        <v/>
      </c>
      <c r="CE1252" t="str">
        <v/>
      </c>
      <c r="CF1252" t="str">
        <v/>
      </c>
    </row>
    <row r="1253" spans="58:84" x14ac:dyDescent="0.3">
      <c r="BF1253" t="str">
        <v>processor</v>
      </c>
      <c r="BG1253" t="str">
        <v>Valero Marketing &amp; Supply Co 31</v>
      </c>
      <c r="BH1253" t="str">
        <v>blendSAF</v>
      </c>
      <c r="BI1253" t="str">
        <v/>
      </c>
      <c r="BJ1253" t="str">
        <v/>
      </c>
      <c r="BK1253" t="str">
        <v/>
      </c>
      <c r="BL1253" t="str">
        <v/>
      </c>
      <c r="BM1253" t="str">
        <v/>
      </c>
      <c r="BY1253" t="str">
        <v>processor</v>
      </c>
      <c r="BZ1253" t="str">
        <v>Citgo Petroleum Corp 26</v>
      </c>
      <c r="CA1253" t="str">
        <v>blendSAF</v>
      </c>
      <c r="CB1253" t="str">
        <v/>
      </c>
      <c r="CC1253" t="str">
        <v/>
      </c>
      <c r="CD1253" t="str">
        <v/>
      </c>
      <c r="CE1253" t="str">
        <v/>
      </c>
      <c r="CF1253" t="str">
        <v/>
      </c>
    </row>
    <row r="1254" spans="58:84" x14ac:dyDescent="0.3">
      <c r="BF1254" t="str">
        <v>processor</v>
      </c>
      <c r="BG1254" t="str">
        <v>Texas Deepwater Deer Park Treml Llc</v>
      </c>
      <c r="BH1254" t="str">
        <v>blendSAF</v>
      </c>
      <c r="BI1254" t="str">
        <v/>
      </c>
      <c r="BJ1254" t="str">
        <v/>
      </c>
      <c r="BK1254" t="str">
        <v/>
      </c>
      <c r="BL1254" t="str">
        <v/>
      </c>
      <c r="BM1254" t="str">
        <v/>
      </c>
      <c r="BY1254" t="str">
        <v>processor</v>
      </c>
      <c r="BZ1254" t="str">
        <v>Citgo Petroleum Corp 41</v>
      </c>
      <c r="CA1254" t="str">
        <v>blendSAF</v>
      </c>
      <c r="CB1254" t="str">
        <v/>
      </c>
      <c r="CC1254" t="str">
        <v/>
      </c>
      <c r="CD1254" t="str">
        <v/>
      </c>
      <c r="CE1254" t="str">
        <v/>
      </c>
      <c r="CF1254" t="str">
        <v/>
      </c>
    </row>
    <row r="1255" spans="58:84" x14ac:dyDescent="0.3">
      <c r="BF1255" t="str">
        <v>processor</v>
      </c>
      <c r="BG1255" t="str">
        <v>Titan Marine Fuel Llc 1</v>
      </c>
      <c r="BH1255" t="str">
        <v>blendSAF</v>
      </c>
      <c r="BI1255" t="str">
        <v/>
      </c>
      <c r="BJ1255" t="str">
        <v/>
      </c>
      <c r="BK1255" t="str">
        <v/>
      </c>
      <c r="BL1255" t="str">
        <v/>
      </c>
      <c r="BM1255" t="str">
        <v/>
      </c>
      <c r="BY1255" t="str">
        <v>processor</v>
      </c>
      <c r="BZ1255" t="str">
        <v>Citgo Petroleum Corp 35</v>
      </c>
      <c r="CA1255" t="str">
        <v>blendSAF</v>
      </c>
      <c r="CB1255" t="str">
        <v/>
      </c>
      <c r="CC1255" t="str">
        <v/>
      </c>
      <c r="CD1255" t="str">
        <v/>
      </c>
      <c r="CE1255" t="str">
        <v/>
      </c>
      <c r="CF1255" t="str">
        <v/>
      </c>
    </row>
    <row r="1256" spans="58:84" x14ac:dyDescent="0.3">
      <c r="BF1256" t="str">
        <v>processor</v>
      </c>
      <c r="BG1256" t="str">
        <v>Titan Marine Fuel Llc 2</v>
      </c>
      <c r="BH1256" t="str">
        <v>blendSAF</v>
      </c>
      <c r="BI1256" t="str">
        <v/>
      </c>
      <c r="BJ1256" t="str">
        <v/>
      </c>
      <c r="BK1256" t="str">
        <v/>
      </c>
      <c r="BL1256" t="str">
        <v/>
      </c>
      <c r="BM1256" t="str">
        <v/>
      </c>
      <c r="BY1256" t="str">
        <v>processor</v>
      </c>
      <c r="BZ1256" t="str">
        <v>Citgo Petro Corp 11</v>
      </c>
      <c r="CA1256" t="str">
        <v>blendSAF</v>
      </c>
      <c r="CB1256" t="str">
        <v/>
      </c>
      <c r="CC1256" t="str">
        <v/>
      </c>
      <c r="CD1256" t="str">
        <v/>
      </c>
      <c r="CE1256" t="str">
        <v/>
      </c>
      <c r="CF1256" t="str">
        <v/>
      </c>
    </row>
    <row r="1257" spans="58:84" x14ac:dyDescent="0.3">
      <c r="BF1257" t="str">
        <v>processor</v>
      </c>
      <c r="BG1257" t="str">
        <v>Total Petrochemicals Usa Inc</v>
      </c>
      <c r="BH1257" t="str">
        <v>blendSAF</v>
      </c>
      <c r="BI1257" t="str">
        <v/>
      </c>
      <c r="BJ1257" t="str">
        <v/>
      </c>
      <c r="BK1257" t="str">
        <v/>
      </c>
      <c r="BL1257" t="str">
        <v/>
      </c>
      <c r="BM1257" t="str">
        <v/>
      </c>
      <c r="BY1257" t="str">
        <v>processor</v>
      </c>
      <c r="BZ1257" t="str">
        <v>Petroleum Wholesale Lp</v>
      </c>
      <c r="CA1257" t="str">
        <v>blendSAF</v>
      </c>
      <c r="CB1257" t="str">
        <v/>
      </c>
      <c r="CC1257" t="str">
        <v/>
      </c>
      <c r="CD1257" t="str">
        <v/>
      </c>
      <c r="CE1257" t="str">
        <v/>
      </c>
      <c r="CF1257" t="str">
        <v/>
      </c>
    </row>
    <row r="1258" spans="58:84" x14ac:dyDescent="0.3">
      <c r="BF1258" t="str">
        <v>processor</v>
      </c>
      <c r="BG1258" t="str">
        <v>Transmontaigne Operating Company 9</v>
      </c>
      <c r="BH1258" t="str">
        <v>blendSAF</v>
      </c>
      <c r="BI1258" t="str">
        <v/>
      </c>
      <c r="BJ1258" t="str">
        <v/>
      </c>
      <c r="BK1258" t="str">
        <v/>
      </c>
      <c r="BL1258" t="str">
        <v/>
      </c>
      <c r="BM1258" t="str">
        <v/>
      </c>
      <c r="BY1258" t="str">
        <v>processor</v>
      </c>
      <c r="BZ1258" t="str">
        <v>Lbc Houston Lp</v>
      </c>
      <c r="CA1258" t="str">
        <v>blendSAF</v>
      </c>
      <c r="CB1258" t="str">
        <v/>
      </c>
      <c r="CC1258" t="str">
        <v/>
      </c>
      <c r="CD1258" t="str">
        <v/>
      </c>
      <c r="CE1258" t="str">
        <v/>
      </c>
      <c r="CF1258" t="str">
        <v/>
      </c>
    </row>
    <row r="1259" spans="58:84" x14ac:dyDescent="0.3">
      <c r="BF1259" t="str">
        <v>processor</v>
      </c>
      <c r="BG1259" t="str">
        <v>Transmontaigne Operating Company 10</v>
      </c>
      <c r="BH1259" t="str">
        <v>blendSAF</v>
      </c>
      <c r="BI1259" t="str">
        <v/>
      </c>
      <c r="BJ1259" t="str">
        <v/>
      </c>
      <c r="BK1259" t="str">
        <v/>
      </c>
      <c r="BL1259" t="str">
        <v/>
      </c>
      <c r="BM1259" t="str">
        <v/>
      </c>
      <c r="BY1259" t="str">
        <v>processor</v>
      </c>
      <c r="BZ1259" t="str">
        <v>Phoenix Park Energy Marketing Llc</v>
      </c>
      <c r="CA1259" t="str">
        <v>blendSAF</v>
      </c>
      <c r="CB1259" t="str">
        <v/>
      </c>
      <c r="CC1259" t="str">
        <v/>
      </c>
      <c r="CD1259" t="str">
        <v/>
      </c>
      <c r="CE1259" t="str">
        <v/>
      </c>
      <c r="CF1259" t="str">
        <v/>
      </c>
    </row>
    <row r="1260" spans="58:84" x14ac:dyDescent="0.3">
      <c r="BF1260" t="str">
        <v>processor</v>
      </c>
      <c r="BG1260" t="str">
        <v>Transmontaigne Operating Company 11</v>
      </c>
      <c r="BH1260" t="str">
        <v>blendSAF</v>
      </c>
      <c r="BI1260" t="str">
        <v/>
      </c>
      <c r="BJ1260" t="str">
        <v/>
      </c>
      <c r="BK1260" t="str">
        <v/>
      </c>
      <c r="BL1260" t="str">
        <v/>
      </c>
      <c r="BM1260" t="str">
        <v/>
      </c>
      <c r="BY1260" t="str">
        <v>processor</v>
      </c>
      <c r="BZ1260" t="str">
        <v>Potac Llc</v>
      </c>
      <c r="CA1260" t="str">
        <v>blendSAF</v>
      </c>
      <c r="CB1260" t="str">
        <v/>
      </c>
      <c r="CC1260" t="str">
        <v/>
      </c>
      <c r="CD1260" t="str">
        <v/>
      </c>
      <c r="CE1260" t="str">
        <v/>
      </c>
      <c r="CF1260" t="str">
        <v/>
      </c>
    </row>
    <row r="1261" spans="58:84" x14ac:dyDescent="0.3">
      <c r="BF1261" t="str">
        <v>processor</v>
      </c>
      <c r="BG1261" t="str">
        <v>Transmontaigne Operating Company 12</v>
      </c>
      <c r="BH1261" t="str">
        <v>blendSAF</v>
      </c>
      <c r="BI1261" t="str">
        <v/>
      </c>
      <c r="BJ1261" t="str">
        <v/>
      </c>
      <c r="BK1261" t="str">
        <v/>
      </c>
      <c r="BL1261" t="str">
        <v/>
      </c>
      <c r="BM1261" t="str">
        <v/>
      </c>
      <c r="BY1261" t="str">
        <v>processor</v>
      </c>
      <c r="BZ1261" t="str">
        <v>Arguindegui Oil Co Ii Ltd</v>
      </c>
      <c r="CA1261" t="str">
        <v>blendSAF</v>
      </c>
      <c r="CB1261" t="str">
        <v/>
      </c>
      <c r="CC1261" t="str">
        <v/>
      </c>
      <c r="CD1261" t="str">
        <v/>
      </c>
      <c r="CE1261" t="str">
        <v/>
      </c>
      <c r="CF1261" t="str">
        <v/>
      </c>
    </row>
    <row r="1262" spans="58:84" x14ac:dyDescent="0.3">
      <c r="BF1262" t="str">
        <v>processor</v>
      </c>
      <c r="BG1262" t="str">
        <v>Transmontaigne Operating Company 8</v>
      </c>
      <c r="BH1262" t="str">
        <v>blendSAF</v>
      </c>
      <c r="BI1262" t="str">
        <v/>
      </c>
      <c r="BJ1262" t="str">
        <v/>
      </c>
      <c r="BK1262" t="str">
        <v/>
      </c>
      <c r="BL1262" t="str">
        <v/>
      </c>
      <c r="BM1262" t="str">
        <v/>
      </c>
      <c r="BY1262" t="str">
        <v>processor</v>
      </c>
      <c r="BZ1262" t="str">
        <v>Shell Oil Products Us 3</v>
      </c>
      <c r="CA1262" t="str">
        <v>blendSAF</v>
      </c>
      <c r="CB1262" t="str">
        <v/>
      </c>
      <c r="CC1262" t="str">
        <v/>
      </c>
      <c r="CD1262" t="str">
        <v/>
      </c>
      <c r="CE1262" t="str">
        <v/>
      </c>
      <c r="CF1262" t="str">
        <v/>
      </c>
    </row>
    <row r="1263" spans="58:84" x14ac:dyDescent="0.3">
      <c r="BF1263" t="str">
        <v>processor</v>
      </c>
      <c r="BG1263" t="str">
        <v>Owens Corning 4</v>
      </c>
      <c r="BH1263" t="str">
        <v>blendSAF</v>
      </c>
      <c r="BI1263" t="str">
        <v/>
      </c>
      <c r="BJ1263" t="str">
        <v/>
      </c>
      <c r="BK1263" t="str">
        <v/>
      </c>
      <c r="BL1263" t="str">
        <v/>
      </c>
      <c r="BM1263" t="str">
        <v/>
      </c>
      <c r="BY1263" t="str">
        <v>processor</v>
      </c>
      <c r="BZ1263" t="str">
        <v>Motiva Enterprises Llc 7</v>
      </c>
      <c r="CA1263" t="str">
        <v>blendSAF</v>
      </c>
      <c r="CB1263" t="str">
        <v/>
      </c>
      <c r="CC1263" t="str">
        <v/>
      </c>
      <c r="CD1263" t="str">
        <v/>
      </c>
      <c r="CE1263" t="str">
        <v/>
      </c>
      <c r="CF1263" t="str">
        <v/>
      </c>
    </row>
    <row r="1264" spans="58:84" x14ac:dyDescent="0.3">
      <c r="BF1264" t="str">
        <v>processor</v>
      </c>
      <c r="BG1264" t="str">
        <v>Vopak Terminals North Amer Inc 1</v>
      </c>
      <c r="BH1264" t="str">
        <v>blendSAF</v>
      </c>
      <c r="BI1264" t="str">
        <v/>
      </c>
      <c r="BJ1264" t="str">
        <v/>
      </c>
      <c r="BK1264" t="str">
        <v/>
      </c>
      <c r="BL1264" t="str">
        <v/>
      </c>
      <c r="BM1264" t="str">
        <v/>
      </c>
      <c r="BY1264" t="str">
        <v>processor</v>
      </c>
      <c r="BZ1264" t="str">
        <v>Motiva Enterprises Llc 15</v>
      </c>
      <c r="CA1264" t="str">
        <v>blendSAF</v>
      </c>
      <c r="CB1264" t="str">
        <v/>
      </c>
      <c r="CC1264" t="str">
        <v/>
      </c>
      <c r="CD1264" t="str">
        <v/>
      </c>
      <c r="CE1264" t="str">
        <v/>
      </c>
      <c r="CF1264" t="str">
        <v/>
      </c>
    </row>
    <row r="1265" spans="58:84" x14ac:dyDescent="0.3">
      <c r="BF1265" t="str">
        <v>processor</v>
      </c>
      <c r="BG1265" t="str">
        <v>Bwc Terminals Llc 4</v>
      </c>
      <c r="BH1265" t="str">
        <v>blendSAF</v>
      </c>
      <c r="BI1265" t="str">
        <v/>
      </c>
      <c r="BJ1265" t="str">
        <v/>
      </c>
      <c r="BK1265" t="str">
        <v/>
      </c>
      <c r="BL1265" t="str">
        <v/>
      </c>
      <c r="BM1265" t="str">
        <v/>
      </c>
      <c r="BY1265" t="str">
        <v>processor</v>
      </c>
      <c r="BZ1265" t="str">
        <v>Motiva Enterprises Llc 18</v>
      </c>
      <c r="CA1265" t="str">
        <v>blendSAF</v>
      </c>
      <c r="CB1265" t="str">
        <v/>
      </c>
      <c r="CC1265" t="str">
        <v/>
      </c>
      <c r="CD1265" t="str">
        <v/>
      </c>
      <c r="CE1265" t="str">
        <v/>
      </c>
      <c r="CF1265" t="str">
        <v/>
      </c>
    </row>
    <row r="1266" spans="58:84" x14ac:dyDescent="0.3">
      <c r="BF1266" t="str">
        <v>processor</v>
      </c>
      <c r="BG1266" t="str">
        <v>Bwc Terminals Llc 5</v>
      </c>
      <c r="BH1266" t="str">
        <v>blendSAF</v>
      </c>
      <c r="BI1266" t="str">
        <v/>
      </c>
      <c r="BJ1266" t="str">
        <v/>
      </c>
      <c r="BK1266" t="str">
        <v/>
      </c>
      <c r="BL1266" t="str">
        <v/>
      </c>
      <c r="BM1266" t="str">
        <v/>
      </c>
      <c r="BY1266" t="str">
        <v>processor</v>
      </c>
      <c r="BZ1266" t="str">
        <v>Motiva Enterprises Llc 17</v>
      </c>
      <c r="CA1266" t="str">
        <v>blendSAF</v>
      </c>
      <c r="CB1266" t="str">
        <v/>
      </c>
      <c r="CC1266" t="str">
        <v/>
      </c>
      <c r="CD1266" t="str">
        <v/>
      </c>
      <c r="CE1266" t="str">
        <v/>
      </c>
      <c r="CF1266" t="str">
        <v/>
      </c>
    </row>
    <row r="1267" spans="58:84" x14ac:dyDescent="0.3">
      <c r="BF1267" t="str">
        <v>processor</v>
      </c>
      <c r="BG1267" t="str">
        <v>Bwc Texas City Terminals Inc</v>
      </c>
      <c r="BH1267" t="str">
        <v>blendSAF</v>
      </c>
      <c r="BI1267" t="str">
        <v/>
      </c>
      <c r="BJ1267" t="str">
        <v/>
      </c>
      <c r="BK1267" t="str">
        <v/>
      </c>
      <c r="BL1267" t="str">
        <v/>
      </c>
      <c r="BM1267" t="str">
        <v/>
      </c>
      <c r="BY1267" t="str">
        <v>processor</v>
      </c>
      <c r="BZ1267" t="str">
        <v>Motiva Enterprises Llc 20</v>
      </c>
      <c r="CA1267" t="str">
        <v>blendSAF</v>
      </c>
      <c r="CB1267" t="str">
        <v/>
      </c>
      <c r="CC1267" t="str">
        <v/>
      </c>
      <c r="CD1267" t="str">
        <v/>
      </c>
      <c r="CE1267" t="str">
        <v/>
      </c>
      <c r="CF1267" t="str">
        <v/>
      </c>
    </row>
    <row r="1268" spans="58:84" x14ac:dyDescent="0.3">
      <c r="BF1268" t="str">
        <v>processor</v>
      </c>
      <c r="BG1268" t="str">
        <v>Phillips 66 Pipeline Llc 7</v>
      </c>
      <c r="BH1268" t="str">
        <v>blendSAF</v>
      </c>
      <c r="BI1268" t="str">
        <v/>
      </c>
      <c r="BJ1268" t="str">
        <v/>
      </c>
      <c r="BK1268" t="str">
        <v/>
      </c>
      <c r="BL1268" t="str">
        <v/>
      </c>
      <c r="BM1268" t="str">
        <v/>
      </c>
      <c r="BY1268" t="str">
        <v>processor</v>
      </c>
      <c r="BZ1268" t="str">
        <v>Motiva Enterprises Llc 23</v>
      </c>
      <c r="CA1268" t="str">
        <v>blendSAF</v>
      </c>
      <c r="CB1268" t="str">
        <v/>
      </c>
      <c r="CC1268" t="str">
        <v/>
      </c>
      <c r="CD1268" t="str">
        <v/>
      </c>
      <c r="CE1268" t="str">
        <v/>
      </c>
      <c r="CF1268" t="str">
        <v/>
      </c>
    </row>
    <row r="1269" spans="58:84" x14ac:dyDescent="0.3">
      <c r="BF1269" t="str">
        <v>processor</v>
      </c>
      <c r="BG1269" t="str">
        <v>Staker Parson Companies</v>
      </c>
      <c r="BH1269" t="str">
        <v>blendSAF</v>
      </c>
      <c r="BI1269" t="str">
        <v/>
      </c>
      <c r="BJ1269" t="str">
        <v/>
      </c>
      <c r="BK1269" t="str">
        <v/>
      </c>
      <c r="BL1269" t="str">
        <v/>
      </c>
      <c r="BM1269" t="str">
        <v/>
      </c>
      <c r="BY1269" t="str">
        <v>processor</v>
      </c>
      <c r="BZ1269" t="str">
        <v>Motiva Enterprises Llc 4</v>
      </c>
      <c r="CA1269" t="str">
        <v>blendSAF</v>
      </c>
      <c r="CB1269" t="str">
        <v/>
      </c>
      <c r="CC1269" t="str">
        <v/>
      </c>
      <c r="CD1269" t="str">
        <v/>
      </c>
      <c r="CE1269" t="str">
        <v/>
      </c>
      <c r="CF1269" t="str">
        <v/>
      </c>
    </row>
    <row r="1270" spans="58:84" x14ac:dyDescent="0.3">
      <c r="BF1270" t="str">
        <v>processor</v>
      </c>
      <c r="BG1270" t="str">
        <v>Unev Pipeline Llc 1</v>
      </c>
      <c r="BH1270" t="str">
        <v>blendSAF</v>
      </c>
      <c r="BI1270" t="str">
        <v/>
      </c>
      <c r="BJ1270" t="str">
        <v/>
      </c>
      <c r="BK1270" t="str">
        <v/>
      </c>
      <c r="BL1270" t="str">
        <v/>
      </c>
      <c r="BM1270" t="str">
        <v/>
      </c>
      <c r="BY1270" t="str">
        <v>processor</v>
      </c>
      <c r="BZ1270" t="str">
        <v>Motiva Enterprises Llc Port Neches</v>
      </c>
      <c r="CA1270" t="str">
        <v>blendSAF</v>
      </c>
      <c r="CB1270" t="str">
        <v/>
      </c>
      <c r="CC1270" t="str">
        <v/>
      </c>
      <c r="CD1270" t="str">
        <v/>
      </c>
      <c r="CE1270" t="str">
        <v/>
      </c>
      <c r="CF1270" t="str">
        <v/>
      </c>
    </row>
    <row r="1271" spans="58:84" x14ac:dyDescent="0.3">
      <c r="BF1271" t="str">
        <v>processor</v>
      </c>
      <c r="BG1271" t="str">
        <v>Western Emulsions Inc 2</v>
      </c>
      <c r="BH1271" t="str">
        <v>blendSAF</v>
      </c>
      <c r="BI1271" t="str">
        <v/>
      </c>
      <c r="BJ1271" t="str">
        <v/>
      </c>
      <c r="BK1271" t="str">
        <v/>
      </c>
      <c r="BL1271" t="str">
        <v/>
      </c>
      <c r="BM1271" t="str">
        <v/>
      </c>
      <c r="BY1271" t="str">
        <v>processor</v>
      </c>
      <c r="BZ1271" t="str">
        <v>Stolthaven Houston Llc</v>
      </c>
      <c r="CA1271" t="str">
        <v>blendSAF</v>
      </c>
      <c r="CB1271" t="str">
        <v/>
      </c>
      <c r="CC1271" t="str">
        <v/>
      </c>
      <c r="CD1271" t="str">
        <v/>
      </c>
      <c r="CE1271" t="str">
        <v/>
      </c>
      <c r="CF1271" t="str">
        <v/>
      </c>
    </row>
    <row r="1272" spans="58:84" x14ac:dyDescent="0.3">
      <c r="BF1272" t="str">
        <v>processor</v>
      </c>
      <c r="BG1272" t="str">
        <v>Western Emulsions Inc 3</v>
      </c>
      <c r="BH1272" t="str">
        <v>blendSAF</v>
      </c>
      <c r="BI1272" t="str">
        <v/>
      </c>
      <c r="BJ1272" t="str">
        <v/>
      </c>
      <c r="BK1272" t="str">
        <v/>
      </c>
      <c r="BL1272" t="str">
        <v/>
      </c>
      <c r="BM1272" t="str">
        <v/>
      </c>
      <c r="BY1272" t="str">
        <v>processor</v>
      </c>
      <c r="BZ1272" t="str">
        <v>Targa Midstream Services Llc 4</v>
      </c>
      <c r="CA1272" t="str">
        <v>blendSAF</v>
      </c>
      <c r="CB1272" t="str">
        <v/>
      </c>
      <c r="CC1272" t="str">
        <v/>
      </c>
      <c r="CD1272" t="str">
        <v/>
      </c>
      <c r="CE1272" t="str">
        <v/>
      </c>
      <c r="CF1272" t="str">
        <v/>
      </c>
    </row>
    <row r="1273" spans="58:84" x14ac:dyDescent="0.3">
      <c r="BF1273" t="str">
        <v>processor</v>
      </c>
      <c r="BG1273" t="str">
        <v>Mountain States Asphalt Inc</v>
      </c>
      <c r="BH1273" t="str">
        <v>blendSAF</v>
      </c>
      <c r="BI1273" t="str">
        <v/>
      </c>
      <c r="BJ1273" t="str">
        <v/>
      </c>
      <c r="BK1273" t="str">
        <v/>
      </c>
      <c r="BL1273" t="str">
        <v/>
      </c>
      <c r="BM1273" t="str">
        <v/>
      </c>
      <c r="BY1273" t="str">
        <v>processor</v>
      </c>
      <c r="BZ1273" t="str">
        <v>Targa Midstream Services Llc 1</v>
      </c>
      <c r="CA1273" t="str">
        <v>blendSAF</v>
      </c>
      <c r="CB1273" t="str">
        <v/>
      </c>
      <c r="CC1273" t="str">
        <v/>
      </c>
      <c r="CD1273" t="str">
        <v/>
      </c>
      <c r="CE1273" t="str">
        <v/>
      </c>
      <c r="CF1273" t="str">
        <v/>
      </c>
    </row>
    <row r="1274" spans="58:84" x14ac:dyDescent="0.3">
      <c r="BF1274" t="str">
        <v>processor</v>
      </c>
      <c r="BG1274" t="str">
        <v>Sawtooth Ngl Caverns Llc</v>
      </c>
      <c r="BH1274" t="str">
        <v>blendSAF</v>
      </c>
      <c r="BI1274" t="str">
        <v/>
      </c>
      <c r="BJ1274" t="str">
        <v/>
      </c>
      <c r="BK1274" t="str">
        <v/>
      </c>
      <c r="BL1274" t="str">
        <v/>
      </c>
      <c r="BM1274" t="str">
        <v/>
      </c>
      <c r="BY1274" t="str">
        <v>processor</v>
      </c>
      <c r="BZ1274" t="str">
        <v>Valero Marketing &amp; Supply Co 30</v>
      </c>
      <c r="CA1274" t="str">
        <v>blendSAF</v>
      </c>
      <c r="CB1274" t="str">
        <v/>
      </c>
      <c r="CC1274" t="str">
        <v/>
      </c>
      <c r="CD1274" t="str">
        <v/>
      </c>
      <c r="CE1274" t="str">
        <v/>
      </c>
      <c r="CF1274" t="str">
        <v/>
      </c>
    </row>
    <row r="1275" spans="58:84" x14ac:dyDescent="0.3">
      <c r="BF1275" t="str">
        <v>processor</v>
      </c>
      <c r="BG1275" t="str">
        <v>Global Co Llc 2</v>
      </c>
      <c r="BH1275" t="str">
        <v>blendSAF</v>
      </c>
      <c r="BI1275" t="str">
        <v/>
      </c>
      <c r="BJ1275" t="str">
        <v/>
      </c>
      <c r="BK1275" t="str">
        <v/>
      </c>
      <c r="BL1275" t="str">
        <v/>
      </c>
      <c r="BM1275" t="str">
        <v/>
      </c>
      <c r="BY1275" t="str">
        <v>processor</v>
      </c>
      <c r="BZ1275" t="str">
        <v>Valero Marketing &amp; Supply Co 31</v>
      </c>
      <c r="CA1275" t="str">
        <v>blendSAF</v>
      </c>
      <c r="CB1275" t="str">
        <v/>
      </c>
      <c r="CC1275" t="str">
        <v/>
      </c>
      <c r="CD1275" t="str">
        <v/>
      </c>
      <c r="CE1275" t="str">
        <v/>
      </c>
      <c r="CF1275" t="str">
        <v/>
      </c>
    </row>
    <row r="1276" spans="58:84" x14ac:dyDescent="0.3">
      <c r="BF1276" t="str">
        <v>processor</v>
      </c>
      <c r="BG1276" t="str">
        <v>Petroleum Fuel &amp; Terminal Co 3</v>
      </c>
      <c r="BH1276" t="str">
        <v>blendSAF</v>
      </c>
      <c r="BI1276" t="str">
        <v/>
      </c>
      <c r="BJ1276" t="str">
        <v/>
      </c>
      <c r="BK1276" t="str">
        <v/>
      </c>
      <c r="BL1276" t="str">
        <v/>
      </c>
      <c r="BM1276" t="str">
        <v/>
      </c>
      <c r="BY1276" t="str">
        <v>processor</v>
      </c>
      <c r="BZ1276" t="str">
        <v>Texas Deepwater Deer Park Treml Llc</v>
      </c>
      <c r="CA1276" t="str">
        <v>blendSAF</v>
      </c>
      <c r="CB1276" t="str">
        <v/>
      </c>
      <c r="CC1276" t="str">
        <v/>
      </c>
      <c r="CD1276" t="str">
        <v/>
      </c>
      <c r="CE1276" t="str">
        <v/>
      </c>
      <c r="CF1276" t="str">
        <v/>
      </c>
    </row>
    <row r="1277" spans="58:84" x14ac:dyDescent="0.3">
      <c r="BF1277" t="str">
        <v>processor</v>
      </c>
      <c r="BG1277" t="str">
        <v>Bkep Materials Llc 13</v>
      </c>
      <c r="BH1277" t="str">
        <v>blendSAF</v>
      </c>
      <c r="BI1277" t="str">
        <v/>
      </c>
      <c r="BJ1277" t="str">
        <v/>
      </c>
      <c r="BK1277" t="str">
        <v/>
      </c>
      <c r="BL1277" t="str">
        <v/>
      </c>
      <c r="BM1277" t="str">
        <v/>
      </c>
      <c r="BY1277" t="str">
        <v>processor</v>
      </c>
      <c r="BZ1277" t="str">
        <v>Titan Marine Fuel Llc 1</v>
      </c>
      <c r="CA1277" t="str">
        <v>blendSAF</v>
      </c>
      <c r="CB1277" t="str">
        <v/>
      </c>
      <c r="CC1277" t="str">
        <v/>
      </c>
      <c r="CD1277" t="str">
        <v/>
      </c>
      <c r="CE1277" t="str">
        <v/>
      </c>
      <c r="CF1277" t="str">
        <v/>
      </c>
    </row>
    <row r="1278" spans="58:84" x14ac:dyDescent="0.3">
      <c r="BF1278" t="str">
        <v>processor</v>
      </c>
      <c r="BG1278" t="str">
        <v>Bkep Materials Llc 5</v>
      </c>
      <c r="BH1278" t="str">
        <v>blendSAF</v>
      </c>
      <c r="BI1278" t="str">
        <v/>
      </c>
      <c r="BJ1278" t="str">
        <v/>
      </c>
      <c r="BK1278" t="str">
        <v/>
      </c>
      <c r="BL1278" t="str">
        <v/>
      </c>
      <c r="BM1278" t="str">
        <v/>
      </c>
      <c r="BY1278" t="str">
        <v>processor</v>
      </c>
      <c r="BZ1278" t="str">
        <v>Titan Marine Fuel Llc 2</v>
      </c>
      <c r="CA1278" t="str">
        <v>blendSAF</v>
      </c>
      <c r="CB1278" t="str">
        <v/>
      </c>
      <c r="CC1278" t="str">
        <v/>
      </c>
      <c r="CD1278" t="str">
        <v/>
      </c>
      <c r="CE1278" t="str">
        <v/>
      </c>
      <c r="CF1278" t="str">
        <v/>
      </c>
    </row>
    <row r="1279" spans="58:84" x14ac:dyDescent="0.3">
      <c r="BF1279" t="str">
        <v>processor</v>
      </c>
      <c r="BG1279" t="str">
        <v>Associated Asphalt Bristol Llc</v>
      </c>
      <c r="BH1279" t="str">
        <v>blendSAF</v>
      </c>
      <c r="BI1279" t="str">
        <v/>
      </c>
      <c r="BJ1279" t="str">
        <v/>
      </c>
      <c r="BK1279" t="str">
        <v/>
      </c>
      <c r="BL1279" t="str">
        <v/>
      </c>
      <c r="BM1279" t="str">
        <v/>
      </c>
      <c r="BY1279" t="str">
        <v>processor</v>
      </c>
      <c r="BZ1279" t="str">
        <v>Total Petrochemicals Usa Inc</v>
      </c>
      <c r="CA1279" t="str">
        <v>blendSAF</v>
      </c>
      <c r="CB1279" t="str">
        <v/>
      </c>
      <c r="CC1279" t="str">
        <v/>
      </c>
      <c r="CD1279" t="str">
        <v/>
      </c>
      <c r="CE1279" t="str">
        <v/>
      </c>
      <c r="CF1279" t="str">
        <v/>
      </c>
    </row>
    <row r="1280" spans="58:84" x14ac:dyDescent="0.3">
      <c r="BF1280" t="str">
        <v>processor</v>
      </c>
      <c r="BG1280" t="str">
        <v>Associated Asphalt Roanoke Llc</v>
      </c>
      <c r="BH1280" t="str">
        <v>blendSAF</v>
      </c>
      <c r="BI1280" t="str">
        <v/>
      </c>
      <c r="BJ1280" t="str">
        <v/>
      </c>
      <c r="BK1280" t="str">
        <v/>
      </c>
      <c r="BL1280" t="str">
        <v/>
      </c>
      <c r="BM1280" t="str">
        <v/>
      </c>
      <c r="BY1280" t="str">
        <v>processor</v>
      </c>
      <c r="BZ1280" t="str">
        <v>Transmontaigne Operating Company 9</v>
      </c>
      <c r="CA1280" t="str">
        <v>blendSAF</v>
      </c>
      <c r="CB1280" t="str">
        <v/>
      </c>
      <c r="CC1280" t="str">
        <v/>
      </c>
      <c r="CD1280" t="str">
        <v/>
      </c>
      <c r="CE1280" t="str">
        <v/>
      </c>
      <c r="CF1280" t="str">
        <v/>
      </c>
    </row>
    <row r="1281" spans="58:84" x14ac:dyDescent="0.3">
      <c r="BF1281" t="str">
        <v>processor</v>
      </c>
      <c r="BG1281" t="str">
        <v>Associated Asphalt Hopewell Llc</v>
      </c>
      <c r="BH1281" t="str">
        <v>blendSAF</v>
      </c>
      <c r="BI1281" t="str">
        <v/>
      </c>
      <c r="BJ1281" t="str">
        <v/>
      </c>
      <c r="BK1281" t="str">
        <v/>
      </c>
      <c r="BL1281" t="str">
        <v/>
      </c>
      <c r="BM1281" t="str">
        <v/>
      </c>
      <c r="BY1281" t="str">
        <v>processor</v>
      </c>
      <c r="BZ1281" t="str">
        <v>Transmontaigne Operating Company 10</v>
      </c>
      <c r="CA1281" t="str">
        <v>blendSAF</v>
      </c>
      <c r="CB1281" t="str">
        <v/>
      </c>
      <c r="CC1281" t="str">
        <v/>
      </c>
      <c r="CD1281" t="str">
        <v/>
      </c>
      <c r="CE1281" t="str">
        <v/>
      </c>
      <c r="CF1281" t="str">
        <v/>
      </c>
    </row>
    <row r="1282" spans="58:84" x14ac:dyDescent="0.3">
      <c r="BF1282" t="str">
        <v>processor</v>
      </c>
      <c r="BG1282" t="str">
        <v>Buckeye Terminals Llc 47</v>
      </c>
      <c r="BH1282" t="str">
        <v>blendSAF</v>
      </c>
      <c r="BI1282" t="str">
        <v/>
      </c>
      <c r="BJ1282" t="str">
        <v/>
      </c>
      <c r="BK1282" t="str">
        <v/>
      </c>
      <c r="BL1282" t="str">
        <v/>
      </c>
      <c r="BM1282" t="str">
        <v/>
      </c>
      <c r="BY1282" t="str">
        <v>processor</v>
      </c>
      <c r="BZ1282" t="str">
        <v>Transmontaigne Operating Company 11</v>
      </c>
      <c r="CA1282" t="str">
        <v>blendSAF</v>
      </c>
      <c r="CB1282" t="str">
        <v/>
      </c>
      <c r="CC1282" t="str">
        <v/>
      </c>
      <c r="CD1282" t="str">
        <v/>
      </c>
      <c r="CE1282" t="str">
        <v/>
      </c>
      <c r="CF1282" t="str">
        <v/>
      </c>
    </row>
    <row r="1283" spans="58:84" x14ac:dyDescent="0.3">
      <c r="BF1283" t="str">
        <v>processor</v>
      </c>
      <c r="BG1283" t="str">
        <v>Buckeye Terminals Llc 89</v>
      </c>
      <c r="BH1283" t="str">
        <v>blendSAF</v>
      </c>
      <c r="BI1283" t="str">
        <v/>
      </c>
      <c r="BJ1283" t="str">
        <v/>
      </c>
      <c r="BK1283" t="str">
        <v/>
      </c>
      <c r="BL1283" t="str">
        <v/>
      </c>
      <c r="BM1283" t="str">
        <v/>
      </c>
      <c r="BY1283" t="str">
        <v>processor</v>
      </c>
      <c r="BZ1283" t="str">
        <v>Transmontaigne Operating Company 12</v>
      </c>
      <c r="CA1283" t="str">
        <v>blendSAF</v>
      </c>
      <c r="CB1283" t="str">
        <v/>
      </c>
      <c r="CC1283" t="str">
        <v/>
      </c>
      <c r="CD1283" t="str">
        <v/>
      </c>
      <c r="CE1283" t="str">
        <v/>
      </c>
      <c r="CF1283" t="str">
        <v/>
      </c>
    </row>
    <row r="1284" spans="58:84" x14ac:dyDescent="0.3">
      <c r="BF1284" t="str">
        <v>processor</v>
      </c>
      <c r="BG1284" t="str">
        <v>Buckeye Terminals Llc 31</v>
      </c>
      <c r="BH1284" t="str">
        <v>blendSAF</v>
      </c>
      <c r="BI1284" t="str">
        <v/>
      </c>
      <c r="BJ1284" t="str">
        <v/>
      </c>
      <c r="BK1284" t="str">
        <v/>
      </c>
      <c r="BL1284" t="str">
        <v/>
      </c>
      <c r="BM1284" t="str">
        <v/>
      </c>
      <c r="BY1284" t="str">
        <v>processor</v>
      </c>
      <c r="BZ1284" t="str">
        <v>Transmontaigne Operating Company 8</v>
      </c>
      <c r="CA1284" t="str">
        <v>blendSAF</v>
      </c>
      <c r="CB1284" t="str">
        <v/>
      </c>
      <c r="CC1284" t="str">
        <v/>
      </c>
      <c r="CD1284" t="str">
        <v/>
      </c>
      <c r="CE1284" t="str">
        <v/>
      </c>
      <c r="CF1284" t="str">
        <v/>
      </c>
    </row>
    <row r="1285" spans="58:84" x14ac:dyDescent="0.3">
      <c r="BF1285" t="str">
        <v>processor</v>
      </c>
      <c r="BG1285" t="str">
        <v>Buckeye Se Terminals Lp 16</v>
      </c>
      <c r="BH1285" t="str">
        <v>blendSAF</v>
      </c>
      <c r="BI1285" t="str">
        <v/>
      </c>
      <c r="BJ1285" t="str">
        <v/>
      </c>
      <c r="BK1285" t="str">
        <v/>
      </c>
      <c r="BL1285" t="str">
        <v/>
      </c>
      <c r="BM1285" t="str">
        <v/>
      </c>
      <c r="BY1285" t="str">
        <v>processor</v>
      </c>
      <c r="BZ1285" t="str">
        <v>Owens Corning 4</v>
      </c>
      <c r="CA1285" t="str">
        <v>blendSAF</v>
      </c>
      <c r="CB1285" t="str">
        <v/>
      </c>
      <c r="CC1285" t="str">
        <v/>
      </c>
      <c r="CD1285" t="str">
        <v/>
      </c>
      <c r="CE1285" t="str">
        <v/>
      </c>
      <c r="CF1285" t="str">
        <v/>
      </c>
    </row>
    <row r="1286" spans="58:84" x14ac:dyDescent="0.3">
      <c r="BF1286" t="str">
        <v>processor</v>
      </c>
      <c r="BG1286" t="str">
        <v>Buckeye Se Terminals Lp 17</v>
      </c>
      <c r="BH1286" t="str">
        <v>blendSAF</v>
      </c>
      <c r="BI1286" t="str">
        <v/>
      </c>
      <c r="BJ1286" t="str">
        <v/>
      </c>
      <c r="BK1286" t="str">
        <v/>
      </c>
      <c r="BL1286" t="str">
        <v/>
      </c>
      <c r="BM1286" t="str">
        <v/>
      </c>
      <c r="BY1286" t="str">
        <v>processor</v>
      </c>
      <c r="BZ1286" t="str">
        <v>Vopak Terminals North Amer Inc 1</v>
      </c>
      <c r="CA1286" t="str">
        <v>blendSAF</v>
      </c>
      <c r="CB1286" t="str">
        <v/>
      </c>
      <c r="CC1286" t="str">
        <v/>
      </c>
      <c r="CD1286" t="str">
        <v/>
      </c>
      <c r="CE1286" t="str">
        <v/>
      </c>
      <c r="CF1286" t="str">
        <v/>
      </c>
    </row>
    <row r="1287" spans="58:84" x14ac:dyDescent="0.3">
      <c r="BF1287" t="str">
        <v>processor</v>
      </c>
      <c r="BG1287" t="str">
        <v>Colonial Terminals Operating Co Llc 3</v>
      </c>
      <c r="BH1287" t="str">
        <v>blendSAF</v>
      </c>
      <c r="BI1287" t="str">
        <v/>
      </c>
      <c r="BJ1287" t="str">
        <v/>
      </c>
      <c r="BK1287" t="str">
        <v/>
      </c>
      <c r="BL1287" t="str">
        <v/>
      </c>
      <c r="BM1287" t="str">
        <v/>
      </c>
      <c r="BY1287" t="str">
        <v>processor</v>
      </c>
      <c r="BZ1287" t="str">
        <v>Bwc Terminals Llc 4</v>
      </c>
      <c r="CA1287" t="str">
        <v>blendSAF</v>
      </c>
      <c r="CB1287" t="str">
        <v/>
      </c>
      <c r="CC1287" t="str">
        <v/>
      </c>
      <c r="CD1287" t="str">
        <v/>
      </c>
      <c r="CE1287" t="str">
        <v/>
      </c>
      <c r="CF1287" t="str">
        <v/>
      </c>
    </row>
    <row r="1288" spans="58:84" x14ac:dyDescent="0.3">
      <c r="BF1288" t="str">
        <v>processor</v>
      </c>
      <c r="BG1288" t="str">
        <v>Sunoco Logistics 38</v>
      </c>
      <c r="BH1288" t="str">
        <v>blendSAF</v>
      </c>
      <c r="BI1288" t="str">
        <v/>
      </c>
      <c r="BJ1288" t="str">
        <v/>
      </c>
      <c r="BK1288" t="str">
        <v/>
      </c>
      <c r="BL1288" t="str">
        <v/>
      </c>
      <c r="BM1288" t="str">
        <v/>
      </c>
      <c r="BY1288" t="str">
        <v>processor</v>
      </c>
      <c r="BZ1288" t="str">
        <v>Bwc Terminals Llc 5</v>
      </c>
      <c r="CA1288" t="str">
        <v>blendSAF</v>
      </c>
      <c r="CB1288" t="str">
        <v/>
      </c>
      <c r="CC1288" t="str">
        <v/>
      </c>
      <c r="CD1288" t="str">
        <v/>
      </c>
      <c r="CE1288" t="str">
        <v/>
      </c>
      <c r="CF1288" t="str">
        <v/>
      </c>
    </row>
    <row r="1289" spans="58:84" x14ac:dyDescent="0.3">
      <c r="BF1289" t="str">
        <v>processor</v>
      </c>
      <c r="BG1289" t="str">
        <v>Sunoco Llc 15</v>
      </c>
      <c r="BH1289" t="str">
        <v>blendSAF</v>
      </c>
      <c r="BI1289" t="str">
        <v/>
      </c>
      <c r="BJ1289" t="str">
        <v/>
      </c>
      <c r="BK1289" t="str">
        <v/>
      </c>
      <c r="BL1289" t="str">
        <v/>
      </c>
      <c r="BM1289" t="str">
        <v/>
      </c>
      <c r="BY1289" t="str">
        <v>processor</v>
      </c>
      <c r="BZ1289" t="str">
        <v>Bwc Texas City Terminals Inc</v>
      </c>
      <c r="CA1289" t="str">
        <v>blendSAF</v>
      </c>
      <c r="CB1289" t="str">
        <v/>
      </c>
      <c r="CC1289" t="str">
        <v/>
      </c>
      <c r="CD1289" t="str">
        <v/>
      </c>
      <c r="CE1289" t="str">
        <v/>
      </c>
      <c r="CF1289" t="str">
        <v/>
      </c>
    </row>
    <row r="1290" spans="58:84" x14ac:dyDescent="0.3">
      <c r="BF1290" t="str">
        <v>processor</v>
      </c>
      <c r="BG1290" t="str">
        <v>Sunoco Midstream Llc 9</v>
      </c>
      <c r="BH1290" t="str">
        <v>blendSAF</v>
      </c>
      <c r="BI1290" t="str">
        <v/>
      </c>
      <c r="BJ1290" t="str">
        <v/>
      </c>
      <c r="BK1290" t="str">
        <v/>
      </c>
      <c r="BL1290" t="str">
        <v/>
      </c>
      <c r="BM1290" t="str">
        <v/>
      </c>
      <c r="BY1290" t="str">
        <v>processor</v>
      </c>
      <c r="BZ1290" t="str">
        <v>Phillips 66 Pipeline Llc 7</v>
      </c>
      <c r="CA1290" t="str">
        <v>blendSAF</v>
      </c>
      <c r="CB1290" t="str">
        <v/>
      </c>
      <c r="CC1290" t="str">
        <v/>
      </c>
      <c r="CD1290" t="str">
        <v/>
      </c>
      <c r="CE1290" t="str">
        <v/>
      </c>
      <c r="CF1290" t="str">
        <v/>
      </c>
    </row>
    <row r="1291" spans="58:84" x14ac:dyDescent="0.3">
      <c r="BF1291" t="str">
        <v>processor</v>
      </c>
      <c r="BG1291" t="str">
        <v>Intl Matex Tank Terminals 3</v>
      </c>
      <c r="BH1291" t="str">
        <v>blendSAF</v>
      </c>
      <c r="BI1291" t="str">
        <v/>
      </c>
      <c r="BJ1291" t="str">
        <v/>
      </c>
      <c r="BK1291" t="str">
        <v/>
      </c>
      <c r="BL1291" t="str">
        <v/>
      </c>
      <c r="BM1291" t="str">
        <v/>
      </c>
      <c r="BY1291" t="str">
        <v>processor</v>
      </c>
      <c r="BZ1291" t="str">
        <v>Staker Parson Companies</v>
      </c>
      <c r="CA1291" t="str">
        <v>blendSAF</v>
      </c>
      <c r="CB1291" t="str">
        <v/>
      </c>
      <c r="CC1291" t="str">
        <v/>
      </c>
      <c r="CD1291" t="str">
        <v/>
      </c>
      <c r="CE1291" t="str">
        <v/>
      </c>
      <c r="CF1291" t="str">
        <v/>
      </c>
    </row>
    <row r="1292" spans="58:84" x14ac:dyDescent="0.3">
      <c r="BF1292" t="str">
        <v>processor</v>
      </c>
      <c r="BG1292" t="str">
        <v>Intl Matex Tank Terminals 4</v>
      </c>
      <c r="BH1292" t="str">
        <v>blendSAF</v>
      </c>
      <c r="BI1292" t="str">
        <v/>
      </c>
      <c r="BJ1292" t="str">
        <v/>
      </c>
      <c r="BK1292" t="str">
        <v/>
      </c>
      <c r="BL1292" t="str">
        <v/>
      </c>
      <c r="BM1292" t="str">
        <v/>
      </c>
      <c r="BY1292" t="str">
        <v>processor</v>
      </c>
      <c r="BZ1292" t="str">
        <v>Unev Pipeline Llc 1</v>
      </c>
      <c r="CA1292" t="str">
        <v>blendSAF</v>
      </c>
      <c r="CB1292" t="str">
        <v/>
      </c>
      <c r="CC1292" t="str">
        <v/>
      </c>
      <c r="CD1292" t="str">
        <v/>
      </c>
      <c r="CE1292" t="str">
        <v/>
      </c>
      <c r="CF1292" t="str">
        <v/>
      </c>
    </row>
    <row r="1293" spans="58:84" x14ac:dyDescent="0.3">
      <c r="BF1293" t="str">
        <v>processor</v>
      </c>
      <c r="BG1293" t="str">
        <v>Kinder Morgan Transmix Llc 1</v>
      </c>
      <c r="BH1293" t="str">
        <v>blendSAF</v>
      </c>
      <c r="BI1293" t="str">
        <v/>
      </c>
      <c r="BJ1293" t="str">
        <v/>
      </c>
      <c r="BK1293" t="str">
        <v/>
      </c>
      <c r="BL1293" t="str">
        <v/>
      </c>
      <c r="BM1293" t="str">
        <v/>
      </c>
      <c r="BY1293" t="str">
        <v>processor</v>
      </c>
      <c r="BZ1293" t="str">
        <v>Western Emulsions Inc 2</v>
      </c>
      <c r="CA1293" t="str">
        <v>blendSAF</v>
      </c>
      <c r="CB1293" t="str">
        <v/>
      </c>
      <c r="CC1293" t="str">
        <v/>
      </c>
      <c r="CD1293" t="str">
        <v/>
      </c>
      <c r="CE1293" t="str">
        <v/>
      </c>
      <c r="CF1293" t="str">
        <v/>
      </c>
    </row>
    <row r="1294" spans="58:84" x14ac:dyDescent="0.3">
      <c r="BF1294" t="str">
        <v>processor</v>
      </c>
      <c r="BG1294" t="str">
        <v>Kindermorgan Southeast Terminals Llc 3</v>
      </c>
      <c r="BH1294" t="str">
        <v>blendSAF</v>
      </c>
      <c r="BI1294" t="str">
        <v/>
      </c>
      <c r="BJ1294" t="str">
        <v/>
      </c>
      <c r="BK1294" t="str">
        <v/>
      </c>
      <c r="BL1294" t="str">
        <v/>
      </c>
      <c r="BM1294" t="str">
        <v/>
      </c>
      <c r="BY1294" t="str">
        <v>processor</v>
      </c>
      <c r="BZ1294" t="str">
        <v>Western Emulsions Inc 3</v>
      </c>
      <c r="CA1294" t="str">
        <v>blendSAF</v>
      </c>
      <c r="CB1294" t="str">
        <v/>
      </c>
      <c r="CC1294" t="str">
        <v/>
      </c>
      <c r="CD1294" t="str">
        <v/>
      </c>
      <c r="CE1294" t="str">
        <v/>
      </c>
      <c r="CF1294" t="str">
        <v/>
      </c>
    </row>
    <row r="1295" spans="58:84" x14ac:dyDescent="0.3">
      <c r="BF1295" t="str">
        <v>processor</v>
      </c>
      <c r="BG1295" t="str">
        <v>Kinder Morgan Southeast Terminal 14</v>
      </c>
      <c r="BH1295" t="str">
        <v>blendSAF</v>
      </c>
      <c r="BI1295" t="str">
        <v/>
      </c>
      <c r="BJ1295" t="str">
        <v/>
      </c>
      <c r="BK1295" t="str">
        <v/>
      </c>
      <c r="BL1295" t="str">
        <v/>
      </c>
      <c r="BM1295" t="str">
        <v/>
      </c>
      <c r="BY1295" t="str">
        <v>processor</v>
      </c>
      <c r="BZ1295" t="str">
        <v>Mountain States Asphalt Inc</v>
      </c>
      <c r="CA1295" t="str">
        <v>blendSAF</v>
      </c>
      <c r="CB1295" t="str">
        <v/>
      </c>
      <c r="CC1295" t="str">
        <v/>
      </c>
      <c r="CD1295" t="str">
        <v/>
      </c>
      <c r="CE1295" t="str">
        <v/>
      </c>
      <c r="CF1295" t="str">
        <v/>
      </c>
    </row>
    <row r="1296" spans="58:84" x14ac:dyDescent="0.3">
      <c r="BF1296" t="str">
        <v>processor</v>
      </c>
      <c r="BG1296" t="str">
        <v>Kinder Morgan Southeast Terminal 17</v>
      </c>
      <c r="BH1296" t="str">
        <v>blendSAF</v>
      </c>
      <c r="BI1296" t="str">
        <v/>
      </c>
      <c r="BJ1296" t="str">
        <v/>
      </c>
      <c r="BK1296" t="str">
        <v/>
      </c>
      <c r="BL1296" t="str">
        <v/>
      </c>
      <c r="BM1296" t="str">
        <v/>
      </c>
      <c r="BY1296" t="str">
        <v>processor</v>
      </c>
      <c r="BZ1296" t="str">
        <v>Sawtooth Ngl Caverns Llc</v>
      </c>
      <c r="CA1296" t="str">
        <v>blendSAF</v>
      </c>
      <c r="CB1296" t="str">
        <v/>
      </c>
      <c r="CC1296" t="str">
        <v/>
      </c>
      <c r="CD1296" t="str">
        <v/>
      </c>
      <c r="CE1296" t="str">
        <v/>
      </c>
      <c r="CF1296" t="str">
        <v/>
      </c>
    </row>
    <row r="1297" spans="58:84" x14ac:dyDescent="0.3">
      <c r="BF1297" t="str">
        <v>processor</v>
      </c>
      <c r="BG1297" t="str">
        <v>Kinder Morgan Southeast Terminal 18</v>
      </c>
      <c r="BH1297" t="str">
        <v>blendSAF</v>
      </c>
      <c r="BI1297" t="str">
        <v/>
      </c>
      <c r="BJ1297" t="str">
        <v/>
      </c>
      <c r="BK1297" t="str">
        <v/>
      </c>
      <c r="BL1297" t="str">
        <v/>
      </c>
      <c r="BM1297" t="str">
        <v/>
      </c>
      <c r="BY1297" t="str">
        <v>processor</v>
      </c>
      <c r="BZ1297" t="str">
        <v>Global Co Llc 2</v>
      </c>
      <c r="CA1297" t="str">
        <v>blendSAF</v>
      </c>
      <c r="CB1297" t="str">
        <v/>
      </c>
      <c r="CC1297" t="str">
        <v/>
      </c>
      <c r="CD1297" t="str">
        <v/>
      </c>
      <c r="CE1297" t="str">
        <v/>
      </c>
      <c r="CF1297" t="str">
        <v/>
      </c>
    </row>
    <row r="1298" spans="58:84" x14ac:dyDescent="0.3">
      <c r="BF1298" t="str">
        <v>processor</v>
      </c>
      <c r="BG1298" t="str">
        <v>Kinder Morgan Southeast Terminal 19</v>
      </c>
      <c r="BH1298" t="str">
        <v>blendSAF</v>
      </c>
      <c r="BI1298" t="str">
        <v/>
      </c>
      <c r="BJ1298" t="str">
        <v/>
      </c>
      <c r="BK1298" t="str">
        <v/>
      </c>
      <c r="BL1298" t="str">
        <v/>
      </c>
      <c r="BM1298" t="str">
        <v/>
      </c>
      <c r="BY1298" t="str">
        <v>processor</v>
      </c>
      <c r="BZ1298" t="str">
        <v>Petroleum Fuel &amp; Terminal Co 3</v>
      </c>
      <c r="CA1298" t="str">
        <v>blendSAF</v>
      </c>
      <c r="CB1298" t="str">
        <v/>
      </c>
      <c r="CC1298" t="str">
        <v/>
      </c>
      <c r="CD1298" t="str">
        <v/>
      </c>
      <c r="CE1298" t="str">
        <v/>
      </c>
      <c r="CF1298" t="str">
        <v/>
      </c>
    </row>
    <row r="1299" spans="58:84" x14ac:dyDescent="0.3">
      <c r="BF1299" t="str">
        <v>processor</v>
      </c>
      <c r="BG1299" t="str">
        <v>Kinder Morgan Southeast Terminal 20</v>
      </c>
      <c r="BH1299" t="str">
        <v>blendSAF</v>
      </c>
      <c r="BI1299" t="str">
        <v/>
      </c>
      <c r="BJ1299" t="str">
        <v/>
      </c>
      <c r="BK1299" t="str">
        <v/>
      </c>
      <c r="BL1299" t="str">
        <v/>
      </c>
      <c r="BM1299" t="str">
        <v/>
      </c>
      <c r="BY1299" t="str">
        <v>processor</v>
      </c>
      <c r="BZ1299" t="str">
        <v>Bkep Materials Llc 13</v>
      </c>
      <c r="CA1299" t="str">
        <v>blendSAF</v>
      </c>
      <c r="CB1299" t="str">
        <v/>
      </c>
      <c r="CC1299" t="str">
        <v/>
      </c>
      <c r="CD1299" t="str">
        <v/>
      </c>
      <c r="CE1299" t="str">
        <v/>
      </c>
      <c r="CF1299" t="str">
        <v/>
      </c>
    </row>
    <row r="1300" spans="58:84" x14ac:dyDescent="0.3">
      <c r="BF1300" t="str">
        <v>processor</v>
      </c>
      <c r="BG1300" t="str">
        <v>Kinder Morgan Southeast Terminal 13</v>
      </c>
      <c r="BH1300" t="str">
        <v>blendSAF</v>
      </c>
      <c r="BI1300" t="str">
        <v/>
      </c>
      <c r="BJ1300" t="str">
        <v/>
      </c>
      <c r="BK1300" t="str">
        <v/>
      </c>
      <c r="BL1300" t="str">
        <v/>
      </c>
      <c r="BM1300" t="str">
        <v/>
      </c>
      <c r="BY1300" t="str">
        <v>processor</v>
      </c>
      <c r="BZ1300" t="str">
        <v>Bkep Materials Llc 5</v>
      </c>
      <c r="CA1300" t="str">
        <v>blendSAF</v>
      </c>
      <c r="CB1300" t="str">
        <v/>
      </c>
      <c r="CC1300" t="str">
        <v/>
      </c>
      <c r="CD1300" t="str">
        <v/>
      </c>
      <c r="CE1300" t="str">
        <v/>
      </c>
      <c r="CF1300" t="str">
        <v/>
      </c>
    </row>
    <row r="1301" spans="58:84" x14ac:dyDescent="0.3">
      <c r="BF1301" t="str">
        <v>processor</v>
      </c>
      <c r="BG1301" t="str">
        <v>Kinder Morgan Va Liq Terminals Llc</v>
      </c>
      <c r="BH1301" t="str">
        <v>blendSAF</v>
      </c>
      <c r="BI1301" t="str">
        <v/>
      </c>
      <c r="BJ1301" t="str">
        <v/>
      </c>
      <c r="BK1301" t="str">
        <v/>
      </c>
      <c r="BL1301" t="str">
        <v/>
      </c>
      <c r="BM1301" t="str">
        <v/>
      </c>
      <c r="BY1301" t="str">
        <v>processor</v>
      </c>
      <c r="BZ1301" t="str">
        <v>Associated Asphalt Bristol Llc</v>
      </c>
      <c r="CA1301" t="str">
        <v>blendSAF</v>
      </c>
      <c r="CB1301" t="str">
        <v/>
      </c>
      <c r="CC1301" t="str">
        <v/>
      </c>
      <c r="CD1301" t="str">
        <v/>
      </c>
      <c r="CE1301" t="str">
        <v/>
      </c>
      <c r="CF1301" t="str">
        <v/>
      </c>
    </row>
    <row r="1302" spans="58:84" x14ac:dyDescent="0.3">
      <c r="BF1302" t="str">
        <v>processor</v>
      </c>
      <c r="BG1302" t="str">
        <v>Ngl Energy Partners Lp</v>
      </c>
      <c r="BH1302" t="str">
        <v>blendSAF</v>
      </c>
      <c r="BI1302" t="str">
        <v/>
      </c>
      <c r="BJ1302" t="str">
        <v/>
      </c>
      <c r="BK1302" t="str">
        <v/>
      </c>
      <c r="BL1302" t="str">
        <v/>
      </c>
      <c r="BM1302" t="str">
        <v/>
      </c>
      <c r="BY1302" t="str">
        <v>processor</v>
      </c>
      <c r="BZ1302" t="str">
        <v>Associated Asphalt Roanoke Llc</v>
      </c>
      <c r="CA1302" t="str">
        <v>blendSAF</v>
      </c>
      <c r="CB1302" t="str">
        <v/>
      </c>
      <c r="CC1302" t="str">
        <v/>
      </c>
      <c r="CD1302" t="str">
        <v/>
      </c>
      <c r="CE1302" t="str">
        <v/>
      </c>
      <c r="CF1302" t="str">
        <v/>
      </c>
    </row>
    <row r="1303" spans="58:84" x14ac:dyDescent="0.3">
      <c r="BF1303" t="str">
        <v>processor</v>
      </c>
      <c r="BG1303" t="str">
        <v>First Energy Corp</v>
      </c>
      <c r="BH1303" t="str">
        <v>blendSAF</v>
      </c>
      <c r="BI1303" t="str">
        <v/>
      </c>
      <c r="BJ1303" t="str">
        <v/>
      </c>
      <c r="BK1303" t="str">
        <v/>
      </c>
      <c r="BL1303" t="str">
        <v/>
      </c>
      <c r="BM1303" t="str">
        <v/>
      </c>
      <c r="BY1303" t="str">
        <v>processor</v>
      </c>
      <c r="BZ1303" t="str">
        <v>Associated Asphalt Hopewell Llc</v>
      </c>
      <c r="CA1303" t="str">
        <v>blendSAF</v>
      </c>
      <c r="CB1303" t="str">
        <v/>
      </c>
      <c r="CC1303" t="str">
        <v/>
      </c>
      <c r="CD1303" t="str">
        <v/>
      </c>
      <c r="CE1303" t="str">
        <v/>
      </c>
      <c r="CF1303" t="str">
        <v/>
      </c>
    </row>
    <row r="1304" spans="58:84" x14ac:dyDescent="0.3">
      <c r="BF1304" t="str">
        <v>processor</v>
      </c>
      <c r="BG1304" t="str">
        <v>Citgo Petro Corp 8</v>
      </c>
      <c r="BH1304" t="str">
        <v>blendSAF</v>
      </c>
      <c r="BI1304" t="str">
        <v/>
      </c>
      <c r="BJ1304" t="str">
        <v/>
      </c>
      <c r="BK1304" t="str">
        <v/>
      </c>
      <c r="BL1304" t="str">
        <v/>
      </c>
      <c r="BM1304" t="str">
        <v/>
      </c>
      <c r="BY1304" t="str">
        <v>processor</v>
      </c>
      <c r="BZ1304" t="str">
        <v>Buckeye Terminals Llc 47</v>
      </c>
      <c r="CA1304" t="str">
        <v>blendSAF</v>
      </c>
      <c r="CB1304" t="str">
        <v/>
      </c>
      <c r="CC1304" t="str">
        <v/>
      </c>
      <c r="CD1304" t="str">
        <v/>
      </c>
      <c r="CE1304" t="str">
        <v/>
      </c>
      <c r="CF1304" t="str">
        <v/>
      </c>
    </row>
    <row r="1305" spans="58:84" x14ac:dyDescent="0.3">
      <c r="BF1305" t="str">
        <v>processor</v>
      </c>
      <c r="BG1305" t="str">
        <v>Citgo Petro Corp 14</v>
      </c>
      <c r="BH1305" t="str">
        <v>blendSAF</v>
      </c>
      <c r="BI1305" t="str">
        <v/>
      </c>
      <c r="BJ1305" t="str">
        <v/>
      </c>
      <c r="BK1305" t="str">
        <v/>
      </c>
      <c r="BL1305" t="str">
        <v/>
      </c>
      <c r="BM1305" t="str">
        <v/>
      </c>
      <c r="BY1305" t="str">
        <v>processor</v>
      </c>
      <c r="BZ1305" t="str">
        <v>Buckeye Terminals Llc 89</v>
      </c>
      <c r="CA1305" t="str">
        <v>blendSAF</v>
      </c>
      <c r="CB1305" t="str">
        <v/>
      </c>
      <c r="CC1305" t="str">
        <v/>
      </c>
      <c r="CD1305" t="str">
        <v/>
      </c>
      <c r="CE1305" t="str">
        <v/>
      </c>
      <c r="CF1305" t="str">
        <v/>
      </c>
    </row>
    <row r="1306" spans="58:84" x14ac:dyDescent="0.3">
      <c r="BF1306" t="str">
        <v>processor</v>
      </c>
      <c r="BG1306" t="str">
        <v>Citgo Petro Corp 22</v>
      </c>
      <c r="BH1306" t="str">
        <v>blendSAF</v>
      </c>
      <c r="BI1306" t="str">
        <v/>
      </c>
      <c r="BJ1306" t="str">
        <v/>
      </c>
      <c r="BK1306" t="str">
        <v/>
      </c>
      <c r="BL1306" t="str">
        <v/>
      </c>
      <c r="BM1306" t="str">
        <v/>
      </c>
      <c r="BY1306" t="str">
        <v>processor</v>
      </c>
      <c r="BZ1306" t="str">
        <v>Buckeye Terminals Llc 31</v>
      </c>
      <c r="CA1306" t="str">
        <v>blendSAF</v>
      </c>
      <c r="CB1306" t="str">
        <v/>
      </c>
      <c r="CC1306" t="str">
        <v/>
      </c>
      <c r="CD1306" t="str">
        <v/>
      </c>
      <c r="CE1306" t="str">
        <v/>
      </c>
      <c r="CF1306" t="str">
        <v/>
      </c>
    </row>
    <row r="1307" spans="58:84" x14ac:dyDescent="0.3">
      <c r="BF1307" t="str">
        <v>processor</v>
      </c>
      <c r="BG1307" t="str">
        <v>Plains Marketing Lp - Yorktown Trml</v>
      </c>
      <c r="BH1307" t="str">
        <v>blendSAF</v>
      </c>
      <c r="BI1307" t="str">
        <v/>
      </c>
      <c r="BJ1307" t="str">
        <v/>
      </c>
      <c r="BK1307" t="str">
        <v/>
      </c>
      <c r="BL1307" t="str">
        <v/>
      </c>
      <c r="BM1307" t="str">
        <v/>
      </c>
      <c r="BY1307" t="str">
        <v>processor</v>
      </c>
      <c r="BZ1307" t="str">
        <v>Buckeye Se Terminals Lp 16</v>
      </c>
      <c r="CA1307" t="str">
        <v>blendSAF</v>
      </c>
      <c r="CB1307" t="str">
        <v/>
      </c>
      <c r="CC1307" t="str">
        <v/>
      </c>
      <c r="CD1307" t="str">
        <v/>
      </c>
      <c r="CE1307" t="str">
        <v/>
      </c>
      <c r="CF1307" t="str">
        <v/>
      </c>
    </row>
    <row r="1308" spans="58:84" x14ac:dyDescent="0.3">
      <c r="BF1308" t="str">
        <v>processor</v>
      </c>
      <c r="BG1308" t="str">
        <v>Motiva Enterprises Llc 10</v>
      </c>
      <c r="BH1308" t="str">
        <v>blendSAF</v>
      </c>
      <c r="BI1308" t="str">
        <v/>
      </c>
      <c r="BJ1308" t="str">
        <v/>
      </c>
      <c r="BK1308" t="str">
        <v/>
      </c>
      <c r="BL1308" t="str">
        <v/>
      </c>
      <c r="BM1308" t="str">
        <v/>
      </c>
      <c r="BY1308" t="str">
        <v>processor</v>
      </c>
      <c r="BZ1308" t="str">
        <v>Buckeye Se Terminals Lp 17</v>
      </c>
      <c r="CA1308" t="str">
        <v>blendSAF</v>
      </c>
      <c r="CB1308" t="str">
        <v/>
      </c>
      <c r="CC1308" t="str">
        <v/>
      </c>
      <c r="CD1308" t="str">
        <v/>
      </c>
      <c r="CE1308" t="str">
        <v/>
      </c>
      <c r="CF1308" t="str">
        <v/>
      </c>
    </row>
    <row r="1309" spans="58:84" x14ac:dyDescent="0.3">
      <c r="BF1309" t="str">
        <v>processor</v>
      </c>
      <c r="BG1309" t="str">
        <v>Motiva Enterprises Llc 19</v>
      </c>
      <c r="BH1309" t="str">
        <v>blendSAF</v>
      </c>
      <c r="BI1309" t="str">
        <v/>
      </c>
      <c r="BJ1309" t="str">
        <v/>
      </c>
      <c r="BK1309" t="str">
        <v/>
      </c>
      <c r="BL1309" t="str">
        <v/>
      </c>
      <c r="BM1309" t="str">
        <v/>
      </c>
      <c r="BY1309" t="str">
        <v>processor</v>
      </c>
      <c r="BZ1309" t="str">
        <v>Colonial Terminals Operating Co Llc 3</v>
      </c>
      <c r="CA1309" t="str">
        <v>blendSAF</v>
      </c>
      <c r="CB1309" t="str">
        <v/>
      </c>
      <c r="CC1309" t="str">
        <v/>
      </c>
      <c r="CD1309" t="str">
        <v/>
      </c>
      <c r="CE1309" t="str">
        <v/>
      </c>
      <c r="CF1309" t="str">
        <v/>
      </c>
    </row>
    <row r="1310" spans="58:84" x14ac:dyDescent="0.3">
      <c r="BF1310" t="str">
        <v>processor</v>
      </c>
      <c r="BG1310" t="str">
        <v>Transmontaigne Operating Company 36</v>
      </c>
      <c r="BH1310" t="str">
        <v>blendSAF</v>
      </c>
      <c r="BI1310" t="str">
        <v/>
      </c>
      <c r="BJ1310" t="str">
        <v/>
      </c>
      <c r="BK1310" t="str">
        <v/>
      </c>
      <c r="BL1310" t="str">
        <v/>
      </c>
      <c r="BM1310" t="str">
        <v/>
      </c>
      <c r="BY1310" t="str">
        <v>processor</v>
      </c>
      <c r="BZ1310" t="str">
        <v>Sunoco Logistics 38</v>
      </c>
      <c r="CA1310" t="str">
        <v>blendSAF</v>
      </c>
      <c r="CB1310" t="str">
        <v/>
      </c>
      <c r="CC1310" t="str">
        <v/>
      </c>
      <c r="CD1310" t="str">
        <v/>
      </c>
      <c r="CE1310" t="str">
        <v/>
      </c>
      <c r="CF1310" t="str">
        <v/>
      </c>
    </row>
    <row r="1311" spans="58:84" x14ac:dyDescent="0.3">
      <c r="BF1311" t="str">
        <v>processor</v>
      </c>
      <c r="BG1311" t="str">
        <v>Transmontaigne Operating Company 33</v>
      </c>
      <c r="BH1311" t="str">
        <v>blendSAF</v>
      </c>
      <c r="BI1311" t="str">
        <v/>
      </c>
      <c r="BJ1311" t="str">
        <v/>
      </c>
      <c r="BK1311" t="str">
        <v/>
      </c>
      <c r="BL1311" t="str">
        <v/>
      </c>
      <c r="BM1311" t="str">
        <v/>
      </c>
      <c r="BY1311" t="str">
        <v>processor</v>
      </c>
      <c r="BZ1311" t="str">
        <v>Sunoco Llc 15</v>
      </c>
      <c r="CA1311" t="str">
        <v>blendSAF</v>
      </c>
      <c r="CB1311" t="str">
        <v/>
      </c>
      <c r="CC1311" t="str">
        <v/>
      </c>
      <c r="CD1311" t="str">
        <v/>
      </c>
      <c r="CE1311" t="str">
        <v/>
      </c>
      <c r="CF1311" t="str">
        <v/>
      </c>
    </row>
    <row r="1312" spans="58:84" x14ac:dyDescent="0.3">
      <c r="BF1312" t="str">
        <v>processor</v>
      </c>
      <c r="BG1312" t="str">
        <v>Transmontaigne Operating Company 34</v>
      </c>
      <c r="BH1312" t="str">
        <v>blendSAF</v>
      </c>
      <c r="BI1312" t="str">
        <v/>
      </c>
      <c r="BJ1312" t="str">
        <v/>
      </c>
      <c r="BK1312" t="str">
        <v/>
      </c>
      <c r="BL1312" t="str">
        <v/>
      </c>
      <c r="BM1312" t="str">
        <v/>
      </c>
      <c r="BY1312" t="str">
        <v>processor</v>
      </c>
      <c r="BZ1312" t="str">
        <v>Sunoco Midstream Llc 9</v>
      </c>
      <c r="CA1312" t="str">
        <v>blendSAF</v>
      </c>
      <c r="CB1312" t="str">
        <v/>
      </c>
      <c r="CC1312" t="str">
        <v/>
      </c>
      <c r="CD1312" t="str">
        <v/>
      </c>
      <c r="CE1312" t="str">
        <v/>
      </c>
      <c r="CF1312" t="str">
        <v/>
      </c>
    </row>
    <row r="1313" spans="58:84" x14ac:dyDescent="0.3">
      <c r="BF1313" t="str">
        <v>processor</v>
      </c>
      <c r="BG1313" t="str">
        <v>Transmontaigne Operating Company 42</v>
      </c>
      <c r="BH1313" t="str">
        <v>blendSAF</v>
      </c>
      <c r="BI1313" t="str">
        <v/>
      </c>
      <c r="BJ1313" t="str">
        <v/>
      </c>
      <c r="BK1313" t="str">
        <v/>
      </c>
      <c r="BL1313" t="str">
        <v/>
      </c>
      <c r="BM1313" t="str">
        <v/>
      </c>
      <c r="BY1313" t="str">
        <v>processor</v>
      </c>
      <c r="BZ1313" t="str">
        <v>Intl Matex Tank Terminals 3</v>
      </c>
      <c r="CA1313" t="str">
        <v>blendSAF</v>
      </c>
      <c r="CB1313" t="str">
        <v/>
      </c>
      <c r="CC1313" t="str">
        <v/>
      </c>
      <c r="CD1313" t="str">
        <v/>
      </c>
      <c r="CE1313" t="str">
        <v/>
      </c>
      <c r="CF1313" t="str">
        <v/>
      </c>
    </row>
    <row r="1314" spans="58:84" x14ac:dyDescent="0.3">
      <c r="BF1314" t="str">
        <v>processor</v>
      </c>
      <c r="BG1314" t="str">
        <v>Transmontaigne Operating Company 20</v>
      </c>
      <c r="BH1314" t="str">
        <v>blendSAF</v>
      </c>
      <c r="BI1314" t="str">
        <v/>
      </c>
      <c r="BJ1314" t="str">
        <v/>
      </c>
      <c r="BK1314" t="str">
        <v/>
      </c>
      <c r="BL1314" t="str">
        <v/>
      </c>
      <c r="BM1314" t="str">
        <v/>
      </c>
      <c r="BY1314" t="str">
        <v>processor</v>
      </c>
      <c r="BZ1314" t="str">
        <v>Intl Matex Tank Terminals 4</v>
      </c>
      <c r="CA1314" t="str">
        <v>blendSAF</v>
      </c>
      <c r="CB1314" t="str">
        <v/>
      </c>
      <c r="CC1314" t="str">
        <v/>
      </c>
      <c r="CD1314" t="str">
        <v/>
      </c>
      <c r="CE1314" t="str">
        <v/>
      </c>
      <c r="CF1314" t="str">
        <v/>
      </c>
    </row>
    <row r="1315" spans="58:84" x14ac:dyDescent="0.3">
      <c r="BF1315" t="str">
        <v>processor</v>
      </c>
      <c r="BG1315" t="str">
        <v>Transmontaigne Operating Company 43</v>
      </c>
      <c r="BH1315" t="str">
        <v>blendSAF</v>
      </c>
      <c r="BI1315" t="str">
        <v/>
      </c>
      <c r="BJ1315" t="str">
        <v/>
      </c>
      <c r="BK1315" t="str">
        <v/>
      </c>
      <c r="BL1315" t="str">
        <v/>
      </c>
      <c r="BM1315" t="str">
        <v/>
      </c>
      <c r="BY1315" t="str">
        <v>processor</v>
      </c>
      <c r="BZ1315" t="str">
        <v>Kinder Morgan Transmix Llc 1</v>
      </c>
      <c r="CA1315" t="str">
        <v>blendSAF</v>
      </c>
      <c r="CB1315" t="str">
        <v/>
      </c>
      <c r="CC1315" t="str">
        <v/>
      </c>
      <c r="CD1315" t="str">
        <v/>
      </c>
      <c r="CE1315" t="str">
        <v/>
      </c>
      <c r="CF1315" t="str">
        <v/>
      </c>
    </row>
    <row r="1316" spans="58:84" x14ac:dyDescent="0.3">
      <c r="BF1316" t="str">
        <v>processor</v>
      </c>
      <c r="BG1316" t="str">
        <v>World Fuel Services</v>
      </c>
      <c r="BH1316" t="str">
        <v>blendSAF</v>
      </c>
      <c r="BI1316" t="str">
        <v/>
      </c>
      <c r="BJ1316" t="str">
        <v/>
      </c>
      <c r="BK1316" t="str">
        <v/>
      </c>
      <c r="BL1316" t="str">
        <v/>
      </c>
      <c r="BM1316" t="str">
        <v/>
      </c>
      <c r="BY1316" t="str">
        <v>processor</v>
      </c>
      <c r="BZ1316" t="str">
        <v>Kindermorgan Southeast Terminals Llc 3</v>
      </c>
      <c r="CA1316" t="str">
        <v>blendSAF</v>
      </c>
      <c r="CB1316" t="str">
        <v/>
      </c>
      <c r="CC1316" t="str">
        <v/>
      </c>
      <c r="CD1316" t="str">
        <v/>
      </c>
      <c r="CE1316" t="str">
        <v/>
      </c>
      <c r="CF1316" t="str">
        <v/>
      </c>
    </row>
    <row r="1317" spans="58:84" x14ac:dyDescent="0.3">
      <c r="BF1317" t="str">
        <v>processor</v>
      </c>
      <c r="BG1317" t="str">
        <v>Reg Grays Harbor Llc</v>
      </c>
      <c r="BH1317" t="str">
        <v>blendSAF</v>
      </c>
      <c r="BI1317" t="str">
        <v/>
      </c>
      <c r="BJ1317" t="str">
        <v/>
      </c>
      <c r="BK1317" t="str">
        <v/>
      </c>
      <c r="BL1317" t="str">
        <v/>
      </c>
      <c r="BM1317" t="str">
        <v/>
      </c>
      <c r="BY1317" t="str">
        <v>processor</v>
      </c>
      <c r="BZ1317" t="str">
        <v>Kinder Morgan Southeast Terminal 14</v>
      </c>
      <c r="CA1317" t="str">
        <v>blendSAF</v>
      </c>
      <c r="CB1317" t="str">
        <v/>
      </c>
      <c r="CC1317" t="str">
        <v/>
      </c>
      <c r="CD1317" t="str">
        <v/>
      </c>
      <c r="CE1317" t="str">
        <v/>
      </c>
      <c r="CF1317" t="str">
        <v/>
      </c>
    </row>
    <row r="1318" spans="58:84" x14ac:dyDescent="0.3">
      <c r="BF1318" t="str">
        <v>processor</v>
      </c>
      <c r="BG1318" t="str">
        <v>Ergon Asphalt &amp; Emulsions Inc 11</v>
      </c>
      <c r="BH1318" t="str">
        <v>blendSAF</v>
      </c>
      <c r="BI1318" t="str">
        <v/>
      </c>
      <c r="BJ1318" t="str">
        <v/>
      </c>
      <c r="BK1318" t="str">
        <v/>
      </c>
      <c r="BL1318" t="str">
        <v/>
      </c>
      <c r="BM1318" t="str">
        <v/>
      </c>
      <c r="BY1318" t="str">
        <v>processor</v>
      </c>
      <c r="BZ1318" t="str">
        <v>Kinder Morgan Southeast Terminal 17</v>
      </c>
      <c r="CA1318" t="str">
        <v>blendSAF</v>
      </c>
      <c r="CB1318" t="str">
        <v/>
      </c>
      <c r="CC1318" t="str">
        <v/>
      </c>
      <c r="CD1318" t="str">
        <v/>
      </c>
      <c r="CE1318" t="str">
        <v/>
      </c>
      <c r="CF1318" t="str">
        <v/>
      </c>
    </row>
    <row r="1319" spans="58:84" x14ac:dyDescent="0.3">
      <c r="BF1319" t="str">
        <v>processor</v>
      </c>
      <c r="BG1319" t="str">
        <v>Ergon Asphalt 7 Emulsions Inc</v>
      </c>
      <c r="BH1319" t="str">
        <v>blendSAF</v>
      </c>
      <c r="BI1319" t="str">
        <v/>
      </c>
      <c r="BJ1319" t="str">
        <v/>
      </c>
      <c r="BK1319" t="str">
        <v/>
      </c>
      <c r="BL1319" t="str">
        <v/>
      </c>
      <c r="BM1319" t="str">
        <v/>
      </c>
      <c r="BY1319" t="str">
        <v>processor</v>
      </c>
      <c r="BZ1319" t="str">
        <v>Kinder Morgan Southeast Terminal 18</v>
      </c>
      <c r="CA1319" t="str">
        <v>blendSAF</v>
      </c>
      <c r="CB1319" t="str">
        <v/>
      </c>
      <c r="CC1319" t="str">
        <v/>
      </c>
      <c r="CD1319" t="str">
        <v/>
      </c>
      <c r="CE1319" t="str">
        <v/>
      </c>
      <c r="CF1319" t="str">
        <v/>
      </c>
    </row>
    <row r="1320" spans="58:84" x14ac:dyDescent="0.3">
      <c r="BF1320" t="str">
        <v>processor</v>
      </c>
      <c r="BG1320" t="str">
        <v>Ergon Asphalt &amp; Emulsions Inc 14</v>
      </c>
      <c r="BH1320" t="str">
        <v>blendSAF</v>
      </c>
      <c r="BI1320" t="str">
        <v/>
      </c>
      <c r="BJ1320" t="str">
        <v/>
      </c>
      <c r="BK1320" t="str">
        <v/>
      </c>
      <c r="BL1320" t="str">
        <v/>
      </c>
      <c r="BM1320" t="str">
        <v/>
      </c>
      <c r="BY1320" t="str">
        <v>processor</v>
      </c>
      <c r="BZ1320" t="str">
        <v>Kinder Morgan Southeast Terminal 19</v>
      </c>
      <c r="CA1320" t="str">
        <v>blendSAF</v>
      </c>
      <c r="CB1320" t="str">
        <v/>
      </c>
      <c r="CC1320" t="str">
        <v/>
      </c>
      <c r="CD1320" t="str">
        <v/>
      </c>
      <c r="CE1320" t="str">
        <v/>
      </c>
      <c r="CF1320" t="str">
        <v/>
      </c>
    </row>
    <row r="1321" spans="58:84" x14ac:dyDescent="0.3">
      <c r="BF1321" t="str">
        <v>processor</v>
      </c>
      <c r="BG1321" t="str">
        <v>Tlp Management Services Llc 4</v>
      </c>
      <c r="BH1321" t="str">
        <v>blendSAF</v>
      </c>
      <c r="BI1321" t="str">
        <v/>
      </c>
      <c r="BJ1321" t="str">
        <v/>
      </c>
      <c r="BK1321" t="str">
        <v/>
      </c>
      <c r="BL1321" t="str">
        <v/>
      </c>
      <c r="BM1321" t="str">
        <v/>
      </c>
      <c r="BY1321" t="str">
        <v>processor</v>
      </c>
      <c r="BZ1321" t="str">
        <v>Kinder Morgan Southeast Terminal 20</v>
      </c>
      <c r="CA1321" t="str">
        <v>blendSAF</v>
      </c>
      <c r="CB1321" t="str">
        <v/>
      </c>
      <c r="CC1321" t="str">
        <v/>
      </c>
      <c r="CD1321" t="str">
        <v/>
      </c>
      <c r="CE1321" t="str">
        <v/>
      </c>
      <c r="CF1321" t="str">
        <v/>
      </c>
    </row>
    <row r="1322" spans="58:84" x14ac:dyDescent="0.3">
      <c r="BF1322" t="str">
        <v>processor</v>
      </c>
      <c r="BG1322" t="str">
        <v>Seaport Sound Terminal Llc</v>
      </c>
      <c r="BH1322" t="str">
        <v>blendSAF</v>
      </c>
      <c r="BI1322" t="str">
        <v/>
      </c>
      <c r="BJ1322" t="str">
        <v/>
      </c>
      <c r="BK1322" t="str">
        <v/>
      </c>
      <c r="BL1322" t="str">
        <v/>
      </c>
      <c r="BM1322" t="str">
        <v/>
      </c>
      <c r="BY1322" t="str">
        <v>processor</v>
      </c>
      <c r="BZ1322" t="str">
        <v>Kinder Morgan Southeast Terminal 13</v>
      </c>
      <c r="CA1322" t="str">
        <v>blendSAF</v>
      </c>
      <c r="CB1322" t="str">
        <v/>
      </c>
      <c r="CC1322" t="str">
        <v/>
      </c>
      <c r="CD1322" t="str">
        <v/>
      </c>
      <c r="CE1322" t="str">
        <v/>
      </c>
      <c r="CF1322" t="str">
        <v/>
      </c>
    </row>
    <row r="1323" spans="58:84" x14ac:dyDescent="0.3">
      <c r="BF1323" t="str">
        <v>processor</v>
      </c>
      <c r="BG1323" t="str">
        <v>Phillips 66 Company 23</v>
      </c>
      <c r="BH1323" t="str">
        <v>blendSAF</v>
      </c>
      <c r="BI1323" t="str">
        <v/>
      </c>
      <c r="BJ1323" t="str">
        <v/>
      </c>
      <c r="BK1323" t="str">
        <v/>
      </c>
      <c r="BL1323" t="str">
        <v/>
      </c>
      <c r="BM1323" t="str">
        <v/>
      </c>
      <c r="BY1323" t="str">
        <v>processor</v>
      </c>
      <c r="BZ1323" t="str">
        <v>Kinder Morgan Va Liq Terminals Llc</v>
      </c>
      <c r="CA1323" t="str">
        <v>blendSAF</v>
      </c>
      <c r="CB1323" t="str">
        <v/>
      </c>
      <c r="CC1323" t="str">
        <v/>
      </c>
      <c r="CD1323" t="str">
        <v/>
      </c>
      <c r="CE1323" t="str">
        <v/>
      </c>
      <c r="CF1323" t="str">
        <v/>
      </c>
    </row>
    <row r="1324" spans="58:84" x14ac:dyDescent="0.3">
      <c r="BF1324" t="str">
        <v>processor</v>
      </c>
      <c r="BG1324" t="str">
        <v>Phillips 66 Company 24</v>
      </c>
      <c r="BH1324" t="str">
        <v>blendSAF</v>
      </c>
      <c r="BI1324" t="str">
        <v/>
      </c>
      <c r="BJ1324" t="str">
        <v/>
      </c>
      <c r="BK1324" t="str">
        <v/>
      </c>
      <c r="BL1324" t="str">
        <v/>
      </c>
      <c r="BM1324" t="str">
        <v/>
      </c>
      <c r="BY1324" t="str">
        <v>processor</v>
      </c>
      <c r="BZ1324" t="str">
        <v>Ngl Energy Partners Lp</v>
      </c>
      <c r="CA1324" t="str">
        <v>blendSAF</v>
      </c>
      <c r="CB1324" t="str">
        <v/>
      </c>
      <c r="CC1324" t="str">
        <v/>
      </c>
      <c r="CD1324" t="str">
        <v/>
      </c>
      <c r="CE1324" t="str">
        <v/>
      </c>
      <c r="CF1324" t="str">
        <v/>
      </c>
    </row>
    <row r="1325" spans="58:84" x14ac:dyDescent="0.3">
      <c r="BF1325" t="str">
        <v>processor</v>
      </c>
      <c r="BG1325" t="str">
        <v>Phillips 66 Company 17</v>
      </c>
      <c r="BH1325" t="str">
        <v>blendSAF</v>
      </c>
      <c r="BI1325" t="str">
        <v/>
      </c>
      <c r="BJ1325" t="str">
        <v/>
      </c>
      <c r="BK1325" t="str">
        <v/>
      </c>
      <c r="BL1325" t="str">
        <v/>
      </c>
      <c r="BM1325" t="str">
        <v/>
      </c>
      <c r="BY1325" t="str">
        <v>processor</v>
      </c>
      <c r="BZ1325" t="str">
        <v>First Energy Corp</v>
      </c>
      <c r="CA1325" t="str">
        <v>blendSAF</v>
      </c>
      <c r="CB1325" t="str">
        <v/>
      </c>
      <c r="CC1325" t="str">
        <v/>
      </c>
      <c r="CD1325" t="str">
        <v/>
      </c>
      <c r="CE1325" t="str">
        <v/>
      </c>
      <c r="CF1325" t="str">
        <v/>
      </c>
    </row>
    <row r="1326" spans="58:84" x14ac:dyDescent="0.3">
      <c r="BF1326" t="str">
        <v>processor</v>
      </c>
      <c r="BG1326" t="str">
        <v>Holly Energy Partners Oper Lp 6</v>
      </c>
      <c r="BH1326" t="str">
        <v>blendSAF</v>
      </c>
      <c r="BI1326" t="str">
        <v/>
      </c>
      <c r="BJ1326" t="str">
        <v/>
      </c>
      <c r="BK1326" t="str">
        <v/>
      </c>
      <c r="BL1326" t="str">
        <v/>
      </c>
      <c r="BM1326" t="str">
        <v/>
      </c>
      <c r="BY1326" t="str">
        <v>processor</v>
      </c>
      <c r="BZ1326" t="str">
        <v>Citgo Petro Corp 8</v>
      </c>
      <c r="CA1326" t="str">
        <v>blendSAF</v>
      </c>
      <c r="CB1326" t="str">
        <v/>
      </c>
      <c r="CC1326" t="str">
        <v/>
      </c>
      <c r="CD1326" t="str">
        <v/>
      </c>
      <c r="CE1326" t="str">
        <v/>
      </c>
      <c r="CF1326" t="str">
        <v/>
      </c>
    </row>
    <row r="1327" spans="58:84" x14ac:dyDescent="0.3">
      <c r="BF1327" t="str">
        <v>processor</v>
      </c>
      <c r="BG1327" t="str">
        <v>Kinder Morgan Energy Partner Lp</v>
      </c>
      <c r="BH1327" t="str">
        <v>blendSAF</v>
      </c>
      <c r="BI1327" t="str">
        <v/>
      </c>
      <c r="BJ1327" t="str">
        <v/>
      </c>
      <c r="BK1327" t="str">
        <v/>
      </c>
      <c r="BL1327" t="str">
        <v/>
      </c>
      <c r="BM1327" t="str">
        <v/>
      </c>
      <c r="BY1327" t="str">
        <v>processor</v>
      </c>
      <c r="BZ1327" t="str">
        <v>Citgo Petro Corp 14</v>
      </c>
      <c r="CA1327" t="str">
        <v>blendSAF</v>
      </c>
      <c r="CB1327" t="str">
        <v/>
      </c>
      <c r="CC1327" t="str">
        <v/>
      </c>
      <c r="CD1327" t="str">
        <v/>
      </c>
      <c r="CE1327" t="str">
        <v/>
      </c>
      <c r="CF1327" t="str">
        <v/>
      </c>
    </row>
    <row r="1328" spans="58:84" x14ac:dyDescent="0.3">
      <c r="BF1328" t="str">
        <v>processor</v>
      </c>
      <c r="BG1328" t="str">
        <v>Tesoro Refining &amp; Marketing 8</v>
      </c>
      <c r="BH1328" t="str">
        <v>blendSAF</v>
      </c>
      <c r="BI1328" t="str">
        <v/>
      </c>
      <c r="BJ1328" t="str">
        <v/>
      </c>
      <c r="BK1328" t="str">
        <v/>
      </c>
      <c r="BL1328" t="str">
        <v/>
      </c>
      <c r="BM1328" t="str">
        <v/>
      </c>
      <c r="BY1328" t="str">
        <v>processor</v>
      </c>
      <c r="BZ1328" t="str">
        <v>Citgo Petro Corp 22</v>
      </c>
      <c r="CA1328" t="str">
        <v>blendSAF</v>
      </c>
      <c r="CB1328" t="str">
        <v/>
      </c>
      <c r="CC1328" t="str">
        <v/>
      </c>
      <c r="CD1328" t="str">
        <v/>
      </c>
      <c r="CE1328" t="str">
        <v/>
      </c>
      <c r="CF1328" t="str">
        <v/>
      </c>
    </row>
    <row r="1329" spans="58:84" x14ac:dyDescent="0.3">
      <c r="BF1329" t="str">
        <v>processor</v>
      </c>
      <c r="BG1329" t="str">
        <v>Andeavor Logistics Lp 23</v>
      </c>
      <c r="BH1329" t="str">
        <v>blendSAF</v>
      </c>
      <c r="BI1329" t="str">
        <v/>
      </c>
      <c r="BJ1329" t="str">
        <v/>
      </c>
      <c r="BK1329" t="str">
        <v/>
      </c>
      <c r="BL1329" t="str">
        <v/>
      </c>
      <c r="BM1329" t="str">
        <v/>
      </c>
      <c r="BY1329" t="str">
        <v>processor</v>
      </c>
      <c r="BZ1329" t="str">
        <v>Plains Marketing Lp - Yorktown Trml</v>
      </c>
      <c r="CA1329" t="str">
        <v>blendSAF</v>
      </c>
      <c r="CB1329" t="str">
        <v/>
      </c>
      <c r="CC1329" t="str">
        <v/>
      </c>
      <c r="CD1329" t="str">
        <v/>
      </c>
      <c r="CE1329" t="str">
        <v/>
      </c>
      <c r="CF1329" t="str">
        <v/>
      </c>
    </row>
    <row r="1330" spans="58:84" x14ac:dyDescent="0.3">
      <c r="BF1330" t="str">
        <v>processor</v>
      </c>
      <c r="BG1330" t="str">
        <v>Andeavor Logistics Lp 16</v>
      </c>
      <c r="BH1330" t="str">
        <v>blendSAF</v>
      </c>
      <c r="BI1330" t="str">
        <v/>
      </c>
      <c r="BJ1330" t="str">
        <v/>
      </c>
      <c r="BK1330" t="str">
        <v/>
      </c>
      <c r="BL1330" t="str">
        <v/>
      </c>
      <c r="BM1330" t="str">
        <v/>
      </c>
      <c r="BY1330" t="str">
        <v>processor</v>
      </c>
      <c r="BZ1330" t="str">
        <v>Motiva Enterprises Llc 10</v>
      </c>
      <c r="CA1330" t="str">
        <v>blendSAF</v>
      </c>
      <c r="CB1330" t="str">
        <v/>
      </c>
      <c r="CC1330" t="str">
        <v/>
      </c>
      <c r="CD1330" t="str">
        <v/>
      </c>
      <c r="CE1330" t="str">
        <v/>
      </c>
      <c r="CF1330" t="str">
        <v/>
      </c>
    </row>
    <row r="1331" spans="58:84" x14ac:dyDescent="0.3">
      <c r="BF1331" t="str">
        <v>processor</v>
      </c>
      <c r="BG1331" t="str">
        <v>Nustar Energy Lp 43</v>
      </c>
      <c r="BH1331" t="str">
        <v>blendSAF</v>
      </c>
      <c r="BI1331" t="str">
        <v/>
      </c>
      <c r="BJ1331" t="str">
        <v/>
      </c>
      <c r="BK1331" t="str">
        <v/>
      </c>
      <c r="BL1331" t="str">
        <v/>
      </c>
      <c r="BM1331" t="str">
        <v/>
      </c>
      <c r="BY1331" t="str">
        <v>processor</v>
      </c>
      <c r="BZ1331" t="str">
        <v>Motiva Enterprises Llc 19</v>
      </c>
      <c r="CA1331" t="str">
        <v>blendSAF</v>
      </c>
      <c r="CB1331" t="str">
        <v/>
      </c>
      <c r="CC1331" t="str">
        <v/>
      </c>
      <c r="CD1331" t="str">
        <v/>
      </c>
      <c r="CE1331" t="str">
        <v/>
      </c>
      <c r="CF1331" t="str">
        <v/>
      </c>
    </row>
    <row r="1332" spans="58:84" x14ac:dyDescent="0.3">
      <c r="BF1332" t="str">
        <v>processor</v>
      </c>
      <c r="BG1332" t="str">
        <v>Nustar Energy Lp 44</v>
      </c>
      <c r="BH1332" t="str">
        <v>blendSAF</v>
      </c>
      <c r="BI1332" t="str">
        <v/>
      </c>
      <c r="BJ1332" t="str">
        <v/>
      </c>
      <c r="BK1332" t="str">
        <v/>
      </c>
      <c r="BL1332" t="str">
        <v/>
      </c>
      <c r="BM1332" t="str">
        <v/>
      </c>
      <c r="BY1332" t="str">
        <v>processor</v>
      </c>
      <c r="BZ1332" t="str">
        <v>Transmontaigne Operating Company 36</v>
      </c>
      <c r="CA1332" t="str">
        <v>blendSAF</v>
      </c>
      <c r="CB1332" t="str">
        <v/>
      </c>
      <c r="CC1332" t="str">
        <v/>
      </c>
      <c r="CD1332" t="str">
        <v/>
      </c>
      <c r="CE1332" t="str">
        <v/>
      </c>
      <c r="CF1332" t="str">
        <v/>
      </c>
    </row>
    <row r="1333" spans="58:84" x14ac:dyDescent="0.3">
      <c r="BF1333" t="str">
        <v>processor</v>
      </c>
      <c r="BG1333" t="str">
        <v>Par Montana Llc 9</v>
      </c>
      <c r="BH1333" t="str">
        <v>blendSAF</v>
      </c>
      <c r="BI1333" t="str">
        <v/>
      </c>
      <c r="BJ1333" t="str">
        <v/>
      </c>
      <c r="BK1333" t="str">
        <v/>
      </c>
      <c r="BL1333" t="str">
        <v/>
      </c>
      <c r="BM1333" t="str">
        <v/>
      </c>
      <c r="BY1333" t="str">
        <v>processor</v>
      </c>
      <c r="BZ1333" t="str">
        <v>Transmontaigne Operating Company 33</v>
      </c>
      <c r="CA1333" t="str">
        <v>blendSAF</v>
      </c>
      <c r="CB1333" t="str">
        <v/>
      </c>
      <c r="CC1333" t="str">
        <v/>
      </c>
      <c r="CD1333" t="str">
        <v/>
      </c>
      <c r="CE1333" t="str">
        <v/>
      </c>
      <c r="CF1333" t="str">
        <v/>
      </c>
    </row>
    <row r="1334" spans="58:84" x14ac:dyDescent="0.3">
      <c r="BF1334" t="str">
        <v>processor</v>
      </c>
      <c r="BG1334" t="str">
        <v>Par Montana Llc 10</v>
      </c>
      <c r="BH1334" t="str">
        <v>blendSAF</v>
      </c>
      <c r="BI1334" t="str">
        <v/>
      </c>
      <c r="BJ1334" t="str">
        <v/>
      </c>
      <c r="BK1334" t="str">
        <v/>
      </c>
      <c r="BL1334" t="str">
        <v/>
      </c>
      <c r="BM1334" t="str">
        <v/>
      </c>
      <c r="BY1334" t="str">
        <v>processor</v>
      </c>
      <c r="BZ1334" t="str">
        <v>Transmontaigne Operating Company 34</v>
      </c>
      <c r="CA1334" t="str">
        <v>blendSAF</v>
      </c>
      <c r="CB1334" t="str">
        <v/>
      </c>
      <c r="CC1334" t="str">
        <v/>
      </c>
      <c r="CD1334" t="str">
        <v/>
      </c>
      <c r="CE1334" t="str">
        <v/>
      </c>
      <c r="CF1334" t="str">
        <v/>
      </c>
    </row>
    <row r="1335" spans="58:84" x14ac:dyDescent="0.3">
      <c r="BF1335" t="str">
        <v>processor</v>
      </c>
      <c r="BG1335" t="str">
        <v>Petrogas West Llc</v>
      </c>
      <c r="BH1335" t="str">
        <v>blendSAF</v>
      </c>
      <c r="BI1335" t="str">
        <v/>
      </c>
      <c r="BJ1335" t="str">
        <v/>
      </c>
      <c r="BK1335" t="str">
        <v/>
      </c>
      <c r="BL1335" t="str">
        <v/>
      </c>
      <c r="BM1335" t="str">
        <v/>
      </c>
      <c r="BY1335" t="str">
        <v>processor</v>
      </c>
      <c r="BZ1335" t="str">
        <v>Transmontaigne Operating Company 42</v>
      </c>
      <c r="CA1335" t="str">
        <v>blendSAF</v>
      </c>
      <c r="CB1335" t="str">
        <v/>
      </c>
      <c r="CC1335" t="str">
        <v/>
      </c>
      <c r="CD1335" t="str">
        <v/>
      </c>
      <c r="CE1335" t="str">
        <v/>
      </c>
      <c r="CF1335" t="str">
        <v/>
      </c>
    </row>
    <row r="1336" spans="58:84" x14ac:dyDescent="0.3">
      <c r="BF1336" t="str">
        <v>processor</v>
      </c>
      <c r="BG1336" t="str">
        <v>Equilon Enterprises Llc 5</v>
      </c>
      <c r="BH1336" t="str">
        <v>blendSAF</v>
      </c>
      <c r="BI1336" t="str">
        <v/>
      </c>
      <c r="BJ1336" t="str">
        <v/>
      </c>
      <c r="BK1336" t="str">
        <v/>
      </c>
      <c r="BL1336" t="str">
        <v/>
      </c>
      <c r="BM1336" t="str">
        <v/>
      </c>
      <c r="BY1336" t="str">
        <v>processor</v>
      </c>
      <c r="BZ1336" t="str">
        <v>Transmontaigne Operating Company 20</v>
      </c>
      <c r="CA1336" t="str">
        <v>blendSAF</v>
      </c>
      <c r="CB1336" t="str">
        <v/>
      </c>
      <c r="CC1336" t="str">
        <v/>
      </c>
      <c r="CD1336" t="str">
        <v/>
      </c>
      <c r="CE1336" t="str">
        <v/>
      </c>
      <c r="CF1336" t="str">
        <v/>
      </c>
    </row>
    <row r="1337" spans="58:84" x14ac:dyDescent="0.3">
      <c r="BF1337" t="str">
        <v>processor</v>
      </c>
      <c r="BG1337" t="str">
        <v>Tidewater Terminal Co 1</v>
      </c>
      <c r="BH1337" t="str">
        <v>blendSAF</v>
      </c>
      <c r="BI1337" t="str">
        <v/>
      </c>
      <c r="BJ1337" t="str">
        <v/>
      </c>
      <c r="BK1337" t="str">
        <v/>
      </c>
      <c r="BL1337" t="str">
        <v/>
      </c>
      <c r="BM1337" t="str">
        <v/>
      </c>
      <c r="BY1337" t="str">
        <v>processor</v>
      </c>
      <c r="BZ1337" t="str">
        <v>Transmontaigne Operating Company 43</v>
      </c>
      <c r="CA1337" t="str">
        <v>blendSAF</v>
      </c>
      <c r="CB1337" t="str">
        <v/>
      </c>
      <c r="CC1337" t="str">
        <v/>
      </c>
      <c r="CD1337" t="str">
        <v/>
      </c>
      <c r="CE1337" t="str">
        <v/>
      </c>
      <c r="CF1337" t="str">
        <v/>
      </c>
    </row>
    <row r="1338" spans="58:84" x14ac:dyDescent="0.3">
      <c r="BF1338" t="str">
        <v>processor</v>
      </c>
      <c r="BG1338" t="str">
        <v>Tidewater Terminal Co 3</v>
      </c>
      <c r="BH1338" t="str">
        <v>blendSAF</v>
      </c>
      <c r="BI1338" t="str">
        <v/>
      </c>
      <c r="BJ1338" t="str">
        <v/>
      </c>
      <c r="BK1338" t="str">
        <v/>
      </c>
      <c r="BL1338" t="str">
        <v/>
      </c>
      <c r="BM1338" t="str">
        <v/>
      </c>
      <c r="BY1338" t="str">
        <v>processor</v>
      </c>
      <c r="BZ1338" t="str">
        <v>World Fuel Services</v>
      </c>
      <c r="CA1338" t="str">
        <v>blendSAF</v>
      </c>
      <c r="CB1338" t="str">
        <v/>
      </c>
      <c r="CC1338" t="str">
        <v/>
      </c>
      <c r="CD1338" t="str">
        <v/>
      </c>
      <c r="CE1338" t="str">
        <v/>
      </c>
      <c r="CF1338" t="str">
        <v/>
      </c>
    </row>
    <row r="1339" spans="58:84" x14ac:dyDescent="0.3">
      <c r="BF1339" t="str">
        <v>processor</v>
      </c>
      <c r="BG1339" t="str">
        <v>Petroleum Fuel &amp; Terminal Co 16</v>
      </c>
      <c r="BH1339" t="str">
        <v>blendSAF</v>
      </c>
      <c r="BI1339" t="str">
        <v/>
      </c>
      <c r="BJ1339" t="str">
        <v/>
      </c>
      <c r="BK1339" t="str">
        <v/>
      </c>
      <c r="BL1339" t="str">
        <v/>
      </c>
      <c r="BM1339" t="str">
        <v/>
      </c>
      <c r="BY1339" t="str">
        <v>processor</v>
      </c>
      <c r="BZ1339" t="str">
        <v>Reg Grays Harbor Llc</v>
      </c>
      <c r="CA1339" t="str">
        <v>blendSAF</v>
      </c>
      <c r="CB1339" t="str">
        <v/>
      </c>
      <c r="CC1339" t="str">
        <v/>
      </c>
      <c r="CD1339" t="str">
        <v/>
      </c>
      <c r="CE1339" t="str">
        <v/>
      </c>
      <c r="CF1339" t="str">
        <v/>
      </c>
    </row>
    <row r="1340" spans="58:84" x14ac:dyDescent="0.3">
      <c r="BF1340" t="str">
        <v>processor</v>
      </c>
      <c r="BG1340" t="str">
        <v>Ergon West Virginia Inc</v>
      </c>
      <c r="BH1340" t="str">
        <v>blendSAF</v>
      </c>
      <c r="BI1340" t="str">
        <v/>
      </c>
      <c r="BJ1340" t="str">
        <v/>
      </c>
      <c r="BK1340" t="str">
        <v/>
      </c>
      <c r="BL1340" t="str">
        <v/>
      </c>
      <c r="BM1340" t="str">
        <v/>
      </c>
      <c r="BY1340" t="str">
        <v>processor</v>
      </c>
      <c r="BZ1340" t="str">
        <v>Ergon Asphalt &amp; Emulsions Inc 11</v>
      </c>
      <c r="CA1340" t="str">
        <v>blendSAF</v>
      </c>
      <c r="CB1340" t="str">
        <v/>
      </c>
      <c r="CC1340" t="str">
        <v/>
      </c>
      <c r="CD1340" t="str">
        <v/>
      </c>
      <c r="CE1340" t="str">
        <v/>
      </c>
      <c r="CF1340" t="str">
        <v/>
      </c>
    </row>
    <row r="1341" spans="58:84" x14ac:dyDescent="0.3">
      <c r="BF1341" t="str">
        <v>processor</v>
      </c>
      <c r="BG1341" t="str">
        <v>Associated Asphalt Martinsburg Llc</v>
      </c>
      <c r="BH1341" t="str">
        <v>blendSAF</v>
      </c>
      <c r="BI1341" t="str">
        <v/>
      </c>
      <c r="BJ1341" t="str">
        <v/>
      </c>
      <c r="BK1341" t="str">
        <v/>
      </c>
      <c r="BL1341" t="str">
        <v/>
      </c>
      <c r="BM1341" t="str">
        <v/>
      </c>
      <c r="BY1341" t="str">
        <v>processor</v>
      </c>
      <c r="BZ1341" t="str">
        <v>Ergon Asphalt 7 Emulsions Inc</v>
      </c>
      <c r="CA1341" t="str">
        <v>blendSAF</v>
      </c>
      <c r="CB1341" t="str">
        <v/>
      </c>
      <c r="CC1341" t="str">
        <v/>
      </c>
      <c r="CD1341" t="str">
        <v/>
      </c>
      <c r="CE1341" t="str">
        <v/>
      </c>
      <c r="CF1341" t="str">
        <v/>
      </c>
    </row>
    <row r="1342" spans="58:84" x14ac:dyDescent="0.3">
      <c r="BF1342" t="str">
        <v>processor</v>
      </c>
      <c r="BG1342" t="str">
        <v>Sunoco Midstream Llc 11</v>
      </c>
      <c r="BH1342" t="str">
        <v>blendSAF</v>
      </c>
      <c r="BI1342" t="str">
        <v/>
      </c>
      <c r="BJ1342" t="str">
        <v/>
      </c>
      <c r="BK1342" t="str">
        <v/>
      </c>
      <c r="BL1342" t="str">
        <v/>
      </c>
      <c r="BM1342" t="str">
        <v/>
      </c>
      <c r="BY1342" t="str">
        <v>processor</v>
      </c>
      <c r="BZ1342" t="str">
        <v>Ergon Asphalt &amp; Emulsions Inc 14</v>
      </c>
      <c r="CA1342" t="str">
        <v>blendSAF</v>
      </c>
      <c r="CB1342" t="str">
        <v/>
      </c>
      <c r="CC1342" t="str">
        <v/>
      </c>
      <c r="CD1342" t="str">
        <v/>
      </c>
      <c r="CE1342" t="str">
        <v/>
      </c>
      <c r="CF1342" t="str">
        <v/>
      </c>
    </row>
    <row r="1343" spans="58:84" x14ac:dyDescent="0.3">
      <c r="BF1343" t="str">
        <v>processor</v>
      </c>
      <c r="BG1343" t="str">
        <v>Go-Mart Inc 1</v>
      </c>
      <c r="BH1343" t="str">
        <v>blendSAF</v>
      </c>
      <c r="BI1343" t="str">
        <v/>
      </c>
      <c r="BJ1343" t="str">
        <v/>
      </c>
      <c r="BK1343" t="str">
        <v/>
      </c>
      <c r="BL1343" t="str">
        <v/>
      </c>
      <c r="BM1343" t="str">
        <v/>
      </c>
      <c r="BY1343" t="str">
        <v>processor</v>
      </c>
      <c r="BZ1343" t="str">
        <v>Tlp Management Services Llc 4</v>
      </c>
      <c r="CA1343" t="str">
        <v>blendSAF</v>
      </c>
      <c r="CB1343" t="str">
        <v/>
      </c>
      <c r="CC1343" t="str">
        <v/>
      </c>
      <c r="CD1343" t="str">
        <v/>
      </c>
      <c r="CE1343" t="str">
        <v/>
      </c>
      <c r="CF1343" t="str">
        <v/>
      </c>
    </row>
    <row r="1344" spans="58:84" x14ac:dyDescent="0.3">
      <c r="BF1344" t="str">
        <v>processor</v>
      </c>
      <c r="BG1344" t="str">
        <v>Go-Mart Inc 2</v>
      </c>
      <c r="BH1344" t="str">
        <v>blendSAF</v>
      </c>
      <c r="BI1344" t="str">
        <v/>
      </c>
      <c r="BJ1344" t="str">
        <v/>
      </c>
      <c r="BK1344" t="str">
        <v/>
      </c>
      <c r="BL1344" t="str">
        <v/>
      </c>
      <c r="BM1344" t="str">
        <v/>
      </c>
      <c r="BY1344" t="str">
        <v>processor</v>
      </c>
      <c r="BZ1344" t="str">
        <v>Seaport Sound Terminal Llc</v>
      </c>
      <c r="CA1344" t="str">
        <v>blendSAF</v>
      </c>
      <c r="CB1344" t="str">
        <v/>
      </c>
      <c r="CC1344" t="str">
        <v/>
      </c>
      <c r="CD1344" t="str">
        <v/>
      </c>
      <c r="CE1344" t="str">
        <v/>
      </c>
      <c r="CF1344" t="str">
        <v/>
      </c>
    </row>
    <row r="1345" spans="58:84" x14ac:dyDescent="0.3">
      <c r="BF1345" t="str">
        <v>processor</v>
      </c>
      <c r="BG1345" t="str">
        <v>Mplx Terminals Llc 9</v>
      </c>
      <c r="BH1345" t="str">
        <v>blendSAF</v>
      </c>
      <c r="BI1345" t="str">
        <v/>
      </c>
      <c r="BJ1345" t="str">
        <v/>
      </c>
      <c r="BK1345" t="str">
        <v/>
      </c>
      <c r="BL1345" t="str">
        <v/>
      </c>
      <c r="BM1345" t="str">
        <v/>
      </c>
      <c r="BY1345" t="str">
        <v>processor</v>
      </c>
      <c r="BZ1345" t="str">
        <v>Phillips 66 Company 23</v>
      </c>
      <c r="CA1345" t="str">
        <v>blendSAF</v>
      </c>
      <c r="CB1345" t="str">
        <v/>
      </c>
      <c r="CC1345" t="str">
        <v/>
      </c>
      <c r="CD1345" t="str">
        <v/>
      </c>
      <c r="CE1345" t="str">
        <v/>
      </c>
      <c r="CF1345" t="str">
        <v/>
      </c>
    </row>
    <row r="1346" spans="58:84" x14ac:dyDescent="0.3">
      <c r="BF1346" t="str">
        <v>processor</v>
      </c>
      <c r="BG1346" t="str">
        <v>Shell Oil Products Us 11</v>
      </c>
      <c r="BH1346" t="str">
        <v>blendSAF</v>
      </c>
      <c r="BI1346" t="str">
        <v/>
      </c>
      <c r="BJ1346" t="str">
        <v/>
      </c>
      <c r="BK1346" t="str">
        <v/>
      </c>
      <c r="BL1346" t="str">
        <v/>
      </c>
      <c r="BM1346" t="str">
        <v/>
      </c>
      <c r="BY1346" t="str">
        <v>processor</v>
      </c>
      <c r="BZ1346" t="str">
        <v>Phillips 66 Company 24</v>
      </c>
      <c r="CA1346" t="str">
        <v>blendSAF</v>
      </c>
      <c r="CB1346" t="str">
        <v/>
      </c>
      <c r="CC1346" t="str">
        <v/>
      </c>
      <c r="CD1346" t="str">
        <v/>
      </c>
      <c r="CE1346" t="str">
        <v/>
      </c>
      <c r="CF1346" t="str">
        <v/>
      </c>
    </row>
    <row r="1347" spans="58:84" x14ac:dyDescent="0.3">
      <c r="BF1347" t="str">
        <v>processor</v>
      </c>
      <c r="BG1347" t="str">
        <v>Flint Hills Resources Lp 24</v>
      </c>
      <c r="BH1347" t="str">
        <v>blendSAF</v>
      </c>
      <c r="BI1347" t="str">
        <v/>
      </c>
      <c r="BJ1347" t="str">
        <v/>
      </c>
      <c r="BK1347" t="str">
        <v/>
      </c>
      <c r="BL1347" t="str">
        <v/>
      </c>
      <c r="BM1347" t="str">
        <v/>
      </c>
      <c r="BY1347" t="str">
        <v>processor</v>
      </c>
      <c r="BZ1347" t="str">
        <v>Phillips 66 Company 17</v>
      </c>
      <c r="CA1347" t="str">
        <v>blendSAF</v>
      </c>
      <c r="CB1347" t="str">
        <v/>
      </c>
      <c r="CC1347" t="str">
        <v/>
      </c>
      <c r="CD1347" t="str">
        <v/>
      </c>
      <c r="CE1347" t="str">
        <v/>
      </c>
      <c r="CF1347" t="str">
        <v/>
      </c>
    </row>
    <row r="1348" spans="58:84" x14ac:dyDescent="0.3">
      <c r="BF1348" t="str">
        <v>processor</v>
      </c>
      <c r="BG1348" t="str">
        <v>Flint Hills Resources Lp 17</v>
      </c>
      <c r="BH1348" t="str">
        <v>blendSAF</v>
      </c>
      <c r="BI1348" t="str">
        <v/>
      </c>
      <c r="BJ1348" t="str">
        <v/>
      </c>
      <c r="BK1348" t="str">
        <v/>
      </c>
      <c r="BL1348" t="str">
        <v/>
      </c>
      <c r="BM1348" t="str">
        <v/>
      </c>
      <c r="BY1348" t="str">
        <v>processor</v>
      </c>
      <c r="BZ1348" t="str">
        <v>Holly Energy Partners Oper Lp 6</v>
      </c>
      <c r="CA1348" t="str">
        <v>blendSAF</v>
      </c>
      <c r="CB1348" t="str">
        <v/>
      </c>
      <c r="CC1348" t="str">
        <v/>
      </c>
      <c r="CD1348" t="str">
        <v/>
      </c>
      <c r="CE1348" t="str">
        <v/>
      </c>
      <c r="CF1348" t="str">
        <v/>
      </c>
    </row>
    <row r="1349" spans="58:84" x14ac:dyDescent="0.3">
      <c r="BF1349" t="str">
        <v>processor</v>
      </c>
      <c r="BG1349" t="str">
        <v>Flint Hills Resources Lp 16</v>
      </c>
      <c r="BH1349" t="str">
        <v>blendSAF</v>
      </c>
      <c r="BI1349" t="str">
        <v/>
      </c>
      <c r="BJ1349" t="str">
        <v/>
      </c>
      <c r="BK1349" t="str">
        <v/>
      </c>
      <c r="BL1349" t="str">
        <v/>
      </c>
      <c r="BM1349" t="str">
        <v/>
      </c>
      <c r="BY1349" t="str">
        <v>processor</v>
      </c>
      <c r="BZ1349" t="str">
        <v>Kinder Morgan Energy Partner Lp</v>
      </c>
      <c r="CA1349" t="str">
        <v>blendSAF</v>
      </c>
      <c r="CB1349" t="str">
        <v/>
      </c>
      <c r="CC1349" t="str">
        <v/>
      </c>
      <c r="CD1349" t="str">
        <v/>
      </c>
      <c r="CE1349" t="str">
        <v/>
      </c>
      <c r="CF1349" t="str">
        <v/>
      </c>
    </row>
    <row r="1350" spans="58:84" x14ac:dyDescent="0.3">
      <c r="BF1350" t="str">
        <v>processor</v>
      </c>
      <c r="BG1350" t="str">
        <v>Flint Hills Resources Lp 14</v>
      </c>
      <c r="BH1350" t="str">
        <v>blendSAF</v>
      </c>
      <c r="BI1350" t="str">
        <v/>
      </c>
      <c r="BJ1350" t="str">
        <v/>
      </c>
      <c r="BK1350" t="str">
        <v/>
      </c>
      <c r="BL1350" t="str">
        <v/>
      </c>
      <c r="BM1350" t="str">
        <v/>
      </c>
      <c r="BY1350" t="str">
        <v>processor</v>
      </c>
      <c r="BZ1350" t="str">
        <v>Tesoro Refining &amp; Marketing 8</v>
      </c>
      <c r="CA1350" t="str">
        <v>blendSAF</v>
      </c>
      <c r="CB1350" t="str">
        <v/>
      </c>
      <c r="CC1350" t="str">
        <v/>
      </c>
      <c r="CD1350" t="str">
        <v/>
      </c>
      <c r="CE1350" t="str">
        <v/>
      </c>
      <c r="CF1350" t="str">
        <v/>
      </c>
    </row>
    <row r="1351" spans="58:84" x14ac:dyDescent="0.3">
      <c r="BF1351" t="str">
        <v>processor</v>
      </c>
      <c r="BG1351" t="str">
        <v>Flint Hill Resources Lp 2</v>
      </c>
      <c r="BH1351" t="str">
        <v>blendSAF</v>
      </c>
      <c r="BI1351" t="str">
        <v/>
      </c>
      <c r="BJ1351" t="str">
        <v/>
      </c>
      <c r="BK1351" t="str">
        <v/>
      </c>
      <c r="BL1351" t="str">
        <v/>
      </c>
      <c r="BM1351" t="str">
        <v/>
      </c>
      <c r="BY1351" t="str">
        <v>processor</v>
      </c>
      <c r="BZ1351" t="str">
        <v>Andeavor Logistics Lp 23</v>
      </c>
      <c r="CA1351" t="str">
        <v>blendSAF</v>
      </c>
      <c r="CB1351" t="str">
        <v/>
      </c>
      <c r="CC1351" t="str">
        <v/>
      </c>
      <c r="CD1351" t="str">
        <v/>
      </c>
      <c r="CE1351" t="str">
        <v/>
      </c>
      <c r="CF1351" t="str">
        <v/>
      </c>
    </row>
    <row r="1352" spans="58:84" x14ac:dyDescent="0.3">
      <c r="BF1352" t="str">
        <v>processor</v>
      </c>
      <c r="BG1352" t="str">
        <v>Flint Hill Resources Lp 5</v>
      </c>
      <c r="BH1352" t="str">
        <v>blendSAF</v>
      </c>
      <c r="BI1352" t="str">
        <v/>
      </c>
      <c r="BJ1352" t="str">
        <v/>
      </c>
      <c r="BK1352" t="str">
        <v/>
      </c>
      <c r="BL1352" t="str">
        <v/>
      </c>
      <c r="BM1352" t="str">
        <v/>
      </c>
      <c r="BY1352" t="str">
        <v>processor</v>
      </c>
      <c r="BZ1352" t="str">
        <v>Andeavor Logistics Lp 16</v>
      </c>
      <c r="CA1352" t="str">
        <v>blendSAF</v>
      </c>
      <c r="CB1352" t="str">
        <v/>
      </c>
      <c r="CC1352" t="str">
        <v/>
      </c>
      <c r="CD1352" t="str">
        <v/>
      </c>
      <c r="CE1352" t="str">
        <v/>
      </c>
      <c r="CF1352" t="str">
        <v/>
      </c>
    </row>
    <row r="1353" spans="58:84" x14ac:dyDescent="0.3">
      <c r="BF1353" t="str">
        <v>processor</v>
      </c>
      <c r="BG1353" t="str">
        <v>Us Venture Inc 15</v>
      </c>
      <c r="BH1353" t="str">
        <v>blendSAF</v>
      </c>
      <c r="BI1353" t="str">
        <v/>
      </c>
      <c r="BJ1353" t="str">
        <v/>
      </c>
      <c r="BK1353" t="str">
        <v/>
      </c>
      <c r="BL1353" t="str">
        <v/>
      </c>
      <c r="BM1353" t="str">
        <v/>
      </c>
      <c r="BY1353" t="str">
        <v>processor</v>
      </c>
      <c r="BZ1353" t="str">
        <v>Nustar Energy Lp 43</v>
      </c>
      <c r="CA1353" t="str">
        <v>blendSAF</v>
      </c>
      <c r="CB1353" t="str">
        <v/>
      </c>
      <c r="CC1353" t="str">
        <v/>
      </c>
      <c r="CD1353" t="str">
        <v/>
      </c>
      <c r="CE1353" t="str">
        <v/>
      </c>
      <c r="CF1353" t="str">
        <v/>
      </c>
    </row>
    <row r="1354" spans="58:84" x14ac:dyDescent="0.3">
      <c r="BF1354" t="str">
        <v>processor</v>
      </c>
      <c r="BG1354" t="str">
        <v>Us Venture Inc 19</v>
      </c>
      <c r="BH1354" t="str">
        <v>blendSAF</v>
      </c>
      <c r="BI1354" t="str">
        <v/>
      </c>
      <c r="BJ1354" t="str">
        <v/>
      </c>
      <c r="BK1354" t="str">
        <v/>
      </c>
      <c r="BL1354" t="str">
        <v/>
      </c>
      <c r="BM1354" t="str">
        <v/>
      </c>
      <c r="BY1354" t="str">
        <v>processor</v>
      </c>
      <c r="BZ1354" t="str">
        <v>Nustar Energy Lp 44</v>
      </c>
      <c r="CA1354" t="str">
        <v>blendSAF</v>
      </c>
      <c r="CB1354" t="str">
        <v/>
      </c>
      <c r="CC1354" t="str">
        <v/>
      </c>
      <c r="CD1354" t="str">
        <v/>
      </c>
      <c r="CE1354" t="str">
        <v/>
      </c>
      <c r="CF1354" t="str">
        <v/>
      </c>
    </row>
    <row r="1355" spans="58:84" x14ac:dyDescent="0.3">
      <c r="BF1355" t="str">
        <v>processor</v>
      </c>
      <c r="BG1355" t="str">
        <v>Us Venture Inc 20</v>
      </c>
      <c r="BH1355" t="str">
        <v>blendSAF</v>
      </c>
      <c r="BI1355" t="str">
        <v/>
      </c>
      <c r="BJ1355" t="str">
        <v/>
      </c>
      <c r="BK1355" t="str">
        <v/>
      </c>
      <c r="BL1355" t="str">
        <v/>
      </c>
      <c r="BM1355" t="str">
        <v/>
      </c>
      <c r="BY1355" t="str">
        <v>processor</v>
      </c>
      <c r="BZ1355" t="str">
        <v>Par Montana Llc 9</v>
      </c>
      <c r="CA1355" t="str">
        <v>blendSAF</v>
      </c>
      <c r="CB1355" t="str">
        <v/>
      </c>
      <c r="CC1355" t="str">
        <v/>
      </c>
      <c r="CD1355" t="str">
        <v/>
      </c>
      <c r="CE1355" t="str">
        <v/>
      </c>
      <c r="CF1355" t="str">
        <v/>
      </c>
    </row>
    <row r="1356" spans="58:84" x14ac:dyDescent="0.3">
      <c r="BF1356" t="str">
        <v>processor</v>
      </c>
      <c r="BG1356" t="str">
        <v>Us Venture Inc 21</v>
      </c>
      <c r="BH1356" t="str">
        <v>blendSAF</v>
      </c>
      <c r="BI1356" t="str">
        <v/>
      </c>
      <c r="BJ1356" t="str">
        <v/>
      </c>
      <c r="BK1356" t="str">
        <v/>
      </c>
      <c r="BL1356" t="str">
        <v/>
      </c>
      <c r="BM1356" t="str">
        <v/>
      </c>
      <c r="BY1356" t="str">
        <v>processor</v>
      </c>
      <c r="BZ1356" t="str">
        <v>Par Montana Llc 10</v>
      </c>
      <c r="CA1356" t="str">
        <v>blendSAF</v>
      </c>
      <c r="CB1356" t="str">
        <v/>
      </c>
      <c r="CC1356" t="str">
        <v/>
      </c>
      <c r="CD1356" t="str">
        <v/>
      </c>
      <c r="CE1356" t="str">
        <v/>
      </c>
      <c r="CF1356" t="str">
        <v/>
      </c>
    </row>
    <row r="1357" spans="58:84" x14ac:dyDescent="0.3">
      <c r="BF1357" t="str">
        <v>processor</v>
      </c>
      <c r="BG1357" t="str">
        <v>Us Venture Inc 4</v>
      </c>
      <c r="BH1357" t="str">
        <v>blendSAF</v>
      </c>
      <c r="BI1357" t="str">
        <v/>
      </c>
      <c r="BJ1357" t="str">
        <v/>
      </c>
      <c r="BK1357" t="str">
        <v/>
      </c>
      <c r="BL1357" t="str">
        <v/>
      </c>
      <c r="BM1357" t="str">
        <v/>
      </c>
      <c r="BY1357" t="str">
        <v>processor</v>
      </c>
      <c r="BZ1357" t="str">
        <v>Petrogas West Llc</v>
      </c>
      <c r="CA1357" t="str">
        <v>blendSAF</v>
      </c>
      <c r="CB1357" t="str">
        <v/>
      </c>
      <c r="CC1357" t="str">
        <v/>
      </c>
      <c r="CD1357" t="str">
        <v/>
      </c>
      <c r="CE1357" t="str">
        <v/>
      </c>
      <c r="CF1357" t="str">
        <v/>
      </c>
    </row>
    <row r="1358" spans="58:84" x14ac:dyDescent="0.3">
      <c r="BF1358" t="str">
        <v>processor</v>
      </c>
      <c r="BG1358" t="str">
        <v>Us Venture Inc 7</v>
      </c>
      <c r="BH1358" t="str">
        <v>blendSAF</v>
      </c>
      <c r="BI1358" t="str">
        <v/>
      </c>
      <c r="BJ1358" t="str">
        <v/>
      </c>
      <c r="BK1358" t="str">
        <v/>
      </c>
      <c r="BL1358" t="str">
        <v/>
      </c>
      <c r="BM1358" t="str">
        <v/>
      </c>
      <c r="BY1358" t="str">
        <v>processor</v>
      </c>
      <c r="BZ1358" t="str">
        <v>Equilon Enterprises Llc 5</v>
      </c>
      <c r="CA1358" t="str">
        <v>blendSAF</v>
      </c>
      <c r="CB1358" t="str">
        <v/>
      </c>
      <c r="CC1358" t="str">
        <v/>
      </c>
      <c r="CD1358" t="str">
        <v/>
      </c>
      <c r="CE1358" t="str">
        <v/>
      </c>
      <c r="CF1358" t="str">
        <v/>
      </c>
    </row>
    <row r="1359" spans="58:84" x14ac:dyDescent="0.3">
      <c r="BF1359" t="str">
        <v>processor</v>
      </c>
      <c r="BG1359" t="str">
        <v>Us Venture Inc 8</v>
      </c>
      <c r="BH1359" t="str">
        <v>blendSAF</v>
      </c>
      <c r="BI1359" t="str">
        <v/>
      </c>
      <c r="BJ1359" t="str">
        <v/>
      </c>
      <c r="BK1359" t="str">
        <v/>
      </c>
      <c r="BL1359" t="str">
        <v/>
      </c>
      <c r="BM1359" t="str">
        <v/>
      </c>
      <c r="BY1359" t="str">
        <v>processor</v>
      </c>
      <c r="BZ1359" t="str">
        <v>Tidewater Terminal Co 1</v>
      </c>
      <c r="CA1359" t="str">
        <v>blendSAF</v>
      </c>
      <c r="CB1359" t="str">
        <v/>
      </c>
      <c r="CC1359" t="str">
        <v/>
      </c>
      <c r="CD1359" t="str">
        <v/>
      </c>
      <c r="CE1359" t="str">
        <v/>
      </c>
      <c r="CF1359" t="str">
        <v/>
      </c>
    </row>
    <row r="1360" spans="58:84" x14ac:dyDescent="0.3">
      <c r="BF1360" t="str">
        <v>processor</v>
      </c>
      <c r="BG1360" t="str">
        <v>Us Venture Inc 16</v>
      </c>
      <c r="BH1360" t="str">
        <v>blendSAF</v>
      </c>
      <c r="BI1360" t="str">
        <v/>
      </c>
      <c r="BJ1360" t="str">
        <v/>
      </c>
      <c r="BK1360" t="str">
        <v/>
      </c>
      <c r="BL1360" t="str">
        <v/>
      </c>
      <c r="BM1360" t="str">
        <v/>
      </c>
      <c r="BY1360" t="str">
        <v>processor</v>
      </c>
      <c r="BZ1360" t="str">
        <v>Tidewater Terminal Co 3</v>
      </c>
      <c r="CA1360" t="str">
        <v>blendSAF</v>
      </c>
      <c r="CB1360" t="str">
        <v/>
      </c>
      <c r="CC1360" t="str">
        <v/>
      </c>
      <c r="CD1360" t="str">
        <v/>
      </c>
      <c r="CE1360" t="str">
        <v/>
      </c>
      <c r="CF1360" t="str">
        <v/>
      </c>
    </row>
    <row r="1361" spans="58:84" x14ac:dyDescent="0.3">
      <c r="BF1361" t="str">
        <v>processor</v>
      </c>
      <c r="BG1361" t="str">
        <v>Us Venture Inc 9</v>
      </c>
      <c r="BH1361" t="str">
        <v>blendSAF</v>
      </c>
      <c r="BI1361" t="str">
        <v/>
      </c>
      <c r="BJ1361" t="str">
        <v/>
      </c>
      <c r="BK1361" t="str">
        <v/>
      </c>
      <c r="BL1361" t="str">
        <v/>
      </c>
      <c r="BM1361" t="str">
        <v/>
      </c>
      <c r="BY1361" t="str">
        <v>processor</v>
      </c>
      <c r="BZ1361" t="str">
        <v>Petroleum Fuel &amp; Terminal Co 16</v>
      </c>
      <c r="CA1361" t="str">
        <v>blendSAF</v>
      </c>
      <c r="CB1361" t="str">
        <v/>
      </c>
      <c r="CC1361" t="str">
        <v/>
      </c>
      <c r="CD1361" t="str">
        <v/>
      </c>
      <c r="CE1361" t="str">
        <v/>
      </c>
      <c r="CF1361" t="str">
        <v/>
      </c>
    </row>
    <row r="1362" spans="58:84" x14ac:dyDescent="0.3">
      <c r="BF1362" t="str">
        <v>processor</v>
      </c>
      <c r="BG1362" t="str">
        <v>Us Venture Inc 17</v>
      </c>
      <c r="BH1362" t="str">
        <v>blendSAF</v>
      </c>
      <c r="BI1362" t="str">
        <v/>
      </c>
      <c r="BJ1362" t="str">
        <v/>
      </c>
      <c r="BK1362" t="str">
        <v/>
      </c>
      <c r="BL1362" t="str">
        <v/>
      </c>
      <c r="BM1362" t="str">
        <v/>
      </c>
      <c r="BY1362" t="str">
        <v>processor</v>
      </c>
      <c r="BZ1362" t="str">
        <v>Ergon West Virginia Inc</v>
      </c>
      <c r="CA1362" t="str">
        <v>blendSAF</v>
      </c>
      <c r="CB1362" t="str">
        <v/>
      </c>
      <c r="CC1362" t="str">
        <v/>
      </c>
      <c r="CD1362" t="str">
        <v/>
      </c>
      <c r="CE1362" t="str">
        <v/>
      </c>
      <c r="CF1362" t="str">
        <v/>
      </c>
    </row>
    <row r="1363" spans="58:84" x14ac:dyDescent="0.3">
      <c r="BF1363" t="str">
        <v>processor</v>
      </c>
      <c r="BG1363" t="str">
        <v>Us Venture Inc 22</v>
      </c>
      <c r="BH1363" t="str">
        <v>blendSAF</v>
      </c>
      <c r="BI1363" t="str">
        <v/>
      </c>
      <c r="BJ1363" t="str">
        <v/>
      </c>
      <c r="BK1363" t="str">
        <v/>
      </c>
      <c r="BL1363" t="str">
        <v/>
      </c>
      <c r="BM1363" t="str">
        <v/>
      </c>
      <c r="BY1363" t="str">
        <v>processor</v>
      </c>
      <c r="BZ1363" t="str">
        <v>Associated Asphalt Martinsburg Llc</v>
      </c>
      <c r="CA1363" t="str">
        <v>blendSAF</v>
      </c>
      <c r="CB1363" t="str">
        <v/>
      </c>
      <c r="CC1363" t="str">
        <v/>
      </c>
      <c r="CD1363" t="str">
        <v/>
      </c>
      <c r="CE1363" t="str">
        <v/>
      </c>
      <c r="CF1363" t="str">
        <v/>
      </c>
    </row>
    <row r="1364" spans="58:84" x14ac:dyDescent="0.3">
      <c r="BF1364" t="str">
        <v>processor</v>
      </c>
      <c r="BG1364" t="str">
        <v>Us Venture Inc 10</v>
      </c>
      <c r="BH1364" t="str">
        <v>blendSAF</v>
      </c>
      <c r="BI1364" t="str">
        <v/>
      </c>
      <c r="BJ1364" t="str">
        <v/>
      </c>
      <c r="BK1364" t="str">
        <v/>
      </c>
      <c r="BL1364" t="str">
        <v/>
      </c>
      <c r="BM1364" t="str">
        <v/>
      </c>
      <c r="BY1364" t="str">
        <v>processor</v>
      </c>
      <c r="BZ1364" t="str">
        <v>Sunoco Midstream Llc 11</v>
      </c>
      <c r="CA1364" t="str">
        <v>blendSAF</v>
      </c>
      <c r="CB1364" t="str">
        <v/>
      </c>
      <c r="CC1364" t="str">
        <v/>
      </c>
      <c r="CD1364" t="str">
        <v/>
      </c>
      <c r="CE1364" t="str">
        <v/>
      </c>
      <c r="CF1364" t="str">
        <v/>
      </c>
    </row>
    <row r="1365" spans="58:84" x14ac:dyDescent="0.3">
      <c r="BF1365" t="str">
        <v>processor</v>
      </c>
      <c r="BG1365" t="str">
        <v>Us Venture Inc 23</v>
      </c>
      <c r="BH1365" t="str">
        <v>blendSAF</v>
      </c>
      <c r="BI1365" t="str">
        <v/>
      </c>
      <c r="BJ1365" t="str">
        <v/>
      </c>
      <c r="BK1365" t="str">
        <v/>
      </c>
      <c r="BL1365" t="str">
        <v/>
      </c>
      <c r="BM1365" t="str">
        <v/>
      </c>
      <c r="BY1365" t="str">
        <v>processor</v>
      </c>
      <c r="BZ1365" t="str">
        <v>Go-Mart Inc 1</v>
      </c>
      <c r="CA1365" t="str">
        <v>blendSAF</v>
      </c>
      <c r="CB1365" t="str">
        <v/>
      </c>
      <c r="CC1365" t="str">
        <v/>
      </c>
      <c r="CD1365" t="str">
        <v/>
      </c>
      <c r="CE1365" t="str">
        <v/>
      </c>
      <c r="CF1365" t="str">
        <v/>
      </c>
    </row>
    <row r="1366" spans="58:84" x14ac:dyDescent="0.3">
      <c r="BF1366" t="str">
        <v>processor</v>
      </c>
      <c r="BG1366" t="str">
        <v>Us Venture Inc 11</v>
      </c>
      <c r="BH1366" t="str">
        <v>blendSAF</v>
      </c>
      <c r="BI1366" t="str">
        <v/>
      </c>
      <c r="BJ1366" t="str">
        <v/>
      </c>
      <c r="BK1366" t="str">
        <v/>
      </c>
      <c r="BL1366" t="str">
        <v/>
      </c>
      <c r="BM1366" t="str">
        <v/>
      </c>
      <c r="BY1366" t="str">
        <v>processor</v>
      </c>
      <c r="BZ1366" t="str">
        <v>Go-Mart Inc 2</v>
      </c>
      <c r="CA1366" t="str">
        <v>blendSAF</v>
      </c>
      <c r="CB1366" t="str">
        <v/>
      </c>
      <c r="CC1366" t="str">
        <v/>
      </c>
      <c r="CD1366" t="str">
        <v/>
      </c>
      <c r="CE1366" t="str">
        <v/>
      </c>
      <c r="CF1366" t="str">
        <v/>
      </c>
    </row>
    <row r="1367" spans="58:84" x14ac:dyDescent="0.3">
      <c r="BF1367" t="str">
        <v>processor</v>
      </c>
      <c r="BG1367" t="str">
        <v>Us Venture Inc 12</v>
      </c>
      <c r="BH1367" t="str">
        <v>blendSAF</v>
      </c>
      <c r="BI1367" t="str">
        <v/>
      </c>
      <c r="BJ1367" t="str">
        <v/>
      </c>
      <c r="BK1367" t="str">
        <v/>
      </c>
      <c r="BL1367" t="str">
        <v/>
      </c>
      <c r="BM1367" t="str">
        <v/>
      </c>
      <c r="BY1367" t="str">
        <v>processor</v>
      </c>
      <c r="BZ1367" t="str">
        <v>Mplx Terminals Llc 9</v>
      </c>
      <c r="CA1367" t="str">
        <v>blendSAF</v>
      </c>
      <c r="CB1367" t="str">
        <v/>
      </c>
      <c r="CC1367" t="str">
        <v/>
      </c>
      <c r="CD1367" t="str">
        <v/>
      </c>
      <c r="CE1367" t="str">
        <v/>
      </c>
      <c r="CF1367" t="str">
        <v/>
      </c>
    </row>
    <row r="1368" spans="58:84" x14ac:dyDescent="0.3">
      <c r="BF1368" t="str">
        <v>processor</v>
      </c>
      <c r="BG1368" t="str">
        <v>Buckeye Terminals Llc 70</v>
      </c>
      <c r="BH1368" t="str">
        <v>blendSAF</v>
      </c>
      <c r="BI1368" t="str">
        <v/>
      </c>
      <c r="BJ1368" t="str">
        <v/>
      </c>
      <c r="BK1368" t="str">
        <v/>
      </c>
      <c r="BL1368" t="str">
        <v/>
      </c>
      <c r="BM1368" t="str">
        <v/>
      </c>
      <c r="BY1368" t="str">
        <v>processor</v>
      </c>
      <c r="BZ1368" t="str">
        <v>Shell Oil Products Us 11</v>
      </c>
      <c r="CA1368" t="str">
        <v>blendSAF</v>
      </c>
      <c r="CB1368" t="str">
        <v/>
      </c>
      <c r="CC1368" t="str">
        <v/>
      </c>
      <c r="CD1368" t="str">
        <v/>
      </c>
      <c r="CE1368" t="str">
        <v/>
      </c>
      <c r="CF1368" t="str">
        <v/>
      </c>
    </row>
    <row r="1369" spans="58:84" x14ac:dyDescent="0.3">
      <c r="BF1369" t="str">
        <v>processor</v>
      </c>
      <c r="BG1369" t="str">
        <v>Chs Inc 3</v>
      </c>
      <c r="BH1369" t="str">
        <v>blendSAF</v>
      </c>
      <c r="BI1369" t="str">
        <v/>
      </c>
      <c r="BJ1369" t="str">
        <v/>
      </c>
      <c r="BK1369" t="str">
        <v/>
      </c>
      <c r="BL1369" t="str">
        <v/>
      </c>
      <c r="BM1369" t="str">
        <v/>
      </c>
      <c r="BY1369" t="str">
        <v>processor</v>
      </c>
      <c r="BZ1369" t="str">
        <v>Flint Hills Resources Lp 24</v>
      </c>
      <c r="CA1369" t="str">
        <v>blendSAF</v>
      </c>
      <c r="CB1369" t="str">
        <v/>
      </c>
      <c r="CC1369" t="str">
        <v/>
      </c>
      <c r="CD1369" t="str">
        <v/>
      </c>
      <c r="CE1369" t="str">
        <v/>
      </c>
      <c r="CF1369" t="str">
        <v/>
      </c>
    </row>
    <row r="1370" spans="58:84" x14ac:dyDescent="0.3">
      <c r="BF1370" t="str">
        <v>processor</v>
      </c>
      <c r="BG1370" t="str">
        <v>Chs Inc 1</v>
      </c>
      <c r="BH1370" t="str">
        <v>blendSAF</v>
      </c>
      <c r="BI1370" t="str">
        <v/>
      </c>
      <c r="BJ1370" t="str">
        <v/>
      </c>
      <c r="BK1370" t="str">
        <v/>
      </c>
      <c r="BL1370" t="str">
        <v/>
      </c>
      <c r="BM1370" t="str">
        <v/>
      </c>
      <c r="BY1370" t="str">
        <v>processor</v>
      </c>
      <c r="BZ1370" t="str">
        <v>Flint Hills Resources Lp 17</v>
      </c>
      <c r="CA1370" t="str">
        <v>blendSAF</v>
      </c>
      <c r="CB1370" t="str">
        <v/>
      </c>
      <c r="CC1370" t="str">
        <v/>
      </c>
      <c r="CD1370" t="str">
        <v/>
      </c>
      <c r="CE1370" t="str">
        <v/>
      </c>
      <c r="CF1370" t="str">
        <v/>
      </c>
    </row>
    <row r="1371" spans="58:84" x14ac:dyDescent="0.3">
      <c r="BF1371" t="str">
        <v>processor</v>
      </c>
      <c r="BG1371" t="str">
        <v>Husky Energy 3</v>
      </c>
      <c r="BH1371" t="str">
        <v>blendSAF</v>
      </c>
      <c r="BI1371" t="str">
        <v/>
      </c>
      <c r="BJ1371" t="str">
        <v/>
      </c>
      <c r="BK1371" t="str">
        <v/>
      </c>
      <c r="BL1371" t="str">
        <v/>
      </c>
      <c r="BM1371" t="str">
        <v/>
      </c>
      <c r="BY1371" t="str">
        <v>processor</v>
      </c>
      <c r="BZ1371" t="str">
        <v>Flint Hills Resources Lp 16</v>
      </c>
      <c r="CA1371" t="str">
        <v>blendSAF</v>
      </c>
      <c r="CB1371" t="str">
        <v/>
      </c>
      <c r="CC1371" t="str">
        <v/>
      </c>
      <c r="CD1371" t="str">
        <v/>
      </c>
      <c r="CE1371" t="str">
        <v/>
      </c>
      <c r="CF1371" t="str">
        <v/>
      </c>
    </row>
    <row r="1372" spans="58:84" x14ac:dyDescent="0.3">
      <c r="BF1372" t="str">
        <v>processor</v>
      </c>
      <c r="BG1372" t="str">
        <v>Husky Energy 4</v>
      </c>
      <c r="BH1372" t="str">
        <v>blendSAF</v>
      </c>
      <c r="BI1372" t="str">
        <v/>
      </c>
      <c r="BJ1372" t="str">
        <v/>
      </c>
      <c r="BK1372" t="str">
        <v/>
      </c>
      <c r="BL1372" t="str">
        <v/>
      </c>
      <c r="BM1372" t="str">
        <v/>
      </c>
      <c r="BY1372" t="str">
        <v>processor</v>
      </c>
      <c r="BZ1372" t="str">
        <v>Flint Hills Resources Lp 14</v>
      </c>
      <c r="CA1372" t="str">
        <v>blendSAF</v>
      </c>
      <c r="CB1372" t="str">
        <v/>
      </c>
      <c r="CC1372" t="str">
        <v/>
      </c>
      <c r="CD1372" t="str">
        <v/>
      </c>
      <c r="CE1372" t="str">
        <v/>
      </c>
      <c r="CF1372" t="str">
        <v/>
      </c>
    </row>
    <row r="1373" spans="58:84" x14ac:dyDescent="0.3">
      <c r="BF1373" t="str">
        <v>processor</v>
      </c>
      <c r="BG1373" t="str">
        <v>Sunoco Midstream Llc 7</v>
      </c>
      <c r="BH1373" t="str">
        <v>blendSAF</v>
      </c>
      <c r="BI1373" t="str">
        <v/>
      </c>
      <c r="BJ1373" t="str">
        <v/>
      </c>
      <c r="BK1373" t="str">
        <v/>
      </c>
      <c r="BL1373" t="str">
        <v/>
      </c>
      <c r="BM1373" t="str">
        <v/>
      </c>
      <c r="BY1373" t="str">
        <v>processor</v>
      </c>
      <c r="BZ1373" t="str">
        <v>Flint Hill Resources Lp 2</v>
      </c>
      <c r="CA1373" t="str">
        <v>blendSAF</v>
      </c>
      <c r="CB1373" t="str">
        <v/>
      </c>
      <c r="CC1373" t="str">
        <v/>
      </c>
      <c r="CD1373" t="str">
        <v/>
      </c>
      <c r="CE1373" t="str">
        <v/>
      </c>
      <c r="CF1373" t="str">
        <v/>
      </c>
    </row>
    <row r="1374" spans="58:84" x14ac:dyDescent="0.3">
      <c r="BF1374" t="str">
        <v>processor</v>
      </c>
      <c r="BG1374" t="str">
        <v>Enterprise Terminals &amp; Storage Llc 20</v>
      </c>
      <c r="BH1374" t="str">
        <v>blendSAF</v>
      </c>
      <c r="BI1374" t="str">
        <v/>
      </c>
      <c r="BJ1374" t="str">
        <v/>
      </c>
      <c r="BK1374" t="str">
        <v/>
      </c>
      <c r="BL1374" t="str">
        <v/>
      </c>
      <c r="BM1374" t="str">
        <v/>
      </c>
      <c r="BY1374" t="str">
        <v>processor</v>
      </c>
      <c r="BZ1374" t="str">
        <v>Flint Hill Resources Lp 5</v>
      </c>
      <c r="CA1374" t="str">
        <v>blendSAF</v>
      </c>
      <c r="CB1374" t="str">
        <v/>
      </c>
      <c r="CC1374" t="str">
        <v/>
      </c>
      <c r="CD1374" t="str">
        <v/>
      </c>
      <c r="CE1374" t="str">
        <v/>
      </c>
      <c r="CF1374" t="str">
        <v/>
      </c>
    </row>
    <row r="1375" spans="58:84" x14ac:dyDescent="0.3">
      <c r="BF1375" t="str">
        <v>processor</v>
      </c>
      <c r="BG1375" t="str">
        <v>Ngl Supply Wholesale Llc 3</v>
      </c>
      <c r="BH1375" t="str">
        <v>blendSAF</v>
      </c>
      <c r="BI1375" t="str">
        <v/>
      </c>
      <c r="BJ1375" t="str">
        <v/>
      </c>
      <c r="BK1375" t="str">
        <v/>
      </c>
      <c r="BL1375" t="str">
        <v/>
      </c>
      <c r="BM1375" t="str">
        <v/>
      </c>
      <c r="BY1375" t="str">
        <v>processor</v>
      </c>
      <c r="BZ1375" t="str">
        <v>Us Venture Inc 15</v>
      </c>
      <c r="CA1375" t="str">
        <v>blendSAF</v>
      </c>
      <c r="CB1375" t="str">
        <v/>
      </c>
      <c r="CC1375" t="str">
        <v/>
      </c>
      <c r="CD1375" t="str">
        <v/>
      </c>
      <c r="CE1375" t="str">
        <v/>
      </c>
      <c r="CF1375" t="str">
        <v/>
      </c>
    </row>
    <row r="1376" spans="58:84" x14ac:dyDescent="0.3">
      <c r="BF1376" t="str">
        <v>processor</v>
      </c>
      <c r="BG1376" t="str">
        <v>Midwest Industrial Asphalt Inc</v>
      </c>
      <c r="BH1376" t="str">
        <v>blendSAF</v>
      </c>
      <c r="BI1376" t="str">
        <v/>
      </c>
      <c r="BJ1376" t="str">
        <v/>
      </c>
      <c r="BK1376" t="str">
        <v/>
      </c>
      <c r="BL1376" t="str">
        <v/>
      </c>
      <c r="BM1376" t="str">
        <v/>
      </c>
      <c r="BY1376" t="str">
        <v>processor</v>
      </c>
      <c r="BZ1376" t="str">
        <v>Us Venture Inc 19</v>
      </c>
      <c r="CA1376" t="str">
        <v>blendSAF</v>
      </c>
      <c r="CB1376" t="str">
        <v/>
      </c>
      <c r="CC1376" t="str">
        <v/>
      </c>
      <c r="CD1376" t="str">
        <v/>
      </c>
      <c r="CE1376" t="str">
        <v/>
      </c>
      <c r="CF1376" t="str">
        <v/>
      </c>
    </row>
    <row r="1377" spans="58:84" x14ac:dyDescent="0.3">
      <c r="BF1377" t="str">
        <v>processor</v>
      </c>
      <c r="BG1377" t="str">
        <v>Citgo Petro Corp 19</v>
      </c>
      <c r="BH1377" t="str">
        <v>blendSAF</v>
      </c>
      <c r="BI1377" t="str">
        <v/>
      </c>
      <c r="BJ1377" t="str">
        <v/>
      </c>
      <c r="BK1377" t="str">
        <v/>
      </c>
      <c r="BL1377" t="str">
        <v/>
      </c>
      <c r="BM1377" t="str">
        <v/>
      </c>
      <c r="BY1377" t="str">
        <v>processor</v>
      </c>
      <c r="BZ1377" t="str">
        <v>Us Venture Inc 20</v>
      </c>
      <c r="CA1377" t="str">
        <v>blendSAF</v>
      </c>
      <c r="CB1377" t="str">
        <v/>
      </c>
      <c r="CC1377" t="str">
        <v/>
      </c>
      <c r="CD1377" t="str">
        <v/>
      </c>
      <c r="CE1377" t="str">
        <v/>
      </c>
      <c r="CF1377" t="str">
        <v/>
      </c>
    </row>
    <row r="1378" spans="58:84" x14ac:dyDescent="0.3">
      <c r="BF1378" t="str">
        <v>processor</v>
      </c>
      <c r="BG1378" t="str">
        <v>Citgo Petro Corp 18</v>
      </c>
      <c r="BH1378" t="str">
        <v>blendSAF</v>
      </c>
      <c r="BI1378" t="str">
        <v/>
      </c>
      <c r="BJ1378" t="str">
        <v/>
      </c>
      <c r="BK1378" t="str">
        <v/>
      </c>
      <c r="BL1378" t="str">
        <v/>
      </c>
      <c r="BM1378" t="str">
        <v/>
      </c>
      <c r="BY1378" t="str">
        <v>processor</v>
      </c>
      <c r="BZ1378" t="str">
        <v>Us Venture Inc 21</v>
      </c>
      <c r="CA1378" t="str">
        <v>blendSAF</v>
      </c>
      <c r="CB1378" t="str">
        <v/>
      </c>
      <c r="CC1378" t="str">
        <v/>
      </c>
      <c r="CD1378" t="str">
        <v/>
      </c>
      <c r="CE1378" t="str">
        <v/>
      </c>
      <c r="CF1378" t="str">
        <v/>
      </c>
    </row>
    <row r="1379" spans="58:84" x14ac:dyDescent="0.3">
      <c r="BF1379" t="str">
        <v>processor</v>
      </c>
      <c r="BG1379" t="str">
        <v>Ergon Asphalt &amp; Emulsions Inc 3</v>
      </c>
      <c r="BH1379" t="str">
        <v>blendSAF</v>
      </c>
      <c r="BI1379" t="str">
        <v/>
      </c>
      <c r="BJ1379" t="str">
        <v/>
      </c>
      <c r="BK1379" t="str">
        <v/>
      </c>
      <c r="BL1379" t="str">
        <v/>
      </c>
      <c r="BM1379" t="str">
        <v/>
      </c>
      <c r="BY1379" t="str">
        <v>processor</v>
      </c>
      <c r="BZ1379" t="str">
        <v>Us Venture Inc 4</v>
      </c>
      <c r="CA1379" t="str">
        <v>blendSAF</v>
      </c>
      <c r="CB1379" t="str">
        <v/>
      </c>
      <c r="CC1379" t="str">
        <v/>
      </c>
      <c r="CD1379" t="str">
        <v/>
      </c>
      <c r="CE1379" t="str">
        <v/>
      </c>
      <c r="CF1379" t="str">
        <v/>
      </c>
    </row>
    <row r="1380" spans="58:84" x14ac:dyDescent="0.3">
      <c r="BF1380" t="str">
        <v>processor</v>
      </c>
      <c r="BG1380" t="str">
        <v>Equitable Oil Purchasing Co</v>
      </c>
      <c r="BH1380" t="str">
        <v>blendSAF</v>
      </c>
      <c r="BI1380" t="str">
        <v/>
      </c>
      <c r="BJ1380" t="str">
        <v/>
      </c>
      <c r="BK1380" t="str">
        <v/>
      </c>
      <c r="BL1380" t="str">
        <v/>
      </c>
      <c r="BM1380" t="str">
        <v/>
      </c>
      <c r="BY1380" t="str">
        <v>processor</v>
      </c>
      <c r="BZ1380" t="str">
        <v>Us Venture Inc 7</v>
      </c>
      <c r="CA1380" t="str">
        <v>blendSAF</v>
      </c>
      <c r="CB1380" t="str">
        <v/>
      </c>
      <c r="CC1380" t="str">
        <v/>
      </c>
      <c r="CD1380" t="str">
        <v/>
      </c>
      <c r="CE1380" t="str">
        <v/>
      </c>
      <c r="CF1380" t="str">
        <v/>
      </c>
    </row>
    <row r="1381" spans="58:84" x14ac:dyDescent="0.3">
      <c r="BF1381" t="str">
        <v>processor</v>
      </c>
      <c r="BG1381" t="str">
        <v>Phillips 66 Company 20</v>
      </c>
      <c r="BH1381" t="str">
        <v>blendSAF</v>
      </c>
      <c r="BI1381" t="str">
        <v/>
      </c>
      <c r="BJ1381" t="str">
        <v/>
      </c>
      <c r="BK1381" t="str">
        <v/>
      </c>
      <c r="BL1381" t="str">
        <v/>
      </c>
      <c r="BM1381" t="str">
        <v/>
      </c>
      <c r="BY1381" t="str">
        <v>processor</v>
      </c>
      <c r="BZ1381" t="str">
        <v>Us Venture Inc 8</v>
      </c>
      <c r="CA1381" t="str">
        <v>blendSAF</v>
      </c>
      <c r="CB1381" t="str">
        <v/>
      </c>
      <c r="CC1381" t="str">
        <v/>
      </c>
      <c r="CD1381" t="str">
        <v/>
      </c>
      <c r="CE1381" t="str">
        <v/>
      </c>
      <c r="CF1381" t="str">
        <v/>
      </c>
    </row>
    <row r="1382" spans="58:84" x14ac:dyDescent="0.3">
      <c r="BF1382" t="str">
        <v>processor</v>
      </c>
      <c r="BG1382" t="str">
        <v>Phillips 66 Company 22</v>
      </c>
      <c r="BH1382" t="str">
        <v>blendSAF</v>
      </c>
      <c r="BI1382" t="str">
        <v/>
      </c>
      <c r="BJ1382" t="str">
        <v/>
      </c>
      <c r="BK1382" t="str">
        <v/>
      </c>
      <c r="BL1382" t="str">
        <v/>
      </c>
      <c r="BM1382" t="str">
        <v/>
      </c>
      <c r="BY1382" t="str">
        <v>processor</v>
      </c>
      <c r="BZ1382" t="str">
        <v>Us Venture Inc 16</v>
      </c>
      <c r="CA1382" t="str">
        <v>blendSAF</v>
      </c>
      <c r="CB1382" t="str">
        <v/>
      </c>
      <c r="CC1382" t="str">
        <v/>
      </c>
      <c r="CD1382" t="str">
        <v/>
      </c>
      <c r="CE1382" t="str">
        <v/>
      </c>
      <c r="CF1382" t="str">
        <v/>
      </c>
    </row>
    <row r="1383" spans="58:84" x14ac:dyDescent="0.3">
      <c r="BF1383" t="str">
        <v>processor</v>
      </c>
      <c r="BG1383" t="str">
        <v>Phillips 66 Pipeline Llc 5</v>
      </c>
      <c r="BH1383" t="str">
        <v>blendSAF</v>
      </c>
      <c r="BI1383" t="str">
        <v/>
      </c>
      <c r="BJ1383" t="str">
        <v/>
      </c>
      <c r="BK1383" t="str">
        <v/>
      </c>
      <c r="BL1383" t="str">
        <v/>
      </c>
      <c r="BM1383" t="str">
        <v/>
      </c>
      <c r="BY1383" t="str">
        <v>processor</v>
      </c>
      <c r="BZ1383" t="str">
        <v>Us Venture Inc 9</v>
      </c>
      <c r="CA1383" t="str">
        <v>blendSAF</v>
      </c>
      <c r="CB1383" t="str">
        <v/>
      </c>
      <c r="CC1383" t="str">
        <v/>
      </c>
      <c r="CD1383" t="str">
        <v/>
      </c>
      <c r="CE1383" t="str">
        <v/>
      </c>
      <c r="CF1383" t="str">
        <v/>
      </c>
    </row>
    <row r="1384" spans="58:84" x14ac:dyDescent="0.3">
      <c r="BF1384" t="str">
        <v>processor</v>
      </c>
      <c r="BG1384" t="str">
        <v>Sinclair Oil Corp 5</v>
      </c>
      <c r="BH1384" t="str">
        <v>blendSAF</v>
      </c>
      <c r="BI1384" t="str">
        <v/>
      </c>
      <c r="BJ1384" t="str">
        <v/>
      </c>
      <c r="BK1384" t="str">
        <v/>
      </c>
      <c r="BL1384" t="str">
        <v/>
      </c>
      <c r="BM1384" t="str">
        <v/>
      </c>
      <c r="BY1384" t="str">
        <v>processor</v>
      </c>
      <c r="BZ1384" t="str">
        <v>Us Venture Inc 17</v>
      </c>
      <c r="CA1384" t="str">
        <v>blendSAF</v>
      </c>
      <c r="CB1384" t="str">
        <v/>
      </c>
      <c r="CC1384" t="str">
        <v/>
      </c>
      <c r="CD1384" t="str">
        <v/>
      </c>
      <c r="CE1384" t="str">
        <v/>
      </c>
      <c r="CF1384" t="str">
        <v/>
      </c>
    </row>
    <row r="1385" spans="58:84" x14ac:dyDescent="0.3">
      <c r="BF1385" t="str">
        <v>processor</v>
      </c>
      <c r="BG1385" t="str">
        <v>Sinclair Oil Corp 9</v>
      </c>
      <c r="BH1385" t="str">
        <v>blendSAF</v>
      </c>
      <c r="BI1385" t="str">
        <v/>
      </c>
      <c r="BJ1385" t="str">
        <v/>
      </c>
      <c r="BK1385" t="str">
        <v/>
      </c>
      <c r="BL1385" t="str">
        <v/>
      </c>
      <c r="BM1385" t="str">
        <v/>
      </c>
      <c r="BY1385" t="str">
        <v>processor</v>
      </c>
      <c r="BZ1385" t="str">
        <v>Us Venture Inc 22</v>
      </c>
      <c r="CA1385" t="str">
        <v>blendSAF</v>
      </c>
      <c r="CB1385" t="str">
        <v/>
      </c>
      <c r="CC1385" t="str">
        <v/>
      </c>
      <c r="CD1385" t="str">
        <v/>
      </c>
      <c r="CE1385" t="str">
        <v/>
      </c>
      <c r="CF1385" t="str">
        <v/>
      </c>
    </row>
    <row r="1386" spans="58:84" x14ac:dyDescent="0.3">
      <c r="BF1386" t="str">
        <v>processor</v>
      </c>
      <c r="BG1386" t="str">
        <v>Jebro Incorporated 1</v>
      </c>
      <c r="BH1386" t="str">
        <v>blendSAF</v>
      </c>
      <c r="BI1386" t="str">
        <v/>
      </c>
      <c r="BJ1386" t="str">
        <v/>
      </c>
      <c r="BK1386" t="str">
        <v/>
      </c>
      <c r="BL1386" t="str">
        <v/>
      </c>
      <c r="BM1386" t="str">
        <v/>
      </c>
      <c r="BY1386" t="str">
        <v>processor</v>
      </c>
      <c r="BZ1386" t="str">
        <v>Us Venture Inc 10</v>
      </c>
      <c r="CA1386" t="str">
        <v>blendSAF</v>
      </c>
      <c r="CB1386" t="str">
        <v/>
      </c>
      <c r="CC1386" t="str">
        <v/>
      </c>
      <c r="CD1386" t="str">
        <v/>
      </c>
      <c r="CE1386" t="str">
        <v/>
      </c>
      <c r="CF1386" t="str">
        <v/>
      </c>
    </row>
    <row r="1387" spans="58:84" x14ac:dyDescent="0.3">
      <c r="BF1387" t="str">
        <v>processor</v>
      </c>
      <c r="BG1387" t="str">
        <v>Magellan Pipeline Co Lp 5</v>
      </c>
      <c r="BH1387" t="str">
        <v>blendSAF</v>
      </c>
      <c r="BI1387" t="str">
        <v/>
      </c>
      <c r="BJ1387" t="str">
        <v/>
      </c>
      <c r="BK1387" t="str">
        <v/>
      </c>
      <c r="BL1387" t="str">
        <v/>
      </c>
      <c r="BM1387" t="str">
        <v/>
      </c>
      <c r="BY1387" t="str">
        <v>processor</v>
      </c>
      <c r="BZ1387" t="str">
        <v>Us Venture Inc 23</v>
      </c>
      <c r="CA1387" t="str">
        <v>blendSAF</v>
      </c>
      <c r="CB1387" t="str">
        <v/>
      </c>
      <c r="CC1387" t="str">
        <v/>
      </c>
      <c r="CD1387" t="str">
        <v/>
      </c>
      <c r="CE1387" t="str">
        <v/>
      </c>
      <c r="CF1387" t="str">
        <v/>
      </c>
    </row>
    <row r="1388" spans="58:84" x14ac:dyDescent="0.3">
      <c r="BY1388" t="str">
        <v>processor</v>
      </c>
      <c r="BZ1388" t="str">
        <v>Us Venture Inc 11</v>
      </c>
      <c r="CA1388" t="str">
        <v>blendSAF</v>
      </c>
      <c r="CB1388" t="str">
        <v/>
      </c>
      <c r="CC1388" t="str">
        <v/>
      </c>
      <c r="CD1388" t="str">
        <v/>
      </c>
      <c r="CE1388" t="str">
        <v/>
      </c>
      <c r="CF1388" t="str">
        <v/>
      </c>
    </row>
    <row r="1389" spans="58:84" x14ac:dyDescent="0.3">
      <c r="BY1389" t="str">
        <v>processor</v>
      </c>
      <c r="BZ1389" t="str">
        <v>Us Venture Inc 12</v>
      </c>
      <c r="CA1389" t="str">
        <v>blendSAF</v>
      </c>
      <c r="CB1389" t="str">
        <v/>
      </c>
      <c r="CC1389" t="str">
        <v/>
      </c>
      <c r="CD1389" t="str">
        <v/>
      </c>
      <c r="CE1389" t="str">
        <v/>
      </c>
      <c r="CF1389" t="str">
        <v/>
      </c>
    </row>
    <row r="1390" spans="58:84" x14ac:dyDescent="0.3">
      <c r="BY1390" t="str">
        <v>processor</v>
      </c>
      <c r="BZ1390" t="str">
        <v>Buckeye Terminals Llc 70</v>
      </c>
      <c r="CA1390" t="str">
        <v>blendSAF</v>
      </c>
      <c r="CB1390" t="str">
        <v/>
      </c>
      <c r="CC1390" t="str">
        <v/>
      </c>
      <c r="CD1390" t="str">
        <v/>
      </c>
      <c r="CE1390" t="str">
        <v/>
      </c>
      <c r="CF1390" t="str">
        <v/>
      </c>
    </row>
    <row r="1391" spans="58:84" x14ac:dyDescent="0.3">
      <c r="BY1391" t="str">
        <v>processor</v>
      </c>
      <c r="BZ1391" t="str">
        <v>Chs Inc 3</v>
      </c>
      <c r="CA1391" t="str">
        <v>blendSAF</v>
      </c>
      <c r="CB1391" t="str">
        <v/>
      </c>
      <c r="CC1391" t="str">
        <v/>
      </c>
      <c r="CD1391" t="str">
        <v/>
      </c>
      <c r="CE1391" t="str">
        <v/>
      </c>
      <c r="CF1391" t="str">
        <v/>
      </c>
    </row>
    <row r="1392" spans="58:84" x14ac:dyDescent="0.3">
      <c r="BY1392" t="str">
        <v>processor</v>
      </c>
      <c r="BZ1392" t="str">
        <v>Chs Inc 1</v>
      </c>
      <c r="CA1392" t="str">
        <v>blendSAF</v>
      </c>
      <c r="CB1392" t="str">
        <v/>
      </c>
      <c r="CC1392" t="str">
        <v/>
      </c>
      <c r="CD1392" t="str">
        <v/>
      </c>
      <c r="CE1392" t="str">
        <v/>
      </c>
      <c r="CF1392" t="str">
        <v/>
      </c>
    </row>
    <row r="1393" spans="77:84" x14ac:dyDescent="0.3">
      <c r="BY1393" t="str">
        <v>processor</v>
      </c>
      <c r="BZ1393" t="str">
        <v>Husky Energy 3</v>
      </c>
      <c r="CA1393" t="str">
        <v>blendSAF</v>
      </c>
      <c r="CB1393" t="str">
        <v/>
      </c>
      <c r="CC1393" t="str">
        <v/>
      </c>
      <c r="CD1393" t="str">
        <v/>
      </c>
      <c r="CE1393" t="str">
        <v/>
      </c>
      <c r="CF1393" t="str">
        <v/>
      </c>
    </row>
    <row r="1394" spans="77:84" x14ac:dyDescent="0.3">
      <c r="BY1394" t="str">
        <v>processor</v>
      </c>
      <c r="BZ1394" t="str">
        <v>Husky Energy 4</v>
      </c>
      <c r="CA1394" t="str">
        <v>blendSAF</v>
      </c>
      <c r="CB1394" t="str">
        <v/>
      </c>
      <c r="CC1394" t="str">
        <v/>
      </c>
      <c r="CD1394" t="str">
        <v/>
      </c>
      <c r="CE1394" t="str">
        <v/>
      </c>
      <c r="CF1394" t="str">
        <v/>
      </c>
    </row>
    <row r="1395" spans="77:84" x14ac:dyDescent="0.3">
      <c r="BY1395" t="str">
        <v>processor</v>
      </c>
      <c r="BZ1395" t="str">
        <v>Sunoco Midstream Llc 7</v>
      </c>
      <c r="CA1395" t="str">
        <v>blendSAF</v>
      </c>
      <c r="CB1395" t="str">
        <v/>
      </c>
      <c r="CC1395" t="str">
        <v/>
      </c>
      <c r="CD1395" t="str">
        <v/>
      </c>
      <c r="CE1395" t="str">
        <v/>
      </c>
      <c r="CF1395" t="str">
        <v/>
      </c>
    </row>
    <row r="1396" spans="77:84" x14ac:dyDescent="0.3">
      <c r="BY1396" t="str">
        <v>processor</v>
      </c>
      <c r="BZ1396" t="str">
        <v>Enterprise Terminals &amp; Storage Llc 20</v>
      </c>
      <c r="CA1396" t="str">
        <v>blendSAF</v>
      </c>
      <c r="CB1396" t="str">
        <v/>
      </c>
      <c r="CC1396" t="str">
        <v/>
      </c>
      <c r="CD1396" t="str">
        <v/>
      </c>
      <c r="CE1396" t="str">
        <v/>
      </c>
      <c r="CF1396" t="str">
        <v/>
      </c>
    </row>
    <row r="1397" spans="77:84" x14ac:dyDescent="0.3">
      <c r="BY1397" t="str">
        <v>processor</v>
      </c>
      <c r="BZ1397" t="str">
        <v>Ngl Supply Wholesale Llc 3</v>
      </c>
      <c r="CA1397" t="str">
        <v>blendSAF</v>
      </c>
      <c r="CB1397" t="str">
        <v/>
      </c>
      <c r="CC1397" t="str">
        <v/>
      </c>
      <c r="CD1397" t="str">
        <v/>
      </c>
      <c r="CE1397" t="str">
        <v/>
      </c>
      <c r="CF1397" t="str">
        <v/>
      </c>
    </row>
    <row r="1398" spans="77:84" x14ac:dyDescent="0.3">
      <c r="BY1398" t="str">
        <v>processor</v>
      </c>
      <c r="BZ1398" t="str">
        <v>Midwest Industrial Asphalt Inc</v>
      </c>
      <c r="CA1398" t="str">
        <v>blendSAF</v>
      </c>
      <c r="CB1398" t="str">
        <v/>
      </c>
      <c r="CC1398" t="str">
        <v/>
      </c>
      <c r="CD1398" t="str">
        <v/>
      </c>
      <c r="CE1398" t="str">
        <v/>
      </c>
      <c r="CF1398" t="str">
        <v/>
      </c>
    </row>
    <row r="1399" spans="77:84" x14ac:dyDescent="0.3">
      <c r="BY1399" t="str">
        <v>processor</v>
      </c>
      <c r="BZ1399" t="str">
        <v>Citgo Petro Corp 19</v>
      </c>
      <c r="CA1399" t="str">
        <v>blendSAF</v>
      </c>
      <c r="CB1399" t="str">
        <v/>
      </c>
      <c r="CC1399" t="str">
        <v/>
      </c>
      <c r="CD1399" t="str">
        <v/>
      </c>
      <c r="CE1399" t="str">
        <v/>
      </c>
      <c r="CF1399" t="str">
        <v/>
      </c>
    </row>
    <row r="1400" spans="77:84" x14ac:dyDescent="0.3">
      <c r="BY1400" t="str">
        <v>processor</v>
      </c>
      <c r="BZ1400" t="str">
        <v>Citgo Petro Corp 18</v>
      </c>
      <c r="CA1400" t="str">
        <v>blendSAF</v>
      </c>
      <c r="CB1400" t="str">
        <v/>
      </c>
      <c r="CC1400" t="str">
        <v/>
      </c>
      <c r="CD1400" t="str">
        <v/>
      </c>
      <c r="CE1400" t="str">
        <v/>
      </c>
      <c r="CF1400" t="str">
        <v/>
      </c>
    </row>
    <row r="1401" spans="77:84" x14ac:dyDescent="0.3">
      <c r="BY1401" t="str">
        <v>processor</v>
      </c>
      <c r="BZ1401" t="str">
        <v>Ergon Asphalt &amp; Emulsions Inc 3</v>
      </c>
      <c r="CA1401" t="str">
        <v>blendSAF</v>
      </c>
      <c r="CB1401" t="str">
        <v/>
      </c>
      <c r="CC1401" t="str">
        <v/>
      </c>
      <c r="CD1401" t="str">
        <v/>
      </c>
      <c r="CE1401" t="str">
        <v/>
      </c>
      <c r="CF1401" t="str">
        <v/>
      </c>
    </row>
    <row r="1402" spans="77:84" x14ac:dyDescent="0.3">
      <c r="BY1402" t="str">
        <v>processor</v>
      </c>
      <c r="BZ1402" t="str">
        <v>Equitable Oil Purchasing Co</v>
      </c>
      <c r="CA1402" t="str">
        <v>blendSAF</v>
      </c>
      <c r="CB1402" t="str">
        <v/>
      </c>
      <c r="CC1402" t="str">
        <v/>
      </c>
      <c r="CD1402" t="str">
        <v/>
      </c>
      <c r="CE1402" t="str">
        <v/>
      </c>
      <c r="CF1402" t="str">
        <v/>
      </c>
    </row>
    <row r="1403" spans="77:84" x14ac:dyDescent="0.3">
      <c r="BY1403" t="str">
        <v>processor</v>
      </c>
      <c r="BZ1403" t="str">
        <v>Phillips 66 Company 20</v>
      </c>
      <c r="CA1403" t="str">
        <v>blendSAF</v>
      </c>
      <c r="CB1403" t="str">
        <v/>
      </c>
      <c r="CC1403" t="str">
        <v/>
      </c>
      <c r="CD1403" t="str">
        <v/>
      </c>
      <c r="CE1403" t="str">
        <v/>
      </c>
      <c r="CF1403" t="str">
        <v/>
      </c>
    </row>
    <row r="1404" spans="77:84" x14ac:dyDescent="0.3">
      <c r="BY1404" t="str">
        <v>processor</v>
      </c>
      <c r="BZ1404" t="str">
        <v>Phillips 66 Company 22</v>
      </c>
      <c r="CA1404" t="str">
        <v>blendSAF</v>
      </c>
      <c r="CB1404" t="str">
        <v/>
      </c>
      <c r="CC1404" t="str">
        <v/>
      </c>
      <c r="CD1404" t="str">
        <v/>
      </c>
      <c r="CE1404" t="str">
        <v/>
      </c>
      <c r="CF1404" t="str">
        <v/>
      </c>
    </row>
    <row r="1405" spans="77:84" x14ac:dyDescent="0.3">
      <c r="BY1405" t="str">
        <v>processor</v>
      </c>
      <c r="BZ1405" t="str">
        <v>Phillips 66 Pipeline Llc 5</v>
      </c>
      <c r="CA1405" t="str">
        <v>blendSAF</v>
      </c>
      <c r="CB1405" t="str">
        <v/>
      </c>
      <c r="CC1405" t="str">
        <v/>
      </c>
      <c r="CD1405" t="str">
        <v/>
      </c>
      <c r="CE1405" t="str">
        <v/>
      </c>
      <c r="CF1405" t="str">
        <v/>
      </c>
    </row>
    <row r="1406" spans="77:84" x14ac:dyDescent="0.3">
      <c r="BY1406" t="str">
        <v>processor</v>
      </c>
      <c r="BZ1406" t="str">
        <v>Sinclair Oil Corp 5</v>
      </c>
      <c r="CA1406" t="str">
        <v>blendSAF</v>
      </c>
      <c r="CB1406" t="str">
        <v/>
      </c>
      <c r="CC1406" t="str">
        <v/>
      </c>
      <c r="CD1406" t="str">
        <v/>
      </c>
      <c r="CE1406" t="str">
        <v/>
      </c>
      <c r="CF1406" t="str">
        <v/>
      </c>
    </row>
    <row r="1407" spans="77:84" x14ac:dyDescent="0.3">
      <c r="BY1407" t="str">
        <v>processor</v>
      </c>
      <c r="BZ1407" t="str">
        <v>Sinclair Oil Corp 9</v>
      </c>
      <c r="CA1407" t="str">
        <v>blendSAF</v>
      </c>
      <c r="CB1407" t="str">
        <v/>
      </c>
      <c r="CC1407" t="str">
        <v/>
      </c>
      <c r="CD1407" t="str">
        <v/>
      </c>
      <c r="CE1407" t="str">
        <v/>
      </c>
      <c r="CF1407" t="str">
        <v/>
      </c>
    </row>
    <row r="1408" spans="77:84" x14ac:dyDescent="0.3">
      <c r="BY1408" t="str">
        <v>processor</v>
      </c>
      <c r="BZ1408" t="str">
        <v>Jebro Incorporated 1</v>
      </c>
      <c r="CA1408" t="str">
        <v>blendSAF</v>
      </c>
      <c r="CB1408" t="str">
        <v/>
      </c>
      <c r="CC1408" t="str">
        <v/>
      </c>
      <c r="CD1408" t="str">
        <v/>
      </c>
      <c r="CE1408" t="str">
        <v/>
      </c>
      <c r="CF1408" t="str">
        <v/>
      </c>
    </row>
    <row r="1409" spans="77:84" x14ac:dyDescent="0.3">
      <c r="BY1409" t="str">
        <v>processor</v>
      </c>
      <c r="BZ1409" t="str">
        <v>Magellan Pipeline Co Lp 5</v>
      </c>
      <c r="CA1409" t="str">
        <v>blendSAF</v>
      </c>
      <c r="CB1409" t="str">
        <v/>
      </c>
      <c r="CC1409" t="str">
        <v/>
      </c>
      <c r="CD1409" t="str">
        <v/>
      </c>
      <c r="CE1409" t="str">
        <v/>
      </c>
      <c r="CF1409" t="str">
        <v/>
      </c>
    </row>
    <row r="1410" spans="77:84" x14ac:dyDescent="0.3">
      <c r="BY1410" t="str">
        <v>ultimate_destination</v>
      </c>
      <c r="BZ1410" t="str">
        <v>BHM</v>
      </c>
      <c r="CA1410" t="str">
        <v>fuel_blend</v>
      </c>
      <c r="CB1410">
        <v>20000000</v>
      </c>
      <c r="CC1410" t="str">
        <v>gallons</v>
      </c>
      <c r="CD1410" t="str">
        <v/>
      </c>
      <c r="CE1410" t="str">
        <v/>
      </c>
      <c r="CF1410" t="str">
        <v/>
      </c>
    </row>
    <row r="1411" spans="77:84" x14ac:dyDescent="0.3">
      <c r="BY1411" t="str">
        <v>ultimate_destination</v>
      </c>
      <c r="BZ1411" t="str">
        <v>HSV</v>
      </c>
      <c r="CA1411" t="str">
        <v>fuel_blend</v>
      </c>
      <c r="CB1411">
        <v>16000000</v>
      </c>
      <c r="CC1411" t="str">
        <v>gallons</v>
      </c>
      <c r="CD1411" t="str">
        <v/>
      </c>
      <c r="CE1411" t="str">
        <v/>
      </c>
      <c r="CF1411" t="str">
        <v/>
      </c>
    </row>
    <row r="1412" spans="77:84" x14ac:dyDescent="0.3">
      <c r="BY1412" t="str">
        <v>ultimate_destination</v>
      </c>
      <c r="BZ1412" t="str">
        <v>ANC</v>
      </c>
      <c r="CA1412" t="str">
        <v>fuel_blend</v>
      </c>
      <c r="CB1412">
        <v>847000000</v>
      </c>
      <c r="CC1412" t="str">
        <v>gallons</v>
      </c>
      <c r="CD1412" t="str">
        <v/>
      </c>
      <c r="CE1412" t="str">
        <v/>
      </c>
      <c r="CF1412" t="str">
        <v/>
      </c>
    </row>
    <row r="1413" spans="77:84" x14ac:dyDescent="0.3">
      <c r="BY1413" t="str">
        <v>ultimate_destination</v>
      </c>
      <c r="BZ1413" t="str">
        <v>JNU</v>
      </c>
      <c r="CA1413" t="str">
        <v>fuel_blend</v>
      </c>
      <c r="CB1413">
        <v>4000000</v>
      </c>
      <c r="CC1413" t="str">
        <v>gallons</v>
      </c>
      <c r="CD1413" t="str">
        <v/>
      </c>
      <c r="CE1413" t="str">
        <v/>
      </c>
      <c r="CF1413" t="str">
        <v/>
      </c>
    </row>
    <row r="1414" spans="77:84" x14ac:dyDescent="0.3">
      <c r="BY1414" t="str">
        <v>ultimate_destination</v>
      </c>
      <c r="BZ1414" t="str">
        <v>PHX</v>
      </c>
      <c r="CA1414" t="str">
        <v>fuel_blend</v>
      </c>
      <c r="CB1414">
        <v>462000000</v>
      </c>
      <c r="CC1414" t="str">
        <v>gallons</v>
      </c>
      <c r="CD1414" t="str">
        <v/>
      </c>
      <c r="CE1414" t="str">
        <v/>
      </c>
      <c r="CF1414" t="str">
        <v/>
      </c>
    </row>
    <row r="1415" spans="77:84" x14ac:dyDescent="0.3">
      <c r="BY1415" t="str">
        <v>ultimate_destination</v>
      </c>
      <c r="BZ1415" t="str">
        <v>TUS</v>
      </c>
      <c r="CA1415" t="str">
        <v>fuel_blend</v>
      </c>
      <c r="CB1415">
        <v>26000000</v>
      </c>
      <c r="CC1415" t="str">
        <v>gallons</v>
      </c>
      <c r="CD1415" t="str">
        <v/>
      </c>
      <c r="CE1415" t="str">
        <v/>
      </c>
      <c r="CF1415" t="str">
        <v/>
      </c>
    </row>
    <row r="1416" spans="77:84" x14ac:dyDescent="0.3">
      <c r="BY1416" t="str">
        <v>ultimate_destination</v>
      </c>
      <c r="BZ1416" t="str">
        <v>XNA</v>
      </c>
      <c r="CA1416" t="str">
        <v>fuel_blend</v>
      </c>
      <c r="CB1416">
        <v>16000000</v>
      </c>
      <c r="CC1416" t="str">
        <v>gallons</v>
      </c>
      <c r="CD1416" t="str">
        <v/>
      </c>
      <c r="CE1416" t="str">
        <v/>
      </c>
      <c r="CF1416" t="str">
        <v/>
      </c>
    </row>
    <row r="1417" spans="77:84" x14ac:dyDescent="0.3">
      <c r="BY1417" t="str">
        <v>ultimate_destination</v>
      </c>
      <c r="BZ1417" t="str">
        <v>BUR</v>
      </c>
      <c r="CA1417" t="str">
        <v>fuel_blend</v>
      </c>
      <c r="CB1417">
        <v>53000000</v>
      </c>
      <c r="CC1417" t="str">
        <v>gallons</v>
      </c>
      <c r="CD1417" t="str">
        <v/>
      </c>
      <c r="CE1417" t="str">
        <v/>
      </c>
      <c r="CF1417" t="str">
        <v/>
      </c>
    </row>
    <row r="1418" spans="77:84" x14ac:dyDescent="0.3">
      <c r="BY1418" t="str">
        <v>ultimate_destination</v>
      </c>
      <c r="BZ1418" t="str">
        <v>LAX</v>
      </c>
      <c r="CA1418" t="str">
        <v>fuel_blend</v>
      </c>
      <c r="CB1418">
        <v>1739000000</v>
      </c>
      <c r="CC1418" t="str">
        <v>gallons</v>
      </c>
      <c r="CD1418" t="str">
        <v/>
      </c>
      <c r="CE1418" t="str">
        <v/>
      </c>
      <c r="CF1418" t="str">
        <v/>
      </c>
    </row>
    <row r="1419" spans="77:84" x14ac:dyDescent="0.3">
      <c r="BY1419" t="str">
        <v>ultimate_destination</v>
      </c>
      <c r="BZ1419" t="str">
        <v>LGB</v>
      </c>
      <c r="CA1419" t="str">
        <v>fuel_blend</v>
      </c>
      <c r="CB1419">
        <v>27000000</v>
      </c>
      <c r="CC1419" t="str">
        <v>gallons</v>
      </c>
      <c r="CD1419" t="str">
        <v/>
      </c>
      <c r="CE1419" t="str">
        <v/>
      </c>
      <c r="CF1419" t="str">
        <v/>
      </c>
    </row>
    <row r="1420" spans="77:84" x14ac:dyDescent="0.3">
      <c r="BY1420" t="str">
        <v>ultimate_destination</v>
      </c>
      <c r="BZ1420" t="str">
        <v>OAK</v>
      </c>
      <c r="CA1420" t="str">
        <v>fuel_blend</v>
      </c>
      <c r="CB1420">
        <v>97000000</v>
      </c>
      <c r="CC1420" t="str">
        <v>gallons</v>
      </c>
      <c r="CD1420" t="str">
        <v/>
      </c>
      <c r="CE1420" t="str">
        <v/>
      </c>
      <c r="CF1420" t="str">
        <v/>
      </c>
    </row>
    <row r="1421" spans="77:84" x14ac:dyDescent="0.3">
      <c r="BY1421" t="str">
        <v>ultimate_destination</v>
      </c>
      <c r="BZ1421" t="str">
        <v>ONT</v>
      </c>
      <c r="CA1421" t="str">
        <v>fuel_blend</v>
      </c>
      <c r="CB1421">
        <v>132000000</v>
      </c>
      <c r="CC1421" t="str">
        <v>gallons</v>
      </c>
      <c r="CD1421" t="str">
        <v/>
      </c>
      <c r="CE1421" t="str">
        <v/>
      </c>
      <c r="CF1421" t="str">
        <v/>
      </c>
    </row>
    <row r="1422" spans="77:84" x14ac:dyDescent="0.3">
      <c r="BY1422" t="str">
        <v>ultimate_destination</v>
      </c>
      <c r="BZ1422" t="str">
        <v>PSP</v>
      </c>
      <c r="CA1422" t="str">
        <v>fuel_blend</v>
      </c>
      <c r="CB1422">
        <v>26000000</v>
      </c>
      <c r="CC1422" t="str">
        <v>gallons</v>
      </c>
      <c r="CD1422" t="str">
        <v/>
      </c>
      <c r="CE1422" t="str">
        <v/>
      </c>
      <c r="CF1422" t="str">
        <v/>
      </c>
    </row>
    <row r="1423" spans="77:84" x14ac:dyDescent="0.3">
      <c r="BY1423" t="str">
        <v>ultimate_destination</v>
      </c>
      <c r="BZ1423" t="str">
        <v>SAN</v>
      </c>
      <c r="CA1423" t="str">
        <v>fuel_blend</v>
      </c>
      <c r="CB1423">
        <v>216000000</v>
      </c>
      <c r="CC1423" t="str">
        <v>gallons</v>
      </c>
      <c r="CD1423" t="str">
        <v/>
      </c>
      <c r="CE1423" t="str">
        <v/>
      </c>
      <c r="CF1423" t="str">
        <v/>
      </c>
    </row>
    <row r="1424" spans="77:84" x14ac:dyDescent="0.3">
      <c r="BY1424" t="str">
        <v>ultimate_destination</v>
      </c>
      <c r="BZ1424" t="str">
        <v>SBA</v>
      </c>
      <c r="CA1424" t="str">
        <v>fuel_blend</v>
      </c>
      <c r="CB1424">
        <v>11000000</v>
      </c>
      <c r="CC1424" t="str">
        <v>gallons</v>
      </c>
      <c r="CD1424" t="str">
        <v/>
      </c>
      <c r="CE1424" t="str">
        <v/>
      </c>
      <c r="CF1424" t="str">
        <v/>
      </c>
    </row>
    <row r="1425" spans="77:84" x14ac:dyDescent="0.3">
      <c r="BY1425" t="str">
        <v>ultimate_destination</v>
      </c>
      <c r="BZ1425" t="str">
        <v>SFO</v>
      </c>
      <c r="CA1425" t="str">
        <v>fuel_blend</v>
      </c>
      <c r="CB1425">
        <v>1115000000</v>
      </c>
      <c r="CC1425" t="str">
        <v>gallons</v>
      </c>
      <c r="CD1425" t="str">
        <v/>
      </c>
      <c r="CE1425" t="str">
        <v/>
      </c>
      <c r="CF1425" t="str">
        <v/>
      </c>
    </row>
    <row r="1426" spans="77:84" x14ac:dyDescent="0.3">
      <c r="BY1426" t="str">
        <v>ultimate_destination</v>
      </c>
      <c r="BZ1426" t="str">
        <v>SJC</v>
      </c>
      <c r="CA1426" t="str">
        <v>fuel_blend</v>
      </c>
      <c r="CB1426">
        <v>79000000</v>
      </c>
      <c r="CC1426" t="str">
        <v>gallons</v>
      </c>
      <c r="CD1426" t="str">
        <v/>
      </c>
      <c r="CE1426" t="str">
        <v/>
      </c>
      <c r="CF1426" t="str">
        <v/>
      </c>
    </row>
    <row r="1427" spans="77:84" x14ac:dyDescent="0.3">
      <c r="BY1427" t="str">
        <v>ultimate_destination</v>
      </c>
      <c r="BZ1427" t="str">
        <v>SMF</v>
      </c>
      <c r="CA1427" t="str">
        <v>fuel_blend</v>
      </c>
      <c r="CB1427">
        <v>99000000</v>
      </c>
      <c r="CC1427" t="str">
        <v>gallons</v>
      </c>
      <c r="CD1427" t="str">
        <v/>
      </c>
      <c r="CE1427" t="str">
        <v/>
      </c>
      <c r="CF1427" t="str">
        <v/>
      </c>
    </row>
    <row r="1428" spans="77:84" x14ac:dyDescent="0.3">
      <c r="BY1428" t="str">
        <v>ultimate_destination</v>
      </c>
      <c r="BZ1428" t="str">
        <v>SNA</v>
      </c>
      <c r="CA1428" t="str">
        <v>fuel_blend</v>
      </c>
      <c r="CB1428">
        <v>72000000</v>
      </c>
      <c r="CC1428" t="str">
        <v>gallons</v>
      </c>
      <c r="CD1428" t="str">
        <v/>
      </c>
      <c r="CE1428" t="str">
        <v/>
      </c>
      <c r="CF1428" t="str">
        <v/>
      </c>
    </row>
    <row r="1429" spans="77:84" x14ac:dyDescent="0.3">
      <c r="BY1429" t="str">
        <v>ultimate_destination</v>
      </c>
      <c r="BZ1429" t="str">
        <v>COS</v>
      </c>
      <c r="CA1429" t="str">
        <v>fuel_blend</v>
      </c>
      <c r="CB1429">
        <v>14000000</v>
      </c>
      <c r="CC1429" t="str">
        <v>gallons</v>
      </c>
      <c r="CD1429" t="str">
        <v/>
      </c>
      <c r="CE1429" t="str">
        <v/>
      </c>
      <c r="CF1429" t="str">
        <v/>
      </c>
    </row>
    <row r="1430" spans="77:84" x14ac:dyDescent="0.3">
      <c r="BY1430" t="str">
        <v>ultimate_destination</v>
      </c>
      <c r="BZ1430" t="str">
        <v>DEN</v>
      </c>
      <c r="CA1430" t="str">
        <v>fuel_blend</v>
      </c>
      <c r="CB1430">
        <v>556000000</v>
      </c>
      <c r="CC1430" t="str">
        <v>gallons</v>
      </c>
      <c r="CD1430" t="str">
        <v/>
      </c>
      <c r="CE1430" t="str">
        <v/>
      </c>
      <c r="CF1430" t="str">
        <v/>
      </c>
    </row>
    <row r="1431" spans="77:84" x14ac:dyDescent="0.3">
      <c r="BY1431" t="str">
        <v>ultimate_destination</v>
      </c>
      <c r="BZ1431" t="str">
        <v>BDL</v>
      </c>
      <c r="CA1431" t="str">
        <v>fuel_blend</v>
      </c>
      <c r="CB1431">
        <v>56000000</v>
      </c>
      <c r="CC1431" t="str">
        <v>gallons</v>
      </c>
      <c r="CD1431" t="str">
        <v/>
      </c>
      <c r="CE1431" t="str">
        <v/>
      </c>
      <c r="CF1431" t="str">
        <v/>
      </c>
    </row>
    <row r="1432" spans="77:84" x14ac:dyDescent="0.3">
      <c r="BY1432" t="str">
        <v>ultimate_destination</v>
      </c>
      <c r="BZ1432" t="str">
        <v>HVN</v>
      </c>
      <c r="CA1432" t="str">
        <v>fuel_blend</v>
      </c>
      <c r="CB1432">
        <v>9000000</v>
      </c>
      <c r="CC1432" t="str">
        <v>gallons</v>
      </c>
      <c r="CD1432" t="str">
        <v/>
      </c>
      <c r="CE1432" t="str">
        <v/>
      </c>
      <c r="CF1432" t="str">
        <v/>
      </c>
    </row>
    <row r="1433" spans="77:84" x14ac:dyDescent="0.3">
      <c r="BY1433" t="str">
        <v>ultimate_destination</v>
      </c>
      <c r="BZ1433" t="str">
        <v>ECP</v>
      </c>
      <c r="CA1433" t="str">
        <v>fuel_blend</v>
      </c>
      <c r="CB1433">
        <v>11000000</v>
      </c>
      <c r="CC1433" t="str">
        <v>gallons</v>
      </c>
      <c r="CD1433" t="str">
        <v/>
      </c>
      <c r="CE1433" t="str">
        <v/>
      </c>
      <c r="CF1433" t="str">
        <v/>
      </c>
    </row>
    <row r="1434" spans="77:84" x14ac:dyDescent="0.3">
      <c r="BY1434" t="str">
        <v>ultimate_destination</v>
      </c>
      <c r="BZ1434" t="str">
        <v>FLL</v>
      </c>
      <c r="CA1434" t="str">
        <v>fuel_blend</v>
      </c>
      <c r="CB1434">
        <v>291000000</v>
      </c>
      <c r="CC1434" t="str">
        <v>gallons</v>
      </c>
      <c r="CD1434" t="str">
        <v/>
      </c>
      <c r="CE1434" t="str">
        <v/>
      </c>
      <c r="CF1434" t="str">
        <v/>
      </c>
    </row>
    <row r="1435" spans="77:84" x14ac:dyDescent="0.3">
      <c r="BY1435" t="str">
        <v>ultimate_destination</v>
      </c>
      <c r="BZ1435" t="str">
        <v>JAX</v>
      </c>
      <c r="CA1435" t="str">
        <v>fuel_blend</v>
      </c>
      <c r="CB1435">
        <v>44000000</v>
      </c>
      <c r="CC1435" t="str">
        <v>gallons</v>
      </c>
      <c r="CD1435" t="str">
        <v/>
      </c>
      <c r="CE1435" t="str">
        <v/>
      </c>
      <c r="CF1435" t="str">
        <v/>
      </c>
    </row>
    <row r="1436" spans="77:84" x14ac:dyDescent="0.3">
      <c r="BY1436" t="str">
        <v>ultimate_destination</v>
      </c>
      <c r="BZ1436" t="str">
        <v>MCO</v>
      </c>
      <c r="CA1436" t="str">
        <v>fuel_blend</v>
      </c>
      <c r="CB1436">
        <v>462000000</v>
      </c>
      <c r="CC1436" t="str">
        <v>gallons</v>
      </c>
      <c r="CD1436" t="str">
        <v/>
      </c>
      <c r="CE1436" t="str">
        <v/>
      </c>
      <c r="CF1436" t="str">
        <v/>
      </c>
    </row>
    <row r="1437" spans="77:84" x14ac:dyDescent="0.3">
      <c r="BY1437" t="str">
        <v>ultimate_destination</v>
      </c>
      <c r="BZ1437" t="str">
        <v>MIA</v>
      </c>
      <c r="CA1437" t="str">
        <v>fuel_blend</v>
      </c>
      <c r="CB1437">
        <v>1006000000</v>
      </c>
      <c r="CC1437" t="str">
        <v>gallons</v>
      </c>
      <c r="CD1437" t="str">
        <v/>
      </c>
      <c r="CE1437" t="str">
        <v/>
      </c>
      <c r="CF1437" t="str">
        <v/>
      </c>
    </row>
    <row r="1438" spans="77:84" x14ac:dyDescent="0.3">
      <c r="BY1438" t="str">
        <v>ultimate_destination</v>
      </c>
      <c r="BZ1438" t="str">
        <v>MLB</v>
      </c>
      <c r="CA1438" t="str">
        <v>fuel_blend</v>
      </c>
      <c r="CB1438">
        <v>7000000</v>
      </c>
      <c r="CC1438" t="str">
        <v>gallons</v>
      </c>
      <c r="CD1438" t="str">
        <v/>
      </c>
      <c r="CE1438" t="str">
        <v/>
      </c>
      <c r="CF1438" t="str">
        <v/>
      </c>
    </row>
    <row r="1439" spans="77:84" x14ac:dyDescent="0.3">
      <c r="BY1439" t="str">
        <v>ultimate_destination</v>
      </c>
      <c r="BZ1439" t="str">
        <v>PBI</v>
      </c>
      <c r="CA1439" t="str">
        <v>fuel_blend</v>
      </c>
      <c r="CB1439">
        <v>68000000</v>
      </c>
      <c r="CC1439" t="str">
        <v>gallons</v>
      </c>
      <c r="CD1439" t="str">
        <v/>
      </c>
      <c r="CE1439" t="str">
        <v/>
      </c>
      <c r="CF1439" t="str">
        <v/>
      </c>
    </row>
    <row r="1440" spans="77:84" x14ac:dyDescent="0.3">
      <c r="BY1440" t="str">
        <v>ultimate_destination</v>
      </c>
      <c r="BZ1440" t="str">
        <v>PGD</v>
      </c>
      <c r="CA1440" t="str">
        <v>fuel_blend</v>
      </c>
      <c r="CB1440">
        <v>14000000</v>
      </c>
      <c r="CC1440" t="str">
        <v>gallons</v>
      </c>
      <c r="CD1440" t="str">
        <v/>
      </c>
      <c r="CE1440" t="str">
        <v/>
      </c>
      <c r="CF1440" t="str">
        <v/>
      </c>
    </row>
    <row r="1441" spans="77:84" x14ac:dyDescent="0.3">
      <c r="BY1441" t="str">
        <v>ultimate_destination</v>
      </c>
      <c r="BZ1441" t="str">
        <v>PIE</v>
      </c>
      <c r="CA1441" t="str">
        <v>fuel_blend</v>
      </c>
      <c r="CB1441">
        <v>16000000</v>
      </c>
      <c r="CC1441" t="str">
        <v>gallons</v>
      </c>
      <c r="CD1441" t="str">
        <v/>
      </c>
      <c r="CE1441" t="str">
        <v/>
      </c>
      <c r="CF1441" t="str">
        <v/>
      </c>
    </row>
    <row r="1442" spans="77:84" x14ac:dyDescent="0.3">
      <c r="BY1442" t="str">
        <v>ultimate_destination</v>
      </c>
      <c r="BZ1442" t="str">
        <v>PNS</v>
      </c>
      <c r="CA1442" t="str">
        <v>fuel_blend</v>
      </c>
      <c r="CB1442">
        <v>11000000</v>
      </c>
      <c r="CC1442" t="str">
        <v>gallons</v>
      </c>
      <c r="CD1442" t="str">
        <v/>
      </c>
      <c r="CE1442" t="str">
        <v/>
      </c>
      <c r="CF1442" t="str">
        <v/>
      </c>
    </row>
    <row r="1443" spans="77:84" x14ac:dyDescent="0.3">
      <c r="BY1443" t="str">
        <v>ultimate_destination</v>
      </c>
      <c r="BZ1443" t="str">
        <v>RSW</v>
      </c>
      <c r="CA1443" t="str">
        <v>fuel_blend</v>
      </c>
      <c r="CB1443">
        <v>80000000</v>
      </c>
      <c r="CC1443" t="str">
        <v>gallons</v>
      </c>
      <c r="CD1443" t="str">
        <v/>
      </c>
      <c r="CE1443" t="str">
        <v/>
      </c>
      <c r="CF1443" t="str">
        <v/>
      </c>
    </row>
    <row r="1444" spans="77:84" x14ac:dyDescent="0.3">
      <c r="BY1444" t="str">
        <v>ultimate_destination</v>
      </c>
      <c r="BZ1444" t="str">
        <v>SFB</v>
      </c>
      <c r="CA1444" t="str">
        <v>fuel_blend</v>
      </c>
      <c r="CB1444">
        <v>18000000</v>
      </c>
      <c r="CC1444" t="str">
        <v>gallons</v>
      </c>
      <c r="CD1444" t="str">
        <v/>
      </c>
      <c r="CE1444" t="str">
        <v/>
      </c>
      <c r="CF1444" t="str">
        <v/>
      </c>
    </row>
    <row r="1445" spans="77:84" x14ac:dyDescent="0.3">
      <c r="BY1445" t="str">
        <v>ultimate_destination</v>
      </c>
      <c r="BZ1445" t="str">
        <v>SRQ</v>
      </c>
      <c r="CA1445" t="str">
        <v>fuel_blend</v>
      </c>
      <c r="CB1445">
        <v>25000000</v>
      </c>
      <c r="CC1445" t="str">
        <v>gallons</v>
      </c>
      <c r="CD1445" t="str">
        <v/>
      </c>
      <c r="CE1445" t="str">
        <v/>
      </c>
      <c r="CF1445" t="str">
        <v/>
      </c>
    </row>
    <row r="1446" spans="77:84" x14ac:dyDescent="0.3">
      <c r="BY1446" t="str">
        <v>ultimate_destination</v>
      </c>
      <c r="BZ1446" t="str">
        <v>TLH</v>
      </c>
      <c r="CA1446" t="str">
        <v>fuel_blend</v>
      </c>
      <c r="CB1446">
        <v>1000000</v>
      </c>
      <c r="CC1446" t="str">
        <v>gallons</v>
      </c>
      <c r="CD1446" t="str">
        <v/>
      </c>
      <c r="CE1446" t="str">
        <v/>
      </c>
      <c r="CF1446" t="str">
        <v/>
      </c>
    </row>
    <row r="1447" spans="77:84" x14ac:dyDescent="0.3">
      <c r="BY1447" t="str">
        <v>ultimate_destination</v>
      </c>
      <c r="BZ1447" t="str">
        <v>TPA</v>
      </c>
      <c r="CA1447" t="str">
        <v>fuel_blend</v>
      </c>
      <c r="CB1447">
        <v>180000000</v>
      </c>
      <c r="CC1447" t="str">
        <v>gallons</v>
      </c>
      <c r="CD1447" t="str">
        <v/>
      </c>
      <c r="CE1447" t="str">
        <v/>
      </c>
      <c r="CF1447" t="str">
        <v/>
      </c>
    </row>
    <row r="1448" spans="77:84" x14ac:dyDescent="0.3">
      <c r="BY1448" t="str">
        <v>ultimate_destination</v>
      </c>
      <c r="BZ1448" t="str">
        <v>VPS</v>
      </c>
      <c r="CA1448" t="str">
        <v>fuel_blend</v>
      </c>
      <c r="CB1448">
        <v>10000000</v>
      </c>
      <c r="CC1448" t="str">
        <v>gallons</v>
      </c>
      <c r="CD1448" t="str">
        <v/>
      </c>
      <c r="CE1448" t="str">
        <v/>
      </c>
      <c r="CF1448" t="str">
        <v/>
      </c>
    </row>
    <row r="1449" spans="77:84" x14ac:dyDescent="0.3">
      <c r="BY1449" t="str">
        <v>ultimate_destination</v>
      </c>
      <c r="BZ1449" t="str">
        <v>ATL</v>
      </c>
      <c r="CA1449" t="str">
        <v>fuel_blend</v>
      </c>
      <c r="CB1449">
        <v>1013000000</v>
      </c>
      <c r="CC1449" t="str">
        <v>gallons</v>
      </c>
      <c r="CD1449" t="str">
        <v/>
      </c>
      <c r="CE1449" t="str">
        <v/>
      </c>
      <c r="CF1449" t="str">
        <v/>
      </c>
    </row>
    <row r="1450" spans="77:84" x14ac:dyDescent="0.3">
      <c r="BY1450" t="str">
        <v>ultimate_destination</v>
      </c>
      <c r="BZ1450" t="str">
        <v>SAV</v>
      </c>
      <c r="CA1450" t="str">
        <v>fuel_blend</v>
      </c>
      <c r="CB1450">
        <v>32000000</v>
      </c>
      <c r="CC1450" t="str">
        <v>gallons</v>
      </c>
      <c r="CD1450" t="str">
        <v/>
      </c>
      <c r="CE1450" t="str">
        <v/>
      </c>
      <c r="CF1450" t="str">
        <v/>
      </c>
    </row>
    <row r="1451" spans="77:84" x14ac:dyDescent="0.3">
      <c r="BY1451" t="str">
        <v>ultimate_destination</v>
      </c>
      <c r="BZ1451" t="str">
        <v>HNL</v>
      </c>
      <c r="CA1451" t="str">
        <v>fuel_blend</v>
      </c>
      <c r="CB1451">
        <v>508000000</v>
      </c>
      <c r="CC1451" t="str">
        <v>gallons</v>
      </c>
      <c r="CD1451" t="str">
        <v/>
      </c>
      <c r="CE1451" t="str">
        <v/>
      </c>
      <c r="CF1451" t="str">
        <v/>
      </c>
    </row>
    <row r="1452" spans="77:84" x14ac:dyDescent="0.3">
      <c r="BY1452" t="str">
        <v>ultimate_destination</v>
      </c>
      <c r="BZ1452" t="str">
        <v>ITO</v>
      </c>
      <c r="CA1452" t="str">
        <v>fuel_blend</v>
      </c>
      <c r="CB1452">
        <v>3000000</v>
      </c>
      <c r="CC1452" t="str">
        <v>gallons</v>
      </c>
      <c r="CD1452" t="str">
        <v/>
      </c>
      <c r="CE1452" t="str">
        <v/>
      </c>
      <c r="CF1452" t="str">
        <v/>
      </c>
    </row>
    <row r="1453" spans="77:84" x14ac:dyDescent="0.3">
      <c r="BY1453" t="str">
        <v>ultimate_destination</v>
      </c>
      <c r="BZ1453" t="str">
        <v>KOA</v>
      </c>
      <c r="CA1453" t="str">
        <v>fuel_blend</v>
      </c>
      <c r="CB1453">
        <v>43000000</v>
      </c>
      <c r="CC1453" t="str">
        <v>gallons</v>
      </c>
      <c r="CD1453" t="str">
        <v/>
      </c>
      <c r="CE1453" t="str">
        <v/>
      </c>
      <c r="CF1453" t="str">
        <v/>
      </c>
    </row>
    <row r="1454" spans="77:84" x14ac:dyDescent="0.3">
      <c r="BY1454" t="str">
        <v>ultimate_destination</v>
      </c>
      <c r="BZ1454" t="str">
        <v>LIH</v>
      </c>
      <c r="CA1454" t="str">
        <v>fuel_blend</v>
      </c>
      <c r="CB1454">
        <v>30000000</v>
      </c>
      <c r="CC1454" t="str">
        <v>gallons</v>
      </c>
      <c r="CD1454" t="str">
        <v/>
      </c>
      <c r="CE1454" t="str">
        <v/>
      </c>
      <c r="CF1454" t="str">
        <v/>
      </c>
    </row>
    <row r="1455" spans="77:84" x14ac:dyDescent="0.3">
      <c r="BY1455" t="str">
        <v>ultimate_destination</v>
      </c>
      <c r="BZ1455" t="str">
        <v>OGG</v>
      </c>
      <c r="CA1455" t="str">
        <v>fuel_blend</v>
      </c>
      <c r="CB1455">
        <v>67000000</v>
      </c>
      <c r="CC1455" t="str">
        <v>gallons</v>
      </c>
      <c r="CD1455" t="str">
        <v/>
      </c>
      <c r="CE1455" t="str">
        <v/>
      </c>
      <c r="CF1455" t="str">
        <v/>
      </c>
    </row>
    <row r="1456" spans="77:84" x14ac:dyDescent="0.3">
      <c r="BY1456" t="str">
        <v>ultimate_destination</v>
      </c>
      <c r="BZ1456" t="str">
        <v>MDW</v>
      </c>
      <c r="CA1456" t="str">
        <v>fuel_blend</v>
      </c>
      <c r="CB1456">
        <v>140000000</v>
      </c>
      <c r="CC1456" t="str">
        <v>gallons</v>
      </c>
      <c r="CD1456" t="str">
        <v/>
      </c>
      <c r="CE1456" t="str">
        <v/>
      </c>
      <c r="CF1456" t="str">
        <v/>
      </c>
    </row>
    <row r="1457" spans="77:84" x14ac:dyDescent="0.3">
      <c r="BY1457" t="str">
        <v>ultimate_destination</v>
      </c>
      <c r="BZ1457" t="str">
        <v>ORD</v>
      </c>
      <c r="CA1457" t="str">
        <v>fuel_blend</v>
      </c>
      <c r="CB1457">
        <v>992000000</v>
      </c>
      <c r="CC1457" t="str">
        <v>gallons</v>
      </c>
      <c r="CD1457" t="str">
        <v/>
      </c>
      <c r="CE1457" t="str">
        <v/>
      </c>
      <c r="CF1457" t="str">
        <v/>
      </c>
    </row>
    <row r="1458" spans="77:84" x14ac:dyDescent="0.3">
      <c r="BY1458" t="str">
        <v>ultimate_destination</v>
      </c>
      <c r="BZ1458" t="str">
        <v>IND</v>
      </c>
      <c r="CA1458" t="str">
        <v>fuel_blend</v>
      </c>
      <c r="CB1458">
        <v>134000000</v>
      </c>
      <c r="CC1458" t="str">
        <v>gallons</v>
      </c>
      <c r="CD1458" t="str">
        <v/>
      </c>
      <c r="CE1458" t="str">
        <v/>
      </c>
      <c r="CF1458" t="str">
        <v/>
      </c>
    </row>
    <row r="1459" spans="77:84" x14ac:dyDescent="0.3">
      <c r="BY1459" t="str">
        <v>ultimate_destination</v>
      </c>
      <c r="BZ1459" t="str">
        <v>DSM</v>
      </c>
      <c r="CA1459" t="str">
        <v>fuel_blend</v>
      </c>
      <c r="CB1459">
        <v>25000000</v>
      </c>
      <c r="CC1459" t="str">
        <v>gallons</v>
      </c>
      <c r="CD1459" t="str">
        <v/>
      </c>
      <c r="CE1459" t="str">
        <v/>
      </c>
      <c r="CF1459" t="str">
        <v/>
      </c>
    </row>
    <row r="1460" spans="77:84" x14ac:dyDescent="0.3">
      <c r="BY1460" t="str">
        <v>ultimate_destination</v>
      </c>
      <c r="BZ1460" t="str">
        <v>ICT</v>
      </c>
      <c r="CA1460" t="str">
        <v>fuel_blend</v>
      </c>
      <c r="CB1460">
        <v>16000000</v>
      </c>
      <c r="CC1460" t="str">
        <v>gallons</v>
      </c>
      <c r="CD1460" t="str">
        <v/>
      </c>
      <c r="CE1460" t="str">
        <v/>
      </c>
      <c r="CF1460" t="str">
        <v/>
      </c>
    </row>
    <row r="1461" spans="77:84" x14ac:dyDescent="0.3">
      <c r="BY1461" t="str">
        <v>ultimate_destination</v>
      </c>
      <c r="BZ1461" t="str">
        <v>CVG</v>
      </c>
      <c r="CA1461" t="str">
        <v>fuel_blend</v>
      </c>
      <c r="CB1461">
        <v>281000000</v>
      </c>
      <c r="CC1461" t="str">
        <v>gallons</v>
      </c>
      <c r="CD1461" t="str">
        <v/>
      </c>
      <c r="CE1461" t="str">
        <v/>
      </c>
      <c r="CF1461" t="str">
        <v/>
      </c>
    </row>
    <row r="1462" spans="77:84" x14ac:dyDescent="0.3">
      <c r="BY1462" t="str">
        <v>ultimate_destination</v>
      </c>
      <c r="BZ1462" t="str">
        <v>SDF</v>
      </c>
      <c r="CA1462" t="str">
        <v>fuel_blend</v>
      </c>
      <c r="CB1462">
        <v>342000000</v>
      </c>
      <c r="CC1462" t="str">
        <v>gallons</v>
      </c>
      <c r="CD1462" t="str">
        <v/>
      </c>
      <c r="CE1462" t="str">
        <v/>
      </c>
      <c r="CF1462" t="str">
        <v/>
      </c>
    </row>
    <row r="1463" spans="77:84" x14ac:dyDescent="0.3">
      <c r="BY1463" t="str">
        <v>ultimate_destination</v>
      </c>
      <c r="BZ1463" t="str">
        <v>MSY</v>
      </c>
      <c r="CA1463" t="str">
        <v>fuel_blend</v>
      </c>
      <c r="CB1463">
        <v>83000000</v>
      </c>
      <c r="CC1463" t="str">
        <v>gallons</v>
      </c>
      <c r="CD1463" t="str">
        <v/>
      </c>
      <c r="CE1463" t="str">
        <v/>
      </c>
      <c r="CF1463" t="str">
        <v/>
      </c>
    </row>
    <row r="1464" spans="77:84" x14ac:dyDescent="0.3">
      <c r="BY1464" t="str">
        <v>ultimate_destination</v>
      </c>
      <c r="BZ1464" t="str">
        <v>BWI</v>
      </c>
      <c r="CA1464" t="str">
        <v>fuel_blend</v>
      </c>
      <c r="CB1464">
        <v>233000000</v>
      </c>
      <c r="CC1464" t="str">
        <v>gallons</v>
      </c>
      <c r="CD1464" t="str">
        <v/>
      </c>
      <c r="CE1464" t="str">
        <v/>
      </c>
      <c r="CF1464" t="str">
        <v/>
      </c>
    </row>
    <row r="1465" spans="77:84" x14ac:dyDescent="0.3">
      <c r="BY1465" t="str">
        <v>ultimate_destination</v>
      </c>
      <c r="BZ1465" t="str">
        <v>BOS</v>
      </c>
      <c r="CA1465" t="str">
        <v>fuel_blend</v>
      </c>
      <c r="CB1465">
        <v>545000000</v>
      </c>
      <c r="CC1465" t="str">
        <v>gallons</v>
      </c>
      <c r="CD1465" t="str">
        <v/>
      </c>
      <c r="CE1465" t="str">
        <v/>
      </c>
      <c r="CF1465" t="str">
        <v/>
      </c>
    </row>
    <row r="1466" spans="77:84" x14ac:dyDescent="0.3">
      <c r="BY1466" t="str">
        <v>ultimate_destination</v>
      </c>
      <c r="BZ1466" t="str">
        <v>DTW</v>
      </c>
      <c r="CA1466" t="str">
        <v>fuel_blend</v>
      </c>
      <c r="CB1466">
        <v>315000000</v>
      </c>
      <c r="CC1466" t="str">
        <v>gallons</v>
      </c>
      <c r="CD1466" t="str">
        <v/>
      </c>
      <c r="CE1466" t="str">
        <v/>
      </c>
      <c r="CF1466" t="str">
        <v/>
      </c>
    </row>
    <row r="1467" spans="77:84" x14ac:dyDescent="0.3">
      <c r="BY1467" t="str">
        <v>ultimate_destination</v>
      </c>
      <c r="BZ1467" t="str">
        <v>GRR</v>
      </c>
      <c r="CA1467" t="str">
        <v>fuel_blend</v>
      </c>
      <c r="CB1467">
        <v>27000000</v>
      </c>
      <c r="CC1467" t="str">
        <v>gallons</v>
      </c>
      <c r="CD1467" t="str">
        <v/>
      </c>
      <c r="CE1467" t="str">
        <v/>
      </c>
      <c r="CF1467" t="str">
        <v/>
      </c>
    </row>
    <row r="1468" spans="77:84" x14ac:dyDescent="0.3">
      <c r="BY1468" t="str">
        <v>ultimate_destination</v>
      </c>
      <c r="BZ1468" t="str">
        <v>MSP</v>
      </c>
      <c r="CA1468" t="str">
        <v>fuel_blend</v>
      </c>
      <c r="CB1468">
        <v>341000000</v>
      </c>
      <c r="CC1468" t="str">
        <v>gallons</v>
      </c>
      <c r="CD1468" t="str">
        <v/>
      </c>
      <c r="CE1468" t="str">
        <v/>
      </c>
      <c r="CF1468" t="str">
        <v/>
      </c>
    </row>
    <row r="1469" spans="77:84" x14ac:dyDescent="0.3">
      <c r="BY1469" t="str">
        <v>ultimate_destination</v>
      </c>
      <c r="BZ1469" t="str">
        <v>MCI</v>
      </c>
      <c r="CA1469" t="str">
        <v>fuel_blend</v>
      </c>
      <c r="CB1469">
        <v>89000000</v>
      </c>
      <c r="CC1469" t="str">
        <v>gallons</v>
      </c>
      <c r="CD1469" t="str">
        <v/>
      </c>
      <c r="CE1469" t="str">
        <v/>
      </c>
      <c r="CF1469" t="str">
        <v/>
      </c>
    </row>
    <row r="1470" spans="77:84" x14ac:dyDescent="0.3">
      <c r="BY1470" t="str">
        <v>ultimate_destination</v>
      </c>
      <c r="BZ1470" t="str">
        <v>STL</v>
      </c>
      <c r="CA1470" t="str">
        <v>fuel_blend</v>
      </c>
      <c r="CB1470">
        <v>109000000</v>
      </c>
      <c r="CC1470" t="str">
        <v>gallons</v>
      </c>
      <c r="CD1470" t="str">
        <v/>
      </c>
      <c r="CE1470" t="str">
        <v/>
      </c>
      <c r="CF1470" t="str">
        <v/>
      </c>
    </row>
    <row r="1471" spans="77:84" x14ac:dyDescent="0.3">
      <c r="BY1471" t="str">
        <v>ultimate_destination</v>
      </c>
      <c r="BZ1471" t="str">
        <v>BZN</v>
      </c>
      <c r="CA1471" t="str">
        <v>fuel_blend</v>
      </c>
      <c r="CB1471">
        <v>20000000</v>
      </c>
      <c r="CC1471" t="str">
        <v>gallons</v>
      </c>
      <c r="CD1471" t="str">
        <v/>
      </c>
      <c r="CE1471" t="str">
        <v/>
      </c>
      <c r="CF1471" t="str">
        <v/>
      </c>
    </row>
    <row r="1472" spans="77:84" x14ac:dyDescent="0.3">
      <c r="BY1472" t="str">
        <v>ultimate_destination</v>
      </c>
      <c r="BZ1472" t="str">
        <v>OMA</v>
      </c>
      <c r="CA1472" t="str">
        <v>fuel_blend</v>
      </c>
      <c r="CB1472">
        <v>17000000</v>
      </c>
      <c r="CC1472" t="str">
        <v>gallons</v>
      </c>
      <c r="CD1472" t="str">
        <v/>
      </c>
      <c r="CE1472" t="str">
        <v/>
      </c>
      <c r="CF1472" t="str">
        <v/>
      </c>
    </row>
    <row r="1473" spans="77:84" x14ac:dyDescent="0.3">
      <c r="BY1473" t="str">
        <v>ultimate_destination</v>
      </c>
      <c r="BZ1473" t="str">
        <v>LAS</v>
      </c>
      <c r="CA1473" t="str">
        <v>fuel_blend</v>
      </c>
      <c r="CB1473">
        <v>471000000</v>
      </c>
      <c r="CC1473" t="str">
        <v>gallons</v>
      </c>
      <c r="CD1473" t="str">
        <v/>
      </c>
      <c r="CE1473" t="str">
        <v/>
      </c>
      <c r="CF1473" t="str">
        <v/>
      </c>
    </row>
    <row r="1474" spans="77:84" x14ac:dyDescent="0.3">
      <c r="BY1474" t="str">
        <v>ultimate_destination</v>
      </c>
      <c r="BZ1474" t="str">
        <v>RNO</v>
      </c>
      <c r="CA1474" t="str">
        <v>fuel_blend</v>
      </c>
      <c r="CB1474">
        <v>29000000</v>
      </c>
      <c r="CC1474" t="str">
        <v>gallons</v>
      </c>
      <c r="CD1474" t="str">
        <v/>
      </c>
      <c r="CE1474" t="str">
        <v/>
      </c>
      <c r="CF1474" t="str">
        <v/>
      </c>
    </row>
    <row r="1475" spans="77:84" x14ac:dyDescent="0.3">
      <c r="BY1475" t="str">
        <v>ultimate_destination</v>
      </c>
      <c r="BZ1475" t="str">
        <v>EWR</v>
      </c>
      <c r="CA1475" t="str">
        <v>fuel_blend</v>
      </c>
      <c r="CB1475">
        <v>774000000</v>
      </c>
      <c r="CC1475" t="str">
        <v>gallons</v>
      </c>
      <c r="CD1475" t="str">
        <v/>
      </c>
      <c r="CE1475" t="str">
        <v/>
      </c>
      <c r="CF1475" t="str">
        <v/>
      </c>
    </row>
    <row r="1476" spans="77:84" x14ac:dyDescent="0.3">
      <c r="BY1476" t="str">
        <v>ultimate_destination</v>
      </c>
      <c r="BZ1476" t="str">
        <v>ABQ</v>
      </c>
      <c r="CA1476" t="str">
        <v>fuel_blend</v>
      </c>
      <c r="CB1476">
        <v>29000000</v>
      </c>
      <c r="CC1476" t="str">
        <v>gallons</v>
      </c>
      <c r="CD1476" t="str">
        <v/>
      </c>
      <c r="CE1476" t="str">
        <v/>
      </c>
      <c r="CF1476" t="str">
        <v/>
      </c>
    </row>
    <row r="1477" spans="77:84" x14ac:dyDescent="0.3">
      <c r="BY1477" t="str">
        <v>ultimate_destination</v>
      </c>
      <c r="BZ1477" t="str">
        <v>ALB</v>
      </c>
      <c r="CA1477" t="str">
        <v>fuel_blend</v>
      </c>
      <c r="CB1477">
        <v>21000000</v>
      </c>
      <c r="CC1477" t="str">
        <v>gallons</v>
      </c>
      <c r="CD1477" t="str">
        <v/>
      </c>
      <c r="CE1477" t="str">
        <v/>
      </c>
      <c r="CF1477" t="str">
        <v/>
      </c>
    </row>
    <row r="1478" spans="77:84" x14ac:dyDescent="0.3">
      <c r="BY1478" t="str">
        <v>ultimate_destination</v>
      </c>
      <c r="BZ1478" t="str">
        <v>BUF</v>
      </c>
      <c r="CA1478" t="str">
        <v>fuel_blend</v>
      </c>
      <c r="CB1478">
        <v>32000000</v>
      </c>
      <c r="CC1478" t="str">
        <v>gallons</v>
      </c>
      <c r="CD1478" t="str">
        <v/>
      </c>
      <c r="CE1478" t="str">
        <v/>
      </c>
      <c r="CF1478" t="str">
        <v/>
      </c>
    </row>
    <row r="1479" spans="77:84" x14ac:dyDescent="0.3">
      <c r="BY1479" t="str">
        <v>ultimate_destination</v>
      </c>
      <c r="BZ1479" t="str">
        <v>HPN</v>
      </c>
      <c r="CA1479" t="str">
        <v>fuel_blend</v>
      </c>
      <c r="CB1479">
        <v>45000000</v>
      </c>
      <c r="CC1479" t="str">
        <v>gallons</v>
      </c>
      <c r="CD1479" t="str">
        <v/>
      </c>
      <c r="CE1479" t="str">
        <v/>
      </c>
      <c r="CF1479" t="str">
        <v/>
      </c>
    </row>
    <row r="1480" spans="77:84" x14ac:dyDescent="0.3">
      <c r="BY1480" t="str">
        <v>ultimate_destination</v>
      </c>
      <c r="BZ1480" t="str">
        <v>ISP</v>
      </c>
      <c r="CA1480" t="str">
        <v>fuel_blend</v>
      </c>
      <c r="CB1480">
        <v>8000000</v>
      </c>
      <c r="CC1480" t="str">
        <v>gallons</v>
      </c>
      <c r="CD1480" t="str">
        <v/>
      </c>
      <c r="CE1480" t="str">
        <v/>
      </c>
      <c r="CF1480" t="str">
        <v/>
      </c>
    </row>
    <row r="1481" spans="77:84" x14ac:dyDescent="0.3">
      <c r="BY1481" t="str">
        <v>ultimate_destination</v>
      </c>
      <c r="BZ1481" t="str">
        <v>JFK</v>
      </c>
      <c r="CA1481" t="str">
        <v>fuel_blend</v>
      </c>
      <c r="CB1481">
        <v>1611000000</v>
      </c>
      <c r="CC1481" t="str">
        <v>gallons</v>
      </c>
      <c r="CD1481" t="str">
        <v/>
      </c>
      <c r="CE1481" t="str">
        <v/>
      </c>
      <c r="CF1481" t="str">
        <v/>
      </c>
    </row>
    <row r="1482" spans="77:84" x14ac:dyDescent="0.3">
      <c r="BY1482" t="str">
        <v>ultimate_destination</v>
      </c>
      <c r="BZ1482" t="str">
        <v>LGA</v>
      </c>
      <c r="CA1482" t="str">
        <v>fuel_blend</v>
      </c>
      <c r="CB1482">
        <v>261000000</v>
      </c>
      <c r="CC1482" t="str">
        <v>gallons</v>
      </c>
      <c r="CD1482" t="str">
        <v/>
      </c>
      <c r="CE1482" t="str">
        <v/>
      </c>
      <c r="CF1482" t="str">
        <v/>
      </c>
    </row>
    <row r="1483" spans="77:84" x14ac:dyDescent="0.3">
      <c r="BY1483" t="str">
        <v>ultimate_destination</v>
      </c>
      <c r="BZ1483" t="str">
        <v>ROC</v>
      </c>
      <c r="CA1483" t="str">
        <v>fuel_blend</v>
      </c>
      <c r="CB1483">
        <v>18000000</v>
      </c>
      <c r="CC1483" t="str">
        <v>gallons</v>
      </c>
      <c r="CD1483" t="str">
        <v/>
      </c>
      <c r="CE1483" t="str">
        <v/>
      </c>
      <c r="CF1483" t="str">
        <v/>
      </c>
    </row>
    <row r="1484" spans="77:84" x14ac:dyDescent="0.3">
      <c r="BY1484" t="str">
        <v>ultimate_destination</v>
      </c>
      <c r="BZ1484" t="str">
        <v>SWF</v>
      </c>
      <c r="CA1484" t="str">
        <v>fuel_blend</v>
      </c>
      <c r="CB1484">
        <v>6000000</v>
      </c>
      <c r="CC1484" t="str">
        <v>gallons</v>
      </c>
      <c r="CD1484" t="str">
        <v/>
      </c>
      <c r="CE1484" t="str">
        <v/>
      </c>
      <c r="CF1484" t="str">
        <v/>
      </c>
    </row>
    <row r="1485" spans="77:84" x14ac:dyDescent="0.3">
      <c r="BY1485" t="str">
        <v>ultimate_destination</v>
      </c>
      <c r="BZ1485" t="str">
        <v>SYR</v>
      </c>
      <c r="CA1485" t="str">
        <v>fuel_blend</v>
      </c>
      <c r="CB1485">
        <v>20000000</v>
      </c>
      <c r="CC1485" t="str">
        <v>gallons</v>
      </c>
      <c r="CD1485" t="str">
        <v/>
      </c>
      <c r="CE1485" t="str">
        <v/>
      </c>
      <c r="CF1485" t="str">
        <v/>
      </c>
    </row>
    <row r="1486" spans="77:84" x14ac:dyDescent="0.3">
      <c r="BY1486" t="str">
        <v>ultimate_destination</v>
      </c>
      <c r="BZ1486" t="str">
        <v>AVL</v>
      </c>
      <c r="CA1486" t="str">
        <v>fuel_blend</v>
      </c>
      <c r="CB1486">
        <v>13000000</v>
      </c>
      <c r="CC1486" t="str">
        <v>gallons</v>
      </c>
      <c r="CD1486" t="str">
        <v/>
      </c>
      <c r="CE1486" t="str">
        <v/>
      </c>
      <c r="CF1486" t="str">
        <v/>
      </c>
    </row>
    <row r="1487" spans="77:84" x14ac:dyDescent="0.3">
      <c r="BY1487" t="str">
        <v>ultimate_destination</v>
      </c>
      <c r="BZ1487" t="str">
        <v>CLT</v>
      </c>
      <c r="CA1487" t="str">
        <v>fuel_blend</v>
      </c>
      <c r="CB1487">
        <v>492000000</v>
      </c>
      <c r="CC1487" t="str">
        <v>gallons</v>
      </c>
      <c r="CD1487" t="str">
        <v/>
      </c>
      <c r="CE1487" t="str">
        <v/>
      </c>
      <c r="CF1487" t="str">
        <v/>
      </c>
    </row>
    <row r="1488" spans="77:84" x14ac:dyDescent="0.3">
      <c r="BY1488" t="str">
        <v>ultimate_destination</v>
      </c>
      <c r="BZ1488" t="str">
        <v>GSO</v>
      </c>
      <c r="CA1488" t="str">
        <v>fuel_blend</v>
      </c>
      <c r="CB1488">
        <v>3000000</v>
      </c>
      <c r="CC1488" t="str">
        <v>gallons</v>
      </c>
      <c r="CD1488" t="str">
        <v/>
      </c>
      <c r="CE1488" t="str">
        <v/>
      </c>
      <c r="CF1488" t="str">
        <v/>
      </c>
    </row>
    <row r="1489" spans="77:84" x14ac:dyDescent="0.3">
      <c r="BY1489" t="str">
        <v>ultimate_destination</v>
      </c>
      <c r="BZ1489" t="str">
        <v>RDU</v>
      </c>
      <c r="CA1489" t="str">
        <v>fuel_blend</v>
      </c>
      <c r="CB1489">
        <v>125000000</v>
      </c>
      <c r="CC1489" t="str">
        <v>gallons</v>
      </c>
      <c r="CD1489" t="str">
        <v/>
      </c>
      <c r="CE1489" t="str">
        <v/>
      </c>
      <c r="CF1489" t="str">
        <v/>
      </c>
    </row>
    <row r="1490" spans="77:84" x14ac:dyDescent="0.3">
      <c r="BY1490" t="str">
        <v>ultimate_destination</v>
      </c>
      <c r="BZ1490" t="str">
        <v>GFK</v>
      </c>
      <c r="CA1490" t="str">
        <v>fuel_blend</v>
      </c>
      <c r="CB1490">
        <v>1000000</v>
      </c>
      <c r="CC1490" t="str">
        <v>gallons</v>
      </c>
      <c r="CD1490" t="str">
        <v/>
      </c>
      <c r="CE1490" t="str">
        <v/>
      </c>
      <c r="CF1490" t="str">
        <v/>
      </c>
    </row>
    <row r="1491" spans="77:84" x14ac:dyDescent="0.3">
      <c r="BY1491" t="str">
        <v>ultimate_destination</v>
      </c>
      <c r="BZ1491" t="str">
        <v>CLE</v>
      </c>
      <c r="CA1491" t="str">
        <v>fuel_blend</v>
      </c>
      <c r="CB1491">
        <v>71000000</v>
      </c>
      <c r="CC1491" t="str">
        <v>gallons</v>
      </c>
      <c r="CD1491" t="str">
        <v/>
      </c>
      <c r="CE1491" t="str">
        <v/>
      </c>
      <c r="CF1491" t="str">
        <v/>
      </c>
    </row>
    <row r="1492" spans="77:84" x14ac:dyDescent="0.3">
      <c r="BY1492" t="str">
        <v>ultimate_destination</v>
      </c>
      <c r="BZ1492" t="str">
        <v>CMH</v>
      </c>
      <c r="CA1492" t="str">
        <v>fuel_blend</v>
      </c>
      <c r="CB1492">
        <v>65000000</v>
      </c>
      <c r="CC1492" t="str">
        <v>gallons</v>
      </c>
      <c r="CD1492" t="str">
        <v/>
      </c>
      <c r="CE1492" t="str">
        <v/>
      </c>
      <c r="CF1492" t="str">
        <v/>
      </c>
    </row>
    <row r="1493" spans="77:84" x14ac:dyDescent="0.3">
      <c r="BY1493" t="str">
        <v>ultimate_destination</v>
      </c>
      <c r="BZ1493" t="str">
        <v>LCK</v>
      </c>
      <c r="CA1493" t="str">
        <v>fuel_blend</v>
      </c>
      <c r="CB1493">
        <v>6000000</v>
      </c>
      <c r="CC1493" t="str">
        <v>gallons</v>
      </c>
      <c r="CD1493" t="str">
        <v/>
      </c>
      <c r="CE1493" t="str">
        <v/>
      </c>
      <c r="CF1493" t="str">
        <v/>
      </c>
    </row>
    <row r="1494" spans="77:84" x14ac:dyDescent="0.3">
      <c r="BY1494" t="str">
        <v>ultimate_destination</v>
      </c>
      <c r="BZ1494" t="str">
        <v>OKC</v>
      </c>
      <c r="CA1494" t="str">
        <v>fuel_blend</v>
      </c>
      <c r="CB1494">
        <v>35000000</v>
      </c>
      <c r="CC1494" t="str">
        <v>gallons</v>
      </c>
      <c r="CD1494" t="str">
        <v/>
      </c>
      <c r="CE1494" t="str">
        <v/>
      </c>
      <c r="CF1494" t="str">
        <v/>
      </c>
    </row>
    <row r="1495" spans="77:84" x14ac:dyDescent="0.3">
      <c r="BY1495" t="str">
        <v>ultimate_destination</v>
      </c>
      <c r="BZ1495" t="str">
        <v>TUL</v>
      </c>
      <c r="CA1495" t="str">
        <v>fuel_blend</v>
      </c>
      <c r="CB1495">
        <v>19000000</v>
      </c>
      <c r="CC1495" t="str">
        <v>gallons</v>
      </c>
      <c r="CD1495" t="str">
        <v/>
      </c>
      <c r="CE1495" t="str">
        <v/>
      </c>
      <c r="CF1495" t="str">
        <v/>
      </c>
    </row>
    <row r="1496" spans="77:84" x14ac:dyDescent="0.3">
      <c r="BY1496" t="str">
        <v>ultimate_destination</v>
      </c>
      <c r="BZ1496" t="str">
        <v>EUG</v>
      </c>
      <c r="CA1496" t="str">
        <v>fuel_blend</v>
      </c>
      <c r="CB1496">
        <v>10000000</v>
      </c>
      <c r="CC1496" t="str">
        <v>gallons</v>
      </c>
      <c r="CD1496" t="str">
        <v/>
      </c>
      <c r="CE1496" t="str">
        <v/>
      </c>
      <c r="CF1496" t="str">
        <v/>
      </c>
    </row>
    <row r="1497" spans="77:84" x14ac:dyDescent="0.3">
      <c r="BY1497" t="str">
        <v>ultimate_destination</v>
      </c>
      <c r="BZ1497" t="str">
        <v>PDX</v>
      </c>
      <c r="CA1497" t="str">
        <v>fuel_blend</v>
      </c>
      <c r="CB1497">
        <v>177000000</v>
      </c>
      <c r="CC1497" t="str">
        <v>gallons</v>
      </c>
      <c r="CD1497" t="str">
        <v/>
      </c>
      <c r="CE1497" t="str">
        <v/>
      </c>
      <c r="CF1497" t="str">
        <v/>
      </c>
    </row>
    <row r="1498" spans="77:84" x14ac:dyDescent="0.3">
      <c r="BY1498" t="str">
        <v>ultimate_destination</v>
      </c>
      <c r="BZ1498" t="str">
        <v>ABE</v>
      </c>
      <c r="CA1498" t="str">
        <v>fuel_blend</v>
      </c>
      <c r="CB1498">
        <v>13000000</v>
      </c>
      <c r="CC1498" t="str">
        <v>gallons</v>
      </c>
      <c r="CD1498" t="str">
        <v/>
      </c>
      <c r="CE1498" t="str">
        <v/>
      </c>
      <c r="CF1498" t="str">
        <v/>
      </c>
    </row>
    <row r="1499" spans="77:84" x14ac:dyDescent="0.3">
      <c r="BY1499" t="str">
        <v>ultimate_destination</v>
      </c>
      <c r="BZ1499" t="str">
        <v>MDT</v>
      </c>
      <c r="CA1499" t="str">
        <v>fuel_blend</v>
      </c>
      <c r="CB1499">
        <v>12000000</v>
      </c>
      <c r="CC1499" t="str">
        <v>gallons</v>
      </c>
      <c r="CD1499" t="str">
        <v/>
      </c>
      <c r="CE1499" t="str">
        <v/>
      </c>
      <c r="CF1499" t="str">
        <v/>
      </c>
    </row>
    <row r="1500" spans="77:84" x14ac:dyDescent="0.3">
      <c r="BY1500" t="str">
        <v>ultimate_destination</v>
      </c>
      <c r="BZ1500" t="str">
        <v>PHL</v>
      </c>
      <c r="CA1500" t="str">
        <v>fuel_blend</v>
      </c>
      <c r="CB1500">
        <v>351000000</v>
      </c>
      <c r="CC1500" t="str">
        <v>gallons</v>
      </c>
      <c r="CD1500" t="str">
        <v/>
      </c>
      <c r="CE1500" t="str">
        <v/>
      </c>
      <c r="CF1500" t="str">
        <v/>
      </c>
    </row>
    <row r="1501" spans="77:84" x14ac:dyDescent="0.3">
      <c r="BY1501" t="str">
        <v>ultimate_destination</v>
      </c>
      <c r="BZ1501" t="str">
        <v>PIT</v>
      </c>
      <c r="CA1501" t="str">
        <v>fuel_blend</v>
      </c>
      <c r="CB1501">
        <v>83000000</v>
      </c>
      <c r="CC1501" t="str">
        <v>gallons</v>
      </c>
      <c r="CD1501" t="str">
        <v/>
      </c>
      <c r="CE1501" t="str">
        <v/>
      </c>
      <c r="CF1501" t="str">
        <v/>
      </c>
    </row>
    <row r="1502" spans="77:84" x14ac:dyDescent="0.3">
      <c r="BY1502" t="str">
        <v>ultimate_destination</v>
      </c>
      <c r="BZ1502" t="str">
        <v>SJU</v>
      </c>
      <c r="CA1502" t="str">
        <v>fuel_blend</v>
      </c>
      <c r="CB1502">
        <v>148000000</v>
      </c>
      <c r="CC1502" t="str">
        <v>gallons</v>
      </c>
      <c r="CD1502" t="str">
        <v/>
      </c>
      <c r="CE1502" t="str">
        <v/>
      </c>
      <c r="CF1502" t="str">
        <v/>
      </c>
    </row>
    <row r="1503" spans="77:84" x14ac:dyDescent="0.3">
      <c r="BY1503" t="str">
        <v>ultimate_destination</v>
      </c>
      <c r="BZ1503" t="str">
        <v>PVD</v>
      </c>
      <c r="CA1503" t="str">
        <v>fuel_blend</v>
      </c>
      <c r="CB1503">
        <v>17000000</v>
      </c>
      <c r="CC1503" t="str">
        <v>gallons</v>
      </c>
      <c r="CD1503" t="str">
        <v/>
      </c>
      <c r="CE1503" t="str">
        <v/>
      </c>
      <c r="CF1503" t="str">
        <v/>
      </c>
    </row>
    <row r="1504" spans="77:84" x14ac:dyDescent="0.3">
      <c r="BY1504" t="str">
        <v>ultimate_destination</v>
      </c>
      <c r="BZ1504" t="str">
        <v>CAE</v>
      </c>
      <c r="CA1504" t="str">
        <v>fuel_blend</v>
      </c>
      <c r="CB1504">
        <v>11000000</v>
      </c>
      <c r="CC1504" t="str">
        <v>gallons</v>
      </c>
      <c r="CD1504" t="str">
        <v/>
      </c>
      <c r="CE1504" t="str">
        <v/>
      </c>
      <c r="CF1504" t="str">
        <v/>
      </c>
    </row>
    <row r="1505" spans="77:84" x14ac:dyDescent="0.3">
      <c r="BY1505" t="str">
        <v>ultimate_destination</v>
      </c>
      <c r="BZ1505" t="str">
        <v>CHS</v>
      </c>
      <c r="CA1505" t="str">
        <v>fuel_blend</v>
      </c>
      <c r="CB1505">
        <v>39000000</v>
      </c>
      <c r="CC1505" t="str">
        <v>gallons</v>
      </c>
      <c r="CD1505" t="str">
        <v/>
      </c>
      <c r="CE1505" t="str">
        <v/>
      </c>
      <c r="CF1505" t="str">
        <v/>
      </c>
    </row>
    <row r="1506" spans="77:84" x14ac:dyDescent="0.3">
      <c r="BY1506" t="str">
        <v>ultimate_destination</v>
      </c>
      <c r="BZ1506" t="str">
        <v>GSP</v>
      </c>
      <c r="CA1506" t="str">
        <v>fuel_blend</v>
      </c>
      <c r="CB1506">
        <v>23000000</v>
      </c>
      <c r="CC1506" t="str">
        <v>gallons</v>
      </c>
      <c r="CD1506" t="str">
        <v/>
      </c>
      <c r="CE1506" t="str">
        <v/>
      </c>
      <c r="CF1506" t="str">
        <v/>
      </c>
    </row>
    <row r="1507" spans="77:84" x14ac:dyDescent="0.3">
      <c r="BY1507" t="str">
        <v>ultimate_destination</v>
      </c>
      <c r="BZ1507" t="str">
        <v>MYR</v>
      </c>
      <c r="CA1507" t="str">
        <v>fuel_blend</v>
      </c>
      <c r="CB1507">
        <v>14000000</v>
      </c>
      <c r="CC1507" t="str">
        <v>gallons</v>
      </c>
      <c r="CD1507" t="str">
        <v/>
      </c>
      <c r="CE1507" t="str">
        <v/>
      </c>
      <c r="CF1507" t="str">
        <v/>
      </c>
    </row>
    <row r="1508" spans="77:84" x14ac:dyDescent="0.3">
      <c r="BY1508" t="str">
        <v>ultimate_destination</v>
      </c>
      <c r="BZ1508" t="str">
        <v>BNA</v>
      </c>
      <c r="CA1508" t="str">
        <v>fuel_blend</v>
      </c>
      <c r="CB1508">
        <v>168000000</v>
      </c>
      <c r="CC1508" t="str">
        <v>gallons</v>
      </c>
      <c r="CD1508" t="str">
        <v/>
      </c>
      <c r="CE1508" t="str">
        <v/>
      </c>
      <c r="CF1508" t="str">
        <v/>
      </c>
    </row>
    <row r="1509" spans="77:84" x14ac:dyDescent="0.3">
      <c r="BY1509" t="str">
        <v>ultimate_destination</v>
      </c>
      <c r="BZ1509" t="str">
        <v>MEM</v>
      </c>
      <c r="CA1509" t="str">
        <v>fuel_blend</v>
      </c>
      <c r="CB1509">
        <v>396000000</v>
      </c>
      <c r="CC1509" t="str">
        <v>gallons</v>
      </c>
      <c r="CD1509" t="str">
        <v/>
      </c>
      <c r="CE1509" t="str">
        <v/>
      </c>
      <c r="CF1509" t="str">
        <v/>
      </c>
    </row>
    <row r="1510" spans="77:84" x14ac:dyDescent="0.3">
      <c r="BY1510" t="str">
        <v>ultimate_destination</v>
      </c>
      <c r="BZ1510" t="str">
        <v>TYS</v>
      </c>
      <c r="CA1510" t="str">
        <v>fuel_blend</v>
      </c>
      <c r="CB1510">
        <v>22000000</v>
      </c>
      <c r="CC1510" t="str">
        <v>gallons</v>
      </c>
      <c r="CD1510" t="str">
        <v/>
      </c>
      <c r="CE1510" t="str">
        <v/>
      </c>
      <c r="CF1510" t="str">
        <v/>
      </c>
    </row>
    <row r="1511" spans="77:84" x14ac:dyDescent="0.3">
      <c r="BY1511" t="str">
        <v>ultimate_destination</v>
      </c>
      <c r="BZ1511" t="str">
        <v>AFW</v>
      </c>
      <c r="CA1511" t="str">
        <v>fuel_blend</v>
      </c>
      <c r="CB1511">
        <v>5000000</v>
      </c>
      <c r="CC1511" t="str">
        <v>gallons</v>
      </c>
      <c r="CD1511" t="str">
        <v/>
      </c>
      <c r="CE1511" t="str">
        <v/>
      </c>
      <c r="CF1511" t="str">
        <v/>
      </c>
    </row>
    <row r="1512" spans="77:84" x14ac:dyDescent="0.3">
      <c r="BY1512" t="str">
        <v>ultimate_destination</v>
      </c>
      <c r="BZ1512" t="str">
        <v>AUS</v>
      </c>
      <c r="CA1512" t="str">
        <v>fuel_blend</v>
      </c>
      <c r="CB1512">
        <v>194000000</v>
      </c>
      <c r="CC1512" t="str">
        <v>gallons</v>
      </c>
      <c r="CD1512" t="str">
        <v/>
      </c>
      <c r="CE1512" t="str">
        <v/>
      </c>
      <c r="CF1512" t="str">
        <v/>
      </c>
    </row>
    <row r="1513" spans="77:84" x14ac:dyDescent="0.3">
      <c r="BY1513" t="str">
        <v>ultimate_destination</v>
      </c>
      <c r="BZ1513" t="str">
        <v>DAL</v>
      </c>
      <c r="CA1513" t="str">
        <v>fuel_blend</v>
      </c>
      <c r="CB1513">
        <v>117000000</v>
      </c>
      <c r="CC1513" t="str">
        <v>gallons</v>
      </c>
      <c r="CD1513" t="str">
        <v/>
      </c>
      <c r="CE1513" t="str">
        <v/>
      </c>
      <c r="CF1513" t="str">
        <v/>
      </c>
    </row>
    <row r="1514" spans="77:84" x14ac:dyDescent="0.3">
      <c r="BY1514" t="str">
        <v>ultimate_destination</v>
      </c>
      <c r="BZ1514" t="str">
        <v>DFW</v>
      </c>
      <c r="CA1514" t="str">
        <v>fuel_blend</v>
      </c>
      <c r="CB1514">
        <v>1012000000</v>
      </c>
      <c r="CC1514" t="str">
        <v>gallons</v>
      </c>
      <c r="CD1514" t="str">
        <v/>
      </c>
      <c r="CE1514" t="str">
        <v/>
      </c>
      <c r="CF1514" t="str">
        <v/>
      </c>
    </row>
    <row r="1515" spans="77:84" x14ac:dyDescent="0.3">
      <c r="BY1515" t="str">
        <v>ultimate_destination</v>
      </c>
      <c r="BZ1515" t="str">
        <v>ELP</v>
      </c>
      <c r="CA1515" t="str">
        <v>fuel_blend</v>
      </c>
      <c r="CB1515">
        <v>23000000</v>
      </c>
      <c r="CC1515" t="str">
        <v>gallons</v>
      </c>
      <c r="CD1515" t="str">
        <v/>
      </c>
      <c r="CE1515" t="str">
        <v/>
      </c>
      <c r="CF1515" t="str">
        <v/>
      </c>
    </row>
    <row r="1516" spans="77:84" x14ac:dyDescent="0.3">
      <c r="BY1516" t="str">
        <v>ultimate_destination</v>
      </c>
      <c r="BZ1516" t="str">
        <v>HOU</v>
      </c>
      <c r="CA1516" t="str">
        <v>fuel_blend</v>
      </c>
      <c r="CB1516">
        <v>106000000</v>
      </c>
      <c r="CC1516" t="str">
        <v>gallons</v>
      </c>
      <c r="CD1516" t="str">
        <v/>
      </c>
      <c r="CE1516" t="str">
        <v/>
      </c>
      <c r="CF1516" t="str">
        <v/>
      </c>
    </row>
    <row r="1517" spans="77:84" x14ac:dyDescent="0.3">
      <c r="BY1517" t="str">
        <v>ultimate_destination</v>
      </c>
      <c r="BZ1517" t="str">
        <v>IAH</v>
      </c>
      <c r="CA1517" t="str">
        <v>fuel_blend</v>
      </c>
      <c r="CB1517">
        <v>629000000</v>
      </c>
      <c r="CC1517" t="str">
        <v>gallons</v>
      </c>
      <c r="CD1517" t="str">
        <v/>
      </c>
      <c r="CE1517" t="str">
        <v/>
      </c>
      <c r="CF1517" t="str">
        <v/>
      </c>
    </row>
    <row r="1518" spans="77:84" x14ac:dyDescent="0.3">
      <c r="BY1518" t="str">
        <v>ultimate_destination</v>
      </c>
      <c r="BZ1518" t="str">
        <v>SAT</v>
      </c>
      <c r="CA1518" t="str">
        <v>fuel_blend</v>
      </c>
      <c r="CB1518">
        <v>89000000</v>
      </c>
      <c r="CC1518" t="str">
        <v>gallons</v>
      </c>
      <c r="CD1518" t="str">
        <v/>
      </c>
      <c r="CE1518" t="str">
        <v/>
      </c>
      <c r="CF1518" t="str">
        <v/>
      </c>
    </row>
    <row r="1519" spans="77:84" x14ac:dyDescent="0.3">
      <c r="BY1519" t="str">
        <v>ultimate_destination</v>
      </c>
      <c r="BZ1519" t="str">
        <v>SLC</v>
      </c>
      <c r="CA1519" t="str">
        <v>fuel_blend</v>
      </c>
      <c r="CB1519">
        <v>206000000</v>
      </c>
      <c r="CC1519" t="str">
        <v>gallons</v>
      </c>
      <c r="CD1519" t="str">
        <v/>
      </c>
      <c r="CE1519" t="str">
        <v/>
      </c>
      <c r="CF1519" t="str">
        <v/>
      </c>
    </row>
    <row r="1520" spans="77:84" x14ac:dyDescent="0.3">
      <c r="BY1520" t="str">
        <v>ultimate_destination</v>
      </c>
      <c r="BZ1520" t="str">
        <v>DCA</v>
      </c>
      <c r="CA1520" t="str">
        <v>fuel_blend</v>
      </c>
      <c r="CB1520">
        <v>209000000</v>
      </c>
      <c r="CC1520" t="str">
        <v>gallons</v>
      </c>
      <c r="CD1520" t="str">
        <v/>
      </c>
      <c r="CE1520" t="str">
        <v/>
      </c>
      <c r="CF1520" t="str">
        <v/>
      </c>
    </row>
    <row r="1521" spans="77:84" x14ac:dyDescent="0.3">
      <c r="BY1521" t="str">
        <v>ultimate_destination</v>
      </c>
      <c r="BZ1521" t="str">
        <v>IAD</v>
      </c>
      <c r="CA1521" t="str">
        <v>fuel_blend</v>
      </c>
      <c r="CB1521">
        <v>514000000</v>
      </c>
      <c r="CC1521" t="str">
        <v>gallons</v>
      </c>
      <c r="CD1521" t="str">
        <v/>
      </c>
      <c r="CE1521" t="str">
        <v/>
      </c>
      <c r="CF1521" t="str">
        <v/>
      </c>
    </row>
    <row r="1522" spans="77:84" x14ac:dyDescent="0.3">
      <c r="BY1522" t="str">
        <v>ultimate_destination</v>
      </c>
      <c r="BZ1522" t="str">
        <v>ORF</v>
      </c>
      <c r="CA1522" t="str">
        <v>fuel_blend</v>
      </c>
      <c r="CB1522">
        <v>34000000</v>
      </c>
      <c r="CC1522" t="str">
        <v>gallons</v>
      </c>
      <c r="CD1522" t="str">
        <v/>
      </c>
      <c r="CE1522" t="str">
        <v/>
      </c>
      <c r="CF1522" t="str">
        <v/>
      </c>
    </row>
    <row r="1523" spans="77:84" x14ac:dyDescent="0.3">
      <c r="BY1523" t="str">
        <v>ultimate_destination</v>
      </c>
      <c r="BZ1523" t="str">
        <v>GEG</v>
      </c>
      <c r="CA1523" t="str">
        <v>fuel_blend</v>
      </c>
      <c r="CB1523">
        <v>27000000</v>
      </c>
      <c r="CC1523" t="str">
        <v>gallons</v>
      </c>
      <c r="CD1523" t="str">
        <v/>
      </c>
      <c r="CE1523" t="str">
        <v/>
      </c>
      <c r="CF1523" t="str">
        <v/>
      </c>
    </row>
    <row r="1524" spans="77:84" x14ac:dyDescent="0.3">
      <c r="BY1524" t="str">
        <v>ultimate_destination</v>
      </c>
      <c r="BZ1524" t="str">
        <v>PAE</v>
      </c>
      <c r="CA1524" t="str">
        <v>fuel_blend</v>
      </c>
      <c r="CB1524">
        <v>6000000</v>
      </c>
      <c r="CC1524" t="str">
        <v>gallons</v>
      </c>
      <c r="CD1524" t="str">
        <v/>
      </c>
      <c r="CE1524" t="str">
        <v/>
      </c>
      <c r="CF1524" t="str">
        <v/>
      </c>
    </row>
    <row r="1525" spans="77:84" x14ac:dyDescent="0.3">
      <c r="BY1525" t="str">
        <v>ultimate_destination</v>
      </c>
      <c r="BZ1525" t="str">
        <v>SEA</v>
      </c>
      <c r="CA1525" t="str">
        <v>fuel_blend</v>
      </c>
      <c r="CB1525">
        <v>692000000</v>
      </c>
      <c r="CC1525" t="str">
        <v>gallons</v>
      </c>
      <c r="CD1525" t="str">
        <v/>
      </c>
      <c r="CE1525" t="str">
        <v/>
      </c>
      <c r="CF1525" t="str">
        <v/>
      </c>
    </row>
    <row r="1526" spans="77:84" x14ac:dyDescent="0.3">
      <c r="BY1526" t="str">
        <v>ultimate_destination</v>
      </c>
      <c r="BZ1526" t="str">
        <v>MKE</v>
      </c>
      <c r="CA1526" t="str">
        <v>fuel_blend</v>
      </c>
      <c r="CB1526">
        <v>49000000</v>
      </c>
      <c r="CC1526" t="str">
        <v>gallons</v>
      </c>
      <c r="CD1526" t="str">
        <v/>
      </c>
      <c r="CE1526" t="str">
        <v/>
      </c>
      <c r="CF1526" t="str">
        <v/>
      </c>
    </row>
    <row r="1527" spans="77:84" x14ac:dyDescent="0.3">
      <c r="BY1527" t="str">
        <v>ultimate_destination</v>
      </c>
      <c r="BZ1527" t="str">
        <v>MSN</v>
      </c>
      <c r="CA1527" t="str">
        <v>fuel_blend</v>
      </c>
      <c r="CB1527">
        <v>14000000</v>
      </c>
      <c r="CC1527" t="str">
        <v>gallons</v>
      </c>
      <c r="CD1527" t="str">
        <v/>
      </c>
      <c r="CE1527" t="str">
        <v/>
      </c>
      <c r="CF1527" t="str">
        <v/>
      </c>
    </row>
    <row r="1528" spans="77:84" x14ac:dyDescent="0.3">
      <c r="BY1528" t="str">
        <v/>
      </c>
      <c r="BZ1528" t="str">
        <v/>
      </c>
      <c r="CA1528" t="str">
        <v/>
      </c>
      <c r="CB1528" t="str">
        <v/>
      </c>
      <c r="CC1528" t="str">
        <v/>
      </c>
      <c r="CD1528" t="str">
        <v/>
      </c>
      <c r="CE1528" t="str">
        <v/>
      </c>
      <c r="CF1528" t="str">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5EE4BEB-C0E8-495B-9FD8-367F17582DCD}">
  <ds:schemaRefs>
    <ds:schemaRef ds:uri="http://schemas.microsoft.com/DataMashup"/>
  </ds:schemaRefs>
</ds:datastoreItem>
</file>

<file path=customXml/itemProps2.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4.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2025-09-26T21:41:16Z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