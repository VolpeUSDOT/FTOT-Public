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FTOT\scenarios\677_testing\"/>
    </mc:Choice>
  </mc:AlternateContent>
  <xr:revisionPtr revIDLastSave="0" documentId="13_ncr:1_{237F6A49-FF40-47B6-AF69-69014E778F0F}" xr6:coauthVersionLast="47" xr6:coauthVersionMax="47" xr10:uidLastSave="{00000000-0000-0000-0000-000000000000}"/>
  <bookViews>
    <workbookView xWindow="28680" yWindow="-120" windowWidth="29040" windowHeight="17520" tabRatio="726" xr2:uid="{818C5637-43B9-439E-8DBD-851C8EDFF342}"/>
  </bookViews>
  <sheets>
    <sheet name="Instructions" sheetId="28"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18" l="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Q124" i="18"/>
  <c r="Q125" i="18"/>
  <c r="AA4" i="11" l="1"/>
  <c r="E112" i="20"/>
  <c r="E113" i="20"/>
  <c r="E114" i="20"/>
  <c r="E115" i="20"/>
  <c r="E116" i="20"/>
  <c r="E117" i="20"/>
  <c r="E118" i="20"/>
  <c r="E119" i="20"/>
  <c r="F125" i="18"/>
  <c r="F124" i="18"/>
  <c r="F16" i="10"/>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T18" i="13"/>
  <c r="B2" i="17" l="1"/>
  <c r="B3" i="17"/>
  <c r="CJ27" i="11" s="1"/>
  <c r="B4" i="17"/>
  <c r="B5" i="17"/>
  <c r="CJ25" i="11" s="1"/>
  <c r="B6" i="17"/>
  <c r="CJ11" i="11" s="1"/>
  <c r="B7" i="17"/>
  <c r="B8" i="17"/>
  <c r="B9" i="17"/>
  <c r="B10" i="17"/>
  <c r="B11" i="17"/>
  <c r="CJ16" i="11" s="1"/>
  <c r="B12" i="17"/>
  <c r="CJ15" i="11" s="1"/>
  <c r="B13" i="17"/>
  <c r="CJ10" i="11" s="1"/>
  <c r="B14" i="17"/>
  <c r="CJ9" i="11" s="1"/>
  <c r="B15" i="17"/>
  <c r="CJ6" i="11" s="1"/>
  <c r="B16" i="17"/>
  <c r="CJ21" i="11" s="1"/>
  <c r="B17" i="17"/>
  <c r="CJ24" i="11" s="1"/>
  <c r="B18" i="17"/>
  <c r="B19" i="17"/>
  <c r="B20" i="17"/>
  <c r="B21" i="17"/>
  <c r="B22" i="17"/>
  <c r="CJ8" i="11" s="1"/>
  <c r="B23" i="17"/>
  <c r="CJ7" i="11" s="1"/>
  <c r="B24" i="17"/>
  <c r="CJ28" i="11" s="1"/>
  <c r="B25" i="17"/>
  <c r="CJ17" i="11" s="1"/>
  <c r="B26" i="17"/>
  <c r="B27" i="17"/>
  <c r="CJ5" i="11" s="1"/>
  <c r="B28" i="17"/>
  <c r="B29" i="17"/>
  <c r="B30" i="17"/>
  <c r="B31" i="17"/>
  <c r="B32" i="17"/>
  <c r="CJ20" i="11" s="1"/>
  <c r="B33" i="17"/>
  <c r="B34" i="17"/>
  <c r="CJ18" i="11" s="1"/>
  <c r="B35" i="17"/>
  <c r="CJ12" i="11" s="1"/>
  <c r="B36" i="17"/>
  <c r="B37" i="17"/>
  <c r="CJ13" i="11" s="1"/>
  <c r="B38" i="17"/>
  <c r="CJ19" i="11" s="1"/>
  <c r="B39" i="17"/>
  <c r="B40" i="17"/>
  <c r="B41" i="17"/>
  <c r="CJ4" i="11" s="1"/>
  <c r="B42" i="17"/>
  <c r="CJ26" i="11" s="1"/>
  <c r="B43" i="17"/>
  <c r="CJ22" i="11" s="1"/>
  <c r="B44" i="17"/>
  <c r="B45" i="17"/>
  <c r="B46" i="17"/>
  <c r="CJ23" i="11" s="1"/>
  <c r="B47" i="17"/>
  <c r="B48" i="17"/>
  <c r="B49" i="17"/>
  <c r="CJ14" i="11" s="1"/>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D599" i="27"/>
  <c r="D875" i="27"/>
  <c r="D961" i="27"/>
  <c r="D652" i="27"/>
  <c r="D281" i="27"/>
  <c r="D1092" i="27"/>
  <c r="D1093" i="27"/>
  <c r="D64" i="27"/>
  <c r="D465" i="27"/>
  <c r="D627" i="27"/>
  <c r="D628" i="27"/>
  <c r="D947" i="27"/>
  <c r="D65" i="27"/>
  <c r="D66" i="27"/>
  <c r="D67" i="27"/>
  <c r="D68" i="27"/>
  <c r="D69" i="27"/>
  <c r="D70" i="27"/>
  <c r="D71" i="27"/>
  <c r="D72" i="27"/>
  <c r="D73" i="27"/>
  <c r="D74" i="27"/>
  <c r="D219" i="27"/>
  <c r="D174" i="27"/>
  <c r="D175" i="27"/>
  <c r="D2" i="27"/>
  <c r="D176" i="27"/>
  <c r="D1025" i="27"/>
  <c r="D1315" i="27"/>
  <c r="D824" i="27"/>
  <c r="D528" i="27"/>
  <c r="D763" i="27"/>
  <c r="D529" i="27"/>
  <c r="D282" i="27"/>
  <c r="D466" i="27"/>
  <c r="D530" i="27"/>
  <c r="D1274" i="27"/>
  <c r="D764" i="27"/>
  <c r="D765" i="27"/>
  <c r="D1057" i="27"/>
  <c r="D48" i="27"/>
  <c r="D283" i="27"/>
  <c r="D467" i="27"/>
  <c r="D49" i="27"/>
  <c r="D653" i="27"/>
  <c r="D177" i="27"/>
  <c r="D1337" i="27"/>
  <c r="D3" i="27"/>
  <c r="D4" i="27"/>
  <c r="D825" i="27"/>
  <c r="D531" i="27"/>
  <c r="D720" i="27"/>
  <c r="D220" i="27"/>
  <c r="D826" i="27"/>
  <c r="D221" i="27"/>
  <c r="D222" i="27"/>
  <c r="D1338" i="27"/>
  <c r="D1058" i="27"/>
  <c r="D1059" i="27"/>
  <c r="D5" i="27"/>
  <c r="D414" i="27"/>
  <c r="D1094" i="27"/>
  <c r="D1095" i="27"/>
  <c r="D629" i="27"/>
  <c r="D1096" i="27"/>
  <c r="D926" i="27"/>
  <c r="D415" i="27"/>
  <c r="D416" i="27"/>
  <c r="D1097" i="27"/>
  <c r="D75" i="27"/>
  <c r="D417" i="27"/>
  <c r="D707" i="27"/>
  <c r="D927" i="27"/>
  <c r="D50" i="27"/>
  <c r="D1060" i="27"/>
  <c r="D418" i="27"/>
  <c r="D1098" i="27"/>
  <c r="D708" i="27"/>
  <c r="D223" i="27"/>
  <c r="D1099" i="27"/>
  <c r="D1100" i="27"/>
  <c r="D1377" i="27"/>
  <c r="D273" i="27"/>
  <c r="D1316" i="27"/>
  <c r="D1317" i="27"/>
  <c r="D1318" i="27"/>
  <c r="D138" i="27"/>
  <c r="D721" i="27"/>
  <c r="D692" i="27"/>
  <c r="D139" i="27"/>
  <c r="D1061" i="27"/>
  <c r="D1275" i="27"/>
  <c r="D140" i="27"/>
  <c r="D1276" i="27"/>
  <c r="D827" i="27"/>
  <c r="D654" i="27"/>
  <c r="D224" i="27"/>
  <c r="D928" i="27"/>
  <c r="D929" i="27"/>
  <c r="D930" i="27"/>
  <c r="D931" i="27"/>
  <c r="D141" i="27"/>
  <c r="D37" i="27"/>
  <c r="D6" i="27"/>
  <c r="D1345" i="27"/>
  <c r="D1346" i="27"/>
  <c r="D1347" i="27"/>
  <c r="D1348" i="27"/>
  <c r="D1101" i="27"/>
  <c r="D1102" i="27"/>
  <c r="D1103" i="27"/>
  <c r="D1104" i="27"/>
  <c r="D1105" i="27"/>
  <c r="D375" i="27"/>
  <c r="D376" i="27"/>
  <c r="D377" i="27"/>
  <c r="D600" i="27"/>
  <c r="D601" i="27"/>
  <c r="D602" i="27"/>
  <c r="D869" i="27"/>
  <c r="D693" i="27"/>
  <c r="D1349" i="27"/>
  <c r="D1350" i="27"/>
  <c r="D1106" i="27"/>
  <c r="D1107" i="27"/>
  <c r="D603" i="27"/>
  <c r="D1108" i="27"/>
  <c r="D1109" i="27"/>
  <c r="D7" i="27"/>
  <c r="D178" i="27"/>
  <c r="D179" i="27"/>
  <c r="D51" i="27"/>
  <c r="D8" i="27"/>
  <c r="D9" i="27"/>
  <c r="D630" i="27"/>
  <c r="D655" i="27"/>
  <c r="D540" i="27"/>
  <c r="D722" i="27"/>
  <c r="D152" i="27"/>
  <c r="D518" i="27"/>
  <c r="D723" i="27"/>
  <c r="D962" i="27"/>
  <c r="D963" i="27"/>
  <c r="D964" i="27"/>
  <c r="D965" i="27"/>
  <c r="D966" i="27"/>
  <c r="D967" i="27"/>
  <c r="D968" i="27"/>
  <c r="D969" i="27"/>
  <c r="D970" i="27"/>
  <c r="D971" i="27"/>
  <c r="D972" i="27"/>
  <c r="D973" i="27"/>
  <c r="D1319" i="27"/>
  <c r="D948" i="27"/>
  <c r="D1320" i="27"/>
  <c r="D532" i="27"/>
  <c r="D225" i="27"/>
  <c r="D226" i="27"/>
  <c r="D38" i="27"/>
  <c r="D1110" i="27"/>
  <c r="D709" i="27"/>
  <c r="D468" i="27"/>
  <c r="D469" i="27"/>
  <c r="D284" i="27"/>
  <c r="D285" i="27"/>
  <c r="D180" i="27"/>
  <c r="D227" i="27"/>
  <c r="D828" i="27"/>
  <c r="D1277" i="27"/>
  <c r="D181" i="27"/>
  <c r="D1339" i="27"/>
  <c r="D829" i="27"/>
  <c r="D830" i="27"/>
  <c r="D1278" i="27"/>
  <c r="D1026" i="27"/>
  <c r="D1279" i="27"/>
  <c r="D445" i="27"/>
  <c r="D656" i="27"/>
  <c r="D153" i="27"/>
  <c r="D154" i="27"/>
  <c r="D1378" i="27"/>
  <c r="D1351" i="27"/>
  <c r="D1352" i="27"/>
  <c r="D1353" i="27"/>
  <c r="D1354" i="27"/>
  <c r="D1355" i="27"/>
  <c r="D1356" i="27"/>
  <c r="D1357" i="27"/>
  <c r="D1358" i="27"/>
  <c r="D557" i="27"/>
  <c r="D1359" i="27"/>
  <c r="D1360" i="27"/>
  <c r="D1361" i="27"/>
  <c r="D378" i="27"/>
  <c r="D1111" i="27"/>
  <c r="D1112" i="27"/>
  <c r="D1362" i="27"/>
  <c r="D1113" i="27"/>
  <c r="D558" i="27"/>
  <c r="D1363" i="27"/>
  <c r="D336" i="27"/>
  <c r="D1364" i="27"/>
  <c r="D1365" i="27"/>
  <c r="D1114" i="27"/>
  <c r="D1115" i="27"/>
  <c r="D1027" i="27"/>
  <c r="D1028" i="27"/>
  <c r="D1029" i="27"/>
  <c r="D1030" i="27"/>
  <c r="D10" i="27"/>
  <c r="D470" i="27"/>
  <c r="D52" i="27"/>
  <c r="D419" i="27"/>
  <c r="D1116" i="27"/>
  <c r="D337" i="27"/>
  <c r="D286" i="27"/>
  <c r="D446" i="27"/>
  <c r="D447" i="27"/>
  <c r="D1117" i="27"/>
  <c r="D1118" i="27"/>
  <c r="D766" i="27"/>
  <c r="D767" i="27"/>
  <c r="D876" i="27"/>
  <c r="D716" i="27"/>
  <c r="D1017" i="27"/>
  <c r="D1119" i="27"/>
  <c r="D1120" i="27"/>
  <c r="D471" i="27"/>
  <c r="D472" i="27"/>
  <c r="D448" i="27"/>
  <c r="D379" i="27"/>
  <c r="D473" i="27"/>
  <c r="D1121" i="27"/>
  <c r="D657" i="27"/>
  <c r="D53" i="27"/>
  <c r="D338" i="27"/>
  <c r="D658" i="27"/>
  <c r="D287" i="27"/>
  <c r="D877" i="27"/>
  <c r="D288" i="27"/>
  <c r="D289" i="27"/>
  <c r="D290" i="27"/>
  <c r="D559" i="27"/>
  <c r="D878" i="27"/>
  <c r="D879" i="27"/>
  <c r="D339" i="27"/>
  <c r="D880" i="27"/>
  <c r="D560" i="27"/>
  <c r="D340" i="27"/>
  <c r="D881" i="27"/>
  <c r="D974" i="27"/>
  <c r="D975" i="27"/>
  <c r="D341" i="27"/>
  <c r="D768" i="27"/>
  <c r="D769" i="27"/>
  <c r="D770" i="27"/>
  <c r="D771" i="27"/>
  <c r="D772" i="27"/>
  <c r="D773" i="27"/>
  <c r="D774" i="27"/>
  <c r="D882" i="27"/>
  <c r="D561" i="27"/>
  <c r="D562" i="27"/>
  <c r="D563" i="27"/>
  <c r="D564" i="27"/>
  <c r="D342" i="27"/>
  <c r="D565" i="27"/>
  <c r="D566" i="27"/>
  <c r="D155" i="27"/>
  <c r="D343" i="27"/>
  <c r="D291" i="27"/>
  <c r="D474" i="27"/>
  <c r="D659" i="27"/>
  <c r="D344" i="27"/>
  <c r="D567" i="27"/>
  <c r="D976" i="27"/>
  <c r="D345" i="27"/>
  <c r="D883" i="27"/>
  <c r="D977" i="27"/>
  <c r="D1366" i="27"/>
  <c r="D884" i="27"/>
  <c r="D885" i="27"/>
  <c r="D449" i="27"/>
  <c r="D380" i="27"/>
  <c r="D381" i="27"/>
  <c r="D382" i="27"/>
  <c r="D1280" i="27"/>
  <c r="D886" i="27"/>
  <c r="D1281" i="27"/>
  <c r="D383" i="27"/>
  <c r="D1031" i="27"/>
  <c r="D1032" i="27"/>
  <c r="D11" i="27"/>
  <c r="D887" i="27"/>
  <c r="D568" i="27"/>
  <c r="D12" i="27"/>
  <c r="D888" i="27"/>
  <c r="D1033" i="27"/>
  <c r="D182" i="27"/>
  <c r="D569" i="27"/>
  <c r="D384" i="27"/>
  <c r="D519" i="27"/>
  <c r="D724" i="27"/>
  <c r="D775" i="27"/>
  <c r="D183" i="27"/>
  <c r="D1282" i="27"/>
  <c r="D776" i="27"/>
  <c r="D1034" i="27"/>
  <c r="D831" i="27"/>
  <c r="D725" i="27"/>
  <c r="D726" i="27"/>
  <c r="D184" i="27"/>
  <c r="D185" i="27"/>
  <c r="D727" i="27"/>
  <c r="D533" i="27"/>
  <c r="D156" i="27"/>
  <c r="D728" i="27"/>
  <c r="D777" i="27"/>
  <c r="D541" i="27"/>
  <c r="D978" i="27"/>
  <c r="D729" i="27"/>
  <c r="D157" i="27"/>
  <c r="D173" i="27"/>
  <c r="D475" i="27"/>
  <c r="D158" i="27"/>
  <c r="D159" i="27"/>
  <c r="D1062" i="27"/>
  <c r="D979" i="27"/>
  <c r="D980" i="27"/>
  <c r="D981" i="27"/>
  <c r="D778" i="27"/>
  <c r="D570" i="27"/>
  <c r="D292" i="27"/>
  <c r="D346" i="27"/>
  <c r="D1122" i="27"/>
  <c r="D1283" i="27"/>
  <c r="D1063" i="27"/>
  <c r="D1064" i="27"/>
  <c r="D1065" i="27"/>
  <c r="D1066" i="27"/>
  <c r="D1067" i="27"/>
  <c r="D1068" i="27"/>
  <c r="D832" i="27"/>
  <c r="D833" i="27"/>
  <c r="D228" i="27"/>
  <c r="D229" i="27"/>
  <c r="D230" i="27"/>
  <c r="D834" i="27"/>
  <c r="D835" i="27"/>
  <c r="D231" i="27"/>
  <c r="D1284" i="27"/>
  <c r="D232" i="27"/>
  <c r="D660" i="27"/>
  <c r="D836" i="27"/>
  <c r="D13" i="27"/>
  <c r="D476" i="27"/>
  <c r="D477" i="27"/>
  <c r="D39" i="27"/>
  <c r="D76" i="27"/>
  <c r="D1367" i="27"/>
  <c r="D1368" i="27"/>
  <c r="D870" i="27"/>
  <c r="D679" i="27"/>
  <c r="D680" i="27"/>
  <c r="D681" i="27"/>
  <c r="D604" i="27"/>
  <c r="D605" i="27"/>
  <c r="D1369" i="27"/>
  <c r="D1370" i="27"/>
  <c r="D1123" i="27"/>
  <c r="D779" i="27"/>
  <c r="D982" i="27"/>
  <c r="D1035" i="27"/>
  <c r="D571" i="27"/>
  <c r="D520" i="27"/>
  <c r="D837" i="27"/>
  <c r="D1069" i="27"/>
  <c r="D1285" i="27"/>
  <c r="D233" i="27"/>
  <c r="D478" i="27"/>
  <c r="D234" i="27"/>
  <c r="D838" i="27"/>
  <c r="D385" i="27"/>
  <c r="D932" i="27"/>
  <c r="D1321" i="27"/>
  <c r="D730" i="27"/>
  <c r="D731" i="27"/>
  <c r="D1379" i="27"/>
  <c r="D77" i="27"/>
  <c r="D78" i="27"/>
  <c r="D79" i="27"/>
  <c r="D80" i="27"/>
  <c r="D1380" i="27"/>
  <c r="D933" i="27"/>
  <c r="D479" i="27"/>
  <c r="D949" i="27"/>
  <c r="D682" i="27"/>
  <c r="D683" i="27"/>
  <c r="D684" i="27"/>
  <c r="D685" i="27"/>
  <c r="D934" i="27"/>
  <c r="D950" i="27"/>
  <c r="D480" i="27"/>
  <c r="D293" i="27"/>
  <c r="D235" i="27"/>
  <c r="D1124" i="27"/>
  <c r="D694" i="27"/>
  <c r="D1322" i="27"/>
  <c r="D1323" i="27"/>
  <c r="D661" i="27"/>
  <c r="D935" i="27"/>
  <c r="D1125" i="27"/>
  <c r="D420" i="27"/>
  <c r="D81" i="27"/>
  <c r="D751" i="27"/>
  <c r="D142" i="27"/>
  <c r="D294" i="27"/>
  <c r="D1126" i="27"/>
  <c r="D143" i="27"/>
  <c r="D1266" i="27"/>
  <c r="D82" i="27"/>
  <c r="D1127" i="27"/>
  <c r="D1381" i="27"/>
  <c r="D295" i="27"/>
  <c r="D1128" i="27"/>
  <c r="D662" i="27"/>
  <c r="D421" i="27"/>
  <c r="D422" i="27"/>
  <c r="D423" i="27"/>
  <c r="D1129" i="27"/>
  <c r="D732" i="27"/>
  <c r="D347" i="27"/>
  <c r="D348" i="27"/>
  <c r="D349" i="27"/>
  <c r="D1267" i="27"/>
  <c r="D1070" i="27"/>
  <c r="D572" i="27"/>
  <c r="D1071" i="27"/>
  <c r="D1072" i="27"/>
  <c r="D1130" i="27"/>
  <c r="D1131" i="27"/>
  <c r="D1132" i="27"/>
  <c r="D54" i="27"/>
  <c r="D1133" i="27"/>
  <c r="D936" i="27"/>
  <c r="D983" i="27"/>
  <c r="D984" i="27"/>
  <c r="D663" i="27"/>
  <c r="D631" i="27"/>
  <c r="D632" i="27"/>
  <c r="D733" i="27"/>
  <c r="D985" i="27"/>
  <c r="D986" i="27"/>
  <c r="D889" i="27"/>
  <c r="D1073" i="27"/>
  <c r="D1074" i="27"/>
  <c r="D83" i="27"/>
  <c r="D734" i="27"/>
  <c r="D84" i="27"/>
  <c r="D752" i="27"/>
  <c r="D481" i="27"/>
  <c r="D1134" i="27"/>
  <c r="D1135" i="27"/>
  <c r="D482" i="27"/>
  <c r="D1136" i="27"/>
  <c r="D839" i="27"/>
  <c r="D236" i="27"/>
  <c r="D237" i="27"/>
  <c r="D987" i="27"/>
  <c r="D483" i="27"/>
  <c r="D1137" i="27"/>
  <c r="D780" i="27"/>
  <c r="D1138" i="27"/>
  <c r="D890" i="27"/>
  <c r="D781" i="27"/>
  <c r="D891" i="27"/>
  <c r="D988" i="27"/>
  <c r="D989" i="27"/>
  <c r="D990" i="27"/>
  <c r="D892" i="27"/>
  <c r="D573" i="27"/>
  <c r="D574" i="27"/>
  <c r="D350" i="27"/>
  <c r="D991" i="27"/>
  <c r="D893" i="27"/>
  <c r="D894" i="27"/>
  <c r="D992" i="27"/>
  <c r="D895" i="27"/>
  <c r="D782" i="27"/>
  <c r="D993" i="27"/>
  <c r="D994" i="27"/>
  <c r="D484" i="27"/>
  <c r="D1139" i="27"/>
  <c r="D1140" i="27"/>
  <c r="D1141" i="27"/>
  <c r="D995" i="27"/>
  <c r="D575" i="27"/>
  <c r="D1142" i="27"/>
  <c r="D576" i="27"/>
  <c r="D735" i="27"/>
  <c r="D542" i="27"/>
  <c r="D996" i="27"/>
  <c r="D534" i="27"/>
  <c r="D997" i="27"/>
  <c r="D1286" i="27"/>
  <c r="D736" i="27"/>
  <c r="D998" i="27"/>
  <c r="D737" i="27"/>
  <c r="D783" i="27"/>
  <c r="D999" i="27"/>
  <c r="D1143" i="27"/>
  <c r="D784" i="27"/>
  <c r="D785" i="27"/>
  <c r="D786" i="27"/>
  <c r="D55" i="27"/>
  <c r="D1144" i="27"/>
  <c r="D14" i="27"/>
  <c r="D1145" i="27"/>
  <c r="D787" i="27"/>
  <c r="D535" i="27"/>
  <c r="D738" i="27"/>
  <c r="D536" i="27"/>
  <c r="D296" i="27"/>
  <c r="D186" i="27"/>
  <c r="D739" i="27"/>
  <c r="D1287" i="27"/>
  <c r="D1146" i="27"/>
  <c r="D1147" i="27"/>
  <c r="D1148" i="27"/>
  <c r="D1149" i="27"/>
  <c r="D633" i="27"/>
  <c r="D1000" i="27"/>
  <c r="D788" i="27"/>
  <c r="D896" i="27"/>
  <c r="D1288" i="27"/>
  <c r="D897" i="27"/>
  <c r="D1371" i="27"/>
  <c r="D840" i="27"/>
  <c r="D1001" i="27"/>
  <c r="D1002" i="27"/>
  <c r="D1003" i="27"/>
  <c r="D898" i="27"/>
  <c r="D1004" i="27"/>
  <c r="D1340" i="27"/>
  <c r="D1150" i="27"/>
  <c r="D485" i="27"/>
  <c r="D1151" i="27"/>
  <c r="D634" i="27"/>
  <c r="D486" i="27"/>
  <c r="D40" i="27"/>
  <c r="D424" i="27"/>
  <c r="D606" i="27"/>
  <c r="D607" i="27"/>
  <c r="D841" i="27"/>
  <c r="D41" i="27"/>
  <c r="D1152" i="27"/>
  <c r="D1153" i="27"/>
  <c r="D15" i="27"/>
  <c r="D16" i="27"/>
  <c r="D1036" i="27"/>
  <c r="D238" i="27"/>
  <c r="D239" i="27"/>
  <c r="D240" i="27"/>
  <c r="D842" i="27"/>
  <c r="D1037" i="27"/>
  <c r="D297" i="27"/>
  <c r="D899" i="27"/>
  <c r="D900" i="27"/>
  <c r="D1005" i="27"/>
  <c r="D1006" i="27"/>
  <c r="D789" i="27"/>
  <c r="D790" i="27"/>
  <c r="D791" i="27"/>
  <c r="D792" i="27"/>
  <c r="D695" i="27"/>
  <c r="D1154" i="27"/>
  <c r="D386" i="27"/>
  <c r="D387" i="27"/>
  <c r="D425" i="27"/>
  <c r="D388" i="27"/>
  <c r="D298" i="27"/>
  <c r="D1372" i="27"/>
  <c r="D664" i="27"/>
  <c r="D608" i="27"/>
  <c r="D665" i="27"/>
  <c r="D389" i="27"/>
  <c r="D609" i="27"/>
  <c r="D390" i="27"/>
  <c r="D391" i="27"/>
  <c r="D1155" i="27"/>
  <c r="D1156" i="27"/>
  <c r="D1157" i="27"/>
  <c r="D1158" i="27"/>
  <c r="D1159" i="27"/>
  <c r="D17" i="27"/>
  <c r="D1160" i="27"/>
  <c r="D635" i="27"/>
  <c r="D901" i="27"/>
  <c r="D666" i="27"/>
  <c r="D351" i="27"/>
  <c r="D1161" i="27"/>
  <c r="D487" i="27"/>
  <c r="D1162" i="27"/>
  <c r="D1163" i="27"/>
  <c r="D241" i="27"/>
  <c r="D610" i="27"/>
  <c r="D299" i="27"/>
  <c r="D352" i="27"/>
  <c r="D300" i="27"/>
  <c r="D488" i="27"/>
  <c r="D686" i="27"/>
  <c r="D1075" i="27"/>
  <c r="D740" i="27"/>
  <c r="D1164" i="27"/>
  <c r="D489" i="27"/>
  <c r="D1165" i="27"/>
  <c r="D301" i="27"/>
  <c r="D490" i="27"/>
  <c r="D1018" i="27"/>
  <c r="D1166" i="27"/>
  <c r="D1167" i="27"/>
  <c r="D1168" i="27"/>
  <c r="D187" i="27"/>
  <c r="D1076" i="27"/>
  <c r="D1169" i="27"/>
  <c r="D491" i="27"/>
  <c r="D1170" i="27"/>
  <c r="D741" i="27"/>
  <c r="D302" i="27"/>
  <c r="D392" i="27"/>
  <c r="D303" i="27"/>
  <c r="D426" i="27"/>
  <c r="D393" i="27"/>
  <c r="D304" i="27"/>
  <c r="D394" i="27"/>
  <c r="D305" i="27"/>
  <c r="D1171" i="27"/>
  <c r="D843" i="27"/>
  <c r="D492" i="27"/>
  <c r="D1172" i="27"/>
  <c r="D493" i="27"/>
  <c r="D793" i="27"/>
  <c r="D543" i="27"/>
  <c r="D544" i="27"/>
  <c r="D521" i="27"/>
  <c r="D160" i="27"/>
  <c r="D161" i="27"/>
  <c r="D1273" i="27"/>
  <c r="D1007" i="27"/>
  <c r="D545" i="27"/>
  <c r="D794" i="27"/>
  <c r="D795" i="27"/>
  <c r="D796" i="27"/>
  <c r="D797" i="27"/>
  <c r="D798" i="27"/>
  <c r="D799" i="27"/>
  <c r="D800" i="27"/>
  <c r="D951" i="27"/>
  <c r="D1341" i="27"/>
  <c r="D1342" i="27"/>
  <c r="D144" i="27"/>
  <c r="D1008" i="27"/>
  <c r="D742" i="27"/>
  <c r="D85" i="27"/>
  <c r="D18" i="27"/>
  <c r="D667" i="27"/>
  <c r="D427" i="27"/>
  <c r="D145" i="27"/>
  <c r="D395" i="27"/>
  <c r="D274" i="27"/>
  <c r="D275" i="27"/>
  <c r="D1382" i="27"/>
  <c r="D1383" i="27"/>
  <c r="D276" i="27"/>
  <c r="D710" i="27"/>
  <c r="D1268" i="27"/>
  <c r="D1009" i="27"/>
  <c r="D546" i="27"/>
  <c r="D162" i="27"/>
  <c r="D801" i="27"/>
  <c r="D952" i="27"/>
  <c r="D163" i="27"/>
  <c r="D547" i="27"/>
  <c r="D548" i="27"/>
  <c r="D522" i="27"/>
  <c r="D523" i="27"/>
  <c r="D717" i="27"/>
  <c r="D718" i="27"/>
  <c r="D802" i="27"/>
  <c r="D1019" i="27"/>
  <c r="D164" i="27"/>
  <c r="D803" i="27"/>
  <c r="D549" i="27"/>
  <c r="D550" i="27"/>
  <c r="D1020" i="27"/>
  <c r="D804" i="27"/>
  <c r="D805" i="27"/>
  <c r="D806" i="27"/>
  <c r="D1173" i="27"/>
  <c r="D1174" i="27"/>
  <c r="D1175" i="27"/>
  <c r="D306" i="27"/>
  <c r="D902" i="27"/>
  <c r="D353" i="27"/>
  <c r="D354" i="27"/>
  <c r="D494" i="27"/>
  <c r="D1324" i="27"/>
  <c r="D1176" i="27"/>
  <c r="D753" i="27"/>
  <c r="D1177" i="27"/>
  <c r="D1178" i="27"/>
  <c r="D754" i="27"/>
  <c r="D755" i="27"/>
  <c r="D42" i="27"/>
  <c r="D696" i="27"/>
  <c r="D1179" i="27"/>
  <c r="D165" i="27"/>
  <c r="D807" i="27"/>
  <c r="D1021" i="27"/>
  <c r="D1022" i="27"/>
  <c r="D19" i="27"/>
  <c r="D636" i="27"/>
  <c r="D637" i="27"/>
  <c r="D307" i="27"/>
  <c r="D355" i="27"/>
  <c r="D56" i="27"/>
  <c r="D308" i="27"/>
  <c r="D687" i="27"/>
  <c r="D1269" i="27"/>
  <c r="D1270" i="27"/>
  <c r="D309" i="27"/>
  <c r="D1180" i="27"/>
  <c r="D1181" i="27"/>
  <c r="D1182" i="27"/>
  <c r="D743" i="27"/>
  <c r="D495" i="27"/>
  <c r="D496" i="27"/>
  <c r="D86" i="27"/>
  <c r="D1289" i="27"/>
  <c r="D1290" i="27"/>
  <c r="D310" i="27"/>
  <c r="D311" i="27"/>
  <c r="D396" i="27"/>
  <c r="D551" i="27"/>
  <c r="D719" i="27"/>
  <c r="D524" i="27"/>
  <c r="D397" i="27"/>
  <c r="D1048" i="27"/>
  <c r="D1183" i="27"/>
  <c r="D1384" i="27"/>
  <c r="D87" i="27"/>
  <c r="D88" i="27"/>
  <c r="D497" i="27"/>
  <c r="D498" i="27"/>
  <c r="D499" i="27"/>
  <c r="D1184" i="27"/>
  <c r="D937" i="27"/>
  <c r="D953" i="27"/>
  <c r="D43" i="27"/>
  <c r="D711" i="27"/>
  <c r="D44" i="27"/>
  <c r="D89" i="27"/>
  <c r="D90" i="27"/>
  <c r="D91" i="27"/>
  <c r="D92" i="27"/>
  <c r="D93" i="27"/>
  <c r="D94" i="27"/>
  <c r="D95" i="27"/>
  <c r="D96" i="27"/>
  <c r="D97" i="27"/>
  <c r="D668" i="27"/>
  <c r="D1291" i="27"/>
  <c r="D744" i="27"/>
  <c r="D1185" i="27"/>
  <c r="D1010" i="27"/>
  <c r="D1325" i="27"/>
  <c r="D98" i="27"/>
  <c r="D745" i="27"/>
  <c r="D312" i="27"/>
  <c r="D1186" i="27"/>
  <c r="D954" i="27"/>
  <c r="D1187" i="27"/>
  <c r="D313" i="27"/>
  <c r="D808" i="27"/>
  <c r="D746" i="27"/>
  <c r="D242" i="27"/>
  <c r="D903" i="27"/>
  <c r="D537" i="27"/>
  <c r="D904" i="27"/>
  <c r="D243" i="27"/>
  <c r="D244" i="27"/>
  <c r="D356" i="27"/>
  <c r="D314" i="27"/>
  <c r="D315" i="27"/>
  <c r="D99" i="27"/>
  <c r="D316" i="27"/>
  <c r="D611" i="27"/>
  <c r="D712" i="27"/>
  <c r="D100" i="27"/>
  <c r="D188" i="27"/>
  <c r="D1292" i="27"/>
  <c r="D1293" i="27"/>
  <c r="D189" i="27"/>
  <c r="D1294" i="27"/>
  <c r="D1295" i="27"/>
  <c r="D844" i="27"/>
  <c r="D245" i="27"/>
  <c r="D845" i="27"/>
  <c r="D1038" i="27"/>
  <c r="D1077" i="27"/>
  <c r="D1296" i="27"/>
  <c r="D1297" i="27"/>
  <c r="D846" i="27"/>
  <c r="D847" i="27"/>
  <c r="D848" i="27"/>
  <c r="D849" i="27"/>
  <c r="D850" i="27"/>
  <c r="D851" i="27"/>
  <c r="D852" i="27"/>
  <c r="D1039" i="27"/>
  <c r="D1040" i="27"/>
  <c r="D1041" i="27"/>
  <c r="D1078" i="27"/>
  <c r="D20" i="27"/>
  <c r="D638" i="27"/>
  <c r="D1298" i="27"/>
  <c r="D500" i="27"/>
  <c r="D1042" i="27"/>
  <c r="D1188" i="27"/>
  <c r="D1189" i="27"/>
  <c r="D1299" i="27"/>
  <c r="D853" i="27"/>
  <c r="D1190" i="27"/>
  <c r="D905" i="27"/>
  <c r="D1191" i="27"/>
  <c r="D357" i="27"/>
  <c r="D639" i="27"/>
  <c r="D1192" i="27"/>
  <c r="D246" i="27"/>
  <c r="D247" i="27"/>
  <c r="D21" i="27"/>
  <c r="D22" i="27"/>
  <c r="D756" i="27"/>
  <c r="D612" i="27"/>
  <c r="D697" i="27"/>
  <c r="D871" i="27"/>
  <c r="D317" i="27"/>
  <c r="D398" i="27"/>
  <c r="D399" i="27"/>
  <c r="D428" i="27"/>
  <c r="D698" i="27"/>
  <c r="D613" i="27"/>
  <c r="D614" i="27"/>
  <c r="D400" i="27"/>
  <c r="D401" i="27"/>
  <c r="D699" i="27"/>
  <c r="D615" i="27"/>
  <c r="D402" i="27"/>
  <c r="D1049" i="27"/>
  <c r="D429" i="27"/>
  <c r="D403" i="27"/>
  <c r="D1050" i="27"/>
  <c r="D872" i="27"/>
  <c r="D938" i="27"/>
  <c r="D616" i="27"/>
  <c r="D939" i="27"/>
  <c r="D1193" i="27"/>
  <c r="D700" i="27"/>
  <c r="D669" i="27"/>
  <c r="D670" i="27"/>
  <c r="D940" i="27"/>
  <c r="D671" i="27"/>
  <c r="D941" i="27"/>
  <c r="D672" i="27"/>
  <c r="D430" i="27"/>
  <c r="D431" i="27"/>
  <c r="D57" i="27"/>
  <c r="D404" i="27"/>
  <c r="D432" i="27"/>
  <c r="D1194" i="27"/>
  <c r="D1195" i="27"/>
  <c r="D1196" i="27"/>
  <c r="D146" i="27"/>
  <c r="D1197" i="27"/>
  <c r="D433" i="27"/>
  <c r="D617" i="27"/>
  <c r="D1198" i="27"/>
  <c r="D405" i="27"/>
  <c r="D1199" i="27"/>
  <c r="D1200" i="27"/>
  <c r="D147" i="27"/>
  <c r="D1385" i="27"/>
  <c r="D1051" i="27"/>
  <c r="D148" i="27"/>
  <c r="D58" i="27"/>
  <c r="D59" i="27"/>
  <c r="D60" i="27"/>
  <c r="D673" i="27"/>
  <c r="D1201" i="27"/>
  <c r="D1202" i="27"/>
  <c r="D640" i="27"/>
  <c r="D190" i="27"/>
  <c r="D906" i="27"/>
  <c r="D1079" i="27"/>
  <c r="D450" i="27"/>
  <c r="D248" i="27"/>
  <c r="D1011" i="27"/>
  <c r="D907" i="27"/>
  <c r="D908" i="27"/>
  <c r="D909" i="27"/>
  <c r="D451" i="27"/>
  <c r="D910" i="27"/>
  <c r="D577" i="27"/>
  <c r="D1012" i="27"/>
  <c r="D501" i="27"/>
  <c r="D358" i="27"/>
  <c r="D1080" i="27"/>
  <c r="D452" i="27"/>
  <c r="D453" i="27"/>
  <c r="D1081" i="27"/>
  <c r="D578" i="27"/>
  <c r="D911" i="27"/>
  <c r="D809" i="27"/>
  <c r="D579" i="27"/>
  <c r="D318" i="27"/>
  <c r="D319" i="27"/>
  <c r="D359" i="27"/>
  <c r="D454" i="27"/>
  <c r="D455" i="27"/>
  <c r="D580" i="27"/>
  <c r="D456" i="27"/>
  <c r="D581" i="27"/>
  <c r="D582" i="27"/>
  <c r="D912" i="27"/>
  <c r="D583" i="27"/>
  <c r="D584" i="27"/>
  <c r="D360" i="27"/>
  <c r="D913" i="27"/>
  <c r="D457" i="27"/>
  <c r="D585" i="27"/>
  <c r="D361" i="27"/>
  <c r="D362" i="27"/>
  <c r="D914" i="27"/>
  <c r="D915" i="27"/>
  <c r="D916" i="27"/>
  <c r="D917" i="27"/>
  <c r="D320" i="27"/>
  <c r="D918" i="27"/>
  <c r="D458" i="27"/>
  <c r="D586" i="27"/>
  <c r="D363" i="27"/>
  <c r="D587" i="27"/>
  <c r="D919" i="27"/>
  <c r="D1082" i="27"/>
  <c r="D1043" i="27"/>
  <c r="D1343" i="27"/>
  <c r="D191" i="27"/>
  <c r="D364" i="27"/>
  <c r="D920" i="27"/>
  <c r="D321" i="27"/>
  <c r="D192" i="27"/>
  <c r="D249" i="27"/>
  <c r="D250" i="27"/>
  <c r="D23" i="27"/>
  <c r="D251" i="27"/>
  <c r="D24" i="27"/>
  <c r="D1083" i="27"/>
  <c r="D502" i="27"/>
  <c r="D193" i="27"/>
  <c r="D854" i="27"/>
  <c r="D365" i="27"/>
  <c r="D855" i="27"/>
  <c r="D1084" i="27"/>
  <c r="D856" i="27"/>
  <c r="D503" i="27"/>
  <c r="D1326" i="27"/>
  <c r="D101" i="27"/>
  <c r="D277" i="27"/>
  <c r="D102" i="27"/>
  <c r="D1327" i="27"/>
  <c r="D103" i="27"/>
  <c r="D104" i="27"/>
  <c r="D105" i="27"/>
  <c r="D106" i="27"/>
  <c r="D107" i="27"/>
  <c r="D108" i="27"/>
  <c r="D109" i="27"/>
  <c r="D110" i="27"/>
  <c r="D1328" i="27"/>
  <c r="D278" i="27"/>
  <c r="D279" i="27"/>
  <c r="D111" i="27"/>
  <c r="D1203" i="27"/>
  <c r="D757" i="27"/>
  <c r="D758" i="27"/>
  <c r="D45" i="27"/>
  <c r="D759" i="27"/>
  <c r="D46" i="27"/>
  <c r="D713" i="27"/>
  <c r="D1204" i="27"/>
  <c r="D1205" i="27"/>
  <c r="D1206" i="27"/>
  <c r="D25" i="27"/>
  <c r="D26" i="27"/>
  <c r="D641" i="27"/>
  <c r="D504" i="27"/>
  <c r="D1207" i="27"/>
  <c r="D1208" i="27"/>
  <c r="D505" i="27"/>
  <c r="D506" i="27"/>
  <c r="D507" i="27"/>
  <c r="D1209" i="27"/>
  <c r="D508" i="27"/>
  <c r="D509" i="27"/>
  <c r="D194" i="27"/>
  <c r="D1085" i="27"/>
  <c r="D252" i="27"/>
  <c r="D955" i="27"/>
  <c r="D322" i="27"/>
  <c r="D323" i="27"/>
  <c r="D195" i="27"/>
  <c r="D857" i="27"/>
  <c r="D166" i="27"/>
  <c r="D27" i="27"/>
  <c r="D28" i="27"/>
  <c r="D588" i="27"/>
  <c r="D1210" i="27"/>
  <c r="D112" i="27"/>
  <c r="D1211" i="27"/>
  <c r="D1212" i="27"/>
  <c r="D1271" i="27"/>
  <c r="D510" i="27"/>
  <c r="D1213" i="27"/>
  <c r="D1214" i="27"/>
  <c r="D760" i="27"/>
  <c r="D1215" i="27"/>
  <c r="D167" i="27"/>
  <c r="D168" i="27"/>
  <c r="D810" i="27"/>
  <c r="D1300" i="27"/>
  <c r="D674" i="27"/>
  <c r="D61" i="27"/>
  <c r="D1373" i="27"/>
  <c r="D618" i="27"/>
  <c r="D62" i="27"/>
  <c r="D366" i="27"/>
  <c r="D1272" i="27"/>
  <c r="D811" i="27"/>
  <c r="D812" i="27"/>
  <c r="D1216" i="27"/>
  <c r="D149" i="27"/>
  <c r="D761" i="27"/>
  <c r="D1217" i="27"/>
  <c r="D150" i="27"/>
  <c r="D113" i="27"/>
  <c r="D956" i="27"/>
  <c r="D619" i="27"/>
  <c r="D701" i="27"/>
  <c r="D406" i="27"/>
  <c r="D620" i="27"/>
  <c r="D621" i="27"/>
  <c r="D702" i="27"/>
  <c r="D703" i="27"/>
  <c r="D873" i="27"/>
  <c r="D407" i="27"/>
  <c r="D408" i="27"/>
  <c r="D1052" i="27"/>
  <c r="D704" i="27"/>
  <c r="D1053" i="27"/>
  <c r="D1054" i="27"/>
  <c r="D434" i="27"/>
  <c r="D1055" i="27"/>
  <c r="D435" i="27"/>
  <c r="D436" i="27"/>
  <c r="D1218" i="27"/>
  <c r="D1219" i="27"/>
  <c r="D942" i="27"/>
  <c r="D1220" i="27"/>
  <c r="D1221" i="27"/>
  <c r="D437" i="27"/>
  <c r="D1222" i="27"/>
  <c r="D1223" i="27"/>
  <c r="D1224" i="27"/>
  <c r="D438" i="27"/>
  <c r="D705" i="27"/>
  <c r="D114" i="27"/>
  <c r="D762" i="27"/>
  <c r="D1225" i="27"/>
  <c r="D1226" i="27"/>
  <c r="D115" i="27"/>
  <c r="D1329" i="27"/>
  <c r="D1330" i="27"/>
  <c r="D116" i="27"/>
  <c r="D1056" i="27"/>
  <c r="D1227" i="27"/>
  <c r="D409" i="27"/>
  <c r="D117" i="27"/>
  <c r="D253" i="27"/>
  <c r="D196" i="27"/>
  <c r="D324" i="27"/>
  <c r="D459" i="27"/>
  <c r="D1228" i="27"/>
  <c r="D439" i="27"/>
  <c r="D440" i="27"/>
  <c r="D441" i="27"/>
  <c r="D688" i="27"/>
  <c r="D706" i="27"/>
  <c r="D410" i="27"/>
  <c r="D411" i="27"/>
  <c r="D412" i="27"/>
  <c r="D325" i="27"/>
  <c r="D326" i="27"/>
  <c r="D327" i="27"/>
  <c r="D328" i="27"/>
  <c r="D442" i="27"/>
  <c r="D714" i="27"/>
  <c r="D689" i="27"/>
  <c r="D1331" i="27"/>
  <c r="D1332" i="27"/>
  <c r="D690" i="27"/>
  <c r="D691" i="27"/>
  <c r="D1301" i="27"/>
  <c r="D118" i="27"/>
  <c r="D622" i="27"/>
  <c r="D367" i="27"/>
  <c r="D874" i="27"/>
  <c r="D552" i="27"/>
  <c r="D413" i="27"/>
  <c r="D623" i="27"/>
  <c r="D1374" i="27"/>
  <c r="D368" i="27"/>
  <c r="D1333" i="27"/>
  <c r="D169" i="27"/>
  <c r="D1375" i="27"/>
  <c r="D329" i="27"/>
  <c r="D330" i="27"/>
  <c r="D369" i="27"/>
  <c r="D1302" i="27"/>
  <c r="D1303" i="27"/>
  <c r="D1304" i="27"/>
  <c r="D538" i="27"/>
  <c r="D553" i="27"/>
  <c r="D921" i="27"/>
  <c r="D589" i="27"/>
  <c r="D590" i="27"/>
  <c r="D591" i="27"/>
  <c r="D1376" i="27"/>
  <c r="D858" i="27"/>
  <c r="D1044" i="27"/>
  <c r="D642" i="27"/>
  <c r="D643" i="27"/>
  <c r="D197" i="27"/>
  <c r="D1229" i="27"/>
  <c r="D198" i="27"/>
  <c r="D1230" i="27"/>
  <c r="D813" i="27"/>
  <c r="D29" i="27"/>
  <c r="D254" i="27"/>
  <c r="D199" i="27"/>
  <c r="D1231" i="27"/>
  <c r="D1086" i="27"/>
  <c r="D859" i="27"/>
  <c r="D525" i="27"/>
  <c r="D943" i="27"/>
  <c r="D1232" i="27"/>
  <c r="D1087" i="27"/>
  <c r="D1088" i="27"/>
  <c r="D331" i="27"/>
  <c r="D747" i="27"/>
  <c r="D922" i="27"/>
  <c r="D923" i="27"/>
  <c r="D370" i="27"/>
  <c r="D814" i="27"/>
  <c r="D1233" i="27"/>
  <c r="D511" i="27"/>
  <c r="D1234" i="27"/>
  <c r="D1235" i="27"/>
  <c r="D1236" i="27"/>
  <c r="D1305" i="27"/>
  <c r="D47" i="27"/>
  <c r="D119" i="27"/>
  <c r="D944" i="27"/>
  <c r="D592" i="27"/>
  <c r="D200" i="27"/>
  <c r="D255" i="27"/>
  <c r="D1237" i="27"/>
  <c r="D256" i="27"/>
  <c r="D280" i="27"/>
  <c r="D593" i="27"/>
  <c r="D715" i="27"/>
  <c r="D957" i="27"/>
  <c r="D120" i="27"/>
  <c r="D121" i="27"/>
  <c r="D332" i="27"/>
  <c r="D122" i="27"/>
  <c r="D123" i="27"/>
  <c r="D124" i="27"/>
  <c r="D594" i="27"/>
  <c r="D1238" i="27"/>
  <c r="D1344" i="27"/>
  <c r="D125" i="27"/>
  <c r="D1334" i="27"/>
  <c r="D815" i="27"/>
  <c r="D170" i="27"/>
  <c r="D1089" i="27"/>
  <c r="D748" i="27"/>
  <c r="D1090" i="27"/>
  <c r="D749" i="27"/>
  <c r="D1023" i="27"/>
  <c r="D512" i="27"/>
  <c r="D30" i="27"/>
  <c r="D644" i="27"/>
  <c r="D1024" i="27"/>
  <c r="D171" i="27"/>
  <c r="D860" i="27"/>
  <c r="D257" i="27"/>
  <c r="D1239" i="27"/>
  <c r="D1240" i="27"/>
  <c r="D1241" i="27"/>
  <c r="D539" i="27"/>
  <c r="D1306" i="27"/>
  <c r="D258" i="27"/>
  <c r="D861" i="27"/>
  <c r="D259" i="27"/>
  <c r="D862" i="27"/>
  <c r="D201" i="27"/>
  <c r="D202" i="27"/>
  <c r="D1307" i="27"/>
  <c r="D1045" i="27"/>
  <c r="D863" i="27"/>
  <c r="D1242" i="27"/>
  <c r="D1243" i="27"/>
  <c r="D1244" i="27"/>
  <c r="D864" i="27"/>
  <c r="D203" i="27"/>
  <c r="D1245" i="27"/>
  <c r="D204" i="27"/>
  <c r="D1246" i="27"/>
  <c r="D333" i="27"/>
  <c r="D645" i="27"/>
  <c r="D126" i="27"/>
  <c r="D205" i="27"/>
  <c r="D206" i="27"/>
  <c r="D260" i="27"/>
  <c r="D31" i="27"/>
  <c r="D207" i="27"/>
  <c r="D526" i="27"/>
  <c r="D554" i="27"/>
  <c r="D555" i="27"/>
  <c r="D816" i="27"/>
  <c r="D817" i="27"/>
  <c r="D1013" i="27"/>
  <c r="D513" i="27"/>
  <c r="D1247" i="27"/>
  <c r="D675" i="27"/>
  <c r="D676" i="27"/>
  <c r="D127" i="27"/>
  <c r="D128" i="27"/>
  <c r="D556" i="27"/>
  <c r="D646" i="27"/>
  <c r="D208" i="27"/>
  <c r="D1248" i="27"/>
  <c r="D647" i="27"/>
  <c r="D514" i="27"/>
  <c r="D1249" i="27"/>
  <c r="D1046" i="27"/>
  <c r="D261" i="27"/>
  <c r="D1250" i="27"/>
  <c r="D1251" i="27"/>
  <c r="D515" i="27"/>
  <c r="D1252" i="27"/>
  <c r="D865" i="27"/>
  <c r="D1335" i="27"/>
  <c r="D958" i="27"/>
  <c r="D1336" i="27"/>
  <c r="D624" i="27"/>
  <c r="D1253" i="27"/>
  <c r="D1254" i="27"/>
  <c r="D1255" i="27"/>
  <c r="D209" i="27"/>
  <c r="D63" i="27"/>
  <c r="D210" i="27"/>
  <c r="D211" i="27"/>
  <c r="D212" i="27"/>
  <c r="D262" i="27"/>
  <c r="D263" i="27"/>
  <c r="D264" i="27"/>
  <c r="D265" i="27"/>
  <c r="D266" i="27"/>
  <c r="D267" i="27"/>
  <c r="D268" i="27"/>
  <c r="D269" i="27"/>
  <c r="D371" i="27"/>
  <c r="D460" i="27"/>
  <c r="D461" i="27"/>
  <c r="D462" i="27"/>
  <c r="D463" i="27"/>
  <c r="D648" i="27"/>
  <c r="D649" i="27"/>
  <c r="D866" i="27"/>
  <c r="D867" i="27"/>
  <c r="D868" i="27"/>
  <c r="D924" i="27"/>
  <c r="D945" i="27"/>
  <c r="D1047" i="27"/>
  <c r="D270" i="27"/>
  <c r="D1256" i="27"/>
  <c r="D1257" i="27"/>
  <c r="D1258" i="27"/>
  <c r="D1259" i="27"/>
  <c r="D1308" i="27"/>
  <c r="D1309" i="27"/>
  <c r="D1310" i="27"/>
  <c r="D1311" i="27"/>
  <c r="D1260" i="27"/>
  <c r="D372" i="27"/>
  <c r="D677" i="27"/>
  <c r="D1312" i="27"/>
  <c r="D1313" i="27"/>
  <c r="D650" i="27"/>
  <c r="D213" i="27"/>
  <c r="D214" i="27"/>
  <c r="D215" i="27"/>
  <c r="D216" i="27"/>
  <c r="D651" i="27"/>
  <c r="D464" i="27"/>
  <c r="D129" i="27"/>
  <c r="D130" i="27"/>
  <c r="D131" i="27"/>
  <c r="D271" i="27"/>
  <c r="D132" i="27"/>
  <c r="D151" i="27"/>
  <c r="D1261" i="27"/>
  <c r="D217" i="27"/>
  <c r="D750" i="27"/>
  <c r="D959" i="27"/>
  <c r="D925" i="27"/>
  <c r="D1091" i="27"/>
  <c r="D625" i="27"/>
  <c r="D946" i="27"/>
  <c r="D334" i="27"/>
  <c r="D1014" i="27"/>
  <c r="D818" i="27"/>
  <c r="D32" i="27"/>
  <c r="D1015" i="27"/>
  <c r="D819" i="27"/>
  <c r="D820" i="27"/>
  <c r="D821" i="27"/>
  <c r="D595" i="27"/>
  <c r="D218" i="27"/>
  <c r="D373" i="27"/>
  <c r="D678" i="27"/>
  <c r="D1262" i="27"/>
  <c r="D272" i="27"/>
  <c r="D133" i="27"/>
  <c r="D134" i="27"/>
  <c r="D822" i="27"/>
  <c r="D33" i="27"/>
  <c r="D172" i="27"/>
  <c r="D596" i="27"/>
  <c r="D597" i="27"/>
  <c r="D1016" i="27"/>
  <c r="D527" i="27"/>
  <c r="D823" i="27"/>
  <c r="D516" i="27"/>
  <c r="D1263" i="27"/>
  <c r="D1264" i="27"/>
  <c r="D626" i="27"/>
  <c r="D135" i="27"/>
  <c r="D517" i="27"/>
  <c r="D34" i="27"/>
  <c r="D35" i="27"/>
  <c r="D36" i="27"/>
  <c r="D1265" i="27"/>
  <c r="D443" i="27"/>
  <c r="D444" i="27"/>
  <c r="D374" i="27"/>
  <c r="D598" i="27"/>
  <c r="D1314" i="27"/>
  <c r="D136" i="27"/>
  <c r="D960" i="27"/>
  <c r="D335" i="27"/>
  <c r="D137" i="2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8"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3" i="11" a="1"/>
  <c r="W33" i="11" s="1"/>
  <c r="W32" i="11" a="1"/>
  <c r="W32"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CJ30" i="11" l="1"/>
  <c r="AN4" i="11" a="1"/>
  <c r="AN4" i="11" s="1"/>
  <c r="AG16" i="11" a="1"/>
  <c r="AG16" i="11" s="1"/>
  <c r="AG6" i="11" a="1"/>
  <c r="AG6" i="11" s="1"/>
  <c r="F38" i="13" a="1"/>
  <c r="F38" i="13" s="1"/>
  <c r="B19" i="13" a="1"/>
  <c r="B19" i="13" s="1"/>
  <c r="AC6" i="11" a="1"/>
  <c r="AC6" i="11" s="1"/>
  <c r="B40" i="13" a="1"/>
  <c r="B40" i="13" s="1"/>
  <c r="BO4" i="11" a="1"/>
  <c r="BO4" i="11" s="1"/>
  <c r="BF4" i="11" a="1"/>
  <c r="BF4" i="11" s="1"/>
  <c r="J24" i="13" a="1"/>
  <c r="J24" i="13" s="1"/>
  <c r="AA2" i="11" a="1"/>
  <c r="AA2" i="11" s="1"/>
  <c r="AA3" i="11" a="1"/>
  <c r="AA3" i="11" s="1"/>
  <c r="L9" i="10"/>
  <c r="K9" i="10"/>
  <c r="N24" i="13" l="1"/>
  <c r="L19" i="10"/>
  <c r="AW4" i="11" a="1"/>
  <c r="AW4" i="11" s="1"/>
  <c r="BY4" i="11" s="1" a="1"/>
  <c r="E19" i="10"/>
  <c r="J19" i="10"/>
  <c r="I19" i="10"/>
  <c r="H19" i="10"/>
  <c r="F19" i="10"/>
  <c r="G19" i="10"/>
  <c r="I9" i="10"/>
  <c r="H9" i="10"/>
  <c r="J9" i="10"/>
  <c r="F9" i="10"/>
  <c r="G9" i="10"/>
  <c r="B10" i="10"/>
  <c r="BY4" i="11" l="1"/>
  <c r="A8" i="7" s="1"/>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72" i="7"/>
  <c r="B180" i="7"/>
  <c r="B188" i="7"/>
  <c r="B196" i="7"/>
  <c r="B204" i="7"/>
  <c r="B212" i="7"/>
  <c r="B220" i="7"/>
  <c r="B228" i="7"/>
  <c r="B236" i="7"/>
  <c r="B244" i="7"/>
  <c r="B252" i="7"/>
  <c r="B260" i="7"/>
  <c r="B268" i="7"/>
  <c r="B276" i="7"/>
  <c r="B284" i="7"/>
  <c r="B292" i="7"/>
  <c r="B300" i="7"/>
  <c r="B308" i="7"/>
  <c r="B316" i="7"/>
  <c r="B324" i="7"/>
  <c r="B332" i="7"/>
  <c r="B340" i="7"/>
  <c r="B348" i="7"/>
  <c r="B356" i="7"/>
  <c r="B364" i="7"/>
  <c r="B372" i="7"/>
  <c r="B380" i="7"/>
  <c r="B388" i="7"/>
  <c r="B396" i="7"/>
  <c r="B404" i="7"/>
  <c r="B412" i="7"/>
  <c r="B420" i="7"/>
  <c r="B428" i="7"/>
  <c r="B436" i="7"/>
  <c r="B444" i="7"/>
  <c r="B452" i="7"/>
  <c r="B460" i="7"/>
  <c r="B468" i="7"/>
  <c r="B476" i="7"/>
  <c r="B484" i="7"/>
  <c r="B492" i="7"/>
  <c r="B500" i="7"/>
  <c r="B508" i="7"/>
  <c r="B516" i="7"/>
  <c r="B524" i="7"/>
  <c r="B532" i="7"/>
  <c r="B540" i="7"/>
  <c r="B548" i="7"/>
  <c r="B556" i="7"/>
  <c r="B564" i="7"/>
  <c r="B572" i="7"/>
  <c r="B580" i="7"/>
  <c r="B588" i="7"/>
  <c r="B596" i="7"/>
  <c r="B604" i="7"/>
  <c r="B612" i="7"/>
  <c r="B620" i="7"/>
  <c r="B628" i="7"/>
  <c r="B636" i="7"/>
  <c r="B644" i="7"/>
  <c r="B652" i="7"/>
  <c r="B660" i="7"/>
  <c r="B668" i="7"/>
  <c r="B676" i="7"/>
  <c r="B684" i="7"/>
  <c r="B692" i="7"/>
  <c r="B700" i="7"/>
  <c r="B708" i="7"/>
  <c r="B716" i="7"/>
  <c r="B724" i="7"/>
  <c r="B732" i="7"/>
  <c r="B740" i="7"/>
  <c r="B748" i="7"/>
  <c r="B756" i="7"/>
  <c r="B764" i="7"/>
  <c r="B772" i="7"/>
  <c r="B780" i="7"/>
  <c r="B788" i="7"/>
  <c r="B796" i="7"/>
  <c r="B804" i="7"/>
  <c r="B812" i="7"/>
  <c r="B820" i="7"/>
  <c r="B828" i="7"/>
  <c r="B836" i="7"/>
  <c r="B844" i="7"/>
  <c r="B165" i="7"/>
  <c r="B173" i="7"/>
  <c r="B181" i="7"/>
  <c r="B189" i="7"/>
  <c r="B197" i="7"/>
  <c r="B205" i="7"/>
  <c r="B213" i="7"/>
  <c r="B221" i="7"/>
  <c r="B229" i="7"/>
  <c r="B237" i="7"/>
  <c r="B245" i="7"/>
  <c r="B253" i="7"/>
  <c r="B261" i="7"/>
  <c r="B269" i="7"/>
  <c r="B277" i="7"/>
  <c r="B285" i="7"/>
  <c r="B293" i="7"/>
  <c r="B301" i="7"/>
  <c r="B309" i="7"/>
  <c r="B317" i="7"/>
  <c r="B325" i="7"/>
  <c r="B333" i="7"/>
  <c r="B341" i="7"/>
  <c r="B349" i="7"/>
  <c r="B357" i="7"/>
  <c r="B365" i="7"/>
  <c r="B373" i="7"/>
  <c r="B381" i="7"/>
  <c r="B389" i="7"/>
  <c r="B397" i="7"/>
  <c r="B405" i="7"/>
  <c r="B413" i="7"/>
  <c r="B421" i="7"/>
  <c r="B429" i="7"/>
  <c r="B437" i="7"/>
  <c r="B445" i="7"/>
  <c r="B453" i="7"/>
  <c r="B461" i="7"/>
  <c r="B469" i="7"/>
  <c r="B477" i="7"/>
  <c r="B485" i="7"/>
  <c r="B493" i="7"/>
  <c r="B501" i="7"/>
  <c r="B509" i="7"/>
  <c r="B517" i="7"/>
  <c r="B525" i="7"/>
  <c r="B533" i="7"/>
  <c r="B541" i="7"/>
  <c r="B549" i="7"/>
  <c r="B557" i="7"/>
  <c r="B565" i="7"/>
  <c r="B573" i="7"/>
  <c r="B581" i="7"/>
  <c r="B589" i="7"/>
  <c r="B597" i="7"/>
  <c r="B605" i="7"/>
  <c r="B613" i="7"/>
  <c r="B621" i="7"/>
  <c r="B629" i="7"/>
  <c r="B637" i="7"/>
  <c r="B645" i="7"/>
  <c r="B653" i="7"/>
  <c r="B661" i="7"/>
  <c r="B669" i="7"/>
  <c r="B677" i="7"/>
  <c r="B685" i="7"/>
  <c r="B693" i="7"/>
  <c r="B701" i="7"/>
  <c r="B709" i="7"/>
  <c r="B717" i="7"/>
  <c r="B725" i="7"/>
  <c r="B733" i="7"/>
  <c r="B741" i="7"/>
  <c r="B749" i="7"/>
  <c r="B757" i="7"/>
  <c r="B765" i="7"/>
  <c r="B773" i="7"/>
  <c r="B781" i="7"/>
  <c r="B789" i="7"/>
  <c r="B797" i="7"/>
  <c r="B805" i="7"/>
  <c r="B813" i="7"/>
  <c r="B821" i="7"/>
  <c r="B829" i="7"/>
  <c r="B837" i="7"/>
  <c r="B166" i="7"/>
  <c r="B174" i="7"/>
  <c r="B182" i="7"/>
  <c r="B190" i="7"/>
  <c r="B198" i="7"/>
  <c r="B206" i="7"/>
  <c r="B214" i="7"/>
  <c r="B222" i="7"/>
  <c r="B230" i="7"/>
  <c r="B238" i="7"/>
  <c r="B246" i="7"/>
  <c r="B254" i="7"/>
  <c r="B262" i="7"/>
  <c r="B270" i="7"/>
  <c r="B278" i="7"/>
  <c r="B286" i="7"/>
  <c r="B294" i="7"/>
  <c r="B302" i="7"/>
  <c r="B310" i="7"/>
  <c r="B318" i="7"/>
  <c r="B326" i="7"/>
  <c r="B334" i="7"/>
  <c r="B342" i="7"/>
  <c r="B350" i="7"/>
  <c r="B358" i="7"/>
  <c r="B366" i="7"/>
  <c r="B374" i="7"/>
  <c r="B382" i="7"/>
  <c r="B390" i="7"/>
  <c r="B398" i="7"/>
  <c r="B406" i="7"/>
  <c r="B414" i="7"/>
  <c r="B422" i="7"/>
  <c r="B430" i="7"/>
  <c r="B438" i="7"/>
  <c r="B446" i="7"/>
  <c r="B454" i="7"/>
  <c r="B462" i="7"/>
  <c r="B470" i="7"/>
  <c r="B478" i="7"/>
  <c r="B486" i="7"/>
  <c r="B494" i="7"/>
  <c r="B502" i="7"/>
  <c r="B510" i="7"/>
  <c r="B518" i="7"/>
  <c r="B526" i="7"/>
  <c r="B534" i="7"/>
  <c r="B542" i="7"/>
  <c r="B550" i="7"/>
  <c r="B558" i="7"/>
  <c r="B566" i="7"/>
  <c r="B574" i="7"/>
  <c r="B582" i="7"/>
  <c r="B590" i="7"/>
  <c r="B598" i="7"/>
  <c r="B606" i="7"/>
  <c r="B614" i="7"/>
  <c r="B622" i="7"/>
  <c r="B630" i="7"/>
  <c r="B638" i="7"/>
  <c r="B646" i="7"/>
  <c r="B654" i="7"/>
  <c r="B662" i="7"/>
  <c r="B670" i="7"/>
  <c r="B678" i="7"/>
  <c r="B686" i="7"/>
  <c r="B694" i="7"/>
  <c r="B702" i="7"/>
  <c r="B710" i="7"/>
  <c r="B718" i="7"/>
  <c r="B726" i="7"/>
  <c r="B734" i="7"/>
  <c r="B742" i="7"/>
  <c r="B750" i="7"/>
  <c r="B758" i="7"/>
  <c r="B766" i="7"/>
  <c r="B774" i="7"/>
  <c r="B782" i="7"/>
  <c r="B790" i="7"/>
  <c r="B798" i="7"/>
  <c r="B806" i="7"/>
  <c r="B814" i="7"/>
  <c r="B822" i="7"/>
  <c r="B830" i="7"/>
  <c r="B838" i="7"/>
  <c r="B167" i="7"/>
  <c r="B175" i="7"/>
  <c r="B183" i="7"/>
  <c r="B191" i="7"/>
  <c r="B199" i="7"/>
  <c r="B207" i="7"/>
  <c r="B215" i="7"/>
  <c r="B223" i="7"/>
  <c r="B231" i="7"/>
  <c r="B239" i="7"/>
  <c r="B247" i="7"/>
  <c r="B255" i="7"/>
  <c r="B263" i="7"/>
  <c r="B271" i="7"/>
  <c r="B279" i="7"/>
  <c r="B287" i="7"/>
  <c r="B295" i="7"/>
  <c r="B303" i="7"/>
  <c r="B311" i="7"/>
  <c r="B319" i="7"/>
  <c r="B327" i="7"/>
  <c r="B335" i="7"/>
  <c r="B343" i="7"/>
  <c r="B351" i="7"/>
  <c r="B359" i="7"/>
  <c r="B367" i="7"/>
  <c r="B375" i="7"/>
  <c r="B383" i="7"/>
  <c r="B391" i="7"/>
  <c r="B399" i="7"/>
  <c r="B407" i="7"/>
  <c r="B415" i="7"/>
  <c r="B423" i="7"/>
  <c r="B431" i="7"/>
  <c r="B439" i="7"/>
  <c r="B447" i="7"/>
  <c r="B455" i="7"/>
  <c r="B463" i="7"/>
  <c r="B471" i="7"/>
  <c r="B479" i="7"/>
  <c r="B487" i="7"/>
  <c r="B495" i="7"/>
  <c r="B503" i="7"/>
  <c r="B511" i="7"/>
  <c r="B519" i="7"/>
  <c r="B527" i="7"/>
  <c r="B535" i="7"/>
  <c r="B543" i="7"/>
  <c r="B551" i="7"/>
  <c r="B559" i="7"/>
  <c r="B567" i="7"/>
  <c r="B575" i="7"/>
  <c r="B583" i="7"/>
  <c r="B591" i="7"/>
  <c r="B599" i="7"/>
  <c r="B607" i="7"/>
  <c r="B615" i="7"/>
  <c r="B623" i="7"/>
  <c r="B631" i="7"/>
  <c r="B639" i="7"/>
  <c r="B647" i="7"/>
  <c r="B655" i="7"/>
  <c r="B663" i="7"/>
  <c r="B671" i="7"/>
  <c r="B679" i="7"/>
  <c r="B687" i="7"/>
  <c r="B695" i="7"/>
  <c r="B703" i="7"/>
  <c r="B711" i="7"/>
  <c r="B719" i="7"/>
  <c r="B727" i="7"/>
  <c r="B735" i="7"/>
  <c r="B743" i="7"/>
  <c r="B751" i="7"/>
  <c r="B759" i="7"/>
  <c r="B767" i="7"/>
  <c r="B775" i="7"/>
  <c r="B783" i="7"/>
  <c r="B791" i="7"/>
  <c r="B799" i="7"/>
  <c r="B807" i="7"/>
  <c r="B815" i="7"/>
  <c r="B823" i="7"/>
  <c r="B831" i="7"/>
  <c r="B839" i="7"/>
  <c r="B168" i="7"/>
  <c r="B176" i="7"/>
  <c r="B184" i="7"/>
  <c r="B192" i="7"/>
  <c r="B200" i="7"/>
  <c r="B208" i="7"/>
  <c r="B216" i="7"/>
  <c r="B224" i="7"/>
  <c r="B232" i="7"/>
  <c r="B240" i="7"/>
  <c r="B248" i="7"/>
  <c r="B256" i="7"/>
  <c r="B264" i="7"/>
  <c r="B272" i="7"/>
  <c r="B280" i="7"/>
  <c r="B288" i="7"/>
  <c r="B296" i="7"/>
  <c r="B304" i="7"/>
  <c r="B312" i="7"/>
  <c r="B320" i="7"/>
  <c r="B328" i="7"/>
  <c r="B336" i="7"/>
  <c r="B344" i="7"/>
  <c r="B352" i="7"/>
  <c r="B360" i="7"/>
  <c r="B368" i="7"/>
  <c r="B376" i="7"/>
  <c r="B384" i="7"/>
  <c r="B392" i="7"/>
  <c r="B400" i="7"/>
  <c r="B408" i="7"/>
  <c r="B416" i="7"/>
  <c r="B424" i="7"/>
  <c r="B432" i="7"/>
  <c r="B440" i="7"/>
  <c r="B448" i="7"/>
  <c r="B456" i="7"/>
  <c r="B464" i="7"/>
  <c r="B472" i="7"/>
  <c r="B480" i="7"/>
  <c r="B488" i="7"/>
  <c r="B496" i="7"/>
  <c r="B504" i="7"/>
  <c r="B512" i="7"/>
  <c r="B520" i="7"/>
  <c r="B528" i="7"/>
  <c r="B536" i="7"/>
  <c r="B544" i="7"/>
  <c r="B552" i="7"/>
  <c r="B560" i="7"/>
  <c r="B568" i="7"/>
  <c r="B576" i="7"/>
  <c r="B584" i="7"/>
  <c r="B592" i="7"/>
  <c r="B600" i="7"/>
  <c r="B608" i="7"/>
  <c r="B616" i="7"/>
  <c r="B624" i="7"/>
  <c r="B632" i="7"/>
  <c r="B640" i="7"/>
  <c r="B648" i="7"/>
  <c r="B656" i="7"/>
  <c r="B664" i="7"/>
  <c r="B672" i="7"/>
  <c r="B680" i="7"/>
  <c r="B688" i="7"/>
  <c r="B696" i="7"/>
  <c r="B704" i="7"/>
  <c r="B712" i="7"/>
  <c r="B720" i="7"/>
  <c r="B728" i="7"/>
  <c r="B736" i="7"/>
  <c r="B744" i="7"/>
  <c r="B752" i="7"/>
  <c r="B760" i="7"/>
  <c r="B768" i="7"/>
  <c r="B776" i="7"/>
  <c r="B784" i="7"/>
  <c r="B792" i="7"/>
  <c r="B800" i="7"/>
  <c r="B808" i="7"/>
  <c r="B816" i="7"/>
  <c r="B824" i="7"/>
  <c r="B832" i="7"/>
  <c r="B840" i="7"/>
  <c r="B186" i="7"/>
  <c r="B209" i="7"/>
  <c r="B227" i="7"/>
  <c r="B250" i="7"/>
  <c r="B273" i="7"/>
  <c r="B291" i="7"/>
  <c r="B314" i="7"/>
  <c r="B337" i="7"/>
  <c r="B355" i="7"/>
  <c r="B378" i="7"/>
  <c r="B401" i="7"/>
  <c r="B419" i="7"/>
  <c r="B442" i="7"/>
  <c r="B465" i="7"/>
  <c r="B483" i="7"/>
  <c r="B506" i="7"/>
  <c r="B529" i="7"/>
  <c r="B547" i="7"/>
  <c r="B570" i="7"/>
  <c r="B593" i="7"/>
  <c r="B611" i="7"/>
  <c r="B634" i="7"/>
  <c r="B657" i="7"/>
  <c r="B675" i="7"/>
  <c r="B698" i="7"/>
  <c r="B721" i="7"/>
  <c r="B739" i="7"/>
  <c r="B762" i="7"/>
  <c r="B785" i="7"/>
  <c r="B803" i="7"/>
  <c r="B826" i="7"/>
  <c r="B845" i="7"/>
  <c r="B853" i="7"/>
  <c r="B861" i="7"/>
  <c r="B869" i="7"/>
  <c r="B877" i="7"/>
  <c r="B885" i="7"/>
  <c r="B893" i="7"/>
  <c r="B901" i="7"/>
  <c r="B909" i="7"/>
  <c r="B917" i="7"/>
  <c r="B925" i="7"/>
  <c r="B933" i="7"/>
  <c r="B941" i="7"/>
  <c r="B949" i="7"/>
  <c r="B957" i="7"/>
  <c r="B965" i="7"/>
  <c r="B973" i="7"/>
  <c r="B981" i="7"/>
  <c r="B989" i="7"/>
  <c r="B997" i="7"/>
  <c r="B1005" i="7"/>
  <c r="B1013" i="7"/>
  <c r="B1021" i="7"/>
  <c r="B1029" i="7"/>
  <c r="B1037" i="7"/>
  <c r="B1045" i="7"/>
  <c r="B1053" i="7"/>
  <c r="B1061" i="7"/>
  <c r="B1069" i="7"/>
  <c r="B1077" i="7"/>
  <c r="B1085" i="7"/>
  <c r="B1093" i="7"/>
  <c r="B1101" i="7"/>
  <c r="B1109" i="7"/>
  <c r="B1117" i="7"/>
  <c r="B1125" i="7"/>
  <c r="B1133" i="7"/>
  <c r="B1141" i="7"/>
  <c r="B1149" i="7"/>
  <c r="B1157" i="7"/>
  <c r="B1165" i="7"/>
  <c r="B1173" i="7"/>
  <c r="B1181" i="7"/>
  <c r="B1189" i="7"/>
  <c r="B1197" i="7"/>
  <c r="B1205" i="7"/>
  <c r="B1213" i="7"/>
  <c r="B1221" i="7"/>
  <c r="B1229" i="7"/>
  <c r="B1237" i="7"/>
  <c r="B1245" i="7"/>
  <c r="B1253" i="7"/>
  <c r="B1261" i="7"/>
  <c r="B1269" i="7"/>
  <c r="B1277" i="7"/>
  <c r="B1285" i="7"/>
  <c r="B1293" i="7"/>
  <c r="B1301" i="7"/>
  <c r="B1309" i="7"/>
  <c r="B1317" i="7"/>
  <c r="B1325" i="7"/>
  <c r="B1333" i="7"/>
  <c r="B1341" i="7"/>
  <c r="B1349" i="7"/>
  <c r="B1357" i="7"/>
  <c r="B1365" i="7"/>
  <c r="B1373" i="7"/>
  <c r="B1381" i="7"/>
  <c r="B1389" i="7"/>
  <c r="B1397" i="7"/>
  <c r="B1405" i="7"/>
  <c r="B1413" i="7"/>
  <c r="B1421" i="7"/>
  <c r="B1429" i="7"/>
  <c r="B1437" i="7"/>
  <c r="B1445" i="7"/>
  <c r="B1453" i="7"/>
  <c r="B1461" i="7"/>
  <c r="B1469" i="7"/>
  <c r="B1477" i="7"/>
  <c r="B1485" i="7"/>
  <c r="B1493" i="7"/>
  <c r="B1501" i="7"/>
  <c r="B1509" i="7"/>
  <c r="B1517" i="7"/>
  <c r="B1525" i="7"/>
  <c r="B1533" i="7"/>
  <c r="B1541" i="7"/>
  <c r="B1549" i="7"/>
  <c r="B1557" i="7"/>
  <c r="B1565" i="7"/>
  <c r="B1573" i="7"/>
  <c r="B1581" i="7"/>
  <c r="B1589" i="7"/>
  <c r="C169" i="7"/>
  <c r="C177" i="7"/>
  <c r="C185" i="7"/>
  <c r="C193" i="7"/>
  <c r="C201" i="7"/>
  <c r="C209" i="7"/>
  <c r="C217" i="7"/>
  <c r="C225" i="7"/>
  <c r="C233" i="7"/>
  <c r="C241" i="7"/>
  <c r="C249" i="7"/>
  <c r="C257" i="7"/>
  <c r="C265" i="7"/>
  <c r="C273" i="7"/>
  <c r="C281" i="7"/>
  <c r="C289" i="7"/>
  <c r="C297" i="7"/>
  <c r="C305" i="7"/>
  <c r="C313" i="7"/>
  <c r="C321" i="7"/>
  <c r="C329" i="7"/>
  <c r="C337" i="7"/>
  <c r="C345" i="7"/>
  <c r="C353" i="7"/>
  <c r="C361" i="7"/>
  <c r="C369" i="7"/>
  <c r="C377" i="7"/>
  <c r="C385" i="7"/>
  <c r="C393" i="7"/>
  <c r="C401" i="7"/>
  <c r="C409" i="7"/>
  <c r="C417" i="7"/>
  <c r="C425" i="7"/>
  <c r="C433" i="7"/>
  <c r="C441" i="7"/>
  <c r="C449" i="7"/>
  <c r="C457" i="7"/>
  <c r="C465" i="7"/>
  <c r="C473" i="7"/>
  <c r="B169" i="7"/>
  <c r="B187" i="7"/>
  <c r="B210" i="7"/>
  <c r="B233" i="7"/>
  <c r="B251" i="7"/>
  <c r="B274" i="7"/>
  <c r="B297" i="7"/>
  <c r="B315" i="7"/>
  <c r="B338" i="7"/>
  <c r="B361" i="7"/>
  <c r="B379" i="7"/>
  <c r="B402" i="7"/>
  <c r="B425" i="7"/>
  <c r="B443" i="7"/>
  <c r="B466" i="7"/>
  <c r="B489" i="7"/>
  <c r="B507" i="7"/>
  <c r="B530" i="7"/>
  <c r="B553" i="7"/>
  <c r="B571" i="7"/>
  <c r="B594" i="7"/>
  <c r="B617" i="7"/>
  <c r="B635" i="7"/>
  <c r="B658" i="7"/>
  <c r="B681" i="7"/>
  <c r="B699" i="7"/>
  <c r="B722" i="7"/>
  <c r="B745" i="7"/>
  <c r="B763" i="7"/>
  <c r="B786" i="7"/>
  <c r="B809" i="7"/>
  <c r="B827" i="7"/>
  <c r="B846" i="7"/>
  <c r="B854" i="7"/>
  <c r="B862" i="7"/>
  <c r="B870" i="7"/>
  <c r="B878" i="7"/>
  <c r="B886" i="7"/>
  <c r="B894" i="7"/>
  <c r="B902" i="7"/>
  <c r="B910" i="7"/>
  <c r="B918" i="7"/>
  <c r="B926" i="7"/>
  <c r="B934" i="7"/>
  <c r="B942" i="7"/>
  <c r="B950" i="7"/>
  <c r="B958" i="7"/>
  <c r="B966" i="7"/>
  <c r="B974" i="7"/>
  <c r="B982" i="7"/>
  <c r="B990" i="7"/>
  <c r="B998" i="7"/>
  <c r="B1006" i="7"/>
  <c r="B1014" i="7"/>
  <c r="B1022" i="7"/>
  <c r="B1030" i="7"/>
  <c r="B1038" i="7"/>
  <c r="B1046" i="7"/>
  <c r="B1054" i="7"/>
  <c r="B1062" i="7"/>
  <c r="B1070" i="7"/>
  <c r="B1078" i="7"/>
  <c r="B1086" i="7"/>
  <c r="B1094" i="7"/>
  <c r="B1102" i="7"/>
  <c r="B1110" i="7"/>
  <c r="B1118" i="7"/>
  <c r="B1126" i="7"/>
  <c r="B1134" i="7"/>
  <c r="B1142" i="7"/>
  <c r="B1150" i="7"/>
  <c r="B1158" i="7"/>
  <c r="B1166" i="7"/>
  <c r="B1174" i="7"/>
  <c r="B1182" i="7"/>
  <c r="B1190" i="7"/>
  <c r="B1198" i="7"/>
  <c r="B1206" i="7"/>
  <c r="B1214" i="7"/>
  <c r="B1222" i="7"/>
  <c r="B1230" i="7"/>
  <c r="B1238" i="7"/>
  <c r="B1246" i="7"/>
  <c r="B1254" i="7"/>
  <c r="B1262" i="7"/>
  <c r="B1270" i="7"/>
  <c r="B1278" i="7"/>
  <c r="B1286" i="7"/>
  <c r="B1294" i="7"/>
  <c r="B1302" i="7"/>
  <c r="B1310" i="7"/>
  <c r="B1318" i="7"/>
  <c r="B1326" i="7"/>
  <c r="B1334" i="7"/>
  <c r="B1342" i="7"/>
  <c r="B1350" i="7"/>
  <c r="B1358" i="7"/>
  <c r="B1366" i="7"/>
  <c r="B1374" i="7"/>
  <c r="B1382" i="7"/>
  <c r="B1390" i="7"/>
  <c r="B1398" i="7"/>
  <c r="B1406" i="7"/>
  <c r="B1414" i="7"/>
  <c r="B1422" i="7"/>
  <c r="B1430" i="7"/>
  <c r="B1438" i="7"/>
  <c r="B1446" i="7"/>
  <c r="B1454" i="7"/>
  <c r="B1462" i="7"/>
  <c r="B1470" i="7"/>
  <c r="B1478" i="7"/>
  <c r="B1486" i="7"/>
  <c r="B1494" i="7"/>
  <c r="B1502" i="7"/>
  <c r="B1510" i="7"/>
  <c r="B1518" i="7"/>
  <c r="B1526" i="7"/>
  <c r="B1534" i="7"/>
  <c r="B1542" i="7"/>
  <c r="B1550" i="7"/>
  <c r="B1558" i="7"/>
  <c r="B1566" i="7"/>
  <c r="B1574" i="7"/>
  <c r="B1582" i="7"/>
  <c r="B1590" i="7"/>
  <c r="C170" i="7"/>
  <c r="C178" i="7"/>
  <c r="C186" i="7"/>
  <c r="C194" i="7"/>
  <c r="C202" i="7"/>
  <c r="C210" i="7"/>
  <c r="C218" i="7"/>
  <c r="C226" i="7"/>
  <c r="C234" i="7"/>
  <c r="C242" i="7"/>
  <c r="C250" i="7"/>
  <c r="C258" i="7"/>
  <c r="C266" i="7"/>
  <c r="C274" i="7"/>
  <c r="C282" i="7"/>
  <c r="C290" i="7"/>
  <c r="C298" i="7"/>
  <c r="C306" i="7"/>
  <c r="C314" i="7"/>
  <c r="C322" i="7"/>
  <c r="C330" i="7"/>
  <c r="C338" i="7"/>
  <c r="C346" i="7"/>
  <c r="C354" i="7"/>
  <c r="C362" i="7"/>
  <c r="C370" i="7"/>
  <c r="C378" i="7"/>
  <c r="C386" i="7"/>
  <c r="C394" i="7"/>
  <c r="C402" i="7"/>
  <c r="C410" i="7"/>
  <c r="C418" i="7"/>
  <c r="C426" i="7"/>
  <c r="C434" i="7"/>
  <c r="C442" i="7"/>
  <c r="C450" i="7"/>
  <c r="C458" i="7"/>
  <c r="C466" i="7"/>
  <c r="C474" i="7"/>
  <c r="C482" i="7"/>
  <c r="B170" i="7"/>
  <c r="B193" i="7"/>
  <c r="B211" i="7"/>
  <c r="B234" i="7"/>
  <c r="B257" i="7"/>
  <c r="B275" i="7"/>
  <c r="B298" i="7"/>
  <c r="B321" i="7"/>
  <c r="B339" i="7"/>
  <c r="B362" i="7"/>
  <c r="B385" i="7"/>
  <c r="B403" i="7"/>
  <c r="B426" i="7"/>
  <c r="B449" i="7"/>
  <c r="B467" i="7"/>
  <c r="B490" i="7"/>
  <c r="B513" i="7"/>
  <c r="B531" i="7"/>
  <c r="B554" i="7"/>
  <c r="B577" i="7"/>
  <c r="B595" i="7"/>
  <c r="B618" i="7"/>
  <c r="B641" i="7"/>
  <c r="B659" i="7"/>
  <c r="B682" i="7"/>
  <c r="B705" i="7"/>
  <c r="B723" i="7"/>
  <c r="B746" i="7"/>
  <c r="B769" i="7"/>
  <c r="B787" i="7"/>
  <c r="B810" i="7"/>
  <c r="B833" i="7"/>
  <c r="B847" i="7"/>
  <c r="B855" i="7"/>
  <c r="B863" i="7"/>
  <c r="B871" i="7"/>
  <c r="B879" i="7"/>
  <c r="B887" i="7"/>
  <c r="B895" i="7"/>
  <c r="B903" i="7"/>
  <c r="B911" i="7"/>
  <c r="B919" i="7"/>
  <c r="B927" i="7"/>
  <c r="B935" i="7"/>
  <c r="B943" i="7"/>
  <c r="B951" i="7"/>
  <c r="B959" i="7"/>
  <c r="B967" i="7"/>
  <c r="B975" i="7"/>
  <c r="B983" i="7"/>
  <c r="B991" i="7"/>
  <c r="B999" i="7"/>
  <c r="B1007" i="7"/>
  <c r="B1015" i="7"/>
  <c r="B1023" i="7"/>
  <c r="B1031" i="7"/>
  <c r="B1039" i="7"/>
  <c r="B1047" i="7"/>
  <c r="B1055" i="7"/>
  <c r="B1063" i="7"/>
  <c r="B1071" i="7"/>
  <c r="B1079" i="7"/>
  <c r="B1087" i="7"/>
  <c r="B1095" i="7"/>
  <c r="B1103" i="7"/>
  <c r="B1111" i="7"/>
  <c r="B1119" i="7"/>
  <c r="B1127" i="7"/>
  <c r="B1135" i="7"/>
  <c r="B1143" i="7"/>
  <c r="B1151" i="7"/>
  <c r="B1159" i="7"/>
  <c r="B1167" i="7"/>
  <c r="B1175" i="7"/>
  <c r="B1183" i="7"/>
  <c r="B1191" i="7"/>
  <c r="B1199" i="7"/>
  <c r="B1207" i="7"/>
  <c r="B1215" i="7"/>
  <c r="B1223" i="7"/>
  <c r="B1231" i="7"/>
  <c r="B1239" i="7"/>
  <c r="B1247" i="7"/>
  <c r="B1255" i="7"/>
  <c r="B1263" i="7"/>
  <c r="B1271" i="7"/>
  <c r="B1279" i="7"/>
  <c r="B1287" i="7"/>
  <c r="B1295" i="7"/>
  <c r="B1303" i="7"/>
  <c r="B1311" i="7"/>
  <c r="B1319" i="7"/>
  <c r="B1327" i="7"/>
  <c r="B1335" i="7"/>
  <c r="B1343" i="7"/>
  <c r="B1351" i="7"/>
  <c r="B1359" i="7"/>
  <c r="B1367" i="7"/>
  <c r="B1375" i="7"/>
  <c r="B1383" i="7"/>
  <c r="B1391" i="7"/>
  <c r="B1399" i="7"/>
  <c r="B1407" i="7"/>
  <c r="B1415" i="7"/>
  <c r="B1423" i="7"/>
  <c r="B1431" i="7"/>
  <c r="B1439" i="7"/>
  <c r="B1447" i="7"/>
  <c r="B1455" i="7"/>
  <c r="B1463" i="7"/>
  <c r="B1471" i="7"/>
  <c r="B1479" i="7"/>
  <c r="B1487" i="7"/>
  <c r="B1495" i="7"/>
  <c r="B1503" i="7"/>
  <c r="B1511" i="7"/>
  <c r="B1519" i="7"/>
  <c r="B1527" i="7"/>
  <c r="B1535" i="7"/>
  <c r="B1543" i="7"/>
  <c r="B1551" i="7"/>
  <c r="B1559" i="7"/>
  <c r="B1567" i="7"/>
  <c r="B1575" i="7"/>
  <c r="B1583" i="7"/>
  <c r="B1591" i="7"/>
  <c r="C171" i="7"/>
  <c r="C179" i="7"/>
  <c r="C187" i="7"/>
  <c r="C195" i="7"/>
  <c r="C203" i="7"/>
  <c r="C211" i="7"/>
  <c r="C219" i="7"/>
  <c r="C227" i="7"/>
  <c r="C235" i="7"/>
  <c r="C243" i="7"/>
  <c r="C251" i="7"/>
  <c r="C259" i="7"/>
  <c r="C267" i="7"/>
  <c r="C275" i="7"/>
  <c r="C283" i="7"/>
  <c r="C291" i="7"/>
  <c r="C299" i="7"/>
  <c r="C307" i="7"/>
  <c r="C315" i="7"/>
  <c r="C323" i="7"/>
  <c r="C331" i="7"/>
  <c r="C339" i="7"/>
  <c r="C347" i="7"/>
  <c r="C355" i="7"/>
  <c r="C363" i="7"/>
  <c r="C371" i="7"/>
  <c r="C379" i="7"/>
  <c r="C387" i="7"/>
  <c r="C395" i="7"/>
  <c r="C403" i="7"/>
  <c r="C411" i="7"/>
  <c r="C419" i="7"/>
  <c r="C427" i="7"/>
  <c r="C435" i="7"/>
  <c r="C443" i="7"/>
  <c r="C451" i="7"/>
  <c r="C459" i="7"/>
  <c r="C467" i="7"/>
  <c r="C475" i="7"/>
  <c r="C483" i="7"/>
  <c r="C491" i="7"/>
  <c r="B171" i="7"/>
  <c r="B194" i="7"/>
  <c r="B217" i="7"/>
  <c r="B235" i="7"/>
  <c r="B258" i="7"/>
  <c r="B281" i="7"/>
  <c r="B299" i="7"/>
  <c r="B322" i="7"/>
  <c r="B345" i="7"/>
  <c r="B363" i="7"/>
  <c r="B386" i="7"/>
  <c r="B409" i="7"/>
  <c r="B427" i="7"/>
  <c r="B450" i="7"/>
  <c r="B473" i="7"/>
  <c r="B491" i="7"/>
  <c r="B514" i="7"/>
  <c r="B537" i="7"/>
  <c r="B555" i="7"/>
  <c r="B578" i="7"/>
  <c r="B601" i="7"/>
  <c r="B619" i="7"/>
  <c r="B642" i="7"/>
  <c r="B665" i="7"/>
  <c r="B683" i="7"/>
  <c r="B706" i="7"/>
  <c r="B729" i="7"/>
  <c r="B747" i="7"/>
  <c r="B770" i="7"/>
  <c r="B793" i="7"/>
  <c r="B811" i="7"/>
  <c r="B834" i="7"/>
  <c r="B848" i="7"/>
  <c r="B856" i="7"/>
  <c r="B864" i="7"/>
  <c r="B872" i="7"/>
  <c r="B880" i="7"/>
  <c r="B888" i="7"/>
  <c r="B896" i="7"/>
  <c r="B904" i="7"/>
  <c r="B912" i="7"/>
  <c r="B920" i="7"/>
  <c r="B928" i="7"/>
  <c r="B936" i="7"/>
  <c r="B944" i="7"/>
  <c r="B952" i="7"/>
  <c r="B960" i="7"/>
  <c r="B968" i="7"/>
  <c r="B976" i="7"/>
  <c r="B984" i="7"/>
  <c r="B992" i="7"/>
  <c r="B1000" i="7"/>
  <c r="B1008" i="7"/>
  <c r="B1016" i="7"/>
  <c r="B1024" i="7"/>
  <c r="B1032" i="7"/>
  <c r="B1040" i="7"/>
  <c r="B1048" i="7"/>
  <c r="B1056" i="7"/>
  <c r="B1064" i="7"/>
  <c r="B1072" i="7"/>
  <c r="B1080" i="7"/>
  <c r="B1088" i="7"/>
  <c r="B1096" i="7"/>
  <c r="B1104" i="7"/>
  <c r="B1112" i="7"/>
  <c r="B1120" i="7"/>
  <c r="B1128" i="7"/>
  <c r="B1136" i="7"/>
  <c r="B1144" i="7"/>
  <c r="B1152" i="7"/>
  <c r="B1160" i="7"/>
  <c r="B1168" i="7"/>
  <c r="B1176" i="7"/>
  <c r="B1184" i="7"/>
  <c r="B1192" i="7"/>
  <c r="B1200" i="7"/>
  <c r="B1208" i="7"/>
  <c r="B1216" i="7"/>
  <c r="B1224" i="7"/>
  <c r="B1232" i="7"/>
  <c r="B1240" i="7"/>
  <c r="B1248" i="7"/>
  <c r="B1256" i="7"/>
  <c r="B1264" i="7"/>
  <c r="B1272" i="7"/>
  <c r="B1280" i="7"/>
  <c r="B1288" i="7"/>
  <c r="B1296" i="7"/>
  <c r="B1304" i="7"/>
  <c r="B1312" i="7"/>
  <c r="B1320" i="7"/>
  <c r="B1328" i="7"/>
  <c r="B1336" i="7"/>
  <c r="B1344" i="7"/>
  <c r="B1352" i="7"/>
  <c r="B1360" i="7"/>
  <c r="B1368" i="7"/>
  <c r="B1376" i="7"/>
  <c r="B1384" i="7"/>
  <c r="B1392" i="7"/>
  <c r="B1400" i="7"/>
  <c r="B1408" i="7"/>
  <c r="B1416" i="7"/>
  <c r="B1424" i="7"/>
  <c r="B1432" i="7"/>
  <c r="B1440" i="7"/>
  <c r="B1448" i="7"/>
  <c r="B1456" i="7"/>
  <c r="B1464" i="7"/>
  <c r="B1472" i="7"/>
  <c r="B1480" i="7"/>
  <c r="B1488" i="7"/>
  <c r="B1496" i="7"/>
  <c r="B1504" i="7"/>
  <c r="B1512" i="7"/>
  <c r="B1520" i="7"/>
  <c r="B1528" i="7"/>
  <c r="B1536" i="7"/>
  <c r="B1544" i="7"/>
  <c r="B1552" i="7"/>
  <c r="B1560" i="7"/>
  <c r="B1568" i="7"/>
  <c r="B1576" i="7"/>
  <c r="B1584" i="7"/>
  <c r="B1592" i="7"/>
  <c r="C172" i="7"/>
  <c r="C180" i="7"/>
  <c r="C188" i="7"/>
  <c r="C196" i="7"/>
  <c r="C204" i="7"/>
  <c r="C212" i="7"/>
  <c r="C220" i="7"/>
  <c r="C228" i="7"/>
  <c r="C236" i="7"/>
  <c r="C244" i="7"/>
  <c r="C252" i="7"/>
  <c r="C260" i="7"/>
  <c r="C268" i="7"/>
  <c r="C276" i="7"/>
  <c r="C284" i="7"/>
  <c r="C292" i="7"/>
  <c r="C300" i="7"/>
  <c r="C308" i="7"/>
  <c r="C316" i="7"/>
  <c r="C324" i="7"/>
  <c r="C332" i="7"/>
  <c r="C340" i="7"/>
  <c r="C348" i="7"/>
  <c r="C356" i="7"/>
  <c r="C364" i="7"/>
  <c r="C372" i="7"/>
  <c r="C380" i="7"/>
  <c r="C388" i="7"/>
  <c r="C396" i="7"/>
  <c r="C404" i="7"/>
  <c r="C412" i="7"/>
  <c r="C420" i="7"/>
  <c r="C428" i="7"/>
  <c r="C436" i="7"/>
  <c r="C444" i="7"/>
  <c r="C452" i="7"/>
  <c r="C460" i="7"/>
  <c r="C468" i="7"/>
  <c r="C476" i="7"/>
  <c r="C484" i="7"/>
  <c r="C492" i="7"/>
  <c r="C500" i="7"/>
  <c r="C508" i="7"/>
  <c r="C516" i="7"/>
  <c r="B177" i="7"/>
  <c r="B195" i="7"/>
  <c r="B218" i="7"/>
  <c r="B241" i="7"/>
  <c r="B259" i="7"/>
  <c r="B282" i="7"/>
  <c r="B305" i="7"/>
  <c r="B323" i="7"/>
  <c r="B346" i="7"/>
  <c r="B369" i="7"/>
  <c r="B387" i="7"/>
  <c r="B410" i="7"/>
  <c r="B433" i="7"/>
  <c r="B451" i="7"/>
  <c r="B474" i="7"/>
  <c r="B497" i="7"/>
  <c r="B515" i="7"/>
  <c r="B538" i="7"/>
  <c r="B561" i="7"/>
  <c r="B579" i="7"/>
  <c r="B602" i="7"/>
  <c r="B625" i="7"/>
  <c r="B643" i="7"/>
  <c r="B666" i="7"/>
  <c r="B689" i="7"/>
  <c r="B707" i="7"/>
  <c r="B730" i="7"/>
  <c r="B753" i="7"/>
  <c r="B771" i="7"/>
  <c r="B794" i="7"/>
  <c r="B817" i="7"/>
  <c r="B835" i="7"/>
  <c r="B849" i="7"/>
  <c r="B857" i="7"/>
  <c r="B865" i="7"/>
  <c r="B873" i="7"/>
  <c r="B881" i="7"/>
  <c r="B889" i="7"/>
  <c r="B897" i="7"/>
  <c r="B905" i="7"/>
  <c r="B913" i="7"/>
  <c r="B921" i="7"/>
  <c r="B929" i="7"/>
  <c r="B937" i="7"/>
  <c r="B945" i="7"/>
  <c r="B953" i="7"/>
  <c r="B961" i="7"/>
  <c r="B969" i="7"/>
  <c r="B977" i="7"/>
  <c r="B985" i="7"/>
  <c r="B993" i="7"/>
  <c r="B1001" i="7"/>
  <c r="B1009" i="7"/>
  <c r="B1017" i="7"/>
  <c r="B1025" i="7"/>
  <c r="B1033" i="7"/>
  <c r="B1041" i="7"/>
  <c r="B1049" i="7"/>
  <c r="B1057" i="7"/>
  <c r="B1065" i="7"/>
  <c r="B1073" i="7"/>
  <c r="B1081" i="7"/>
  <c r="B1089" i="7"/>
  <c r="B1097" i="7"/>
  <c r="B1105" i="7"/>
  <c r="B1113" i="7"/>
  <c r="B1121" i="7"/>
  <c r="B1129" i="7"/>
  <c r="B1137" i="7"/>
  <c r="B1145" i="7"/>
  <c r="B1153" i="7"/>
  <c r="B1161" i="7"/>
  <c r="B1169" i="7"/>
  <c r="B1177" i="7"/>
  <c r="B1185" i="7"/>
  <c r="B1193" i="7"/>
  <c r="B1201" i="7"/>
  <c r="B1209" i="7"/>
  <c r="B1217" i="7"/>
  <c r="B1225" i="7"/>
  <c r="B1233" i="7"/>
  <c r="B1241" i="7"/>
  <c r="B1249" i="7"/>
  <c r="B1257" i="7"/>
  <c r="B1265" i="7"/>
  <c r="B1273" i="7"/>
  <c r="B1281" i="7"/>
  <c r="B1289" i="7"/>
  <c r="B1297" i="7"/>
  <c r="B1305" i="7"/>
  <c r="B1313" i="7"/>
  <c r="B1321" i="7"/>
  <c r="B1329" i="7"/>
  <c r="B1337" i="7"/>
  <c r="B1345" i="7"/>
  <c r="B1353" i="7"/>
  <c r="B1361" i="7"/>
  <c r="B1369" i="7"/>
  <c r="B1377" i="7"/>
  <c r="B1385" i="7"/>
  <c r="B1393" i="7"/>
  <c r="B1401" i="7"/>
  <c r="B1409" i="7"/>
  <c r="B1417" i="7"/>
  <c r="B1425" i="7"/>
  <c r="B1433" i="7"/>
  <c r="B1441" i="7"/>
  <c r="B1449" i="7"/>
  <c r="B1457" i="7"/>
  <c r="B1465" i="7"/>
  <c r="B1473" i="7"/>
  <c r="B1481" i="7"/>
  <c r="B1489" i="7"/>
  <c r="B1497" i="7"/>
  <c r="B1505" i="7"/>
  <c r="B1513" i="7"/>
  <c r="B1521" i="7"/>
  <c r="B1529" i="7"/>
  <c r="B1537" i="7"/>
  <c r="B1545" i="7"/>
  <c r="B1553" i="7"/>
  <c r="B1561" i="7"/>
  <c r="B1569" i="7"/>
  <c r="B1577" i="7"/>
  <c r="B1585" i="7"/>
  <c r="B1593" i="7"/>
  <c r="C165" i="7"/>
  <c r="C173" i="7"/>
  <c r="C181" i="7"/>
  <c r="C189" i="7"/>
  <c r="C197" i="7"/>
  <c r="C205" i="7"/>
  <c r="C213" i="7"/>
  <c r="C221" i="7"/>
  <c r="C229" i="7"/>
  <c r="C237" i="7"/>
  <c r="C245" i="7"/>
  <c r="C253" i="7"/>
  <c r="C261" i="7"/>
  <c r="C269" i="7"/>
  <c r="C277" i="7"/>
  <c r="C285" i="7"/>
  <c r="C293" i="7"/>
  <c r="C301" i="7"/>
  <c r="C309" i="7"/>
  <c r="C317" i="7"/>
  <c r="C325" i="7"/>
  <c r="C333" i="7"/>
  <c r="C341" i="7"/>
  <c r="C349" i="7"/>
  <c r="C357" i="7"/>
  <c r="C365" i="7"/>
  <c r="C373" i="7"/>
  <c r="C381" i="7"/>
  <c r="C389" i="7"/>
  <c r="C397" i="7"/>
  <c r="C405" i="7"/>
  <c r="C413" i="7"/>
  <c r="C421" i="7"/>
  <c r="C429" i="7"/>
  <c r="C437" i="7"/>
  <c r="C445" i="7"/>
  <c r="C453" i="7"/>
  <c r="C461" i="7"/>
  <c r="C469" i="7"/>
  <c r="C477" i="7"/>
  <c r="C485" i="7"/>
  <c r="C493" i="7"/>
  <c r="C501" i="7"/>
  <c r="C509" i="7"/>
  <c r="B225" i="7"/>
  <c r="B283" i="7"/>
  <c r="B331" i="7"/>
  <c r="B394" i="7"/>
  <c r="B457" i="7"/>
  <c r="B505" i="7"/>
  <c r="B563" i="7"/>
  <c r="B626" i="7"/>
  <c r="B674" i="7"/>
  <c r="B737" i="7"/>
  <c r="B795" i="7"/>
  <c r="B843" i="7"/>
  <c r="B867" i="7"/>
  <c r="B890" i="7"/>
  <c r="B908" i="7"/>
  <c r="B931" i="7"/>
  <c r="B954" i="7"/>
  <c r="B972" i="7"/>
  <c r="B995" i="7"/>
  <c r="B1018" i="7"/>
  <c r="B1036" i="7"/>
  <c r="B1059" i="7"/>
  <c r="B1082" i="7"/>
  <c r="B1100" i="7"/>
  <c r="B1123" i="7"/>
  <c r="B1146" i="7"/>
  <c r="B1164" i="7"/>
  <c r="B1187" i="7"/>
  <c r="B1210" i="7"/>
  <c r="B1228" i="7"/>
  <c r="B1251" i="7"/>
  <c r="B1274" i="7"/>
  <c r="B1292" i="7"/>
  <c r="B1315" i="7"/>
  <c r="B1338" i="7"/>
  <c r="B1356" i="7"/>
  <c r="B1379" i="7"/>
  <c r="B178" i="7"/>
  <c r="B226" i="7"/>
  <c r="B289" i="7"/>
  <c r="B347" i="7"/>
  <c r="B395" i="7"/>
  <c r="B458" i="7"/>
  <c r="B521" i="7"/>
  <c r="B569" i="7"/>
  <c r="B627" i="7"/>
  <c r="B690" i="7"/>
  <c r="B738" i="7"/>
  <c r="B801" i="7"/>
  <c r="B850" i="7"/>
  <c r="B868" i="7"/>
  <c r="B891" i="7"/>
  <c r="B914" i="7"/>
  <c r="B932" i="7"/>
  <c r="B955" i="7"/>
  <c r="B978" i="7"/>
  <c r="B996" i="7"/>
  <c r="B1019" i="7"/>
  <c r="B1042" i="7"/>
  <c r="B1060" i="7"/>
  <c r="B1083" i="7"/>
  <c r="B1106" i="7"/>
  <c r="B1124" i="7"/>
  <c r="B1147" i="7"/>
  <c r="B1170" i="7"/>
  <c r="B1188" i="7"/>
  <c r="B1211" i="7"/>
  <c r="B1234" i="7"/>
  <c r="B1252" i="7"/>
  <c r="B1275" i="7"/>
  <c r="B1298" i="7"/>
  <c r="B1316" i="7"/>
  <c r="B1339" i="7"/>
  <c r="B1362" i="7"/>
  <c r="B1380" i="7"/>
  <c r="B179" i="7"/>
  <c r="B242" i="7"/>
  <c r="B290" i="7"/>
  <c r="B353" i="7"/>
  <c r="B411" i="7"/>
  <c r="B459" i="7"/>
  <c r="B522" i="7"/>
  <c r="B585" i="7"/>
  <c r="B633" i="7"/>
  <c r="B691" i="7"/>
  <c r="B754" i="7"/>
  <c r="B802" i="7"/>
  <c r="B851" i="7"/>
  <c r="B874" i="7"/>
  <c r="B892" i="7"/>
  <c r="B915" i="7"/>
  <c r="B938" i="7"/>
  <c r="B956" i="7"/>
  <c r="B979" i="7"/>
  <c r="B1002" i="7"/>
  <c r="B1020" i="7"/>
  <c r="B1043" i="7"/>
  <c r="B1066" i="7"/>
  <c r="B1084" i="7"/>
  <c r="B1107" i="7"/>
  <c r="B1130" i="7"/>
  <c r="B1148" i="7"/>
  <c r="B1171" i="7"/>
  <c r="B1194" i="7"/>
  <c r="B1212" i="7"/>
  <c r="B1235" i="7"/>
  <c r="B1258" i="7"/>
  <c r="B1276" i="7"/>
  <c r="B1299" i="7"/>
  <c r="B1322" i="7"/>
  <c r="B1340" i="7"/>
  <c r="B1363" i="7"/>
  <c r="B1386" i="7"/>
  <c r="B1404" i="7"/>
  <c r="B1427" i="7"/>
  <c r="B1450" i="7"/>
  <c r="B1468" i="7"/>
  <c r="B1491" i="7"/>
  <c r="B1514" i="7"/>
  <c r="B1532" i="7"/>
  <c r="B1555" i="7"/>
  <c r="B1578" i="7"/>
  <c r="C174" i="7"/>
  <c r="C192" i="7"/>
  <c r="C215" i="7"/>
  <c r="C238" i="7"/>
  <c r="C256" i="7"/>
  <c r="C279" i="7"/>
  <c r="C302" i="7"/>
  <c r="C320" i="7"/>
  <c r="C343" i="7"/>
  <c r="C366" i="7"/>
  <c r="C384" i="7"/>
  <c r="C407" i="7"/>
  <c r="C430" i="7"/>
  <c r="C448" i="7"/>
  <c r="C471" i="7"/>
  <c r="C488" i="7"/>
  <c r="C499" i="7"/>
  <c r="C511" i="7"/>
  <c r="C520" i="7"/>
  <c r="C528" i="7"/>
  <c r="C536" i="7"/>
  <c r="C544" i="7"/>
  <c r="C552" i="7"/>
  <c r="C560" i="7"/>
  <c r="C568" i="7"/>
  <c r="C576" i="7"/>
  <c r="C584" i="7"/>
  <c r="C592" i="7"/>
  <c r="C600" i="7"/>
  <c r="C608" i="7"/>
  <c r="C616" i="7"/>
  <c r="C624" i="7"/>
  <c r="C632" i="7"/>
  <c r="C640" i="7"/>
  <c r="C648" i="7"/>
  <c r="C656" i="7"/>
  <c r="C664" i="7"/>
  <c r="C672" i="7"/>
  <c r="C680" i="7"/>
  <c r="C688" i="7"/>
  <c r="C696" i="7"/>
  <c r="B185" i="7"/>
  <c r="B243" i="7"/>
  <c r="B306" i="7"/>
  <c r="B354" i="7"/>
  <c r="B417" i="7"/>
  <c r="B475" i="7"/>
  <c r="B523" i="7"/>
  <c r="B586" i="7"/>
  <c r="B649" i="7"/>
  <c r="B697" i="7"/>
  <c r="B755" i="7"/>
  <c r="B818" i="7"/>
  <c r="B852" i="7"/>
  <c r="B875" i="7"/>
  <c r="B898" i="7"/>
  <c r="B916" i="7"/>
  <c r="B939" i="7"/>
  <c r="B962" i="7"/>
  <c r="B980" i="7"/>
  <c r="B1003" i="7"/>
  <c r="B1026" i="7"/>
  <c r="B1044" i="7"/>
  <c r="B1067" i="7"/>
  <c r="B1090" i="7"/>
  <c r="B1108" i="7"/>
  <c r="B1131" i="7"/>
  <c r="B1154" i="7"/>
  <c r="B1172" i="7"/>
  <c r="B1195" i="7"/>
  <c r="B1218" i="7"/>
  <c r="B1236" i="7"/>
  <c r="B1259" i="7"/>
  <c r="B1282" i="7"/>
  <c r="B1300" i="7"/>
  <c r="B1323" i="7"/>
  <c r="B1346" i="7"/>
  <c r="B1364" i="7"/>
  <c r="B1387" i="7"/>
  <c r="B1410" i="7"/>
  <c r="B1428" i="7"/>
  <c r="B1451" i="7"/>
  <c r="B1474" i="7"/>
  <c r="B1492" i="7"/>
  <c r="B1515" i="7"/>
  <c r="B1538" i="7"/>
  <c r="B1556" i="7"/>
  <c r="B1579" i="7"/>
  <c r="C175" i="7"/>
  <c r="C198" i="7"/>
  <c r="C216" i="7"/>
  <c r="C239" i="7"/>
  <c r="C262" i="7"/>
  <c r="C280" i="7"/>
  <c r="C303" i="7"/>
  <c r="C326" i="7"/>
  <c r="C344" i="7"/>
  <c r="C367" i="7"/>
  <c r="C390" i="7"/>
  <c r="C408" i="7"/>
  <c r="C431" i="7"/>
  <c r="C454" i="7"/>
  <c r="C472" i="7"/>
  <c r="C489" i="7"/>
  <c r="C502" i="7"/>
  <c r="C512" i="7"/>
  <c r="C521" i="7"/>
  <c r="C529" i="7"/>
  <c r="C537" i="7"/>
  <c r="C545" i="7"/>
  <c r="C553" i="7"/>
  <c r="C561" i="7"/>
  <c r="C569" i="7"/>
  <c r="C577" i="7"/>
  <c r="C585" i="7"/>
  <c r="C593" i="7"/>
  <c r="C601" i="7"/>
  <c r="C609" i="7"/>
  <c r="C617" i="7"/>
  <c r="C625" i="7"/>
  <c r="C633" i="7"/>
  <c r="C641" i="7"/>
  <c r="C649" i="7"/>
  <c r="B201" i="7"/>
  <c r="B249" i="7"/>
  <c r="B307" i="7"/>
  <c r="B370" i="7"/>
  <c r="B418" i="7"/>
  <c r="B481" i="7"/>
  <c r="B539" i="7"/>
  <c r="B587" i="7"/>
  <c r="B650" i="7"/>
  <c r="B713" i="7"/>
  <c r="B761" i="7"/>
  <c r="B819" i="7"/>
  <c r="B858" i="7"/>
  <c r="B876" i="7"/>
  <c r="B899" i="7"/>
  <c r="B922" i="7"/>
  <c r="B940" i="7"/>
  <c r="B963" i="7"/>
  <c r="B986" i="7"/>
  <c r="B1004" i="7"/>
  <c r="B1027" i="7"/>
  <c r="B1050" i="7"/>
  <c r="B1068" i="7"/>
  <c r="B1091" i="7"/>
  <c r="B1114" i="7"/>
  <c r="B1132" i="7"/>
  <c r="B1155" i="7"/>
  <c r="B1178" i="7"/>
  <c r="B1196" i="7"/>
  <c r="B1219" i="7"/>
  <c r="B1242" i="7"/>
  <c r="B1260" i="7"/>
  <c r="B1283" i="7"/>
  <c r="B1306" i="7"/>
  <c r="B1324" i="7"/>
  <c r="B1347" i="7"/>
  <c r="B1370" i="7"/>
  <c r="B1388" i="7"/>
  <c r="B1411" i="7"/>
  <c r="B1434" i="7"/>
  <c r="B1452" i="7"/>
  <c r="B1475" i="7"/>
  <c r="B1498" i="7"/>
  <c r="B1516" i="7"/>
  <c r="B1539" i="7"/>
  <c r="B1562" i="7"/>
  <c r="B1580" i="7"/>
  <c r="C176" i="7"/>
  <c r="C199" i="7"/>
  <c r="C222" i="7"/>
  <c r="C240" i="7"/>
  <c r="C263" i="7"/>
  <c r="C286" i="7"/>
  <c r="C304" i="7"/>
  <c r="C327" i="7"/>
  <c r="C350" i="7"/>
  <c r="C368" i="7"/>
  <c r="C391" i="7"/>
  <c r="C414" i="7"/>
  <c r="C432" i="7"/>
  <c r="C455" i="7"/>
  <c r="C478" i="7"/>
  <c r="C490" i="7"/>
  <c r="C503" i="7"/>
  <c r="C513" i="7"/>
  <c r="C522" i="7"/>
  <c r="C530" i="7"/>
  <c r="C538" i="7"/>
  <c r="C546" i="7"/>
  <c r="C554" i="7"/>
  <c r="C562" i="7"/>
  <c r="C570" i="7"/>
  <c r="C578" i="7"/>
  <c r="C586" i="7"/>
  <c r="C594" i="7"/>
  <c r="C602" i="7"/>
  <c r="C610" i="7"/>
  <c r="C618" i="7"/>
  <c r="C626" i="7"/>
  <c r="C634" i="7"/>
  <c r="C642" i="7"/>
  <c r="C650" i="7"/>
  <c r="C658" i="7"/>
  <c r="C666" i="7"/>
  <c r="C674" i="7"/>
  <c r="B219" i="7"/>
  <c r="B267" i="7"/>
  <c r="B330" i="7"/>
  <c r="B393" i="7"/>
  <c r="B441" i="7"/>
  <c r="B499" i="7"/>
  <c r="B562" i="7"/>
  <c r="B610" i="7"/>
  <c r="B673" i="7"/>
  <c r="B731" i="7"/>
  <c r="B779" i="7"/>
  <c r="B842" i="7"/>
  <c r="B866" i="7"/>
  <c r="B884" i="7"/>
  <c r="B907" i="7"/>
  <c r="B930" i="7"/>
  <c r="B948" i="7"/>
  <c r="B971" i="7"/>
  <c r="B994" i="7"/>
  <c r="B1012" i="7"/>
  <c r="B1035" i="7"/>
  <c r="B1058" i="7"/>
  <c r="B1076" i="7"/>
  <c r="B1099" i="7"/>
  <c r="B1122" i="7"/>
  <c r="B1140" i="7"/>
  <c r="B1163" i="7"/>
  <c r="B1186" i="7"/>
  <c r="B1204" i="7"/>
  <c r="B1227" i="7"/>
  <c r="B1250" i="7"/>
  <c r="B1268" i="7"/>
  <c r="B1291" i="7"/>
  <c r="B1314" i="7"/>
  <c r="B1332" i="7"/>
  <c r="B1355" i="7"/>
  <c r="B1378" i="7"/>
  <c r="B1396" i="7"/>
  <c r="B1419" i="7"/>
  <c r="B1442" i="7"/>
  <c r="B1460" i="7"/>
  <c r="B1483" i="7"/>
  <c r="B1506" i="7"/>
  <c r="B1524" i="7"/>
  <c r="B1547" i="7"/>
  <c r="B1570" i="7"/>
  <c r="B1588" i="7"/>
  <c r="C166" i="7"/>
  <c r="C184" i="7"/>
  <c r="C207" i="7"/>
  <c r="C230" i="7"/>
  <c r="C248" i="7"/>
  <c r="C271" i="7"/>
  <c r="C294" i="7"/>
  <c r="C312" i="7"/>
  <c r="C335" i="7"/>
  <c r="C358" i="7"/>
  <c r="C376" i="7"/>
  <c r="C399" i="7"/>
  <c r="C422" i="7"/>
  <c r="C440" i="7"/>
  <c r="C463" i="7"/>
  <c r="C481" i="7"/>
  <c r="C496" i="7"/>
  <c r="C506" i="7"/>
  <c r="C517" i="7"/>
  <c r="C525" i="7"/>
  <c r="C533" i="7"/>
  <c r="C541" i="7"/>
  <c r="C549" i="7"/>
  <c r="C557" i="7"/>
  <c r="C565" i="7"/>
  <c r="C573" i="7"/>
  <c r="C581" i="7"/>
  <c r="C589" i="7"/>
  <c r="C597" i="7"/>
  <c r="C605" i="7"/>
  <c r="C613" i="7"/>
  <c r="C621" i="7"/>
  <c r="C629" i="7"/>
  <c r="C637" i="7"/>
  <c r="C645" i="7"/>
  <c r="C653" i="7"/>
  <c r="C661" i="7"/>
  <c r="C669" i="7"/>
  <c r="B377" i="7"/>
  <c r="B609" i="7"/>
  <c r="B841" i="7"/>
  <c r="B924" i="7"/>
  <c r="B1011" i="7"/>
  <c r="B1098" i="7"/>
  <c r="B1180" i="7"/>
  <c r="B1267" i="7"/>
  <c r="B1354" i="7"/>
  <c r="B1418" i="7"/>
  <c r="B1459" i="7"/>
  <c r="B1500" i="7"/>
  <c r="B1546" i="7"/>
  <c r="B1587" i="7"/>
  <c r="C167" i="7"/>
  <c r="C208" i="7"/>
  <c r="C254" i="7"/>
  <c r="C295" i="7"/>
  <c r="C336" i="7"/>
  <c r="C382" i="7"/>
  <c r="C423" i="7"/>
  <c r="C464" i="7"/>
  <c r="C497" i="7"/>
  <c r="C518" i="7"/>
  <c r="C534" i="7"/>
  <c r="C550" i="7"/>
  <c r="C566" i="7"/>
  <c r="C582" i="7"/>
  <c r="C598" i="7"/>
  <c r="C614" i="7"/>
  <c r="C630" i="7"/>
  <c r="C646" i="7"/>
  <c r="C660" i="7"/>
  <c r="C673" i="7"/>
  <c r="C683" i="7"/>
  <c r="C692" i="7"/>
  <c r="C701" i="7"/>
  <c r="C709" i="7"/>
  <c r="C717" i="7"/>
  <c r="C725" i="7"/>
  <c r="C733" i="7"/>
  <c r="C741" i="7"/>
  <c r="C749" i="7"/>
  <c r="C757" i="7"/>
  <c r="C765" i="7"/>
  <c r="C773" i="7"/>
  <c r="C781" i="7"/>
  <c r="C789" i="7"/>
  <c r="C797" i="7"/>
  <c r="C805" i="7"/>
  <c r="C813" i="7"/>
  <c r="C821" i="7"/>
  <c r="C829" i="7"/>
  <c r="C837" i="7"/>
  <c r="C845" i="7"/>
  <c r="C853" i="7"/>
  <c r="C861" i="7"/>
  <c r="C869" i="7"/>
  <c r="C877" i="7"/>
  <c r="C885" i="7"/>
  <c r="C893" i="7"/>
  <c r="C901" i="7"/>
  <c r="C909" i="7"/>
  <c r="C917" i="7"/>
  <c r="C925" i="7"/>
  <c r="C933" i="7"/>
  <c r="C941" i="7"/>
  <c r="C949" i="7"/>
  <c r="C957" i="7"/>
  <c r="C965" i="7"/>
  <c r="C973" i="7"/>
  <c r="C981" i="7"/>
  <c r="C989" i="7"/>
  <c r="C997" i="7"/>
  <c r="C1005" i="7"/>
  <c r="C1013" i="7"/>
  <c r="C1021" i="7"/>
  <c r="C1029" i="7"/>
  <c r="C1037" i="7"/>
  <c r="C1045" i="7"/>
  <c r="C1053" i="7"/>
  <c r="C1061" i="7"/>
  <c r="C1069" i="7"/>
  <c r="C1077" i="7"/>
  <c r="C1085" i="7"/>
  <c r="C1093" i="7"/>
  <c r="C1101" i="7"/>
  <c r="C1109" i="7"/>
  <c r="C1117" i="7"/>
  <c r="C1125" i="7"/>
  <c r="C1133" i="7"/>
  <c r="C1141" i="7"/>
  <c r="C1149" i="7"/>
  <c r="C1157" i="7"/>
  <c r="C1165" i="7"/>
  <c r="C1173" i="7"/>
  <c r="C1181" i="7"/>
  <c r="C1189" i="7"/>
  <c r="C1197" i="7"/>
  <c r="C1205" i="7"/>
  <c r="C1213" i="7"/>
  <c r="C1221" i="7"/>
  <c r="C1229" i="7"/>
  <c r="C1237" i="7"/>
  <c r="C1245" i="7"/>
  <c r="C1253" i="7"/>
  <c r="C1261" i="7"/>
  <c r="C1269" i="7"/>
  <c r="C1277" i="7"/>
  <c r="C1285" i="7"/>
  <c r="C1293" i="7"/>
  <c r="C1301" i="7"/>
  <c r="C1309" i="7"/>
  <c r="C1317" i="7"/>
  <c r="C1325" i="7"/>
  <c r="C1333" i="7"/>
  <c r="C1341" i="7"/>
  <c r="C1349" i="7"/>
  <c r="C1357" i="7"/>
  <c r="C1365" i="7"/>
  <c r="C1373" i="7"/>
  <c r="C1381" i="7"/>
  <c r="C1389" i="7"/>
  <c r="C1397" i="7"/>
  <c r="C1405" i="7"/>
  <c r="C1413" i="7"/>
  <c r="C1421" i="7"/>
  <c r="C1429" i="7"/>
  <c r="C1437" i="7"/>
  <c r="C1445" i="7"/>
  <c r="C1453" i="7"/>
  <c r="C1461" i="7"/>
  <c r="C1469" i="7"/>
  <c r="C1477" i="7"/>
  <c r="C1485" i="7"/>
  <c r="C1493" i="7"/>
  <c r="C1501" i="7"/>
  <c r="C1509" i="7"/>
  <c r="C1517" i="7"/>
  <c r="C1525" i="7"/>
  <c r="C1533" i="7"/>
  <c r="C1541" i="7"/>
  <c r="C1549" i="7"/>
  <c r="C1557" i="7"/>
  <c r="C1565" i="7"/>
  <c r="C1573" i="7"/>
  <c r="C1581" i="7"/>
  <c r="C1589" i="7"/>
  <c r="D169" i="7"/>
  <c r="D177" i="7"/>
  <c r="D185" i="7"/>
  <c r="D193" i="7"/>
  <c r="D201" i="7"/>
  <c r="D209" i="7"/>
  <c r="D217" i="7"/>
  <c r="D225" i="7"/>
  <c r="D233" i="7"/>
  <c r="D241" i="7"/>
  <c r="D249" i="7"/>
  <c r="D257" i="7"/>
  <c r="D265" i="7"/>
  <c r="D273" i="7"/>
  <c r="D281" i="7"/>
  <c r="D289" i="7"/>
  <c r="D297" i="7"/>
  <c r="D305" i="7"/>
  <c r="D313" i="7"/>
  <c r="D321" i="7"/>
  <c r="D329" i="7"/>
  <c r="D337" i="7"/>
  <c r="B202" i="7"/>
  <c r="B434" i="7"/>
  <c r="B651" i="7"/>
  <c r="B859" i="7"/>
  <c r="B946" i="7"/>
  <c r="B1028" i="7"/>
  <c r="B1115" i="7"/>
  <c r="B1202" i="7"/>
  <c r="B1284" i="7"/>
  <c r="B1371" i="7"/>
  <c r="B1420" i="7"/>
  <c r="B1466" i="7"/>
  <c r="B1507" i="7"/>
  <c r="B1548" i="7"/>
  <c r="C168" i="7"/>
  <c r="C214" i="7"/>
  <c r="C255" i="7"/>
  <c r="C296" i="7"/>
  <c r="C342" i="7"/>
  <c r="C383" i="7"/>
  <c r="C424" i="7"/>
  <c r="C470" i="7"/>
  <c r="C498" i="7"/>
  <c r="C519" i="7"/>
  <c r="C535" i="7"/>
  <c r="C551" i="7"/>
  <c r="C567" i="7"/>
  <c r="C583" i="7"/>
  <c r="C599" i="7"/>
  <c r="C615" i="7"/>
  <c r="C631" i="7"/>
  <c r="C647" i="7"/>
  <c r="C662" i="7"/>
  <c r="C675" i="7"/>
  <c r="C684" i="7"/>
  <c r="C693" i="7"/>
  <c r="C702" i="7"/>
  <c r="C710" i="7"/>
  <c r="C718" i="7"/>
  <c r="C726" i="7"/>
  <c r="C734" i="7"/>
  <c r="C742" i="7"/>
  <c r="C750" i="7"/>
  <c r="C758" i="7"/>
  <c r="C766" i="7"/>
  <c r="C774" i="7"/>
  <c r="C782" i="7"/>
  <c r="C790" i="7"/>
  <c r="C798" i="7"/>
  <c r="C806" i="7"/>
  <c r="C814" i="7"/>
  <c r="C822" i="7"/>
  <c r="C830" i="7"/>
  <c r="C838" i="7"/>
  <c r="C846" i="7"/>
  <c r="C854" i="7"/>
  <c r="C862" i="7"/>
  <c r="C870" i="7"/>
  <c r="C878" i="7"/>
  <c r="C886" i="7"/>
  <c r="C894" i="7"/>
  <c r="C902" i="7"/>
  <c r="C910" i="7"/>
  <c r="C918" i="7"/>
  <c r="C926" i="7"/>
  <c r="C934" i="7"/>
  <c r="C942" i="7"/>
  <c r="C950" i="7"/>
  <c r="C958" i="7"/>
  <c r="C966" i="7"/>
  <c r="C974" i="7"/>
  <c r="C982" i="7"/>
  <c r="C990" i="7"/>
  <c r="C998" i="7"/>
  <c r="C1006" i="7"/>
  <c r="C1014" i="7"/>
  <c r="C1022" i="7"/>
  <c r="C1030" i="7"/>
  <c r="C1038" i="7"/>
  <c r="C1046" i="7"/>
  <c r="C1054" i="7"/>
  <c r="C1062" i="7"/>
  <c r="C1070" i="7"/>
  <c r="C1078" i="7"/>
  <c r="C1086" i="7"/>
  <c r="C1094" i="7"/>
  <c r="C1102" i="7"/>
  <c r="C1110" i="7"/>
  <c r="C1118" i="7"/>
  <c r="C1126" i="7"/>
  <c r="C1134" i="7"/>
  <c r="C1142" i="7"/>
  <c r="C1150" i="7"/>
  <c r="C1158" i="7"/>
  <c r="C1166" i="7"/>
  <c r="C1174" i="7"/>
  <c r="C1182" i="7"/>
  <c r="C1190" i="7"/>
  <c r="C1198" i="7"/>
  <c r="C1206" i="7"/>
  <c r="C1214" i="7"/>
  <c r="C1222" i="7"/>
  <c r="C1230" i="7"/>
  <c r="C1238" i="7"/>
  <c r="C1246" i="7"/>
  <c r="C1254" i="7"/>
  <c r="C1262" i="7"/>
  <c r="C1270" i="7"/>
  <c r="C1278" i="7"/>
  <c r="C1286" i="7"/>
  <c r="C1294" i="7"/>
  <c r="C1302" i="7"/>
  <c r="C1310" i="7"/>
  <c r="C1318" i="7"/>
  <c r="C1326" i="7"/>
  <c r="C1334" i="7"/>
  <c r="C1342" i="7"/>
  <c r="C1350" i="7"/>
  <c r="C1358" i="7"/>
  <c r="C1366" i="7"/>
  <c r="C1374" i="7"/>
  <c r="C1382" i="7"/>
  <c r="C1390" i="7"/>
  <c r="C1398" i="7"/>
  <c r="C1406" i="7"/>
  <c r="C1414" i="7"/>
  <c r="C1422" i="7"/>
  <c r="C1430" i="7"/>
  <c r="C1438" i="7"/>
  <c r="C1446" i="7"/>
  <c r="C1454" i="7"/>
  <c r="C1462" i="7"/>
  <c r="C1470" i="7"/>
  <c r="C1478" i="7"/>
  <c r="C1486" i="7"/>
  <c r="C1494" i="7"/>
  <c r="C1502" i="7"/>
  <c r="C1510" i="7"/>
  <c r="C1518" i="7"/>
  <c r="C1526" i="7"/>
  <c r="C1534" i="7"/>
  <c r="C1542" i="7"/>
  <c r="C1550" i="7"/>
  <c r="C1558" i="7"/>
  <c r="C1566" i="7"/>
  <c r="C1574" i="7"/>
  <c r="C1582" i="7"/>
  <c r="C1590" i="7"/>
  <c r="D170" i="7"/>
  <c r="D178" i="7"/>
  <c r="D186" i="7"/>
  <c r="D194" i="7"/>
  <c r="D202" i="7"/>
  <c r="D210" i="7"/>
  <c r="D218" i="7"/>
  <c r="D226" i="7"/>
  <c r="D234" i="7"/>
  <c r="D242" i="7"/>
  <c r="D250" i="7"/>
  <c r="D258" i="7"/>
  <c r="D266" i="7"/>
  <c r="D274" i="7"/>
  <c r="D282" i="7"/>
  <c r="D290" i="7"/>
  <c r="D298" i="7"/>
  <c r="D306" i="7"/>
  <c r="D314" i="7"/>
  <c r="D322" i="7"/>
  <c r="D330" i="7"/>
  <c r="D338" i="7"/>
  <c r="B203" i="7"/>
  <c r="B435" i="7"/>
  <c r="B667" i="7"/>
  <c r="B860" i="7"/>
  <c r="B947" i="7"/>
  <c r="B1034" i="7"/>
  <c r="B1116" i="7"/>
  <c r="B1203" i="7"/>
  <c r="B1290" i="7"/>
  <c r="B1372" i="7"/>
  <c r="B1426" i="7"/>
  <c r="B1467" i="7"/>
  <c r="B1508" i="7"/>
  <c r="B1554" i="7"/>
  <c r="C182" i="7"/>
  <c r="C223" i="7"/>
  <c r="C264" i="7"/>
  <c r="C310" i="7"/>
  <c r="C351" i="7"/>
  <c r="C392" i="7"/>
  <c r="C438" i="7"/>
  <c r="C479" i="7"/>
  <c r="C504" i="7"/>
  <c r="C523" i="7"/>
  <c r="C539" i="7"/>
  <c r="C555" i="7"/>
  <c r="C571" i="7"/>
  <c r="C587" i="7"/>
  <c r="C603" i="7"/>
  <c r="C619" i="7"/>
  <c r="C635" i="7"/>
  <c r="C651" i="7"/>
  <c r="C663" i="7"/>
  <c r="C676" i="7"/>
  <c r="C685" i="7"/>
  <c r="C694" i="7"/>
  <c r="C703" i="7"/>
  <c r="C711" i="7"/>
  <c r="C719" i="7"/>
  <c r="C727" i="7"/>
  <c r="C735" i="7"/>
  <c r="C743" i="7"/>
  <c r="C751" i="7"/>
  <c r="C759" i="7"/>
  <c r="C767" i="7"/>
  <c r="C775" i="7"/>
  <c r="C783" i="7"/>
  <c r="C791" i="7"/>
  <c r="C799" i="7"/>
  <c r="C807" i="7"/>
  <c r="C815" i="7"/>
  <c r="C823" i="7"/>
  <c r="C831" i="7"/>
  <c r="C839" i="7"/>
  <c r="C847" i="7"/>
  <c r="C855" i="7"/>
  <c r="C863" i="7"/>
  <c r="C871" i="7"/>
  <c r="C879" i="7"/>
  <c r="C887" i="7"/>
  <c r="C895" i="7"/>
  <c r="C903" i="7"/>
  <c r="C911" i="7"/>
  <c r="C919" i="7"/>
  <c r="C927" i="7"/>
  <c r="C935" i="7"/>
  <c r="C943" i="7"/>
  <c r="C951" i="7"/>
  <c r="C959" i="7"/>
  <c r="C967" i="7"/>
  <c r="C975" i="7"/>
  <c r="C983" i="7"/>
  <c r="C991" i="7"/>
  <c r="C999" i="7"/>
  <c r="C1007" i="7"/>
  <c r="C1015" i="7"/>
  <c r="C1023" i="7"/>
  <c r="C1031" i="7"/>
  <c r="C1039" i="7"/>
  <c r="C1047" i="7"/>
  <c r="C1055" i="7"/>
  <c r="C1063" i="7"/>
  <c r="C1071" i="7"/>
  <c r="C1079" i="7"/>
  <c r="C1087" i="7"/>
  <c r="C1095" i="7"/>
  <c r="C1103" i="7"/>
  <c r="C1111" i="7"/>
  <c r="C1119" i="7"/>
  <c r="C1127" i="7"/>
  <c r="C1135" i="7"/>
  <c r="C1143" i="7"/>
  <c r="C1151" i="7"/>
  <c r="C1159" i="7"/>
  <c r="C1167" i="7"/>
  <c r="C1175" i="7"/>
  <c r="C1183" i="7"/>
  <c r="C1191" i="7"/>
  <c r="C1199" i="7"/>
  <c r="C1207" i="7"/>
  <c r="C1215" i="7"/>
  <c r="C1223" i="7"/>
  <c r="C1231" i="7"/>
  <c r="C1239" i="7"/>
  <c r="C1247" i="7"/>
  <c r="C1255" i="7"/>
  <c r="C1263" i="7"/>
  <c r="C1271" i="7"/>
  <c r="C1279" i="7"/>
  <c r="C1287" i="7"/>
  <c r="C1295" i="7"/>
  <c r="C1303" i="7"/>
  <c r="C1311" i="7"/>
  <c r="C1319" i="7"/>
  <c r="C1327" i="7"/>
  <c r="C1335" i="7"/>
  <c r="C1343" i="7"/>
  <c r="C1351" i="7"/>
  <c r="C1359" i="7"/>
  <c r="C1367" i="7"/>
  <c r="C1375" i="7"/>
  <c r="C1383" i="7"/>
  <c r="C1391" i="7"/>
  <c r="C1399" i="7"/>
  <c r="C1407" i="7"/>
  <c r="C1415" i="7"/>
  <c r="C1423" i="7"/>
  <c r="C1431" i="7"/>
  <c r="C1439" i="7"/>
  <c r="C1447" i="7"/>
  <c r="C1455" i="7"/>
  <c r="C1463" i="7"/>
  <c r="C1471" i="7"/>
  <c r="C1479" i="7"/>
  <c r="C1487" i="7"/>
  <c r="C1495" i="7"/>
  <c r="C1503" i="7"/>
  <c r="C1511" i="7"/>
  <c r="C1519" i="7"/>
  <c r="C1527" i="7"/>
  <c r="C1535" i="7"/>
  <c r="C1543" i="7"/>
  <c r="C1551" i="7"/>
  <c r="C1559" i="7"/>
  <c r="C1567" i="7"/>
  <c r="C1575" i="7"/>
  <c r="C1583" i="7"/>
  <c r="C1591" i="7"/>
  <c r="B265" i="7"/>
  <c r="B482" i="7"/>
  <c r="B714" i="7"/>
  <c r="B882" i="7"/>
  <c r="B964" i="7"/>
  <c r="B1051" i="7"/>
  <c r="B1138" i="7"/>
  <c r="B1220" i="7"/>
  <c r="B1307" i="7"/>
  <c r="B1394" i="7"/>
  <c r="B1435" i="7"/>
  <c r="B1476" i="7"/>
  <c r="B1522" i="7"/>
  <c r="B1563" i="7"/>
  <c r="C183" i="7"/>
  <c r="C224" i="7"/>
  <c r="C270" i="7"/>
  <c r="C311" i="7"/>
  <c r="C352" i="7"/>
  <c r="C398" i="7"/>
  <c r="C439" i="7"/>
  <c r="C480" i="7"/>
  <c r="C505" i="7"/>
  <c r="C524" i="7"/>
  <c r="C540" i="7"/>
  <c r="C556" i="7"/>
  <c r="C572" i="7"/>
  <c r="C588" i="7"/>
  <c r="C604" i="7"/>
  <c r="C620" i="7"/>
  <c r="C636" i="7"/>
  <c r="C652" i="7"/>
  <c r="C665" i="7"/>
  <c r="C677" i="7"/>
  <c r="C686" i="7"/>
  <c r="C695" i="7"/>
  <c r="C704" i="7"/>
  <c r="C712" i="7"/>
  <c r="C720" i="7"/>
  <c r="C728" i="7"/>
  <c r="C736" i="7"/>
  <c r="C744" i="7"/>
  <c r="C752" i="7"/>
  <c r="C760" i="7"/>
  <c r="C768" i="7"/>
  <c r="C776" i="7"/>
  <c r="C784" i="7"/>
  <c r="C792" i="7"/>
  <c r="C800" i="7"/>
  <c r="C808" i="7"/>
  <c r="C816" i="7"/>
  <c r="C824" i="7"/>
  <c r="C832" i="7"/>
  <c r="C840" i="7"/>
  <c r="C848" i="7"/>
  <c r="C856" i="7"/>
  <c r="C864" i="7"/>
  <c r="C872" i="7"/>
  <c r="C880" i="7"/>
  <c r="C888" i="7"/>
  <c r="C896" i="7"/>
  <c r="C904" i="7"/>
  <c r="C912" i="7"/>
  <c r="C920" i="7"/>
  <c r="C928" i="7"/>
  <c r="C936" i="7"/>
  <c r="C944" i="7"/>
  <c r="C952" i="7"/>
  <c r="C960" i="7"/>
  <c r="C968" i="7"/>
  <c r="C976" i="7"/>
  <c r="C984" i="7"/>
  <c r="C992" i="7"/>
  <c r="C1000" i="7"/>
  <c r="C1008" i="7"/>
  <c r="C1016" i="7"/>
  <c r="C1024" i="7"/>
  <c r="C1032" i="7"/>
  <c r="C1040" i="7"/>
  <c r="C1048" i="7"/>
  <c r="C1056" i="7"/>
  <c r="C1064" i="7"/>
  <c r="C1072" i="7"/>
  <c r="C1080" i="7"/>
  <c r="C1088" i="7"/>
  <c r="C1096" i="7"/>
  <c r="C1104" i="7"/>
  <c r="C1112" i="7"/>
  <c r="C1120" i="7"/>
  <c r="C1128" i="7"/>
  <c r="C1136" i="7"/>
  <c r="C1144" i="7"/>
  <c r="C1152" i="7"/>
  <c r="C1160" i="7"/>
  <c r="C1168" i="7"/>
  <c r="C1176" i="7"/>
  <c r="C1184" i="7"/>
  <c r="C1192" i="7"/>
  <c r="C1200" i="7"/>
  <c r="C1208" i="7"/>
  <c r="C1216" i="7"/>
  <c r="C1224" i="7"/>
  <c r="C1232" i="7"/>
  <c r="C1240" i="7"/>
  <c r="C1248" i="7"/>
  <c r="C1256" i="7"/>
  <c r="C1264" i="7"/>
  <c r="C1272" i="7"/>
  <c r="C1280" i="7"/>
  <c r="C1288" i="7"/>
  <c r="C1296" i="7"/>
  <c r="C1304" i="7"/>
  <c r="C1312" i="7"/>
  <c r="C1320" i="7"/>
  <c r="C1328" i="7"/>
  <c r="C1336" i="7"/>
  <c r="C1344" i="7"/>
  <c r="C1352" i="7"/>
  <c r="C1360" i="7"/>
  <c r="C1368" i="7"/>
  <c r="C1376" i="7"/>
  <c r="C1384" i="7"/>
  <c r="C1392" i="7"/>
  <c r="C1400" i="7"/>
  <c r="C1408" i="7"/>
  <c r="C1416" i="7"/>
  <c r="C1424" i="7"/>
  <c r="C1432" i="7"/>
  <c r="C1440" i="7"/>
  <c r="C1448" i="7"/>
  <c r="C1456" i="7"/>
  <c r="C1464" i="7"/>
  <c r="C1472" i="7"/>
  <c r="C1480" i="7"/>
  <c r="C1488" i="7"/>
  <c r="C1496" i="7"/>
  <c r="C1504" i="7"/>
  <c r="C1512" i="7"/>
  <c r="C1520" i="7"/>
  <c r="C1528" i="7"/>
  <c r="C1536" i="7"/>
  <c r="C1544" i="7"/>
  <c r="C1552" i="7"/>
  <c r="C1560" i="7"/>
  <c r="C1568" i="7"/>
  <c r="C1576" i="7"/>
  <c r="C1584" i="7"/>
  <c r="C1592" i="7"/>
  <c r="B266" i="7"/>
  <c r="B498" i="7"/>
  <c r="B715" i="7"/>
  <c r="B883" i="7"/>
  <c r="B970" i="7"/>
  <c r="B1052" i="7"/>
  <c r="B1139" i="7"/>
  <c r="B1226" i="7"/>
  <c r="B1308" i="7"/>
  <c r="B1395" i="7"/>
  <c r="B1436" i="7"/>
  <c r="B1482" i="7"/>
  <c r="B1523" i="7"/>
  <c r="B1564" i="7"/>
  <c r="C190" i="7"/>
  <c r="C231" i="7"/>
  <c r="C272" i="7"/>
  <c r="C318" i="7"/>
  <c r="C359" i="7"/>
  <c r="C400" i="7"/>
  <c r="C446" i="7"/>
  <c r="C486" i="7"/>
  <c r="C507" i="7"/>
  <c r="C526" i="7"/>
  <c r="C542" i="7"/>
  <c r="C558" i="7"/>
  <c r="C574" i="7"/>
  <c r="C590" i="7"/>
  <c r="C606" i="7"/>
  <c r="C622" i="7"/>
  <c r="C638" i="7"/>
  <c r="C654" i="7"/>
  <c r="C667" i="7"/>
  <c r="C678" i="7"/>
  <c r="C687" i="7"/>
  <c r="C697" i="7"/>
  <c r="C705" i="7"/>
  <c r="C713" i="7"/>
  <c r="C721" i="7"/>
  <c r="C729" i="7"/>
  <c r="C737" i="7"/>
  <c r="C745" i="7"/>
  <c r="C753" i="7"/>
  <c r="C761" i="7"/>
  <c r="C769" i="7"/>
  <c r="C777" i="7"/>
  <c r="C785" i="7"/>
  <c r="C793" i="7"/>
  <c r="C801" i="7"/>
  <c r="C809" i="7"/>
  <c r="C817" i="7"/>
  <c r="C825" i="7"/>
  <c r="C833" i="7"/>
  <c r="C841" i="7"/>
  <c r="C849" i="7"/>
  <c r="C857" i="7"/>
  <c r="C865" i="7"/>
  <c r="C873" i="7"/>
  <c r="C881" i="7"/>
  <c r="C889" i="7"/>
  <c r="C897" i="7"/>
  <c r="C905" i="7"/>
  <c r="C913" i="7"/>
  <c r="C921" i="7"/>
  <c r="C929" i="7"/>
  <c r="C937" i="7"/>
  <c r="C945" i="7"/>
  <c r="C953" i="7"/>
  <c r="C961" i="7"/>
  <c r="C969" i="7"/>
  <c r="C977" i="7"/>
  <c r="C985" i="7"/>
  <c r="C993" i="7"/>
  <c r="C1001" i="7"/>
  <c r="C1009" i="7"/>
  <c r="C1017" i="7"/>
  <c r="C1025" i="7"/>
  <c r="C1033" i="7"/>
  <c r="C1041" i="7"/>
  <c r="C1049" i="7"/>
  <c r="C1057" i="7"/>
  <c r="C1065" i="7"/>
  <c r="C1073" i="7"/>
  <c r="C1081" i="7"/>
  <c r="C1089" i="7"/>
  <c r="C1097" i="7"/>
  <c r="C1105" i="7"/>
  <c r="C1113" i="7"/>
  <c r="C1121" i="7"/>
  <c r="C1129" i="7"/>
  <c r="C1137" i="7"/>
  <c r="C1145" i="7"/>
  <c r="C1153" i="7"/>
  <c r="C1161" i="7"/>
  <c r="C1169" i="7"/>
  <c r="C1177" i="7"/>
  <c r="C1185" i="7"/>
  <c r="C1193" i="7"/>
  <c r="C1201" i="7"/>
  <c r="C1209" i="7"/>
  <c r="C1217" i="7"/>
  <c r="C1225" i="7"/>
  <c r="C1233" i="7"/>
  <c r="C1241" i="7"/>
  <c r="C1249" i="7"/>
  <c r="C1257" i="7"/>
  <c r="C1265" i="7"/>
  <c r="C1273" i="7"/>
  <c r="C1281" i="7"/>
  <c r="C1289" i="7"/>
  <c r="C1297" i="7"/>
  <c r="C1305" i="7"/>
  <c r="C1313" i="7"/>
  <c r="C1321" i="7"/>
  <c r="C1329" i="7"/>
  <c r="C1337" i="7"/>
  <c r="C1345" i="7"/>
  <c r="C1353" i="7"/>
  <c r="C1361" i="7"/>
  <c r="C1369" i="7"/>
  <c r="C1377" i="7"/>
  <c r="C1385" i="7"/>
  <c r="C1393" i="7"/>
  <c r="C1401" i="7"/>
  <c r="C1409" i="7"/>
  <c r="C1417" i="7"/>
  <c r="C1425" i="7"/>
  <c r="C1433" i="7"/>
  <c r="C1441" i="7"/>
  <c r="C1449" i="7"/>
  <c r="C1457" i="7"/>
  <c r="C1465" i="7"/>
  <c r="C1473" i="7"/>
  <c r="C1481" i="7"/>
  <c r="C1489" i="7"/>
  <c r="C1497" i="7"/>
  <c r="C1505" i="7"/>
  <c r="C1513" i="7"/>
  <c r="C1521" i="7"/>
  <c r="C1529" i="7"/>
  <c r="C1537" i="7"/>
  <c r="C1545" i="7"/>
  <c r="C1553" i="7"/>
  <c r="C1561" i="7"/>
  <c r="C1569" i="7"/>
  <c r="C1577" i="7"/>
  <c r="C1585" i="7"/>
  <c r="C1593" i="7"/>
  <c r="D165" i="7"/>
  <c r="D173" i="7"/>
  <c r="D181" i="7"/>
  <c r="D189" i="7"/>
  <c r="D197" i="7"/>
  <c r="D205" i="7"/>
  <c r="D213" i="7"/>
  <c r="D221" i="7"/>
  <c r="D229" i="7"/>
  <c r="D237" i="7"/>
  <c r="D245" i="7"/>
  <c r="B371" i="7"/>
  <c r="B603" i="7"/>
  <c r="B825" i="7"/>
  <c r="B923" i="7"/>
  <c r="B1010" i="7"/>
  <c r="B1092" i="7"/>
  <c r="B1179" i="7"/>
  <c r="B1266" i="7"/>
  <c r="B1348" i="7"/>
  <c r="B1412" i="7"/>
  <c r="B1458" i="7"/>
  <c r="B1499" i="7"/>
  <c r="B1540" i="7"/>
  <c r="B1586" i="7"/>
  <c r="C206" i="7"/>
  <c r="C247" i="7"/>
  <c r="C288" i="7"/>
  <c r="C334" i="7"/>
  <c r="C375" i="7"/>
  <c r="C416" i="7"/>
  <c r="C462" i="7"/>
  <c r="C495" i="7"/>
  <c r="C515" i="7"/>
  <c r="C532" i="7"/>
  <c r="C548" i="7"/>
  <c r="C564" i="7"/>
  <c r="C580" i="7"/>
  <c r="C596" i="7"/>
  <c r="C612" i="7"/>
  <c r="C628" i="7"/>
  <c r="C644" i="7"/>
  <c r="C659" i="7"/>
  <c r="C671" i="7"/>
  <c r="C682" i="7"/>
  <c r="C691" i="7"/>
  <c r="C700" i="7"/>
  <c r="C708" i="7"/>
  <c r="C716" i="7"/>
  <c r="C724" i="7"/>
  <c r="C732" i="7"/>
  <c r="C740" i="7"/>
  <c r="C748" i="7"/>
  <c r="C756" i="7"/>
  <c r="C764" i="7"/>
  <c r="C772" i="7"/>
  <c r="C780" i="7"/>
  <c r="C788" i="7"/>
  <c r="C796" i="7"/>
  <c r="C804" i="7"/>
  <c r="C812" i="7"/>
  <c r="C820" i="7"/>
  <c r="C828" i="7"/>
  <c r="C836" i="7"/>
  <c r="C844" i="7"/>
  <c r="C852" i="7"/>
  <c r="C860" i="7"/>
  <c r="C868" i="7"/>
  <c r="C876" i="7"/>
  <c r="C884" i="7"/>
  <c r="C892" i="7"/>
  <c r="C900" i="7"/>
  <c r="C908" i="7"/>
  <c r="C916" i="7"/>
  <c r="C924" i="7"/>
  <c r="C932" i="7"/>
  <c r="C940" i="7"/>
  <c r="C948" i="7"/>
  <c r="C956" i="7"/>
  <c r="C964" i="7"/>
  <c r="C972" i="7"/>
  <c r="C980" i="7"/>
  <c r="C988" i="7"/>
  <c r="C996" i="7"/>
  <c r="C1004" i="7"/>
  <c r="C1012" i="7"/>
  <c r="C1020" i="7"/>
  <c r="C1028" i="7"/>
  <c r="C1036" i="7"/>
  <c r="C1044" i="7"/>
  <c r="C1052" i="7"/>
  <c r="C1060" i="7"/>
  <c r="C1068" i="7"/>
  <c r="C1076" i="7"/>
  <c r="C1084" i="7"/>
  <c r="C1092" i="7"/>
  <c r="C1100" i="7"/>
  <c r="C1108" i="7"/>
  <c r="C1116" i="7"/>
  <c r="C1124" i="7"/>
  <c r="C1132" i="7"/>
  <c r="C1140" i="7"/>
  <c r="C1148" i="7"/>
  <c r="C1156" i="7"/>
  <c r="C1164" i="7"/>
  <c r="C1172" i="7"/>
  <c r="C1180" i="7"/>
  <c r="C1188" i="7"/>
  <c r="C1196" i="7"/>
  <c r="C1204" i="7"/>
  <c r="C1212" i="7"/>
  <c r="C1220" i="7"/>
  <c r="C1228" i="7"/>
  <c r="C1236" i="7"/>
  <c r="C1244" i="7"/>
  <c r="C1252" i="7"/>
  <c r="C1260" i="7"/>
  <c r="C1268" i="7"/>
  <c r="C1276" i="7"/>
  <c r="C1284" i="7"/>
  <c r="C1292" i="7"/>
  <c r="C1300" i="7"/>
  <c r="C1308" i="7"/>
  <c r="C1316" i="7"/>
  <c r="C1324" i="7"/>
  <c r="C1332" i="7"/>
  <c r="C1340" i="7"/>
  <c r="C1348" i="7"/>
  <c r="C1356" i="7"/>
  <c r="C1364" i="7"/>
  <c r="C1372" i="7"/>
  <c r="C1380" i="7"/>
  <c r="C1388" i="7"/>
  <c r="C1396" i="7"/>
  <c r="C1404" i="7"/>
  <c r="C1412" i="7"/>
  <c r="C1420" i="7"/>
  <c r="C1428" i="7"/>
  <c r="C1436" i="7"/>
  <c r="C1444" i="7"/>
  <c r="C1452" i="7"/>
  <c r="C1460" i="7"/>
  <c r="C1468" i="7"/>
  <c r="C1476" i="7"/>
  <c r="C1484" i="7"/>
  <c r="C1492" i="7"/>
  <c r="C1500" i="7"/>
  <c r="C1508" i="7"/>
  <c r="C1516" i="7"/>
  <c r="C1524" i="7"/>
  <c r="C1532" i="7"/>
  <c r="C1540" i="7"/>
  <c r="C1548" i="7"/>
  <c r="C1556" i="7"/>
  <c r="C1564" i="7"/>
  <c r="C1572" i="7"/>
  <c r="C1580" i="7"/>
  <c r="C1588" i="7"/>
  <c r="D168" i="7"/>
  <c r="D176" i="7"/>
  <c r="D184" i="7"/>
  <c r="D192" i="7"/>
  <c r="D200" i="7"/>
  <c r="D208" i="7"/>
  <c r="D216" i="7"/>
  <c r="D224" i="7"/>
  <c r="D232" i="7"/>
  <c r="D240" i="7"/>
  <c r="D248" i="7"/>
  <c r="B906" i="7"/>
  <c r="B1244" i="7"/>
  <c r="B1490" i="7"/>
  <c r="C278" i="7"/>
  <c r="C447" i="7"/>
  <c r="C543" i="7"/>
  <c r="C607" i="7"/>
  <c r="C668" i="7"/>
  <c r="C706" i="7"/>
  <c r="C738" i="7"/>
  <c r="C770" i="7"/>
  <c r="C802" i="7"/>
  <c r="C834" i="7"/>
  <c r="C866" i="7"/>
  <c r="C898" i="7"/>
  <c r="C930" i="7"/>
  <c r="C962" i="7"/>
  <c r="C994" i="7"/>
  <c r="C1026" i="7"/>
  <c r="C1058" i="7"/>
  <c r="C1090" i="7"/>
  <c r="C1122" i="7"/>
  <c r="C1154" i="7"/>
  <c r="C1186" i="7"/>
  <c r="C1218" i="7"/>
  <c r="C1250" i="7"/>
  <c r="C1282" i="7"/>
  <c r="C1314" i="7"/>
  <c r="C1346" i="7"/>
  <c r="C1378" i="7"/>
  <c r="C1410" i="7"/>
  <c r="C1442" i="7"/>
  <c r="C1474" i="7"/>
  <c r="C1506" i="7"/>
  <c r="C1538" i="7"/>
  <c r="C1570" i="7"/>
  <c r="D172" i="7"/>
  <c r="D188" i="7"/>
  <c r="D204" i="7"/>
  <c r="D220" i="7"/>
  <c r="D236" i="7"/>
  <c r="D252" i="7"/>
  <c r="D262" i="7"/>
  <c r="D272" i="7"/>
  <c r="D284" i="7"/>
  <c r="D294" i="7"/>
  <c r="D304" i="7"/>
  <c r="D316" i="7"/>
  <c r="D326" i="7"/>
  <c r="D336" i="7"/>
  <c r="D346" i="7"/>
  <c r="D354" i="7"/>
  <c r="D362" i="7"/>
  <c r="D370" i="7"/>
  <c r="D378" i="7"/>
  <c r="D386" i="7"/>
  <c r="D394" i="7"/>
  <c r="D402" i="7"/>
  <c r="D410" i="7"/>
  <c r="D418" i="7"/>
  <c r="D426" i="7"/>
  <c r="D434" i="7"/>
  <c r="D442" i="7"/>
  <c r="D450" i="7"/>
  <c r="D458" i="7"/>
  <c r="D466" i="7"/>
  <c r="D474" i="7"/>
  <c r="D482" i="7"/>
  <c r="D490" i="7"/>
  <c r="D498" i="7"/>
  <c r="D506" i="7"/>
  <c r="D514" i="7"/>
  <c r="D522" i="7"/>
  <c r="D530" i="7"/>
  <c r="D538" i="7"/>
  <c r="D546" i="7"/>
  <c r="D554" i="7"/>
  <c r="D562" i="7"/>
  <c r="D570" i="7"/>
  <c r="D578" i="7"/>
  <c r="D586" i="7"/>
  <c r="D594" i="7"/>
  <c r="D602" i="7"/>
  <c r="D610" i="7"/>
  <c r="D618" i="7"/>
  <c r="D626" i="7"/>
  <c r="D634" i="7"/>
  <c r="D642" i="7"/>
  <c r="D650" i="7"/>
  <c r="D658" i="7"/>
  <c r="D666" i="7"/>
  <c r="D674" i="7"/>
  <c r="D682" i="7"/>
  <c r="D690" i="7"/>
  <c r="D698" i="7"/>
  <c r="D706" i="7"/>
  <c r="D714" i="7"/>
  <c r="D722" i="7"/>
  <c r="D730" i="7"/>
  <c r="D738" i="7"/>
  <c r="D746" i="7"/>
  <c r="D754" i="7"/>
  <c r="D762" i="7"/>
  <c r="D770" i="7"/>
  <c r="D778" i="7"/>
  <c r="D786" i="7"/>
  <c r="D794" i="7"/>
  <c r="D802" i="7"/>
  <c r="D810" i="7"/>
  <c r="D818" i="7"/>
  <c r="D826" i="7"/>
  <c r="D834" i="7"/>
  <c r="D842" i="7"/>
  <c r="D850" i="7"/>
  <c r="D858" i="7"/>
  <c r="D866" i="7"/>
  <c r="B313" i="7"/>
  <c r="B987" i="7"/>
  <c r="B1330" i="7"/>
  <c r="B1530" i="7"/>
  <c r="C287" i="7"/>
  <c r="C456" i="7"/>
  <c r="C547" i="7"/>
  <c r="C611" i="7"/>
  <c r="C670" i="7"/>
  <c r="C707" i="7"/>
  <c r="C739" i="7"/>
  <c r="C771" i="7"/>
  <c r="C803" i="7"/>
  <c r="C835" i="7"/>
  <c r="C867" i="7"/>
  <c r="C899" i="7"/>
  <c r="C931" i="7"/>
  <c r="C963" i="7"/>
  <c r="C995" i="7"/>
  <c r="C1027" i="7"/>
  <c r="C1059" i="7"/>
  <c r="C1091" i="7"/>
  <c r="C1123" i="7"/>
  <c r="C1155" i="7"/>
  <c r="C1187" i="7"/>
  <c r="C1219" i="7"/>
  <c r="C1251" i="7"/>
  <c r="C1283" i="7"/>
  <c r="C1315" i="7"/>
  <c r="C1347" i="7"/>
  <c r="C1379" i="7"/>
  <c r="C1411" i="7"/>
  <c r="C1443" i="7"/>
  <c r="C1475" i="7"/>
  <c r="C1507" i="7"/>
  <c r="C1539" i="7"/>
  <c r="C1571" i="7"/>
  <c r="D174" i="7"/>
  <c r="D190" i="7"/>
  <c r="D206" i="7"/>
  <c r="D222" i="7"/>
  <c r="D238" i="7"/>
  <c r="D253" i="7"/>
  <c r="D263" i="7"/>
  <c r="D275" i="7"/>
  <c r="D285" i="7"/>
  <c r="D295" i="7"/>
  <c r="D307" i="7"/>
  <c r="D317" i="7"/>
  <c r="D327" i="7"/>
  <c r="D339" i="7"/>
  <c r="D347" i="7"/>
  <c r="D355" i="7"/>
  <c r="D363" i="7"/>
  <c r="D371" i="7"/>
  <c r="D379" i="7"/>
  <c r="D387" i="7"/>
  <c r="D395" i="7"/>
  <c r="D403" i="7"/>
  <c r="D411" i="7"/>
  <c r="D419" i="7"/>
  <c r="D427" i="7"/>
  <c r="D435" i="7"/>
  <c r="D443" i="7"/>
  <c r="D451" i="7"/>
  <c r="D459" i="7"/>
  <c r="D467" i="7"/>
  <c r="D475" i="7"/>
  <c r="D483" i="7"/>
  <c r="D491" i="7"/>
  <c r="D499" i="7"/>
  <c r="D507" i="7"/>
  <c r="D515" i="7"/>
  <c r="D523" i="7"/>
  <c r="D531" i="7"/>
  <c r="D539" i="7"/>
  <c r="D547" i="7"/>
  <c r="D555" i="7"/>
  <c r="D563" i="7"/>
  <c r="D571" i="7"/>
  <c r="D579" i="7"/>
  <c r="D587" i="7"/>
  <c r="D595" i="7"/>
  <c r="D603" i="7"/>
  <c r="B329" i="7"/>
  <c r="B988" i="7"/>
  <c r="B1331" i="7"/>
  <c r="B1531" i="7"/>
  <c r="C319" i="7"/>
  <c r="C487" i="7"/>
  <c r="C559" i="7"/>
  <c r="C623" i="7"/>
  <c r="C679" i="7"/>
  <c r="C714" i="7"/>
  <c r="C746" i="7"/>
  <c r="C778" i="7"/>
  <c r="C810" i="7"/>
  <c r="C842" i="7"/>
  <c r="C874" i="7"/>
  <c r="C906" i="7"/>
  <c r="C938" i="7"/>
  <c r="C970" i="7"/>
  <c r="C1002" i="7"/>
  <c r="C1034" i="7"/>
  <c r="C1066" i="7"/>
  <c r="C1098" i="7"/>
  <c r="C1130" i="7"/>
  <c r="C1162" i="7"/>
  <c r="C1194" i="7"/>
  <c r="C1226" i="7"/>
  <c r="C1258" i="7"/>
  <c r="C1290" i="7"/>
  <c r="C1322" i="7"/>
  <c r="C1354" i="7"/>
  <c r="C1386" i="7"/>
  <c r="C1418" i="7"/>
  <c r="C1450" i="7"/>
  <c r="C1482" i="7"/>
  <c r="C1514" i="7"/>
  <c r="C1546" i="7"/>
  <c r="C1578" i="7"/>
  <c r="D175" i="7"/>
  <c r="D191" i="7"/>
  <c r="D207" i="7"/>
  <c r="D223" i="7"/>
  <c r="D239" i="7"/>
  <c r="D254" i="7"/>
  <c r="D264" i="7"/>
  <c r="D276" i="7"/>
  <c r="D286" i="7"/>
  <c r="D296" i="7"/>
  <c r="D308" i="7"/>
  <c r="D318" i="7"/>
  <c r="D328" i="7"/>
  <c r="D340" i="7"/>
  <c r="D348" i="7"/>
  <c r="D356" i="7"/>
  <c r="D364" i="7"/>
  <c r="D372" i="7"/>
  <c r="D380" i="7"/>
  <c r="D388" i="7"/>
  <c r="D396" i="7"/>
  <c r="D404" i="7"/>
  <c r="D412" i="7"/>
  <c r="D420" i="7"/>
  <c r="D428" i="7"/>
  <c r="D436" i="7"/>
  <c r="D444" i="7"/>
  <c r="D452" i="7"/>
  <c r="D460" i="7"/>
  <c r="D468" i="7"/>
  <c r="D476" i="7"/>
  <c r="D484" i="7"/>
  <c r="D492" i="7"/>
  <c r="D500" i="7"/>
  <c r="D508" i="7"/>
  <c r="D516" i="7"/>
  <c r="D524" i="7"/>
  <c r="D532" i="7"/>
  <c r="D540" i="7"/>
  <c r="D548" i="7"/>
  <c r="D556" i="7"/>
  <c r="D564" i="7"/>
  <c r="D572" i="7"/>
  <c r="D580" i="7"/>
  <c r="D588" i="7"/>
  <c r="D596" i="7"/>
  <c r="D604" i="7"/>
  <c r="B545" i="7"/>
  <c r="B1074" i="7"/>
  <c r="B1402" i="7"/>
  <c r="B1571" i="7"/>
  <c r="C328" i="7"/>
  <c r="C494" i="7"/>
  <c r="C563" i="7"/>
  <c r="C627" i="7"/>
  <c r="C681" i="7"/>
  <c r="C715" i="7"/>
  <c r="C747" i="7"/>
  <c r="C779" i="7"/>
  <c r="C811" i="7"/>
  <c r="C843" i="7"/>
  <c r="C875" i="7"/>
  <c r="C907" i="7"/>
  <c r="C939" i="7"/>
  <c r="C971" i="7"/>
  <c r="C1003" i="7"/>
  <c r="C1035" i="7"/>
  <c r="C1067" i="7"/>
  <c r="C1099" i="7"/>
  <c r="C1131" i="7"/>
  <c r="C1163" i="7"/>
  <c r="C1195" i="7"/>
  <c r="C1227" i="7"/>
  <c r="C1259" i="7"/>
  <c r="C1291" i="7"/>
  <c r="C1323" i="7"/>
  <c r="C1355" i="7"/>
  <c r="C1387" i="7"/>
  <c r="C1419" i="7"/>
  <c r="C1451" i="7"/>
  <c r="C1483" i="7"/>
  <c r="C1515" i="7"/>
  <c r="C1547" i="7"/>
  <c r="C1579" i="7"/>
  <c r="D179" i="7"/>
  <c r="D195" i="7"/>
  <c r="D211" i="7"/>
  <c r="D227" i="7"/>
  <c r="D243" i="7"/>
  <c r="D255" i="7"/>
  <c r="D267" i="7"/>
  <c r="D277" i="7"/>
  <c r="D287" i="7"/>
  <c r="D299" i="7"/>
  <c r="D309" i="7"/>
  <c r="D319" i="7"/>
  <c r="D331" i="7"/>
  <c r="D341" i="7"/>
  <c r="D349" i="7"/>
  <c r="D357" i="7"/>
  <c r="D365" i="7"/>
  <c r="D373" i="7"/>
  <c r="D381" i="7"/>
  <c r="D389" i="7"/>
  <c r="D397" i="7"/>
  <c r="D405" i="7"/>
  <c r="D413" i="7"/>
  <c r="D421" i="7"/>
  <c r="D429" i="7"/>
  <c r="D437" i="7"/>
  <c r="D445" i="7"/>
  <c r="D453" i="7"/>
  <c r="D461" i="7"/>
  <c r="D469" i="7"/>
  <c r="D477" i="7"/>
  <c r="D485" i="7"/>
  <c r="D493" i="7"/>
  <c r="D501" i="7"/>
  <c r="D509" i="7"/>
  <c r="D517" i="7"/>
  <c r="D525" i="7"/>
  <c r="D533" i="7"/>
  <c r="D541" i="7"/>
  <c r="D549" i="7"/>
  <c r="D557" i="7"/>
  <c r="D565" i="7"/>
  <c r="D573" i="7"/>
  <c r="D581" i="7"/>
  <c r="D589" i="7"/>
  <c r="D597" i="7"/>
  <c r="D605" i="7"/>
  <c r="D613" i="7"/>
  <c r="D621" i="7"/>
  <c r="D629" i="7"/>
  <c r="D637" i="7"/>
  <c r="D645" i="7"/>
  <c r="D653" i="7"/>
  <c r="D661" i="7"/>
  <c r="D669" i="7"/>
  <c r="D677" i="7"/>
  <c r="D685" i="7"/>
  <c r="D693" i="7"/>
  <c r="D701" i="7"/>
  <c r="D709" i="7"/>
  <c r="D717" i="7"/>
  <c r="D725" i="7"/>
  <c r="D733" i="7"/>
  <c r="D741" i="7"/>
  <c r="D749" i="7"/>
  <c r="D757" i="7"/>
  <c r="D765" i="7"/>
  <c r="D773" i="7"/>
  <c r="D781" i="7"/>
  <c r="D789" i="7"/>
  <c r="D797" i="7"/>
  <c r="D805" i="7"/>
  <c r="D813" i="7"/>
  <c r="D821" i="7"/>
  <c r="D829" i="7"/>
  <c r="D837" i="7"/>
  <c r="D845" i="7"/>
  <c r="D853" i="7"/>
  <c r="D861" i="7"/>
  <c r="D869" i="7"/>
  <c r="B546" i="7"/>
  <c r="B1075" i="7"/>
  <c r="B1403" i="7"/>
  <c r="B1572" i="7"/>
  <c r="C191" i="7"/>
  <c r="C360" i="7"/>
  <c r="C510" i="7"/>
  <c r="C575" i="7"/>
  <c r="C639" i="7"/>
  <c r="C689" i="7"/>
  <c r="C722" i="7"/>
  <c r="C754" i="7"/>
  <c r="C786" i="7"/>
  <c r="C818" i="7"/>
  <c r="C850" i="7"/>
  <c r="C882" i="7"/>
  <c r="C914" i="7"/>
  <c r="C946" i="7"/>
  <c r="C978" i="7"/>
  <c r="C1010" i="7"/>
  <c r="C1042" i="7"/>
  <c r="C1074" i="7"/>
  <c r="C1106" i="7"/>
  <c r="C1138" i="7"/>
  <c r="C1170" i="7"/>
  <c r="C1202" i="7"/>
  <c r="C1234" i="7"/>
  <c r="C1266" i="7"/>
  <c r="C1298" i="7"/>
  <c r="C1330" i="7"/>
  <c r="C1362" i="7"/>
  <c r="C1394" i="7"/>
  <c r="C1426" i="7"/>
  <c r="C1458" i="7"/>
  <c r="C1490" i="7"/>
  <c r="C1522" i="7"/>
  <c r="C1554" i="7"/>
  <c r="C1586" i="7"/>
  <c r="D180" i="7"/>
  <c r="D196" i="7"/>
  <c r="D212" i="7"/>
  <c r="D228" i="7"/>
  <c r="D244" i="7"/>
  <c r="D256" i="7"/>
  <c r="D268" i="7"/>
  <c r="D278" i="7"/>
  <c r="D288" i="7"/>
  <c r="D300" i="7"/>
  <c r="D310" i="7"/>
  <c r="D320" i="7"/>
  <c r="D332" i="7"/>
  <c r="D342" i="7"/>
  <c r="D350" i="7"/>
  <c r="D358" i="7"/>
  <c r="D366" i="7"/>
  <c r="D374" i="7"/>
  <c r="D382" i="7"/>
  <c r="D390" i="7"/>
  <c r="D398" i="7"/>
  <c r="D406" i="7"/>
  <c r="D414" i="7"/>
  <c r="D422" i="7"/>
  <c r="D430" i="7"/>
  <c r="D438" i="7"/>
  <c r="D446" i="7"/>
  <c r="D454" i="7"/>
  <c r="D462" i="7"/>
  <c r="D470" i="7"/>
  <c r="D478" i="7"/>
  <c r="D486" i="7"/>
  <c r="D494" i="7"/>
  <c r="D502" i="7"/>
  <c r="D510" i="7"/>
  <c r="D518" i="7"/>
  <c r="D526" i="7"/>
  <c r="D534" i="7"/>
  <c r="D542" i="7"/>
  <c r="D550" i="7"/>
  <c r="D558" i="7"/>
  <c r="D566" i="7"/>
  <c r="D574" i="7"/>
  <c r="D582" i="7"/>
  <c r="D590" i="7"/>
  <c r="D598" i="7"/>
  <c r="D606" i="7"/>
  <c r="D614" i="7"/>
  <c r="B777" i="7"/>
  <c r="B1156" i="7"/>
  <c r="B1443" i="7"/>
  <c r="C200" i="7"/>
  <c r="C374" i="7"/>
  <c r="C514" i="7"/>
  <c r="C579" i="7"/>
  <c r="C643" i="7"/>
  <c r="C690" i="7"/>
  <c r="C723" i="7"/>
  <c r="C755" i="7"/>
  <c r="C787" i="7"/>
  <c r="C819" i="7"/>
  <c r="C851" i="7"/>
  <c r="C883" i="7"/>
  <c r="C915" i="7"/>
  <c r="C947" i="7"/>
  <c r="C979" i="7"/>
  <c r="C1011" i="7"/>
  <c r="C1043" i="7"/>
  <c r="C1075" i="7"/>
  <c r="C1107" i="7"/>
  <c r="C1139" i="7"/>
  <c r="C1171" i="7"/>
  <c r="C1203" i="7"/>
  <c r="C1235" i="7"/>
  <c r="C1267" i="7"/>
  <c r="C1299" i="7"/>
  <c r="C1331" i="7"/>
  <c r="C1363" i="7"/>
  <c r="C1395" i="7"/>
  <c r="C1427" i="7"/>
  <c r="C1459" i="7"/>
  <c r="C1491" i="7"/>
  <c r="C1523" i="7"/>
  <c r="C1555" i="7"/>
  <c r="C1587" i="7"/>
  <c r="D166" i="7"/>
  <c r="D182" i="7"/>
  <c r="D198" i="7"/>
  <c r="D214" i="7"/>
  <c r="D230" i="7"/>
  <c r="D246" i="7"/>
  <c r="D259" i="7"/>
  <c r="D269" i="7"/>
  <c r="D279" i="7"/>
  <c r="D291" i="7"/>
  <c r="D301" i="7"/>
  <c r="D311" i="7"/>
  <c r="D323" i="7"/>
  <c r="D333" i="7"/>
  <c r="D343" i="7"/>
  <c r="D351" i="7"/>
  <c r="D359" i="7"/>
  <c r="D367" i="7"/>
  <c r="D375" i="7"/>
  <c r="D383" i="7"/>
  <c r="D391" i="7"/>
  <c r="D399" i="7"/>
  <c r="D407" i="7"/>
  <c r="D415" i="7"/>
  <c r="D423" i="7"/>
  <c r="D431" i="7"/>
  <c r="D439" i="7"/>
  <c r="D447" i="7"/>
  <c r="D455" i="7"/>
  <c r="D463" i="7"/>
  <c r="D471" i="7"/>
  <c r="D479" i="7"/>
  <c r="D487" i="7"/>
  <c r="D495" i="7"/>
  <c r="D503" i="7"/>
  <c r="D511" i="7"/>
  <c r="D519" i="7"/>
  <c r="D527" i="7"/>
  <c r="D535" i="7"/>
  <c r="D543" i="7"/>
  <c r="D551" i="7"/>
  <c r="D559" i="7"/>
  <c r="D567" i="7"/>
  <c r="D575" i="7"/>
  <c r="D583" i="7"/>
  <c r="D591" i="7"/>
  <c r="D599" i="7"/>
  <c r="D607" i="7"/>
  <c r="C406" i="7"/>
  <c r="C698" i="7"/>
  <c r="C826" i="7"/>
  <c r="C954" i="7"/>
  <c r="C1082" i="7"/>
  <c r="C1210" i="7"/>
  <c r="C1338" i="7"/>
  <c r="C1466" i="7"/>
  <c r="D171" i="7"/>
  <c r="D235" i="7"/>
  <c r="D283" i="7"/>
  <c r="D325" i="7"/>
  <c r="D361" i="7"/>
  <c r="D393" i="7"/>
  <c r="D425" i="7"/>
  <c r="D457" i="7"/>
  <c r="D489" i="7"/>
  <c r="D521" i="7"/>
  <c r="D553" i="7"/>
  <c r="D585" i="7"/>
  <c r="D612" i="7"/>
  <c r="D624" i="7"/>
  <c r="D635" i="7"/>
  <c r="D646" i="7"/>
  <c r="D656" i="7"/>
  <c r="D667" i="7"/>
  <c r="D678" i="7"/>
  <c r="D688" i="7"/>
  <c r="D699" i="7"/>
  <c r="D710" i="7"/>
  <c r="D720" i="7"/>
  <c r="D731" i="7"/>
  <c r="D742" i="7"/>
  <c r="D752" i="7"/>
  <c r="D763" i="7"/>
  <c r="D774" i="7"/>
  <c r="D784" i="7"/>
  <c r="D795" i="7"/>
  <c r="D806" i="7"/>
  <c r="D816" i="7"/>
  <c r="D827" i="7"/>
  <c r="D838" i="7"/>
  <c r="D848" i="7"/>
  <c r="D859" i="7"/>
  <c r="D870" i="7"/>
  <c r="D878" i="7"/>
  <c r="D886" i="7"/>
  <c r="D894" i="7"/>
  <c r="D902" i="7"/>
  <c r="D910" i="7"/>
  <c r="D918" i="7"/>
  <c r="D926" i="7"/>
  <c r="D934" i="7"/>
  <c r="D942" i="7"/>
  <c r="D950" i="7"/>
  <c r="D958" i="7"/>
  <c r="D966" i="7"/>
  <c r="D974" i="7"/>
  <c r="D982" i="7"/>
  <c r="D990" i="7"/>
  <c r="D998" i="7"/>
  <c r="D1006" i="7"/>
  <c r="D1014" i="7"/>
  <c r="D1022" i="7"/>
  <c r="D1030" i="7"/>
  <c r="D1038" i="7"/>
  <c r="D1046" i="7"/>
  <c r="D1054" i="7"/>
  <c r="D1062" i="7"/>
  <c r="D1070" i="7"/>
  <c r="D1078" i="7"/>
  <c r="D1086" i="7"/>
  <c r="D1094" i="7"/>
  <c r="D1102" i="7"/>
  <c r="D1110" i="7"/>
  <c r="D1118" i="7"/>
  <c r="D1126" i="7"/>
  <c r="D1134" i="7"/>
  <c r="D1142" i="7"/>
  <c r="D1150" i="7"/>
  <c r="D1158" i="7"/>
  <c r="D1166" i="7"/>
  <c r="D1174" i="7"/>
  <c r="D1182" i="7"/>
  <c r="D1190" i="7"/>
  <c r="D1198" i="7"/>
  <c r="D1206" i="7"/>
  <c r="D1214" i="7"/>
  <c r="B778" i="7"/>
  <c r="C415" i="7"/>
  <c r="C699" i="7"/>
  <c r="C827" i="7"/>
  <c r="C955" i="7"/>
  <c r="C1083" i="7"/>
  <c r="C1211" i="7"/>
  <c r="C1339" i="7"/>
  <c r="C1467" i="7"/>
  <c r="D183" i="7"/>
  <c r="D247" i="7"/>
  <c r="D292" i="7"/>
  <c r="D334" i="7"/>
  <c r="D368" i="7"/>
  <c r="D400" i="7"/>
  <c r="D432" i="7"/>
  <c r="D464" i="7"/>
  <c r="D496" i="7"/>
  <c r="D528" i="7"/>
  <c r="D560" i="7"/>
  <c r="D592" i="7"/>
  <c r="D615" i="7"/>
  <c r="D625" i="7"/>
  <c r="D636" i="7"/>
  <c r="D647" i="7"/>
  <c r="D657" i="7"/>
  <c r="D668" i="7"/>
  <c r="D679" i="7"/>
  <c r="D689" i="7"/>
  <c r="D700" i="7"/>
  <c r="D711" i="7"/>
  <c r="D721" i="7"/>
  <c r="D732" i="7"/>
  <c r="D743" i="7"/>
  <c r="D753" i="7"/>
  <c r="D764" i="7"/>
  <c r="D775" i="7"/>
  <c r="D785" i="7"/>
  <c r="D796" i="7"/>
  <c r="D807" i="7"/>
  <c r="D817" i="7"/>
  <c r="D828" i="7"/>
  <c r="D839" i="7"/>
  <c r="D849" i="7"/>
  <c r="D860" i="7"/>
  <c r="D871" i="7"/>
  <c r="D879" i="7"/>
  <c r="D887" i="7"/>
  <c r="D895" i="7"/>
  <c r="D903" i="7"/>
  <c r="D911" i="7"/>
  <c r="D919" i="7"/>
  <c r="D927" i="7"/>
  <c r="D935" i="7"/>
  <c r="D943" i="7"/>
  <c r="D951" i="7"/>
  <c r="D959" i="7"/>
  <c r="D967" i="7"/>
  <c r="D975" i="7"/>
  <c r="D983" i="7"/>
  <c r="D991" i="7"/>
  <c r="D999" i="7"/>
  <c r="D1007" i="7"/>
  <c r="D1015" i="7"/>
  <c r="D1023" i="7"/>
  <c r="D1031" i="7"/>
  <c r="D1039" i="7"/>
  <c r="D1047" i="7"/>
  <c r="D1055" i="7"/>
  <c r="D1063" i="7"/>
  <c r="D1071" i="7"/>
  <c r="D1079" i="7"/>
  <c r="D1087" i="7"/>
  <c r="D1095" i="7"/>
  <c r="D1103" i="7"/>
  <c r="D1111" i="7"/>
  <c r="D1119" i="7"/>
  <c r="D1127" i="7"/>
  <c r="D1135" i="7"/>
  <c r="D1143" i="7"/>
  <c r="D1151" i="7"/>
  <c r="D1159" i="7"/>
  <c r="D1167" i="7"/>
  <c r="D1175" i="7"/>
  <c r="D1183" i="7"/>
  <c r="D1191" i="7"/>
  <c r="D1199" i="7"/>
  <c r="D1207" i="7"/>
  <c r="D1215" i="7"/>
  <c r="D1223" i="7"/>
  <c r="D1231" i="7"/>
  <c r="D1239" i="7"/>
  <c r="D1247" i="7"/>
  <c r="D1255" i="7"/>
  <c r="D1263" i="7"/>
  <c r="D1271" i="7"/>
  <c r="D1279" i="7"/>
  <c r="D1287" i="7"/>
  <c r="D1295" i="7"/>
  <c r="D1303" i="7"/>
  <c r="D1311" i="7"/>
  <c r="D1319" i="7"/>
  <c r="D1327" i="7"/>
  <c r="D1335" i="7"/>
  <c r="D1343" i="7"/>
  <c r="D1351" i="7"/>
  <c r="D1359" i="7"/>
  <c r="D1367" i="7"/>
  <c r="D1375" i="7"/>
  <c r="D1383" i="7"/>
  <c r="D1391" i="7"/>
  <c r="D1399" i="7"/>
  <c r="D1407" i="7"/>
  <c r="D1415" i="7"/>
  <c r="D1423" i="7"/>
  <c r="D1431" i="7"/>
  <c r="D1439" i="7"/>
  <c r="D1447" i="7"/>
  <c r="D1455" i="7"/>
  <c r="D1463" i="7"/>
  <c r="D1471" i="7"/>
  <c r="D1479" i="7"/>
  <c r="D1487" i="7"/>
  <c r="D1495" i="7"/>
  <c r="D1503" i="7"/>
  <c r="D1511" i="7"/>
  <c r="D1519" i="7"/>
  <c r="D1527" i="7"/>
  <c r="D1535" i="7"/>
  <c r="D1543" i="7"/>
  <c r="D1551" i="7"/>
  <c r="D1559" i="7"/>
  <c r="D1567" i="7"/>
  <c r="D1575" i="7"/>
  <c r="D1583" i="7"/>
  <c r="D1591" i="7"/>
  <c r="E171" i="7"/>
  <c r="E179" i="7"/>
  <c r="E187" i="7"/>
  <c r="E195" i="7"/>
  <c r="E203" i="7"/>
  <c r="E211" i="7"/>
  <c r="E219" i="7"/>
  <c r="E227" i="7"/>
  <c r="E235" i="7"/>
  <c r="E243" i="7"/>
  <c r="E251" i="7"/>
  <c r="E259" i="7"/>
  <c r="E267" i="7"/>
  <c r="E275" i="7"/>
  <c r="E283" i="7"/>
  <c r="E291" i="7"/>
  <c r="E299" i="7"/>
  <c r="E307" i="7"/>
  <c r="E315" i="7"/>
  <c r="E323" i="7"/>
  <c r="E331" i="7"/>
  <c r="E339" i="7"/>
  <c r="E347" i="7"/>
  <c r="E355" i="7"/>
  <c r="E363" i="7"/>
  <c r="E371" i="7"/>
  <c r="E379" i="7"/>
  <c r="E387" i="7"/>
  <c r="E395" i="7"/>
  <c r="E403" i="7"/>
  <c r="E411" i="7"/>
  <c r="E419" i="7"/>
  <c r="E427" i="7"/>
  <c r="E435" i="7"/>
  <c r="E443" i="7"/>
  <c r="B900" i="7"/>
  <c r="C527" i="7"/>
  <c r="C730" i="7"/>
  <c r="C858" i="7"/>
  <c r="C986" i="7"/>
  <c r="C1114" i="7"/>
  <c r="C1242" i="7"/>
  <c r="C1370" i="7"/>
  <c r="C1498" i="7"/>
  <c r="D187" i="7"/>
  <c r="D251" i="7"/>
  <c r="D293" i="7"/>
  <c r="D335" i="7"/>
  <c r="D369" i="7"/>
  <c r="D401" i="7"/>
  <c r="D433" i="7"/>
  <c r="D465" i="7"/>
  <c r="D497" i="7"/>
  <c r="D529" i="7"/>
  <c r="D561" i="7"/>
  <c r="D593" i="7"/>
  <c r="D616" i="7"/>
  <c r="D627" i="7"/>
  <c r="D638" i="7"/>
  <c r="D648" i="7"/>
  <c r="D659" i="7"/>
  <c r="D670" i="7"/>
  <c r="D680" i="7"/>
  <c r="D691" i="7"/>
  <c r="D702" i="7"/>
  <c r="D712" i="7"/>
  <c r="D723" i="7"/>
  <c r="D734" i="7"/>
  <c r="D744" i="7"/>
  <c r="D755" i="7"/>
  <c r="D766" i="7"/>
  <c r="D776" i="7"/>
  <c r="D787" i="7"/>
  <c r="D798" i="7"/>
  <c r="D808" i="7"/>
  <c r="D819" i="7"/>
  <c r="D830" i="7"/>
  <c r="D840" i="7"/>
  <c r="D851" i="7"/>
  <c r="D862" i="7"/>
  <c r="D872" i="7"/>
  <c r="D880" i="7"/>
  <c r="D888" i="7"/>
  <c r="D896" i="7"/>
  <c r="D904" i="7"/>
  <c r="D912" i="7"/>
  <c r="D920" i="7"/>
  <c r="D928" i="7"/>
  <c r="D936" i="7"/>
  <c r="D944" i="7"/>
  <c r="D952" i="7"/>
  <c r="D960" i="7"/>
  <c r="D968" i="7"/>
  <c r="D976" i="7"/>
  <c r="D984" i="7"/>
  <c r="D992" i="7"/>
  <c r="D1000" i="7"/>
  <c r="D1008" i="7"/>
  <c r="D1016" i="7"/>
  <c r="D1024" i="7"/>
  <c r="D1032" i="7"/>
  <c r="D1040" i="7"/>
  <c r="D1048" i="7"/>
  <c r="D1056" i="7"/>
  <c r="D1064" i="7"/>
  <c r="D1072" i="7"/>
  <c r="D1080" i="7"/>
  <c r="D1088" i="7"/>
  <c r="D1096" i="7"/>
  <c r="D1104" i="7"/>
  <c r="D1112" i="7"/>
  <c r="D1120" i="7"/>
  <c r="D1128" i="7"/>
  <c r="D1136" i="7"/>
  <c r="D1144" i="7"/>
  <c r="D1152" i="7"/>
  <c r="D1160" i="7"/>
  <c r="D1168" i="7"/>
  <c r="D1176" i="7"/>
  <c r="D1184" i="7"/>
  <c r="D1192" i="7"/>
  <c r="D1200" i="7"/>
  <c r="D1208" i="7"/>
  <c r="D1216" i="7"/>
  <c r="D1224" i="7"/>
  <c r="D1232" i="7"/>
  <c r="D1240" i="7"/>
  <c r="D1248" i="7"/>
  <c r="D1256" i="7"/>
  <c r="D1264" i="7"/>
  <c r="D1272" i="7"/>
  <c r="D1280" i="7"/>
  <c r="D1288" i="7"/>
  <c r="D1296" i="7"/>
  <c r="D1304" i="7"/>
  <c r="D1312" i="7"/>
  <c r="D1320" i="7"/>
  <c r="D1328" i="7"/>
  <c r="D1336" i="7"/>
  <c r="D1344" i="7"/>
  <c r="D1352" i="7"/>
  <c r="D1360" i="7"/>
  <c r="D1368" i="7"/>
  <c r="D1376" i="7"/>
  <c r="D1384" i="7"/>
  <c r="D1392" i="7"/>
  <c r="D1400" i="7"/>
  <c r="D1408" i="7"/>
  <c r="D1416" i="7"/>
  <c r="D1424" i="7"/>
  <c r="D1432" i="7"/>
  <c r="D1440" i="7"/>
  <c r="D1448" i="7"/>
  <c r="D1456" i="7"/>
  <c r="D1464" i="7"/>
  <c r="D1472" i="7"/>
  <c r="D1480" i="7"/>
  <c r="D1488" i="7"/>
  <c r="D1496" i="7"/>
  <c r="D1504" i="7"/>
  <c r="D1512" i="7"/>
  <c r="D1520" i="7"/>
  <c r="D1528" i="7"/>
  <c r="D1536" i="7"/>
  <c r="D1544" i="7"/>
  <c r="D1552" i="7"/>
  <c r="D1560" i="7"/>
  <c r="D1568" i="7"/>
  <c r="D1576" i="7"/>
  <c r="D1584" i="7"/>
  <c r="D1592" i="7"/>
  <c r="B1162" i="7"/>
  <c r="C531" i="7"/>
  <c r="C731" i="7"/>
  <c r="C859" i="7"/>
  <c r="C987" i="7"/>
  <c r="C1115" i="7"/>
  <c r="C1243" i="7"/>
  <c r="C1371" i="7"/>
  <c r="C1499" i="7"/>
  <c r="D199" i="7"/>
  <c r="D260" i="7"/>
  <c r="D302" i="7"/>
  <c r="D344" i="7"/>
  <c r="D376" i="7"/>
  <c r="D408" i="7"/>
  <c r="D440" i="7"/>
  <c r="D472" i="7"/>
  <c r="D504" i="7"/>
  <c r="D536" i="7"/>
  <c r="D568" i="7"/>
  <c r="D600" i="7"/>
  <c r="D617" i="7"/>
  <c r="D628" i="7"/>
  <c r="D639" i="7"/>
  <c r="D649" i="7"/>
  <c r="D660" i="7"/>
  <c r="D671" i="7"/>
  <c r="D681" i="7"/>
  <c r="D692" i="7"/>
  <c r="D703" i="7"/>
  <c r="D713" i="7"/>
  <c r="D724" i="7"/>
  <c r="D735" i="7"/>
  <c r="D745" i="7"/>
  <c r="D756" i="7"/>
  <c r="D767" i="7"/>
  <c r="D777" i="7"/>
  <c r="D788" i="7"/>
  <c r="D799" i="7"/>
  <c r="D809" i="7"/>
  <c r="D820" i="7"/>
  <c r="D831" i="7"/>
  <c r="D841" i="7"/>
  <c r="D852" i="7"/>
  <c r="D863" i="7"/>
  <c r="D873" i="7"/>
  <c r="D881" i="7"/>
  <c r="D889" i="7"/>
  <c r="D897" i="7"/>
  <c r="D905" i="7"/>
  <c r="D913" i="7"/>
  <c r="D921" i="7"/>
  <c r="D929" i="7"/>
  <c r="D937" i="7"/>
  <c r="D945" i="7"/>
  <c r="D953" i="7"/>
  <c r="D961" i="7"/>
  <c r="D969" i="7"/>
  <c r="D977" i="7"/>
  <c r="D985" i="7"/>
  <c r="D993" i="7"/>
  <c r="D1001" i="7"/>
  <c r="D1009" i="7"/>
  <c r="D1017" i="7"/>
  <c r="D1025" i="7"/>
  <c r="D1033" i="7"/>
  <c r="D1041" i="7"/>
  <c r="D1049" i="7"/>
  <c r="D1057" i="7"/>
  <c r="D1065" i="7"/>
  <c r="D1073" i="7"/>
  <c r="D1081" i="7"/>
  <c r="D1089" i="7"/>
  <c r="D1097" i="7"/>
  <c r="D1105" i="7"/>
  <c r="D1113" i="7"/>
  <c r="D1121" i="7"/>
  <c r="D1129" i="7"/>
  <c r="D1137" i="7"/>
  <c r="D1145" i="7"/>
  <c r="D1153" i="7"/>
  <c r="D1161" i="7"/>
  <c r="D1169" i="7"/>
  <c r="D1177" i="7"/>
  <c r="D1185" i="7"/>
  <c r="D1193" i="7"/>
  <c r="D1201" i="7"/>
  <c r="D1209" i="7"/>
  <c r="D1217" i="7"/>
  <c r="D1225" i="7"/>
  <c r="D1233" i="7"/>
  <c r="D1241" i="7"/>
  <c r="D1249" i="7"/>
  <c r="D1257" i="7"/>
  <c r="D1265" i="7"/>
  <c r="D1273" i="7"/>
  <c r="D1281" i="7"/>
  <c r="D1289" i="7"/>
  <c r="D1297" i="7"/>
  <c r="D1305" i="7"/>
  <c r="D1313" i="7"/>
  <c r="D1321" i="7"/>
  <c r="D1329" i="7"/>
  <c r="D1337" i="7"/>
  <c r="D1345" i="7"/>
  <c r="D1353" i="7"/>
  <c r="D1361" i="7"/>
  <c r="D1369" i="7"/>
  <c r="D1377" i="7"/>
  <c r="D1385" i="7"/>
  <c r="D1393" i="7"/>
  <c r="D1401" i="7"/>
  <c r="D1409" i="7"/>
  <c r="D1417" i="7"/>
  <c r="D1425" i="7"/>
  <c r="D1433" i="7"/>
  <c r="D1441" i="7"/>
  <c r="D1449" i="7"/>
  <c r="D1457" i="7"/>
  <c r="D1465" i="7"/>
  <c r="D1473" i="7"/>
  <c r="D1481" i="7"/>
  <c r="D1489" i="7"/>
  <c r="D1497" i="7"/>
  <c r="D1505" i="7"/>
  <c r="D1513" i="7"/>
  <c r="D1521" i="7"/>
  <c r="D1529" i="7"/>
  <c r="D1537" i="7"/>
  <c r="D1545" i="7"/>
  <c r="D1553" i="7"/>
  <c r="D1561" i="7"/>
  <c r="D1569" i="7"/>
  <c r="D1577" i="7"/>
  <c r="D1585" i="7"/>
  <c r="D1593" i="7"/>
  <c r="B1243" i="7"/>
  <c r="C591" i="7"/>
  <c r="C762" i="7"/>
  <c r="C890" i="7"/>
  <c r="C1018" i="7"/>
  <c r="C1146" i="7"/>
  <c r="C1274" i="7"/>
  <c r="C1402" i="7"/>
  <c r="C1530" i="7"/>
  <c r="D203" i="7"/>
  <c r="D261" i="7"/>
  <c r="D303" i="7"/>
  <c r="D345" i="7"/>
  <c r="D377" i="7"/>
  <c r="D409" i="7"/>
  <c r="D441" i="7"/>
  <c r="D473" i="7"/>
  <c r="D505" i="7"/>
  <c r="D537" i="7"/>
  <c r="D569" i="7"/>
  <c r="D601" i="7"/>
  <c r="D619" i="7"/>
  <c r="D630" i="7"/>
  <c r="D640" i="7"/>
  <c r="D651" i="7"/>
  <c r="D662" i="7"/>
  <c r="D672" i="7"/>
  <c r="D683" i="7"/>
  <c r="D694" i="7"/>
  <c r="D704" i="7"/>
  <c r="D715" i="7"/>
  <c r="D726" i="7"/>
  <c r="D736" i="7"/>
  <c r="D747" i="7"/>
  <c r="D758" i="7"/>
  <c r="D768" i="7"/>
  <c r="D779" i="7"/>
  <c r="D790" i="7"/>
  <c r="D800" i="7"/>
  <c r="D811" i="7"/>
  <c r="D822" i="7"/>
  <c r="D832" i="7"/>
  <c r="D843" i="7"/>
  <c r="D854" i="7"/>
  <c r="D864" i="7"/>
  <c r="D874" i="7"/>
  <c r="D882" i="7"/>
  <c r="D890" i="7"/>
  <c r="D898" i="7"/>
  <c r="D906" i="7"/>
  <c r="D914" i="7"/>
  <c r="D922" i="7"/>
  <c r="D930" i="7"/>
  <c r="D938" i="7"/>
  <c r="D946" i="7"/>
  <c r="D954" i="7"/>
  <c r="D962" i="7"/>
  <c r="D970" i="7"/>
  <c r="D978" i="7"/>
  <c r="D986" i="7"/>
  <c r="D994" i="7"/>
  <c r="D1002" i="7"/>
  <c r="D1010" i="7"/>
  <c r="D1018" i="7"/>
  <c r="D1026" i="7"/>
  <c r="D1034" i="7"/>
  <c r="D1042" i="7"/>
  <c r="D1050" i="7"/>
  <c r="D1058" i="7"/>
  <c r="D1066" i="7"/>
  <c r="D1074" i="7"/>
  <c r="D1082" i="7"/>
  <c r="D1090" i="7"/>
  <c r="D1098" i="7"/>
  <c r="D1106" i="7"/>
  <c r="D1114" i="7"/>
  <c r="D1122" i="7"/>
  <c r="D1130" i="7"/>
  <c r="D1138" i="7"/>
  <c r="D1146" i="7"/>
  <c r="D1154" i="7"/>
  <c r="D1162" i="7"/>
  <c r="D1170" i="7"/>
  <c r="D1178" i="7"/>
  <c r="D1186" i="7"/>
  <c r="D1194" i="7"/>
  <c r="D1202" i="7"/>
  <c r="D1210" i="7"/>
  <c r="B1444" i="7"/>
  <c r="C595" i="7"/>
  <c r="C763" i="7"/>
  <c r="C891" i="7"/>
  <c r="C1019" i="7"/>
  <c r="C1147" i="7"/>
  <c r="C1275" i="7"/>
  <c r="C1403" i="7"/>
  <c r="C1531" i="7"/>
  <c r="D215" i="7"/>
  <c r="D270" i="7"/>
  <c r="D312" i="7"/>
  <c r="D352" i="7"/>
  <c r="D384" i="7"/>
  <c r="D416" i="7"/>
  <c r="D448" i="7"/>
  <c r="D480" i="7"/>
  <c r="D512" i="7"/>
  <c r="D544" i="7"/>
  <c r="D576" i="7"/>
  <c r="D608" i="7"/>
  <c r="D620" i="7"/>
  <c r="D631" i="7"/>
  <c r="D641" i="7"/>
  <c r="D652" i="7"/>
  <c r="D663" i="7"/>
  <c r="D673" i="7"/>
  <c r="D684" i="7"/>
  <c r="D695" i="7"/>
  <c r="D705" i="7"/>
  <c r="D716" i="7"/>
  <c r="D727" i="7"/>
  <c r="D737" i="7"/>
  <c r="D748" i="7"/>
  <c r="D759" i="7"/>
  <c r="D769" i="7"/>
  <c r="D780" i="7"/>
  <c r="D791" i="7"/>
  <c r="D801" i="7"/>
  <c r="D812" i="7"/>
  <c r="D823" i="7"/>
  <c r="D833" i="7"/>
  <c r="D844" i="7"/>
  <c r="D855" i="7"/>
  <c r="D865" i="7"/>
  <c r="D875" i="7"/>
  <c r="D883" i="7"/>
  <c r="D891" i="7"/>
  <c r="D899" i="7"/>
  <c r="D907" i="7"/>
  <c r="D915" i="7"/>
  <c r="D923" i="7"/>
  <c r="D931" i="7"/>
  <c r="D939" i="7"/>
  <c r="D947" i="7"/>
  <c r="D955" i="7"/>
  <c r="D963" i="7"/>
  <c r="D971" i="7"/>
  <c r="D979" i="7"/>
  <c r="D987" i="7"/>
  <c r="D995" i="7"/>
  <c r="D1003" i="7"/>
  <c r="D1011" i="7"/>
  <c r="D1019" i="7"/>
  <c r="D1027" i="7"/>
  <c r="D1035" i="7"/>
  <c r="D1043" i="7"/>
  <c r="D1051" i="7"/>
  <c r="D1059" i="7"/>
  <c r="D1067" i="7"/>
  <c r="D1075" i="7"/>
  <c r="D1083" i="7"/>
  <c r="D1091" i="7"/>
  <c r="D1099" i="7"/>
  <c r="D1107" i="7"/>
  <c r="D1115" i="7"/>
  <c r="D1123" i="7"/>
  <c r="D1131" i="7"/>
  <c r="D1139" i="7"/>
  <c r="D1147" i="7"/>
  <c r="D1155" i="7"/>
  <c r="D1163" i="7"/>
  <c r="D1171" i="7"/>
  <c r="D1179" i="7"/>
  <c r="D1187" i="7"/>
  <c r="D1195" i="7"/>
  <c r="D1203" i="7"/>
  <c r="D1211" i="7"/>
  <c r="D1219" i="7"/>
  <c r="D1227" i="7"/>
  <c r="D1235" i="7"/>
  <c r="D1243" i="7"/>
  <c r="D1251" i="7"/>
  <c r="D1259" i="7"/>
  <c r="D1267" i="7"/>
  <c r="D1275" i="7"/>
  <c r="D1283" i="7"/>
  <c r="D1291" i="7"/>
  <c r="D1299" i="7"/>
  <c r="D1307" i="7"/>
  <c r="D1315" i="7"/>
  <c r="D1323" i="7"/>
  <c r="D1331" i="7"/>
  <c r="D1339" i="7"/>
  <c r="D1347" i="7"/>
  <c r="D1355" i="7"/>
  <c r="D1363" i="7"/>
  <c r="D1371" i="7"/>
  <c r="D1379" i="7"/>
  <c r="D1387" i="7"/>
  <c r="D1395" i="7"/>
  <c r="D1403" i="7"/>
  <c r="D1411" i="7"/>
  <c r="D1419" i="7"/>
  <c r="D1427" i="7"/>
  <c r="D1435" i="7"/>
  <c r="D1443" i="7"/>
  <c r="D1451" i="7"/>
  <c r="D1459" i="7"/>
  <c r="D1467" i="7"/>
  <c r="D1475" i="7"/>
  <c r="D1483" i="7"/>
  <c r="D1491" i="7"/>
  <c r="D1499" i="7"/>
  <c r="D1507" i="7"/>
  <c r="D1515" i="7"/>
  <c r="D1523" i="7"/>
  <c r="D1531" i="7"/>
  <c r="D1539" i="7"/>
  <c r="D1547" i="7"/>
  <c r="D1555" i="7"/>
  <c r="D1563" i="7"/>
  <c r="D1571" i="7"/>
  <c r="D1579" i="7"/>
  <c r="D1587" i="7"/>
  <c r="E167" i="7"/>
  <c r="E175" i="7"/>
  <c r="E183" i="7"/>
  <c r="E191" i="7"/>
  <c r="E199" i="7"/>
  <c r="E207" i="7"/>
  <c r="E215" i="7"/>
  <c r="E223" i="7"/>
  <c r="E231" i="7"/>
  <c r="E239" i="7"/>
  <c r="E247" i="7"/>
  <c r="E255" i="7"/>
  <c r="E263" i="7"/>
  <c r="E271" i="7"/>
  <c r="E279" i="7"/>
  <c r="E287" i="7"/>
  <c r="E295" i="7"/>
  <c r="E303" i="7"/>
  <c r="E311" i="7"/>
  <c r="E319" i="7"/>
  <c r="E327" i="7"/>
  <c r="E335" i="7"/>
  <c r="E343" i="7"/>
  <c r="E351" i="7"/>
  <c r="E359" i="7"/>
  <c r="E367" i="7"/>
  <c r="E375" i="7"/>
  <c r="E383" i="7"/>
  <c r="E391" i="7"/>
  <c r="E399" i="7"/>
  <c r="E407" i="7"/>
  <c r="E415" i="7"/>
  <c r="E423" i="7"/>
  <c r="E431" i="7"/>
  <c r="E439" i="7"/>
  <c r="C923" i="7"/>
  <c r="C1435" i="7"/>
  <c r="D324" i="7"/>
  <c r="D456" i="7"/>
  <c r="D584" i="7"/>
  <c r="D644" i="7"/>
  <c r="D687" i="7"/>
  <c r="D729" i="7"/>
  <c r="D772" i="7"/>
  <c r="D815" i="7"/>
  <c r="D857" i="7"/>
  <c r="D893" i="7"/>
  <c r="D925" i="7"/>
  <c r="D957" i="7"/>
  <c r="D989" i="7"/>
  <c r="D1021" i="7"/>
  <c r="D1053" i="7"/>
  <c r="D1085" i="7"/>
  <c r="D1117" i="7"/>
  <c r="D1149" i="7"/>
  <c r="D1181" i="7"/>
  <c r="D1213" i="7"/>
  <c r="D1230" i="7"/>
  <c r="D1246" i="7"/>
  <c r="D1262" i="7"/>
  <c r="D1278" i="7"/>
  <c r="D1294" i="7"/>
  <c r="D1310" i="7"/>
  <c r="D1326" i="7"/>
  <c r="D1342" i="7"/>
  <c r="D1358" i="7"/>
  <c r="D1374" i="7"/>
  <c r="D1390" i="7"/>
  <c r="D1406" i="7"/>
  <c r="D1422" i="7"/>
  <c r="D1438" i="7"/>
  <c r="D1454" i="7"/>
  <c r="D1470" i="7"/>
  <c r="D1486" i="7"/>
  <c r="D1502" i="7"/>
  <c r="D1518" i="7"/>
  <c r="D1534" i="7"/>
  <c r="D1550" i="7"/>
  <c r="D1566" i="7"/>
  <c r="D1582" i="7"/>
  <c r="E170" i="7"/>
  <c r="E181" i="7"/>
  <c r="E192" i="7"/>
  <c r="E202" i="7"/>
  <c r="E213" i="7"/>
  <c r="E224" i="7"/>
  <c r="E234" i="7"/>
  <c r="E245" i="7"/>
  <c r="E256" i="7"/>
  <c r="E266" i="7"/>
  <c r="E277" i="7"/>
  <c r="E288" i="7"/>
  <c r="E298" i="7"/>
  <c r="E309" i="7"/>
  <c r="E320" i="7"/>
  <c r="E330" i="7"/>
  <c r="E341" i="7"/>
  <c r="E352" i="7"/>
  <c r="E362" i="7"/>
  <c r="E373" i="7"/>
  <c r="E384" i="7"/>
  <c r="E394" i="7"/>
  <c r="E405" i="7"/>
  <c r="E416" i="7"/>
  <c r="E426" i="7"/>
  <c r="E437" i="7"/>
  <c r="E447" i="7"/>
  <c r="E455" i="7"/>
  <c r="E463" i="7"/>
  <c r="E471" i="7"/>
  <c r="E479" i="7"/>
  <c r="E487" i="7"/>
  <c r="E495" i="7"/>
  <c r="E503" i="7"/>
  <c r="E511" i="7"/>
  <c r="E519" i="7"/>
  <c r="E527" i="7"/>
  <c r="E535" i="7"/>
  <c r="E543" i="7"/>
  <c r="E551" i="7"/>
  <c r="E559" i="7"/>
  <c r="E567" i="7"/>
  <c r="E575" i="7"/>
  <c r="E583" i="7"/>
  <c r="E591" i="7"/>
  <c r="E599" i="7"/>
  <c r="E607" i="7"/>
  <c r="E615" i="7"/>
  <c r="E623" i="7"/>
  <c r="E631" i="7"/>
  <c r="E639" i="7"/>
  <c r="E647" i="7"/>
  <c r="B1484" i="7"/>
  <c r="C232" i="7"/>
  <c r="C1050" i="7"/>
  <c r="C1562" i="7"/>
  <c r="D353" i="7"/>
  <c r="D481" i="7"/>
  <c r="D609" i="7"/>
  <c r="D654" i="7"/>
  <c r="D696" i="7"/>
  <c r="D739" i="7"/>
  <c r="D782" i="7"/>
  <c r="D824" i="7"/>
  <c r="D867" i="7"/>
  <c r="D900" i="7"/>
  <c r="D932" i="7"/>
  <c r="D964" i="7"/>
  <c r="D996" i="7"/>
  <c r="D1028" i="7"/>
  <c r="D1060" i="7"/>
  <c r="D1092" i="7"/>
  <c r="D1124" i="7"/>
  <c r="D1156" i="7"/>
  <c r="D1188"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E172" i="7"/>
  <c r="E182" i="7"/>
  <c r="E193" i="7"/>
  <c r="E204" i="7"/>
  <c r="E214" i="7"/>
  <c r="E225" i="7"/>
  <c r="E236" i="7"/>
  <c r="E246" i="7"/>
  <c r="E257" i="7"/>
  <c r="E268" i="7"/>
  <c r="E278" i="7"/>
  <c r="E289" i="7"/>
  <c r="E300" i="7"/>
  <c r="E310" i="7"/>
  <c r="E321" i="7"/>
  <c r="E332" i="7"/>
  <c r="E342" i="7"/>
  <c r="E353" i="7"/>
  <c r="E364" i="7"/>
  <c r="E374" i="7"/>
  <c r="E385" i="7"/>
  <c r="E396" i="7"/>
  <c r="E406" i="7"/>
  <c r="E417" i="7"/>
  <c r="E428" i="7"/>
  <c r="E438" i="7"/>
  <c r="E448" i="7"/>
  <c r="E456" i="7"/>
  <c r="E464" i="7"/>
  <c r="E472" i="7"/>
  <c r="E480" i="7"/>
  <c r="E488" i="7"/>
  <c r="E496" i="7"/>
  <c r="E504" i="7"/>
  <c r="E512" i="7"/>
  <c r="E520" i="7"/>
  <c r="E528" i="7"/>
  <c r="E536" i="7"/>
  <c r="E544" i="7"/>
  <c r="E552" i="7"/>
  <c r="E560" i="7"/>
  <c r="E568" i="7"/>
  <c r="E576" i="7"/>
  <c r="E584" i="7"/>
  <c r="E592" i="7"/>
  <c r="E600" i="7"/>
  <c r="E608" i="7"/>
  <c r="E616" i="7"/>
  <c r="E624" i="7"/>
  <c r="E632" i="7"/>
  <c r="E640" i="7"/>
  <c r="C246" i="7"/>
  <c r="C1051" i="7"/>
  <c r="C1563" i="7"/>
  <c r="D167" i="7"/>
  <c r="D360" i="7"/>
  <c r="D488" i="7"/>
  <c r="D611" i="7"/>
  <c r="D655" i="7"/>
  <c r="D697" i="7"/>
  <c r="D740" i="7"/>
  <c r="D783" i="7"/>
  <c r="D825" i="7"/>
  <c r="D868" i="7"/>
  <c r="D901" i="7"/>
  <c r="D933" i="7"/>
  <c r="D965" i="7"/>
  <c r="D997" i="7"/>
  <c r="D1029" i="7"/>
  <c r="D1061" i="7"/>
  <c r="D1093" i="7"/>
  <c r="D1125" i="7"/>
  <c r="D1157" i="7"/>
  <c r="D1189" i="7"/>
  <c r="D1220" i="7"/>
  <c r="D1236" i="7"/>
  <c r="D1252" i="7"/>
  <c r="D1268" i="7"/>
  <c r="D1284" i="7"/>
  <c r="D1300" i="7"/>
  <c r="D1316" i="7"/>
  <c r="D1332" i="7"/>
  <c r="D1348" i="7"/>
  <c r="D1364" i="7"/>
  <c r="D1380" i="7"/>
  <c r="D1396" i="7"/>
  <c r="D1412" i="7"/>
  <c r="D1428" i="7"/>
  <c r="D1444" i="7"/>
  <c r="D1460" i="7"/>
  <c r="D1476" i="7"/>
  <c r="D1492" i="7"/>
  <c r="D1508" i="7"/>
  <c r="D1524" i="7"/>
  <c r="D1540" i="7"/>
  <c r="D1556" i="7"/>
  <c r="D1572" i="7"/>
  <c r="D1588" i="7"/>
  <c r="E173" i="7"/>
  <c r="E184" i="7"/>
  <c r="E194" i="7"/>
  <c r="E205" i="7"/>
  <c r="E216" i="7"/>
  <c r="E226" i="7"/>
  <c r="E237" i="7"/>
  <c r="E248" i="7"/>
  <c r="E258" i="7"/>
  <c r="E269" i="7"/>
  <c r="E280" i="7"/>
  <c r="E290" i="7"/>
  <c r="E301" i="7"/>
  <c r="E312" i="7"/>
  <c r="E322" i="7"/>
  <c r="E333" i="7"/>
  <c r="E344" i="7"/>
  <c r="E354" i="7"/>
  <c r="E365" i="7"/>
  <c r="E376" i="7"/>
  <c r="E386" i="7"/>
  <c r="E397" i="7"/>
  <c r="E408" i="7"/>
  <c r="E418" i="7"/>
  <c r="E429" i="7"/>
  <c r="E440" i="7"/>
  <c r="E449" i="7"/>
  <c r="E457" i="7"/>
  <c r="E465" i="7"/>
  <c r="E473" i="7"/>
  <c r="E481" i="7"/>
  <c r="E489" i="7"/>
  <c r="E497" i="7"/>
  <c r="E505" i="7"/>
  <c r="E513" i="7"/>
  <c r="E521" i="7"/>
  <c r="E529" i="7"/>
  <c r="E537" i="7"/>
  <c r="E545" i="7"/>
  <c r="E553" i="7"/>
  <c r="E561" i="7"/>
  <c r="E569" i="7"/>
  <c r="E577" i="7"/>
  <c r="E585" i="7"/>
  <c r="E593" i="7"/>
  <c r="E601" i="7"/>
  <c r="E609" i="7"/>
  <c r="E617" i="7"/>
  <c r="E625" i="7"/>
  <c r="E633" i="7"/>
  <c r="E641" i="7"/>
  <c r="E649" i="7"/>
  <c r="E657" i="7"/>
  <c r="E665" i="7"/>
  <c r="E673" i="7"/>
  <c r="E681" i="7"/>
  <c r="E689" i="7"/>
  <c r="E697" i="7"/>
  <c r="E705" i="7"/>
  <c r="E713" i="7"/>
  <c r="E721" i="7"/>
  <c r="E729" i="7"/>
  <c r="E737" i="7"/>
  <c r="E745" i="7"/>
  <c r="E753" i="7"/>
  <c r="E761" i="7"/>
  <c r="E769" i="7"/>
  <c r="E777" i="7"/>
  <c r="E785" i="7"/>
  <c r="E793" i="7"/>
  <c r="E801" i="7"/>
  <c r="E809" i="7"/>
  <c r="E817" i="7"/>
  <c r="E825" i="7"/>
  <c r="E833" i="7"/>
  <c r="E841" i="7"/>
  <c r="E849" i="7"/>
  <c r="E857" i="7"/>
  <c r="E865" i="7"/>
  <c r="E873" i="7"/>
  <c r="E881" i="7"/>
  <c r="E889" i="7"/>
  <c r="E897" i="7"/>
  <c r="E905" i="7"/>
  <c r="E913" i="7"/>
  <c r="E921" i="7"/>
  <c r="E929" i="7"/>
  <c r="E937" i="7"/>
  <c r="E945" i="7"/>
  <c r="E953" i="7"/>
  <c r="E961" i="7"/>
  <c r="C655" i="7"/>
  <c r="C1178" i="7"/>
  <c r="D219" i="7"/>
  <c r="D385" i="7"/>
  <c r="D513" i="7"/>
  <c r="D622" i="7"/>
  <c r="D664" i="7"/>
  <c r="D707" i="7"/>
  <c r="D750" i="7"/>
  <c r="D792" i="7"/>
  <c r="D835" i="7"/>
  <c r="D876" i="7"/>
  <c r="D908" i="7"/>
  <c r="D940" i="7"/>
  <c r="D972" i="7"/>
  <c r="D1004" i="7"/>
  <c r="D1036" i="7"/>
  <c r="D1068" i="7"/>
  <c r="D1100" i="7"/>
  <c r="D1132" i="7"/>
  <c r="D1164" i="7"/>
  <c r="D1196"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E174" i="7"/>
  <c r="E185" i="7"/>
  <c r="E196" i="7"/>
  <c r="E206" i="7"/>
  <c r="E217" i="7"/>
  <c r="E228" i="7"/>
  <c r="E238" i="7"/>
  <c r="E249" i="7"/>
  <c r="E260" i="7"/>
  <c r="E270" i="7"/>
  <c r="E281" i="7"/>
  <c r="E292" i="7"/>
  <c r="E302" i="7"/>
  <c r="E313" i="7"/>
  <c r="E324" i="7"/>
  <c r="E334" i="7"/>
  <c r="E345" i="7"/>
  <c r="E356" i="7"/>
  <c r="E366" i="7"/>
  <c r="E377" i="7"/>
  <c r="E388" i="7"/>
  <c r="E398" i="7"/>
  <c r="E409" i="7"/>
  <c r="E420" i="7"/>
  <c r="E430" i="7"/>
  <c r="E441" i="7"/>
  <c r="E450" i="7"/>
  <c r="E458" i="7"/>
  <c r="E466" i="7"/>
  <c r="E474" i="7"/>
  <c r="E482" i="7"/>
  <c r="E490" i="7"/>
  <c r="E498" i="7"/>
  <c r="E506" i="7"/>
  <c r="E514" i="7"/>
  <c r="E522" i="7"/>
  <c r="E530" i="7"/>
  <c r="E538" i="7"/>
  <c r="E546" i="7"/>
  <c r="E554" i="7"/>
  <c r="E562" i="7"/>
  <c r="E570" i="7"/>
  <c r="E578" i="7"/>
  <c r="E586" i="7"/>
  <c r="E594" i="7"/>
  <c r="E602" i="7"/>
  <c r="E610" i="7"/>
  <c r="E618" i="7"/>
  <c r="E626" i="7"/>
  <c r="E634" i="7"/>
  <c r="E642" i="7"/>
  <c r="E650" i="7"/>
  <c r="E658" i="7"/>
  <c r="E666" i="7"/>
  <c r="E674" i="7"/>
  <c r="E682" i="7"/>
  <c r="E690" i="7"/>
  <c r="E698" i="7"/>
  <c r="E706" i="7"/>
  <c r="E714" i="7"/>
  <c r="E722" i="7"/>
  <c r="E730" i="7"/>
  <c r="E738" i="7"/>
  <c r="E746" i="7"/>
  <c r="E754" i="7"/>
  <c r="E762" i="7"/>
  <c r="E770" i="7"/>
  <c r="E778" i="7"/>
  <c r="E786" i="7"/>
  <c r="E794" i="7"/>
  <c r="E802" i="7"/>
  <c r="E810" i="7"/>
  <c r="E818" i="7"/>
  <c r="E826" i="7"/>
  <c r="E834" i="7"/>
  <c r="E842" i="7"/>
  <c r="E850" i="7"/>
  <c r="E858" i="7"/>
  <c r="E866" i="7"/>
  <c r="E874" i="7"/>
  <c r="E882" i="7"/>
  <c r="E890" i="7"/>
  <c r="C657" i="7"/>
  <c r="C1179" i="7"/>
  <c r="D231" i="7"/>
  <c r="D392" i="7"/>
  <c r="D520" i="7"/>
  <c r="D623" i="7"/>
  <c r="D665" i="7"/>
  <c r="D708" i="7"/>
  <c r="D751" i="7"/>
  <c r="D793" i="7"/>
  <c r="D836" i="7"/>
  <c r="D877" i="7"/>
  <c r="D909" i="7"/>
  <c r="D941" i="7"/>
  <c r="D973" i="7"/>
  <c r="D1005" i="7"/>
  <c r="D1037" i="7"/>
  <c r="D1069" i="7"/>
  <c r="D1101" i="7"/>
  <c r="D1133" i="7"/>
  <c r="D1165" i="7"/>
  <c r="D1197"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E165" i="7"/>
  <c r="E176" i="7"/>
  <c r="E186" i="7"/>
  <c r="E197" i="7"/>
  <c r="E208" i="7"/>
  <c r="E218" i="7"/>
  <c r="E229" i="7"/>
  <c r="E240" i="7"/>
  <c r="E250" i="7"/>
  <c r="E261" i="7"/>
  <c r="E272" i="7"/>
  <c r="E282" i="7"/>
  <c r="E293" i="7"/>
  <c r="E304" i="7"/>
  <c r="E314" i="7"/>
  <c r="E325" i="7"/>
  <c r="E336" i="7"/>
  <c r="E346" i="7"/>
  <c r="E357" i="7"/>
  <c r="E368" i="7"/>
  <c r="E378" i="7"/>
  <c r="E389" i="7"/>
  <c r="E400" i="7"/>
  <c r="E410" i="7"/>
  <c r="E421" i="7"/>
  <c r="E432" i="7"/>
  <c r="E442" i="7"/>
  <c r="E451" i="7"/>
  <c r="E459" i="7"/>
  <c r="E467" i="7"/>
  <c r="E475" i="7"/>
  <c r="E483" i="7"/>
  <c r="E491" i="7"/>
  <c r="E499" i="7"/>
  <c r="E507" i="7"/>
  <c r="E515" i="7"/>
  <c r="E523" i="7"/>
  <c r="E531" i="7"/>
  <c r="E539" i="7"/>
  <c r="E547" i="7"/>
  <c r="E555" i="7"/>
  <c r="E563" i="7"/>
  <c r="E571" i="7"/>
  <c r="E579" i="7"/>
  <c r="E587" i="7"/>
  <c r="E595" i="7"/>
  <c r="E603" i="7"/>
  <c r="E611" i="7"/>
  <c r="E619" i="7"/>
  <c r="E627" i="7"/>
  <c r="E635" i="7"/>
  <c r="E643" i="7"/>
  <c r="E651" i="7"/>
  <c r="E659" i="7"/>
  <c r="E667" i="7"/>
  <c r="E675" i="7"/>
  <c r="E683" i="7"/>
  <c r="E691" i="7"/>
  <c r="E699" i="7"/>
  <c r="E707" i="7"/>
  <c r="E715" i="7"/>
  <c r="E723" i="7"/>
  <c r="E731" i="7"/>
  <c r="E739" i="7"/>
  <c r="E747" i="7"/>
  <c r="E755" i="7"/>
  <c r="E763" i="7"/>
  <c r="E771" i="7"/>
  <c r="E779" i="7"/>
  <c r="E787" i="7"/>
  <c r="E795" i="7"/>
  <c r="E803" i="7"/>
  <c r="E811" i="7"/>
  <c r="E819" i="7"/>
  <c r="E827" i="7"/>
  <c r="E835" i="7"/>
  <c r="E843" i="7"/>
  <c r="E851" i="7"/>
  <c r="E859" i="7"/>
  <c r="E867" i="7"/>
  <c r="E875" i="7"/>
  <c r="E883" i="7"/>
  <c r="E891" i="7"/>
  <c r="E899" i="7"/>
  <c r="E907" i="7"/>
  <c r="E915" i="7"/>
  <c r="E923" i="7"/>
  <c r="E931" i="7"/>
  <c r="E939" i="7"/>
  <c r="E947" i="7"/>
  <c r="E955" i="7"/>
  <c r="E963" i="7"/>
  <c r="E971" i="7"/>
  <c r="E979" i="7"/>
  <c r="E987" i="7"/>
  <c r="E995" i="7"/>
  <c r="E1003" i="7"/>
  <c r="E1011" i="7"/>
  <c r="E1019" i="7"/>
  <c r="E1027" i="7"/>
  <c r="E1035" i="7"/>
  <c r="E1043" i="7"/>
  <c r="E1051" i="7"/>
  <c r="E1059" i="7"/>
  <c r="E1067" i="7"/>
  <c r="E1075" i="7"/>
  <c r="E1083" i="7"/>
  <c r="E1091" i="7"/>
  <c r="E1099" i="7"/>
  <c r="E1107" i="7"/>
  <c r="E1115" i="7"/>
  <c r="E1123" i="7"/>
  <c r="E1131" i="7"/>
  <c r="E1139" i="7"/>
  <c r="E1147" i="7"/>
  <c r="E1155" i="7"/>
  <c r="E1163" i="7"/>
  <c r="E1171" i="7"/>
  <c r="E1179" i="7"/>
  <c r="E1187" i="7"/>
  <c r="E1195" i="7"/>
  <c r="E1203" i="7"/>
  <c r="E1211" i="7"/>
  <c r="E1219" i="7"/>
  <c r="E1227" i="7"/>
  <c r="E1235" i="7"/>
  <c r="E1243" i="7"/>
  <c r="C922" i="7"/>
  <c r="C1434" i="7"/>
  <c r="D315" i="7"/>
  <c r="D449" i="7"/>
  <c r="D577" i="7"/>
  <c r="D643" i="7"/>
  <c r="D686" i="7"/>
  <c r="D728" i="7"/>
  <c r="D771" i="7"/>
  <c r="D814" i="7"/>
  <c r="D856" i="7"/>
  <c r="D892" i="7"/>
  <c r="D924" i="7"/>
  <c r="D956" i="7"/>
  <c r="D988" i="7"/>
  <c r="D1020" i="7"/>
  <c r="D1052" i="7"/>
  <c r="D1084" i="7"/>
  <c r="D1116" i="7"/>
  <c r="D1148" i="7"/>
  <c r="D1180" i="7"/>
  <c r="D1212"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E169" i="7"/>
  <c r="E180" i="7"/>
  <c r="E190" i="7"/>
  <c r="E201" i="7"/>
  <c r="E212" i="7"/>
  <c r="E222" i="7"/>
  <c r="E233" i="7"/>
  <c r="E244" i="7"/>
  <c r="E254" i="7"/>
  <c r="E265" i="7"/>
  <c r="E276" i="7"/>
  <c r="E286" i="7"/>
  <c r="E297" i="7"/>
  <c r="E308" i="7"/>
  <c r="E318" i="7"/>
  <c r="E329" i="7"/>
  <c r="E340" i="7"/>
  <c r="E350" i="7"/>
  <c r="E361" i="7"/>
  <c r="E372" i="7"/>
  <c r="E382" i="7"/>
  <c r="E393" i="7"/>
  <c r="E404" i="7"/>
  <c r="E414" i="7"/>
  <c r="E425" i="7"/>
  <c r="E436" i="7"/>
  <c r="E446" i="7"/>
  <c r="E454" i="7"/>
  <c r="E462" i="7"/>
  <c r="E470" i="7"/>
  <c r="E478" i="7"/>
  <c r="E486" i="7"/>
  <c r="E494" i="7"/>
  <c r="E502" i="7"/>
  <c r="E510" i="7"/>
  <c r="E518" i="7"/>
  <c r="E526" i="7"/>
  <c r="E534" i="7"/>
  <c r="E542" i="7"/>
  <c r="E550" i="7"/>
  <c r="E558" i="7"/>
  <c r="E566" i="7"/>
  <c r="E574" i="7"/>
  <c r="E582" i="7"/>
  <c r="E590" i="7"/>
  <c r="E598" i="7"/>
  <c r="E606" i="7"/>
  <c r="E614" i="7"/>
  <c r="E622" i="7"/>
  <c r="E630" i="7"/>
  <c r="E638" i="7"/>
  <c r="E646" i="7"/>
  <c r="E654" i="7"/>
  <c r="E662" i="7"/>
  <c r="E670" i="7"/>
  <c r="E678" i="7"/>
  <c r="E686" i="7"/>
  <c r="E694" i="7"/>
  <c r="E702" i="7"/>
  <c r="E710" i="7"/>
  <c r="E718" i="7"/>
  <c r="E726" i="7"/>
  <c r="E734" i="7"/>
  <c r="E742" i="7"/>
  <c r="E750" i="7"/>
  <c r="E758" i="7"/>
  <c r="E766" i="7"/>
  <c r="E774" i="7"/>
  <c r="E782" i="7"/>
  <c r="E790" i="7"/>
  <c r="E798" i="7"/>
  <c r="E806" i="7"/>
  <c r="E814" i="7"/>
  <c r="E822" i="7"/>
  <c r="E830" i="7"/>
  <c r="E838" i="7"/>
  <c r="E846" i="7"/>
  <c r="E854" i="7"/>
  <c r="E862" i="7"/>
  <c r="E870" i="7"/>
  <c r="E878" i="7"/>
  <c r="E886" i="7"/>
  <c r="E894" i="7"/>
  <c r="E902" i="7"/>
  <c r="E910" i="7"/>
  <c r="E918" i="7"/>
  <c r="E926" i="7"/>
  <c r="E934" i="7"/>
  <c r="E942" i="7"/>
  <c r="E950" i="7"/>
  <c r="E958" i="7"/>
  <c r="E966" i="7"/>
  <c r="E974" i="7"/>
  <c r="E982" i="7"/>
  <c r="E990" i="7"/>
  <c r="E998" i="7"/>
  <c r="E1006" i="7"/>
  <c r="E1014" i="7"/>
  <c r="E1022" i="7"/>
  <c r="E1030" i="7"/>
  <c r="E1038" i="7"/>
  <c r="E1046" i="7"/>
  <c r="E1054" i="7"/>
  <c r="E1062" i="7"/>
  <c r="E1070" i="7"/>
  <c r="E1078" i="7"/>
  <c r="E1086" i="7"/>
  <c r="E1094" i="7"/>
  <c r="E1102" i="7"/>
  <c r="E1110" i="7"/>
  <c r="E1118" i="7"/>
  <c r="E1126" i="7"/>
  <c r="E1134" i="7"/>
  <c r="E1142" i="7"/>
  <c r="E1150" i="7"/>
  <c r="E1158" i="7"/>
  <c r="E1166" i="7"/>
  <c r="E1174" i="7"/>
  <c r="E1182" i="7"/>
  <c r="E1190" i="7"/>
  <c r="E1198" i="7"/>
  <c r="E1206" i="7"/>
  <c r="E1214" i="7"/>
  <c r="E1222" i="7"/>
  <c r="E1230" i="7"/>
  <c r="C794" i="7"/>
  <c r="D552" i="7"/>
  <c r="D761" i="7"/>
  <c r="D917" i="7"/>
  <c r="D1045" i="7"/>
  <c r="D1173" i="7"/>
  <c r="D1260" i="7"/>
  <c r="D1324" i="7"/>
  <c r="D1388" i="7"/>
  <c r="D1452" i="7"/>
  <c r="D1516" i="7"/>
  <c r="D1580" i="7"/>
  <c r="E166" i="7"/>
  <c r="E209" i="7"/>
  <c r="E252" i="7"/>
  <c r="E294" i="7"/>
  <c r="E337" i="7"/>
  <c r="E380" i="7"/>
  <c r="E422" i="7"/>
  <c r="E460" i="7"/>
  <c r="E492" i="7"/>
  <c r="E524" i="7"/>
  <c r="E556" i="7"/>
  <c r="E588" i="7"/>
  <c r="E620" i="7"/>
  <c r="E648" i="7"/>
  <c r="E664" i="7"/>
  <c r="E680" i="7"/>
  <c r="E696" i="7"/>
  <c r="E712" i="7"/>
  <c r="E728" i="7"/>
  <c r="E744" i="7"/>
  <c r="E760" i="7"/>
  <c r="E776" i="7"/>
  <c r="E792" i="7"/>
  <c r="E808" i="7"/>
  <c r="E824" i="7"/>
  <c r="E840" i="7"/>
  <c r="E856" i="7"/>
  <c r="E872" i="7"/>
  <c r="E888" i="7"/>
  <c r="E903" i="7"/>
  <c r="E916" i="7"/>
  <c r="E928" i="7"/>
  <c r="E941" i="7"/>
  <c r="E954" i="7"/>
  <c r="E967" i="7"/>
  <c r="E977" i="7"/>
  <c r="E988" i="7"/>
  <c r="E999" i="7"/>
  <c r="E1009" i="7"/>
  <c r="E1020" i="7"/>
  <c r="E1031" i="7"/>
  <c r="E1041" i="7"/>
  <c r="E1052" i="7"/>
  <c r="E1063" i="7"/>
  <c r="E1073" i="7"/>
  <c r="E1084" i="7"/>
  <c r="E1095" i="7"/>
  <c r="E1105" i="7"/>
  <c r="E1116" i="7"/>
  <c r="E1127" i="7"/>
  <c r="E1137" i="7"/>
  <c r="E1148" i="7"/>
  <c r="E1159" i="7"/>
  <c r="E1169" i="7"/>
  <c r="E1180" i="7"/>
  <c r="E1191" i="7"/>
  <c r="E1201" i="7"/>
  <c r="E1212" i="7"/>
  <c r="E1223" i="7"/>
  <c r="E1233" i="7"/>
  <c r="E1242" i="7"/>
  <c r="E1251" i="7"/>
  <c r="E1259" i="7"/>
  <c r="E1267" i="7"/>
  <c r="E1275" i="7"/>
  <c r="E1283" i="7"/>
  <c r="E1291" i="7"/>
  <c r="E1299" i="7"/>
  <c r="E1307" i="7"/>
  <c r="E1315" i="7"/>
  <c r="E1323" i="7"/>
  <c r="E1331" i="7"/>
  <c r="E1339" i="7"/>
  <c r="E1347" i="7"/>
  <c r="E1355" i="7"/>
  <c r="E1363" i="7"/>
  <c r="E1371" i="7"/>
  <c r="E1379" i="7"/>
  <c r="E1387" i="7"/>
  <c r="E1395" i="7"/>
  <c r="E1403" i="7"/>
  <c r="E1411" i="7"/>
  <c r="E1419" i="7"/>
  <c r="E1427" i="7"/>
  <c r="E1435" i="7"/>
  <c r="E1443" i="7"/>
  <c r="E1451" i="7"/>
  <c r="E1459" i="7"/>
  <c r="E1467" i="7"/>
  <c r="E1475" i="7"/>
  <c r="E1483" i="7"/>
  <c r="E1491" i="7"/>
  <c r="E1499" i="7"/>
  <c r="E1507" i="7"/>
  <c r="E1515" i="7"/>
  <c r="E1523" i="7"/>
  <c r="E1531" i="7"/>
  <c r="E1539" i="7"/>
  <c r="E1547" i="7"/>
  <c r="E1555" i="7"/>
  <c r="E1563" i="7"/>
  <c r="E1571" i="7"/>
  <c r="E1579" i="7"/>
  <c r="E1587" i="7"/>
  <c r="F167" i="7"/>
  <c r="F175" i="7"/>
  <c r="F183" i="7"/>
  <c r="F191" i="7"/>
  <c r="F199" i="7"/>
  <c r="F207" i="7"/>
  <c r="F215" i="7"/>
  <c r="F223" i="7"/>
  <c r="F231" i="7"/>
  <c r="F239" i="7"/>
  <c r="F247" i="7"/>
  <c r="F255" i="7"/>
  <c r="F263" i="7"/>
  <c r="F271" i="7"/>
  <c r="F279" i="7"/>
  <c r="F287" i="7"/>
  <c r="F295" i="7"/>
  <c r="F303" i="7"/>
  <c r="F311" i="7"/>
  <c r="F319" i="7"/>
  <c r="F327" i="7"/>
  <c r="F335" i="7"/>
  <c r="F343" i="7"/>
  <c r="F351" i="7"/>
  <c r="F359" i="7"/>
  <c r="F367" i="7"/>
  <c r="F375" i="7"/>
  <c r="F383" i="7"/>
  <c r="F391" i="7"/>
  <c r="F399" i="7"/>
  <c r="F407" i="7"/>
  <c r="F415" i="7"/>
  <c r="F423" i="7"/>
  <c r="F431" i="7"/>
  <c r="C795" i="7"/>
  <c r="D632" i="7"/>
  <c r="D803" i="7"/>
  <c r="D948" i="7"/>
  <c r="D1076" i="7"/>
  <c r="D1204" i="7"/>
  <c r="D1274" i="7"/>
  <c r="D1338" i="7"/>
  <c r="D1402" i="7"/>
  <c r="D1466" i="7"/>
  <c r="D1530" i="7"/>
  <c r="E168" i="7"/>
  <c r="E210" i="7"/>
  <c r="E253" i="7"/>
  <c r="E296" i="7"/>
  <c r="E338" i="7"/>
  <c r="E381" i="7"/>
  <c r="E424" i="7"/>
  <c r="E461" i="7"/>
  <c r="E493" i="7"/>
  <c r="E525" i="7"/>
  <c r="E557" i="7"/>
  <c r="E589" i="7"/>
  <c r="E621" i="7"/>
  <c r="E652" i="7"/>
  <c r="E668" i="7"/>
  <c r="E684" i="7"/>
  <c r="E700" i="7"/>
  <c r="E716" i="7"/>
  <c r="E732" i="7"/>
  <c r="E748" i="7"/>
  <c r="E764" i="7"/>
  <c r="E780" i="7"/>
  <c r="E796" i="7"/>
  <c r="E812" i="7"/>
  <c r="E828" i="7"/>
  <c r="E844" i="7"/>
  <c r="E860" i="7"/>
  <c r="E876" i="7"/>
  <c r="E892" i="7"/>
  <c r="E904" i="7"/>
  <c r="E917" i="7"/>
  <c r="E930" i="7"/>
  <c r="E943" i="7"/>
  <c r="E956" i="7"/>
  <c r="E968" i="7"/>
  <c r="E978" i="7"/>
  <c r="E989" i="7"/>
  <c r="E1000" i="7"/>
  <c r="E1010" i="7"/>
  <c r="E1021" i="7"/>
  <c r="E1032" i="7"/>
  <c r="E1042" i="7"/>
  <c r="E1053" i="7"/>
  <c r="E1064" i="7"/>
  <c r="E1074" i="7"/>
  <c r="E1085" i="7"/>
  <c r="E1096" i="7"/>
  <c r="E1106" i="7"/>
  <c r="E1117" i="7"/>
  <c r="E1128" i="7"/>
  <c r="E1138" i="7"/>
  <c r="E1149" i="7"/>
  <c r="E1160" i="7"/>
  <c r="E1170" i="7"/>
  <c r="E1181" i="7"/>
  <c r="E1192" i="7"/>
  <c r="E1202" i="7"/>
  <c r="E1213" i="7"/>
  <c r="E1224" i="7"/>
  <c r="E1234" i="7"/>
  <c r="E1244" i="7"/>
  <c r="E1252" i="7"/>
  <c r="E1260" i="7"/>
  <c r="E1268" i="7"/>
  <c r="E1276" i="7"/>
  <c r="E1284" i="7"/>
  <c r="E1292" i="7"/>
  <c r="E1300" i="7"/>
  <c r="E1308" i="7"/>
  <c r="E1316" i="7"/>
  <c r="E1324" i="7"/>
  <c r="E1332" i="7"/>
  <c r="E1340" i="7"/>
  <c r="E1348" i="7"/>
  <c r="E1356" i="7"/>
  <c r="E1364" i="7"/>
  <c r="E1372" i="7"/>
  <c r="E1380" i="7"/>
  <c r="E1388" i="7"/>
  <c r="E1396" i="7"/>
  <c r="E1404" i="7"/>
  <c r="E1412" i="7"/>
  <c r="E1420" i="7"/>
  <c r="E1428" i="7"/>
  <c r="E1436" i="7"/>
  <c r="E1444" i="7"/>
  <c r="E1452" i="7"/>
  <c r="E1460" i="7"/>
  <c r="E1468" i="7"/>
  <c r="E1476" i="7"/>
  <c r="E1484" i="7"/>
  <c r="E1492" i="7"/>
  <c r="E1500" i="7"/>
  <c r="E1508" i="7"/>
  <c r="E1516" i="7"/>
  <c r="E1524" i="7"/>
  <c r="E1532" i="7"/>
  <c r="E1540" i="7"/>
  <c r="E1548" i="7"/>
  <c r="E1556" i="7"/>
  <c r="E1564" i="7"/>
  <c r="E1572" i="7"/>
  <c r="E1580" i="7"/>
  <c r="E1588" i="7"/>
  <c r="F168" i="7"/>
  <c r="F176" i="7"/>
  <c r="F184" i="7"/>
  <c r="F192" i="7"/>
  <c r="F200" i="7"/>
  <c r="F208" i="7"/>
  <c r="F216" i="7"/>
  <c r="F224" i="7"/>
  <c r="F232" i="7"/>
  <c r="F240" i="7"/>
  <c r="F248" i="7"/>
  <c r="F256" i="7"/>
  <c r="F264" i="7"/>
  <c r="F272" i="7"/>
  <c r="F280" i="7"/>
  <c r="F288" i="7"/>
  <c r="F296" i="7"/>
  <c r="F304" i="7"/>
  <c r="F312" i="7"/>
  <c r="F320" i="7"/>
  <c r="F328" i="7"/>
  <c r="F336" i="7"/>
  <c r="F344" i="7"/>
  <c r="F352" i="7"/>
  <c r="F360" i="7"/>
  <c r="F368" i="7"/>
  <c r="F376" i="7"/>
  <c r="F384" i="7"/>
  <c r="F392" i="7"/>
  <c r="F400" i="7"/>
  <c r="F408" i="7"/>
  <c r="F416" i="7"/>
  <c r="F424" i="7"/>
  <c r="F432" i="7"/>
  <c r="F440" i="7"/>
  <c r="F448" i="7"/>
  <c r="F456" i="7"/>
  <c r="F464" i="7"/>
  <c r="F472" i="7"/>
  <c r="F480" i="7"/>
  <c r="F488" i="7"/>
  <c r="F496" i="7"/>
  <c r="F504" i="7"/>
  <c r="F512" i="7"/>
  <c r="F520" i="7"/>
  <c r="F528" i="7"/>
  <c r="F536" i="7"/>
  <c r="F544" i="7"/>
  <c r="F552" i="7"/>
  <c r="F560" i="7"/>
  <c r="F568" i="7"/>
  <c r="F576" i="7"/>
  <c r="F584" i="7"/>
  <c r="F592" i="7"/>
  <c r="F600" i="7"/>
  <c r="F608" i="7"/>
  <c r="F616" i="7"/>
  <c r="F624" i="7"/>
  <c r="F632" i="7"/>
  <c r="F640" i="7"/>
  <c r="F648" i="7"/>
  <c r="F656" i="7"/>
  <c r="F664" i="7"/>
  <c r="F672" i="7"/>
  <c r="F680" i="7"/>
  <c r="F688" i="7"/>
  <c r="F696" i="7"/>
  <c r="F704" i="7"/>
  <c r="F712" i="7"/>
  <c r="F720" i="7"/>
  <c r="F728" i="7"/>
  <c r="F736" i="7"/>
  <c r="F744" i="7"/>
  <c r="F752" i="7"/>
  <c r="F760" i="7"/>
  <c r="F768" i="7"/>
  <c r="F776" i="7"/>
  <c r="F784" i="7"/>
  <c r="F792" i="7"/>
  <c r="F800" i="7"/>
  <c r="F808" i="7"/>
  <c r="F816" i="7"/>
  <c r="F824" i="7"/>
  <c r="F832" i="7"/>
  <c r="F840" i="7"/>
  <c r="F848" i="7"/>
  <c r="F856" i="7"/>
  <c r="F864" i="7"/>
  <c r="F872" i="7"/>
  <c r="F880" i="7"/>
  <c r="F888" i="7"/>
  <c r="F896" i="7"/>
  <c r="F904" i="7"/>
  <c r="F912" i="7"/>
  <c r="F920" i="7"/>
  <c r="F928" i="7"/>
  <c r="F936" i="7"/>
  <c r="F944" i="7"/>
  <c r="F952" i="7"/>
  <c r="F960" i="7"/>
  <c r="F968" i="7"/>
  <c r="F976" i="7"/>
  <c r="F984" i="7"/>
  <c r="F992" i="7"/>
  <c r="F1000" i="7"/>
  <c r="C1306" i="7"/>
  <c r="D633" i="7"/>
  <c r="D804" i="7"/>
  <c r="D949" i="7"/>
  <c r="D1077" i="7"/>
  <c r="D1205" i="7"/>
  <c r="D1276" i="7"/>
  <c r="D1340" i="7"/>
  <c r="D1404" i="7"/>
  <c r="D1468" i="7"/>
  <c r="D1532" i="7"/>
  <c r="E177" i="7"/>
  <c r="E220" i="7"/>
  <c r="E262" i="7"/>
  <c r="E305" i="7"/>
  <c r="E348" i="7"/>
  <c r="E390" i="7"/>
  <c r="E433" i="7"/>
  <c r="E468" i="7"/>
  <c r="E500" i="7"/>
  <c r="E532" i="7"/>
  <c r="E564" i="7"/>
  <c r="E596" i="7"/>
  <c r="E628" i="7"/>
  <c r="E653" i="7"/>
  <c r="E669" i="7"/>
  <c r="E685" i="7"/>
  <c r="E701" i="7"/>
  <c r="E717" i="7"/>
  <c r="E733" i="7"/>
  <c r="E749" i="7"/>
  <c r="E765" i="7"/>
  <c r="E781" i="7"/>
  <c r="E797" i="7"/>
  <c r="E813" i="7"/>
  <c r="E829" i="7"/>
  <c r="E845" i="7"/>
  <c r="E861" i="7"/>
  <c r="E877" i="7"/>
  <c r="E893" i="7"/>
  <c r="E906" i="7"/>
  <c r="E919" i="7"/>
  <c r="E932" i="7"/>
  <c r="E944" i="7"/>
  <c r="E957" i="7"/>
  <c r="E969" i="7"/>
  <c r="E980" i="7"/>
  <c r="E991" i="7"/>
  <c r="E1001" i="7"/>
  <c r="E1012" i="7"/>
  <c r="E1023" i="7"/>
  <c r="E1033" i="7"/>
  <c r="E1044" i="7"/>
  <c r="E1055" i="7"/>
  <c r="E1065" i="7"/>
  <c r="E1076" i="7"/>
  <c r="E1087" i="7"/>
  <c r="E1097" i="7"/>
  <c r="E1108" i="7"/>
  <c r="E1119" i="7"/>
  <c r="E1129" i="7"/>
  <c r="E1140" i="7"/>
  <c r="E1151" i="7"/>
  <c r="E1161" i="7"/>
  <c r="E1172" i="7"/>
  <c r="E1183" i="7"/>
  <c r="E1193" i="7"/>
  <c r="E1204" i="7"/>
  <c r="E1215" i="7"/>
  <c r="E1225" i="7"/>
  <c r="E1236" i="7"/>
  <c r="E1245" i="7"/>
  <c r="E1253" i="7"/>
  <c r="E1261" i="7"/>
  <c r="E1269" i="7"/>
  <c r="E1277" i="7"/>
  <c r="E1285" i="7"/>
  <c r="E1293" i="7"/>
  <c r="E1301" i="7"/>
  <c r="E1309" i="7"/>
  <c r="E1317" i="7"/>
  <c r="E1325" i="7"/>
  <c r="E1333" i="7"/>
  <c r="E1341" i="7"/>
  <c r="E1349" i="7"/>
  <c r="E1357" i="7"/>
  <c r="E1365" i="7"/>
  <c r="E1373" i="7"/>
  <c r="E1381" i="7"/>
  <c r="E1389" i="7"/>
  <c r="E1397" i="7"/>
  <c r="E1405" i="7"/>
  <c r="E1413" i="7"/>
  <c r="E1421" i="7"/>
  <c r="E1429" i="7"/>
  <c r="E1437" i="7"/>
  <c r="E1445" i="7"/>
  <c r="E1453" i="7"/>
  <c r="E1461" i="7"/>
  <c r="E1469" i="7"/>
  <c r="E1477" i="7"/>
  <c r="E1485" i="7"/>
  <c r="E1493" i="7"/>
  <c r="E1501" i="7"/>
  <c r="E1509" i="7"/>
  <c r="E1517" i="7"/>
  <c r="E1525" i="7"/>
  <c r="E1533" i="7"/>
  <c r="E1541" i="7"/>
  <c r="E1549" i="7"/>
  <c r="E1557" i="7"/>
  <c r="E1565" i="7"/>
  <c r="E1573" i="7"/>
  <c r="E1581" i="7"/>
  <c r="E1589" i="7"/>
  <c r="F169" i="7"/>
  <c r="F177" i="7"/>
  <c r="F185" i="7"/>
  <c r="F193" i="7"/>
  <c r="F201" i="7"/>
  <c r="F209" i="7"/>
  <c r="F217" i="7"/>
  <c r="F225" i="7"/>
  <c r="F233" i="7"/>
  <c r="F241" i="7"/>
  <c r="F249" i="7"/>
  <c r="F257" i="7"/>
  <c r="F265" i="7"/>
  <c r="F273" i="7"/>
  <c r="F281" i="7"/>
  <c r="F289" i="7"/>
  <c r="F297" i="7"/>
  <c r="F305" i="7"/>
  <c r="F313" i="7"/>
  <c r="F321" i="7"/>
  <c r="F329" i="7"/>
  <c r="F337" i="7"/>
  <c r="F345" i="7"/>
  <c r="F353" i="7"/>
  <c r="F361" i="7"/>
  <c r="F369" i="7"/>
  <c r="F377" i="7"/>
  <c r="F385" i="7"/>
  <c r="F393" i="7"/>
  <c r="F401" i="7"/>
  <c r="F409" i="7"/>
  <c r="F417" i="7"/>
  <c r="F425" i="7"/>
  <c r="F433" i="7"/>
  <c r="F441" i="7"/>
  <c r="F449" i="7"/>
  <c r="F457" i="7"/>
  <c r="F465" i="7"/>
  <c r="F473" i="7"/>
  <c r="F481" i="7"/>
  <c r="F489" i="7"/>
  <c r="F497" i="7"/>
  <c r="F505" i="7"/>
  <c r="F513" i="7"/>
  <c r="F521" i="7"/>
  <c r="F529" i="7"/>
  <c r="F537" i="7"/>
  <c r="F545" i="7"/>
  <c r="F553" i="7"/>
  <c r="F561" i="7"/>
  <c r="F569" i="7"/>
  <c r="F577" i="7"/>
  <c r="F585" i="7"/>
  <c r="F593" i="7"/>
  <c r="F601" i="7"/>
  <c r="C1307" i="7"/>
  <c r="D271" i="7"/>
  <c r="D675" i="7"/>
  <c r="D846" i="7"/>
  <c r="D980" i="7"/>
  <c r="D1108" i="7"/>
  <c r="D1226" i="7"/>
  <c r="D1290" i="7"/>
  <c r="D1354" i="7"/>
  <c r="D1418" i="7"/>
  <c r="D1482" i="7"/>
  <c r="D1546" i="7"/>
  <c r="E178" i="7"/>
  <c r="E221" i="7"/>
  <c r="E264" i="7"/>
  <c r="E306" i="7"/>
  <c r="E349" i="7"/>
  <c r="E392" i="7"/>
  <c r="E434" i="7"/>
  <c r="E469" i="7"/>
  <c r="E501" i="7"/>
  <c r="E533" i="7"/>
  <c r="E565" i="7"/>
  <c r="E597" i="7"/>
  <c r="E629" i="7"/>
  <c r="E655" i="7"/>
  <c r="E671" i="7"/>
  <c r="E687" i="7"/>
  <c r="E703" i="7"/>
  <c r="E719" i="7"/>
  <c r="E735" i="7"/>
  <c r="E751" i="7"/>
  <c r="E767" i="7"/>
  <c r="E783" i="7"/>
  <c r="E799" i="7"/>
  <c r="E815" i="7"/>
  <c r="E831" i="7"/>
  <c r="E847" i="7"/>
  <c r="E863" i="7"/>
  <c r="E879" i="7"/>
  <c r="E895" i="7"/>
  <c r="E908" i="7"/>
  <c r="E920" i="7"/>
  <c r="E933" i="7"/>
  <c r="E946" i="7"/>
  <c r="E959" i="7"/>
  <c r="E970" i="7"/>
  <c r="E981" i="7"/>
  <c r="E992" i="7"/>
  <c r="E1002" i="7"/>
  <c r="E1013" i="7"/>
  <c r="E1024" i="7"/>
  <c r="E1034" i="7"/>
  <c r="E1045" i="7"/>
  <c r="E1056" i="7"/>
  <c r="E1066" i="7"/>
  <c r="E1077" i="7"/>
  <c r="E1088" i="7"/>
  <c r="E1098" i="7"/>
  <c r="E1109" i="7"/>
  <c r="E1120" i="7"/>
  <c r="E1130" i="7"/>
  <c r="E1141" i="7"/>
  <c r="E1152" i="7"/>
  <c r="E1162" i="7"/>
  <c r="E1173" i="7"/>
  <c r="E1184" i="7"/>
  <c r="E1194" i="7"/>
  <c r="E1205" i="7"/>
  <c r="E1216" i="7"/>
  <c r="E1226" i="7"/>
  <c r="E1237" i="7"/>
  <c r="E1246" i="7"/>
  <c r="E1254" i="7"/>
  <c r="E1262" i="7"/>
  <c r="E1270" i="7"/>
  <c r="E1278" i="7"/>
  <c r="E1286" i="7"/>
  <c r="E1294" i="7"/>
  <c r="E1302" i="7"/>
  <c r="E1310" i="7"/>
  <c r="E1318" i="7"/>
  <c r="E1326" i="7"/>
  <c r="E1334" i="7"/>
  <c r="E1342" i="7"/>
  <c r="E1350" i="7"/>
  <c r="E1358" i="7"/>
  <c r="E1366" i="7"/>
  <c r="E1374" i="7"/>
  <c r="E1382" i="7"/>
  <c r="E1390" i="7"/>
  <c r="E1398" i="7"/>
  <c r="E1406" i="7"/>
  <c r="E1414" i="7"/>
  <c r="E1422" i="7"/>
  <c r="E1430" i="7"/>
  <c r="E1438" i="7"/>
  <c r="E1446" i="7"/>
  <c r="E1454" i="7"/>
  <c r="E1462" i="7"/>
  <c r="E1470" i="7"/>
  <c r="E1478" i="7"/>
  <c r="E1486" i="7"/>
  <c r="E1494" i="7"/>
  <c r="E1502" i="7"/>
  <c r="E1510" i="7"/>
  <c r="E1518" i="7"/>
  <c r="E1526" i="7"/>
  <c r="E1534" i="7"/>
  <c r="E1542" i="7"/>
  <c r="E1550" i="7"/>
  <c r="E1558" i="7"/>
  <c r="E1566" i="7"/>
  <c r="E1574" i="7"/>
  <c r="E1582" i="7"/>
  <c r="E1590" i="7"/>
  <c r="F170" i="7"/>
  <c r="F178" i="7"/>
  <c r="F186" i="7"/>
  <c r="F194" i="7"/>
  <c r="F202" i="7"/>
  <c r="F210" i="7"/>
  <c r="F218" i="7"/>
  <c r="F226" i="7"/>
  <c r="F234" i="7"/>
  <c r="F242" i="7"/>
  <c r="F250" i="7"/>
  <c r="F258" i="7"/>
  <c r="F266" i="7"/>
  <c r="F274" i="7"/>
  <c r="D280" i="7"/>
  <c r="D676" i="7"/>
  <c r="D847" i="7"/>
  <c r="D981" i="7"/>
  <c r="D1109" i="7"/>
  <c r="D1228" i="7"/>
  <c r="D1292" i="7"/>
  <c r="D1356" i="7"/>
  <c r="D1420" i="7"/>
  <c r="D1484" i="7"/>
  <c r="D1548" i="7"/>
  <c r="E188" i="7"/>
  <c r="E230" i="7"/>
  <c r="E273" i="7"/>
  <c r="E316" i="7"/>
  <c r="E358" i="7"/>
  <c r="E401" i="7"/>
  <c r="E444" i="7"/>
  <c r="E476" i="7"/>
  <c r="E508" i="7"/>
  <c r="E540" i="7"/>
  <c r="E572" i="7"/>
  <c r="E604" i="7"/>
  <c r="E636" i="7"/>
  <c r="E656" i="7"/>
  <c r="E672" i="7"/>
  <c r="E688" i="7"/>
  <c r="E704" i="7"/>
  <c r="E720" i="7"/>
  <c r="E736" i="7"/>
  <c r="E752" i="7"/>
  <c r="E768" i="7"/>
  <c r="E784" i="7"/>
  <c r="E800" i="7"/>
  <c r="E816" i="7"/>
  <c r="E832" i="7"/>
  <c r="E848" i="7"/>
  <c r="E864" i="7"/>
  <c r="E880" i="7"/>
  <c r="E896" i="7"/>
  <c r="E909" i="7"/>
  <c r="E922" i="7"/>
  <c r="E935" i="7"/>
  <c r="E948" i="7"/>
  <c r="E960" i="7"/>
  <c r="E972" i="7"/>
  <c r="E983" i="7"/>
  <c r="E993" i="7"/>
  <c r="E1004" i="7"/>
  <c r="E1015" i="7"/>
  <c r="E1025" i="7"/>
  <c r="E1036" i="7"/>
  <c r="E1047" i="7"/>
  <c r="E1057" i="7"/>
  <c r="E1068" i="7"/>
  <c r="E1079" i="7"/>
  <c r="E1089" i="7"/>
  <c r="E1100" i="7"/>
  <c r="E1111" i="7"/>
  <c r="E1121" i="7"/>
  <c r="E1132" i="7"/>
  <c r="E1143" i="7"/>
  <c r="E1153" i="7"/>
  <c r="E1164" i="7"/>
  <c r="E1175" i="7"/>
  <c r="E1185" i="7"/>
  <c r="E1196" i="7"/>
  <c r="E1207" i="7"/>
  <c r="E1217" i="7"/>
  <c r="E1228" i="7"/>
  <c r="E1238" i="7"/>
  <c r="E1247" i="7"/>
  <c r="E1255" i="7"/>
  <c r="E1263" i="7"/>
  <c r="E1271" i="7"/>
  <c r="E1279" i="7"/>
  <c r="E1287" i="7"/>
  <c r="E1295" i="7"/>
  <c r="E1303" i="7"/>
  <c r="E1311" i="7"/>
  <c r="E1319" i="7"/>
  <c r="E1327" i="7"/>
  <c r="E1335" i="7"/>
  <c r="E1343" i="7"/>
  <c r="E1351" i="7"/>
  <c r="E1359" i="7"/>
  <c r="E1367" i="7"/>
  <c r="E1375" i="7"/>
  <c r="E1383" i="7"/>
  <c r="E1391" i="7"/>
  <c r="E1399" i="7"/>
  <c r="E1407" i="7"/>
  <c r="E1415" i="7"/>
  <c r="E1423" i="7"/>
  <c r="E1431" i="7"/>
  <c r="E1439" i="7"/>
  <c r="E1447" i="7"/>
  <c r="E1455" i="7"/>
  <c r="E1463" i="7"/>
  <c r="E1471" i="7"/>
  <c r="E1479" i="7"/>
  <c r="E1487" i="7"/>
  <c r="E1495" i="7"/>
  <c r="E1503" i="7"/>
  <c r="E1511" i="7"/>
  <c r="E1519" i="7"/>
  <c r="E1527" i="7"/>
  <c r="E1535" i="7"/>
  <c r="E1543" i="7"/>
  <c r="E1551" i="7"/>
  <c r="E1559" i="7"/>
  <c r="E1567" i="7"/>
  <c r="E1575" i="7"/>
  <c r="E1583" i="7"/>
  <c r="E1591" i="7"/>
  <c r="F171" i="7"/>
  <c r="F179" i="7"/>
  <c r="F187" i="7"/>
  <c r="F195" i="7"/>
  <c r="F203" i="7"/>
  <c r="F211" i="7"/>
  <c r="F219" i="7"/>
  <c r="F227" i="7"/>
  <c r="F235" i="7"/>
  <c r="F243" i="7"/>
  <c r="F251" i="7"/>
  <c r="F259" i="7"/>
  <c r="F267" i="7"/>
  <c r="F275" i="7"/>
  <c r="F283" i="7"/>
  <c r="F291" i="7"/>
  <c r="F299" i="7"/>
  <c r="F307" i="7"/>
  <c r="F315" i="7"/>
  <c r="F323" i="7"/>
  <c r="F331" i="7"/>
  <c r="F339" i="7"/>
  <c r="F347" i="7"/>
  <c r="F355" i="7"/>
  <c r="F363" i="7"/>
  <c r="F371" i="7"/>
  <c r="F379" i="7"/>
  <c r="F387" i="7"/>
  <c r="F395" i="7"/>
  <c r="F403" i="7"/>
  <c r="F411" i="7"/>
  <c r="F419" i="7"/>
  <c r="F427" i="7"/>
  <c r="D417" i="7"/>
  <c r="D718" i="7"/>
  <c r="D884" i="7"/>
  <c r="D1012" i="7"/>
  <c r="D1140" i="7"/>
  <c r="D1242" i="7"/>
  <c r="D1306" i="7"/>
  <c r="D1370" i="7"/>
  <c r="D1434" i="7"/>
  <c r="D1498" i="7"/>
  <c r="D1562" i="7"/>
  <c r="E189" i="7"/>
  <c r="E232" i="7"/>
  <c r="E274" i="7"/>
  <c r="E317" i="7"/>
  <c r="E360" i="7"/>
  <c r="E402" i="7"/>
  <c r="E445" i="7"/>
  <c r="E477" i="7"/>
  <c r="E509" i="7"/>
  <c r="E541" i="7"/>
  <c r="E573" i="7"/>
  <c r="E605" i="7"/>
  <c r="E637" i="7"/>
  <c r="E660" i="7"/>
  <c r="E676" i="7"/>
  <c r="E692" i="7"/>
  <c r="E708" i="7"/>
  <c r="E724" i="7"/>
  <c r="E740" i="7"/>
  <c r="E756" i="7"/>
  <c r="E772" i="7"/>
  <c r="E788" i="7"/>
  <c r="E804" i="7"/>
  <c r="E820" i="7"/>
  <c r="E836" i="7"/>
  <c r="E852" i="7"/>
  <c r="E868" i="7"/>
  <c r="E884" i="7"/>
  <c r="E898" i="7"/>
  <c r="E911" i="7"/>
  <c r="E924" i="7"/>
  <c r="E936" i="7"/>
  <c r="E949" i="7"/>
  <c r="E962" i="7"/>
  <c r="E973" i="7"/>
  <c r="E984" i="7"/>
  <c r="E994" i="7"/>
  <c r="E1005" i="7"/>
  <c r="E1016" i="7"/>
  <c r="E1026" i="7"/>
  <c r="E1037" i="7"/>
  <c r="E1048" i="7"/>
  <c r="E1058" i="7"/>
  <c r="E1069" i="7"/>
  <c r="E1080" i="7"/>
  <c r="E1090" i="7"/>
  <c r="E1101" i="7"/>
  <c r="E1112" i="7"/>
  <c r="E1122" i="7"/>
  <c r="E1133" i="7"/>
  <c r="E1144" i="7"/>
  <c r="E1154" i="7"/>
  <c r="E1165" i="7"/>
  <c r="E1176" i="7"/>
  <c r="E1186" i="7"/>
  <c r="E1197" i="7"/>
  <c r="E1208" i="7"/>
  <c r="E1218" i="7"/>
  <c r="E1229" i="7"/>
  <c r="E1239" i="7"/>
  <c r="E1248" i="7"/>
  <c r="E1256" i="7"/>
  <c r="E1264" i="7"/>
  <c r="E1272" i="7"/>
  <c r="E1280" i="7"/>
  <c r="E1288" i="7"/>
  <c r="E1296" i="7"/>
  <c r="E1304" i="7"/>
  <c r="E1312" i="7"/>
  <c r="E1320" i="7"/>
  <c r="E1328" i="7"/>
  <c r="E1336" i="7"/>
  <c r="E1344" i="7"/>
  <c r="E1352" i="7"/>
  <c r="E1360" i="7"/>
  <c r="E1368" i="7"/>
  <c r="E1376" i="7"/>
  <c r="E1384" i="7"/>
  <c r="E1392" i="7"/>
  <c r="E1400" i="7"/>
  <c r="E1408" i="7"/>
  <c r="E1416" i="7"/>
  <c r="E1424" i="7"/>
  <c r="E1432" i="7"/>
  <c r="E1440" i="7"/>
  <c r="E1448" i="7"/>
  <c r="E1456" i="7"/>
  <c r="E1464" i="7"/>
  <c r="E1472" i="7"/>
  <c r="E1480" i="7"/>
  <c r="E1488" i="7"/>
  <c r="E1496" i="7"/>
  <c r="E1504" i="7"/>
  <c r="E1512" i="7"/>
  <c r="E1520" i="7"/>
  <c r="E1528" i="7"/>
  <c r="E1536" i="7"/>
  <c r="E1544" i="7"/>
  <c r="E1552" i="7"/>
  <c r="E1560" i="7"/>
  <c r="E1568" i="7"/>
  <c r="E1576" i="7"/>
  <c r="E1584" i="7"/>
  <c r="E1592" i="7"/>
  <c r="F172" i="7"/>
  <c r="F180" i="7"/>
  <c r="F188" i="7"/>
  <c r="F196" i="7"/>
  <c r="F204" i="7"/>
  <c r="F212" i="7"/>
  <c r="F220" i="7"/>
  <c r="F228" i="7"/>
  <c r="F236" i="7"/>
  <c r="F244" i="7"/>
  <c r="F252" i="7"/>
  <c r="F260" i="7"/>
  <c r="F268" i="7"/>
  <c r="F276" i="7"/>
  <c r="F284" i="7"/>
  <c r="F292" i="7"/>
  <c r="F300" i="7"/>
  <c r="F308" i="7"/>
  <c r="F316" i="7"/>
  <c r="F324" i="7"/>
  <c r="F332" i="7"/>
  <c r="F340" i="7"/>
  <c r="F348" i="7"/>
  <c r="F356" i="7"/>
  <c r="F364" i="7"/>
  <c r="F372" i="7"/>
  <c r="F380" i="7"/>
  <c r="F388" i="7"/>
  <c r="F396" i="7"/>
  <c r="F404" i="7"/>
  <c r="F412" i="7"/>
  <c r="F420" i="7"/>
  <c r="F428" i="7"/>
  <c r="F436" i="7"/>
  <c r="F444" i="7"/>
  <c r="F452" i="7"/>
  <c r="F460" i="7"/>
  <c r="F468" i="7"/>
  <c r="F476" i="7"/>
  <c r="F484" i="7"/>
  <c r="F492" i="7"/>
  <c r="F500" i="7"/>
  <c r="F508" i="7"/>
  <c r="F516" i="7"/>
  <c r="F524" i="7"/>
  <c r="F532" i="7"/>
  <c r="F540" i="7"/>
  <c r="F548" i="7"/>
  <c r="F556" i="7"/>
  <c r="F564" i="7"/>
  <c r="F572" i="7"/>
  <c r="F580" i="7"/>
  <c r="F588" i="7"/>
  <c r="F596" i="7"/>
  <c r="F604" i="7"/>
  <c r="F612" i="7"/>
  <c r="F620" i="7"/>
  <c r="F628" i="7"/>
  <c r="F636" i="7"/>
  <c r="F644" i="7"/>
  <c r="F652" i="7"/>
  <c r="F660" i="7"/>
  <c r="F668" i="7"/>
  <c r="F676" i="7"/>
  <c r="F684" i="7"/>
  <c r="F692" i="7"/>
  <c r="F700" i="7"/>
  <c r="F708" i="7"/>
  <c r="F716" i="7"/>
  <c r="F724" i="7"/>
  <c r="F732" i="7"/>
  <c r="F740" i="7"/>
  <c r="F748" i="7"/>
  <c r="F756" i="7"/>
  <c r="F764" i="7"/>
  <c r="F772" i="7"/>
  <c r="F780" i="7"/>
  <c r="F788" i="7"/>
  <c r="F796" i="7"/>
  <c r="F804" i="7"/>
  <c r="F812" i="7"/>
  <c r="F820" i="7"/>
  <c r="F828" i="7"/>
  <c r="F836" i="7"/>
  <c r="F844" i="7"/>
  <c r="F852" i="7"/>
  <c r="F860" i="7"/>
  <c r="F868" i="7"/>
  <c r="F876" i="7"/>
  <c r="F884" i="7"/>
  <c r="F892" i="7"/>
  <c r="F900" i="7"/>
  <c r="F908" i="7"/>
  <c r="F916" i="7"/>
  <c r="F924" i="7"/>
  <c r="F932" i="7"/>
  <c r="F940" i="7"/>
  <c r="F948" i="7"/>
  <c r="F956" i="7"/>
  <c r="F964" i="7"/>
  <c r="F972" i="7"/>
  <c r="F980" i="7"/>
  <c r="F988" i="7"/>
  <c r="F996" i="7"/>
  <c r="F1004" i="7"/>
  <c r="D545" i="7"/>
  <c r="D1172" i="7"/>
  <c r="D1450" i="7"/>
  <c r="E284" i="7"/>
  <c r="E452" i="7"/>
  <c r="E580" i="7"/>
  <c r="E677" i="7"/>
  <c r="E741" i="7"/>
  <c r="E805" i="7"/>
  <c r="E869" i="7"/>
  <c r="E925" i="7"/>
  <c r="E975" i="7"/>
  <c r="E1017" i="7"/>
  <c r="E1060" i="7"/>
  <c r="E1103" i="7"/>
  <c r="E1145" i="7"/>
  <c r="E1188" i="7"/>
  <c r="E1231" i="7"/>
  <c r="E1265" i="7"/>
  <c r="E1297" i="7"/>
  <c r="E1329" i="7"/>
  <c r="E1361" i="7"/>
  <c r="E1393" i="7"/>
  <c r="E1425" i="7"/>
  <c r="E1457" i="7"/>
  <c r="E1489" i="7"/>
  <c r="E1521" i="7"/>
  <c r="E1553" i="7"/>
  <c r="E1585" i="7"/>
  <c r="F189" i="7"/>
  <c r="F221" i="7"/>
  <c r="F253" i="7"/>
  <c r="F282" i="7"/>
  <c r="F302" i="7"/>
  <c r="F325" i="7"/>
  <c r="F346" i="7"/>
  <c r="F366" i="7"/>
  <c r="F389" i="7"/>
  <c r="F410" i="7"/>
  <c r="F430" i="7"/>
  <c r="F445" i="7"/>
  <c r="F458" i="7"/>
  <c r="F470" i="7"/>
  <c r="F483" i="7"/>
  <c r="F495" i="7"/>
  <c r="F509" i="7"/>
  <c r="F522" i="7"/>
  <c r="F534" i="7"/>
  <c r="F547" i="7"/>
  <c r="F559" i="7"/>
  <c r="F573" i="7"/>
  <c r="F586" i="7"/>
  <c r="F598" i="7"/>
  <c r="F610" i="7"/>
  <c r="F621" i="7"/>
  <c r="F631" i="7"/>
  <c r="F642" i="7"/>
  <c r="F653" i="7"/>
  <c r="F663" i="7"/>
  <c r="F674" i="7"/>
  <c r="F685" i="7"/>
  <c r="F695" i="7"/>
  <c r="F706" i="7"/>
  <c r="F717" i="7"/>
  <c r="F727" i="7"/>
  <c r="F738" i="7"/>
  <c r="F749" i="7"/>
  <c r="F759" i="7"/>
  <c r="F770" i="7"/>
  <c r="F781" i="7"/>
  <c r="F791" i="7"/>
  <c r="F802" i="7"/>
  <c r="F813" i="7"/>
  <c r="F823" i="7"/>
  <c r="F834" i="7"/>
  <c r="F845" i="7"/>
  <c r="F855" i="7"/>
  <c r="F866" i="7"/>
  <c r="F877" i="7"/>
  <c r="F887" i="7"/>
  <c r="F898" i="7"/>
  <c r="F909" i="7"/>
  <c r="F919" i="7"/>
  <c r="F930" i="7"/>
  <c r="F941" i="7"/>
  <c r="F951" i="7"/>
  <c r="F962" i="7"/>
  <c r="F973" i="7"/>
  <c r="F983" i="7"/>
  <c r="F994" i="7"/>
  <c r="F1005" i="7"/>
  <c r="F1013" i="7"/>
  <c r="F1021" i="7"/>
  <c r="F1029" i="7"/>
  <c r="F1037" i="7"/>
  <c r="F1045" i="7"/>
  <c r="F1053" i="7"/>
  <c r="F1061" i="7"/>
  <c r="F1069" i="7"/>
  <c r="F1077" i="7"/>
  <c r="F1085" i="7"/>
  <c r="F1093" i="7"/>
  <c r="F1101" i="7"/>
  <c r="F1109" i="7"/>
  <c r="F1117" i="7"/>
  <c r="F1125" i="7"/>
  <c r="F1133" i="7"/>
  <c r="F1141" i="7"/>
  <c r="F1149" i="7"/>
  <c r="F1157" i="7"/>
  <c r="F1165" i="7"/>
  <c r="F1173" i="7"/>
  <c r="F1181" i="7"/>
  <c r="F1189" i="7"/>
  <c r="F1197" i="7"/>
  <c r="F1205" i="7"/>
  <c r="F1213" i="7"/>
  <c r="F1221" i="7"/>
  <c r="F1229" i="7"/>
  <c r="F1237" i="7"/>
  <c r="F1245" i="7"/>
  <c r="F1253" i="7"/>
  <c r="F1261" i="7"/>
  <c r="F1269" i="7"/>
  <c r="F1277" i="7"/>
  <c r="F1285" i="7"/>
  <c r="F1293" i="7"/>
  <c r="F1301" i="7"/>
  <c r="F1309" i="7"/>
  <c r="F1317" i="7"/>
  <c r="F1325" i="7"/>
  <c r="F1333" i="7"/>
  <c r="F1341" i="7"/>
  <c r="F1349" i="7"/>
  <c r="F1357" i="7"/>
  <c r="F1365" i="7"/>
  <c r="F1373" i="7"/>
  <c r="F1381" i="7"/>
  <c r="F1389" i="7"/>
  <c r="F1397" i="7"/>
  <c r="F1405" i="7"/>
  <c r="F1413" i="7"/>
  <c r="F1421" i="7"/>
  <c r="F1429" i="7"/>
  <c r="F1437" i="7"/>
  <c r="F1445" i="7"/>
  <c r="F1453" i="7"/>
  <c r="F1461" i="7"/>
  <c r="F1469" i="7"/>
  <c r="F1477" i="7"/>
  <c r="F1485" i="7"/>
  <c r="F1493" i="7"/>
  <c r="F1501" i="7"/>
  <c r="F1509" i="7"/>
  <c r="F1517" i="7"/>
  <c r="F1525" i="7"/>
  <c r="F1533" i="7"/>
  <c r="F1541" i="7"/>
  <c r="F1549" i="7"/>
  <c r="F1557" i="7"/>
  <c r="F1565" i="7"/>
  <c r="F1573" i="7"/>
  <c r="F1581" i="7"/>
  <c r="F1589" i="7"/>
  <c r="G169" i="7"/>
  <c r="G177" i="7"/>
  <c r="G185" i="7"/>
  <c r="G193" i="7"/>
  <c r="G201" i="7"/>
  <c r="G209" i="7"/>
  <c r="G217" i="7"/>
  <c r="G225" i="7"/>
  <c r="G233" i="7"/>
  <c r="G241" i="7"/>
  <c r="G249" i="7"/>
  <c r="G257" i="7"/>
  <c r="G265" i="7"/>
  <c r="G273" i="7"/>
  <c r="G281" i="7"/>
  <c r="G289" i="7"/>
  <c r="G297" i="7"/>
  <c r="G305" i="7"/>
  <c r="G313" i="7"/>
  <c r="G321" i="7"/>
  <c r="G329" i="7"/>
  <c r="G337" i="7"/>
  <c r="G345" i="7"/>
  <c r="G353" i="7"/>
  <c r="G361" i="7"/>
  <c r="G369" i="7"/>
  <c r="G377" i="7"/>
  <c r="G385" i="7"/>
  <c r="G393" i="7"/>
  <c r="G401" i="7"/>
  <c r="G409" i="7"/>
  <c r="G417" i="7"/>
  <c r="G425" i="7"/>
  <c r="G433" i="7"/>
  <c r="G441" i="7"/>
  <c r="G449" i="7"/>
  <c r="G457" i="7"/>
  <c r="G465" i="7"/>
  <c r="G473" i="7"/>
  <c r="G481" i="7"/>
  <c r="G489" i="7"/>
  <c r="G497" i="7"/>
  <c r="G505" i="7"/>
  <c r="G513" i="7"/>
  <c r="G521" i="7"/>
  <c r="G529" i="7"/>
  <c r="G537" i="7"/>
  <c r="G545" i="7"/>
  <c r="G553" i="7"/>
  <c r="G561" i="7"/>
  <c r="G569" i="7"/>
  <c r="G577" i="7"/>
  <c r="G585" i="7"/>
  <c r="G593" i="7"/>
  <c r="G601" i="7"/>
  <c r="G609" i="7"/>
  <c r="G617" i="7"/>
  <c r="G625" i="7"/>
  <c r="G633" i="7"/>
  <c r="G641" i="7"/>
  <c r="G649" i="7"/>
  <c r="G657" i="7"/>
  <c r="G665" i="7"/>
  <c r="G673" i="7"/>
  <c r="G681" i="7"/>
  <c r="G689" i="7"/>
  <c r="G697" i="7"/>
  <c r="G705" i="7"/>
  <c r="G713" i="7"/>
  <c r="G721" i="7"/>
  <c r="G729" i="7"/>
  <c r="G737" i="7"/>
  <c r="G745" i="7"/>
  <c r="G753" i="7"/>
  <c r="G761" i="7"/>
  <c r="G769" i="7"/>
  <c r="G777" i="7"/>
  <c r="G785" i="7"/>
  <c r="G793" i="7"/>
  <c r="G801" i="7"/>
  <c r="G809" i="7"/>
  <c r="G817" i="7"/>
  <c r="G825" i="7"/>
  <c r="G833" i="7"/>
  <c r="G841" i="7"/>
  <c r="G849" i="7"/>
  <c r="G857" i="7"/>
  <c r="G865" i="7"/>
  <c r="G873" i="7"/>
  <c r="D719" i="7"/>
  <c r="D1244" i="7"/>
  <c r="D1500" i="7"/>
  <c r="E285" i="7"/>
  <c r="E453" i="7"/>
  <c r="E581" i="7"/>
  <c r="E679" i="7"/>
  <c r="E743" i="7"/>
  <c r="E807" i="7"/>
  <c r="E871" i="7"/>
  <c r="E927" i="7"/>
  <c r="E976" i="7"/>
  <c r="E1018" i="7"/>
  <c r="E1061" i="7"/>
  <c r="E1104" i="7"/>
  <c r="E1146" i="7"/>
  <c r="E1189" i="7"/>
  <c r="E1232" i="7"/>
  <c r="E1266" i="7"/>
  <c r="E1298" i="7"/>
  <c r="E1330" i="7"/>
  <c r="E1362" i="7"/>
  <c r="E1394" i="7"/>
  <c r="E1426" i="7"/>
  <c r="E1458" i="7"/>
  <c r="E1490" i="7"/>
  <c r="E1522" i="7"/>
  <c r="E1554" i="7"/>
  <c r="E1586" i="7"/>
  <c r="F190" i="7"/>
  <c r="F222" i="7"/>
  <c r="F254" i="7"/>
  <c r="F285" i="7"/>
  <c r="F306" i="7"/>
  <c r="F326" i="7"/>
  <c r="F349" i="7"/>
  <c r="F370" i="7"/>
  <c r="F390" i="7"/>
  <c r="F413" i="7"/>
  <c r="F434" i="7"/>
  <c r="F446" i="7"/>
  <c r="F459" i="7"/>
  <c r="F471" i="7"/>
  <c r="F485" i="7"/>
  <c r="F498" i="7"/>
  <c r="F510" i="7"/>
  <c r="F523" i="7"/>
  <c r="F535" i="7"/>
  <c r="F549" i="7"/>
  <c r="F562" i="7"/>
  <c r="F574" i="7"/>
  <c r="F587" i="7"/>
  <c r="F599" i="7"/>
  <c r="F611" i="7"/>
  <c r="F622" i="7"/>
  <c r="F633" i="7"/>
  <c r="F643" i="7"/>
  <c r="F654" i="7"/>
  <c r="F665" i="7"/>
  <c r="F675" i="7"/>
  <c r="F686" i="7"/>
  <c r="F697" i="7"/>
  <c r="F707" i="7"/>
  <c r="F718" i="7"/>
  <c r="F729" i="7"/>
  <c r="F739" i="7"/>
  <c r="F750" i="7"/>
  <c r="F761" i="7"/>
  <c r="F771" i="7"/>
  <c r="F782" i="7"/>
  <c r="F793" i="7"/>
  <c r="F803" i="7"/>
  <c r="F814" i="7"/>
  <c r="F825" i="7"/>
  <c r="F835" i="7"/>
  <c r="F846" i="7"/>
  <c r="F857" i="7"/>
  <c r="F867" i="7"/>
  <c r="F878" i="7"/>
  <c r="F889" i="7"/>
  <c r="F899" i="7"/>
  <c r="F910" i="7"/>
  <c r="F921" i="7"/>
  <c r="F931" i="7"/>
  <c r="F942" i="7"/>
  <c r="F953" i="7"/>
  <c r="F963" i="7"/>
  <c r="F974" i="7"/>
  <c r="F985" i="7"/>
  <c r="F995" i="7"/>
  <c r="F1006" i="7"/>
  <c r="F1014" i="7"/>
  <c r="F1022" i="7"/>
  <c r="F1030" i="7"/>
  <c r="F1038" i="7"/>
  <c r="F1046" i="7"/>
  <c r="F1054" i="7"/>
  <c r="F1062" i="7"/>
  <c r="F1070" i="7"/>
  <c r="F1078" i="7"/>
  <c r="F1086" i="7"/>
  <c r="F1094" i="7"/>
  <c r="F1102" i="7"/>
  <c r="F1110" i="7"/>
  <c r="F1118" i="7"/>
  <c r="F1126" i="7"/>
  <c r="F1134" i="7"/>
  <c r="F1142" i="7"/>
  <c r="F1150" i="7"/>
  <c r="F1158" i="7"/>
  <c r="F1166" i="7"/>
  <c r="F1174" i="7"/>
  <c r="F1182" i="7"/>
  <c r="F1190" i="7"/>
  <c r="F1198" i="7"/>
  <c r="F1206" i="7"/>
  <c r="F1214" i="7"/>
  <c r="F1222" i="7"/>
  <c r="F1230" i="7"/>
  <c r="F1238" i="7"/>
  <c r="F1246" i="7"/>
  <c r="F1254" i="7"/>
  <c r="F1262" i="7"/>
  <c r="F1270" i="7"/>
  <c r="F1278" i="7"/>
  <c r="F1286" i="7"/>
  <c r="F1294" i="7"/>
  <c r="F1302" i="7"/>
  <c r="F1310" i="7"/>
  <c r="F1318" i="7"/>
  <c r="F1326" i="7"/>
  <c r="F1334" i="7"/>
  <c r="F1342" i="7"/>
  <c r="F1350" i="7"/>
  <c r="F1358" i="7"/>
  <c r="F1366" i="7"/>
  <c r="F1374" i="7"/>
  <c r="F1382" i="7"/>
  <c r="F1390" i="7"/>
  <c r="F1398" i="7"/>
  <c r="F1406" i="7"/>
  <c r="F1414" i="7"/>
  <c r="F1422" i="7"/>
  <c r="F1430" i="7"/>
  <c r="F1438" i="7"/>
  <c r="F1446" i="7"/>
  <c r="F1454" i="7"/>
  <c r="F1462" i="7"/>
  <c r="F1470" i="7"/>
  <c r="F1478" i="7"/>
  <c r="F1486" i="7"/>
  <c r="F1494" i="7"/>
  <c r="F1502" i="7"/>
  <c r="F1510" i="7"/>
  <c r="F1518" i="7"/>
  <c r="F1526" i="7"/>
  <c r="F1534" i="7"/>
  <c r="F1542" i="7"/>
  <c r="F1550" i="7"/>
  <c r="F1558" i="7"/>
  <c r="F1566" i="7"/>
  <c r="F1574" i="7"/>
  <c r="F1582" i="7"/>
  <c r="F1590" i="7"/>
  <c r="G170" i="7"/>
  <c r="G178" i="7"/>
  <c r="G186" i="7"/>
  <c r="G194" i="7"/>
  <c r="G202" i="7"/>
  <c r="G210" i="7"/>
  <c r="G218" i="7"/>
  <c r="G226" i="7"/>
  <c r="G234" i="7"/>
  <c r="G242" i="7"/>
  <c r="G250" i="7"/>
  <c r="G258" i="7"/>
  <c r="G266" i="7"/>
  <c r="G274" i="7"/>
  <c r="G282" i="7"/>
  <c r="G290" i="7"/>
  <c r="G298" i="7"/>
  <c r="G306" i="7"/>
  <c r="G314" i="7"/>
  <c r="G322" i="7"/>
  <c r="G330" i="7"/>
  <c r="G338" i="7"/>
  <c r="G346" i="7"/>
  <c r="G354" i="7"/>
  <c r="G362" i="7"/>
  <c r="G370" i="7"/>
  <c r="G378" i="7"/>
  <c r="G386" i="7"/>
  <c r="G394" i="7"/>
  <c r="G402" i="7"/>
  <c r="G410" i="7"/>
  <c r="G418" i="7"/>
  <c r="G426" i="7"/>
  <c r="G434" i="7"/>
  <c r="G442" i="7"/>
  <c r="G450" i="7"/>
  <c r="G458" i="7"/>
  <c r="G466" i="7"/>
  <c r="G474" i="7"/>
  <c r="G482" i="7"/>
  <c r="G490" i="7"/>
  <c r="G498" i="7"/>
  <c r="G506" i="7"/>
  <c r="G514" i="7"/>
  <c r="G522" i="7"/>
  <c r="G530" i="7"/>
  <c r="G538" i="7"/>
  <c r="G546" i="7"/>
  <c r="G554" i="7"/>
  <c r="G562" i="7"/>
  <c r="G570" i="7"/>
  <c r="G578" i="7"/>
  <c r="G586" i="7"/>
  <c r="G594" i="7"/>
  <c r="G602" i="7"/>
  <c r="G610" i="7"/>
  <c r="G618" i="7"/>
  <c r="G626" i="7"/>
  <c r="G634" i="7"/>
  <c r="G642" i="7"/>
  <c r="G650" i="7"/>
  <c r="G658" i="7"/>
  <c r="G666" i="7"/>
  <c r="G674" i="7"/>
  <c r="G682" i="7"/>
  <c r="G690" i="7"/>
  <c r="G698" i="7"/>
  <c r="G706" i="7"/>
  <c r="G714" i="7"/>
  <c r="G722" i="7"/>
  <c r="G730" i="7"/>
  <c r="G738" i="7"/>
  <c r="G746" i="7"/>
  <c r="G754" i="7"/>
  <c r="G762" i="7"/>
  <c r="G770" i="7"/>
  <c r="G778" i="7"/>
  <c r="G786" i="7"/>
  <c r="G794" i="7"/>
  <c r="G802" i="7"/>
  <c r="G810" i="7"/>
  <c r="G818" i="7"/>
  <c r="G826" i="7"/>
  <c r="G834" i="7"/>
  <c r="G842" i="7"/>
  <c r="G850" i="7"/>
  <c r="G858" i="7"/>
  <c r="G866" i="7"/>
  <c r="G874" i="7"/>
  <c r="D760" i="7"/>
  <c r="D1258" i="7"/>
  <c r="D1514" i="7"/>
  <c r="E326" i="7"/>
  <c r="E484" i="7"/>
  <c r="E612" i="7"/>
  <c r="E693" i="7"/>
  <c r="E757" i="7"/>
  <c r="E821" i="7"/>
  <c r="E885" i="7"/>
  <c r="E938" i="7"/>
  <c r="E985" i="7"/>
  <c r="E1028" i="7"/>
  <c r="E1071" i="7"/>
  <c r="E1113" i="7"/>
  <c r="E1156" i="7"/>
  <c r="E1199" i="7"/>
  <c r="E1240" i="7"/>
  <c r="E1273" i="7"/>
  <c r="E1305" i="7"/>
  <c r="E1337" i="7"/>
  <c r="E1369" i="7"/>
  <c r="E1401" i="7"/>
  <c r="E1433" i="7"/>
  <c r="E1465" i="7"/>
  <c r="E1497" i="7"/>
  <c r="E1529" i="7"/>
  <c r="E1561" i="7"/>
  <c r="E1593" i="7"/>
  <c r="F165" i="7"/>
  <c r="F197" i="7"/>
  <c r="F229" i="7"/>
  <c r="F261" i="7"/>
  <c r="F286" i="7"/>
  <c r="F309" i="7"/>
  <c r="F330" i="7"/>
  <c r="F350" i="7"/>
  <c r="F373" i="7"/>
  <c r="F394" i="7"/>
  <c r="F414" i="7"/>
  <c r="F435" i="7"/>
  <c r="F447" i="7"/>
  <c r="F461" i="7"/>
  <c r="F474" i="7"/>
  <c r="F486" i="7"/>
  <c r="F499" i="7"/>
  <c r="F511" i="7"/>
  <c r="F525" i="7"/>
  <c r="F538" i="7"/>
  <c r="F550" i="7"/>
  <c r="F563" i="7"/>
  <c r="F575" i="7"/>
  <c r="F589" i="7"/>
  <c r="F602" i="7"/>
  <c r="F613" i="7"/>
  <c r="F623" i="7"/>
  <c r="F634" i="7"/>
  <c r="F645" i="7"/>
  <c r="F655" i="7"/>
  <c r="F666" i="7"/>
  <c r="F677" i="7"/>
  <c r="F687" i="7"/>
  <c r="F698" i="7"/>
  <c r="F709" i="7"/>
  <c r="F719" i="7"/>
  <c r="F730" i="7"/>
  <c r="F741" i="7"/>
  <c r="F751" i="7"/>
  <c r="F762" i="7"/>
  <c r="F773" i="7"/>
  <c r="F783" i="7"/>
  <c r="F794" i="7"/>
  <c r="F805" i="7"/>
  <c r="F815" i="7"/>
  <c r="F826" i="7"/>
  <c r="F837" i="7"/>
  <c r="F847" i="7"/>
  <c r="F858" i="7"/>
  <c r="F869" i="7"/>
  <c r="F879" i="7"/>
  <c r="F890" i="7"/>
  <c r="F901" i="7"/>
  <c r="F911" i="7"/>
  <c r="F922" i="7"/>
  <c r="F933" i="7"/>
  <c r="F943" i="7"/>
  <c r="F954" i="7"/>
  <c r="F965" i="7"/>
  <c r="F975" i="7"/>
  <c r="F986" i="7"/>
  <c r="F997" i="7"/>
  <c r="F1007" i="7"/>
  <c r="F1015" i="7"/>
  <c r="F1023" i="7"/>
  <c r="F1031" i="7"/>
  <c r="F1039" i="7"/>
  <c r="F1047" i="7"/>
  <c r="F1055" i="7"/>
  <c r="F1063" i="7"/>
  <c r="F1071" i="7"/>
  <c r="F1079" i="7"/>
  <c r="F1087" i="7"/>
  <c r="F1095" i="7"/>
  <c r="F1103" i="7"/>
  <c r="F1111" i="7"/>
  <c r="F1119" i="7"/>
  <c r="F1127" i="7"/>
  <c r="F1135" i="7"/>
  <c r="F1143" i="7"/>
  <c r="F1151" i="7"/>
  <c r="F1159" i="7"/>
  <c r="F1167" i="7"/>
  <c r="F1175" i="7"/>
  <c r="F1183" i="7"/>
  <c r="F1191" i="7"/>
  <c r="F1199" i="7"/>
  <c r="F1207" i="7"/>
  <c r="F1215" i="7"/>
  <c r="F1223" i="7"/>
  <c r="F1231" i="7"/>
  <c r="F1239" i="7"/>
  <c r="F1247" i="7"/>
  <c r="F1255" i="7"/>
  <c r="F1263" i="7"/>
  <c r="F1271" i="7"/>
  <c r="F1279" i="7"/>
  <c r="F1287" i="7"/>
  <c r="F1295" i="7"/>
  <c r="F1303" i="7"/>
  <c r="F1311" i="7"/>
  <c r="F1319" i="7"/>
  <c r="F1327" i="7"/>
  <c r="F1335" i="7"/>
  <c r="F1343" i="7"/>
  <c r="F1351" i="7"/>
  <c r="F1359" i="7"/>
  <c r="F1367" i="7"/>
  <c r="F1375" i="7"/>
  <c r="F1383" i="7"/>
  <c r="F1391" i="7"/>
  <c r="F1399" i="7"/>
  <c r="F1407" i="7"/>
  <c r="F1415" i="7"/>
  <c r="F1423" i="7"/>
  <c r="F1431" i="7"/>
  <c r="F1439" i="7"/>
  <c r="F1447" i="7"/>
  <c r="F1455" i="7"/>
  <c r="F1463" i="7"/>
  <c r="F1471" i="7"/>
  <c r="F1479" i="7"/>
  <c r="F1487" i="7"/>
  <c r="F1495" i="7"/>
  <c r="F1503" i="7"/>
  <c r="F1511" i="7"/>
  <c r="F1519" i="7"/>
  <c r="F1527" i="7"/>
  <c r="F1535" i="7"/>
  <c r="F1543" i="7"/>
  <c r="F1551" i="7"/>
  <c r="F1559" i="7"/>
  <c r="F1567" i="7"/>
  <c r="F1575" i="7"/>
  <c r="F1583" i="7"/>
  <c r="F1591" i="7"/>
  <c r="G171" i="7"/>
  <c r="G179" i="7"/>
  <c r="G187" i="7"/>
  <c r="G195" i="7"/>
  <c r="G203" i="7"/>
  <c r="G211" i="7"/>
  <c r="G219" i="7"/>
  <c r="G227" i="7"/>
  <c r="G235" i="7"/>
  <c r="G243" i="7"/>
  <c r="G251" i="7"/>
  <c r="G259" i="7"/>
  <c r="G267" i="7"/>
  <c r="G275" i="7"/>
  <c r="G283" i="7"/>
  <c r="G291" i="7"/>
  <c r="G299" i="7"/>
  <c r="G307" i="7"/>
  <c r="G315" i="7"/>
  <c r="G323" i="7"/>
  <c r="G331" i="7"/>
  <c r="G339" i="7"/>
  <c r="G347" i="7"/>
  <c r="G355" i="7"/>
  <c r="G363" i="7"/>
  <c r="G371" i="7"/>
  <c r="G379" i="7"/>
  <c r="G387" i="7"/>
  <c r="G395" i="7"/>
  <c r="G403" i="7"/>
  <c r="G411" i="7"/>
  <c r="G419" i="7"/>
  <c r="G427" i="7"/>
  <c r="G435" i="7"/>
  <c r="G443" i="7"/>
  <c r="G451" i="7"/>
  <c r="G459" i="7"/>
  <c r="G467" i="7"/>
  <c r="G475" i="7"/>
  <c r="G483" i="7"/>
  <c r="G491" i="7"/>
  <c r="G499" i="7"/>
  <c r="G507" i="7"/>
  <c r="G515" i="7"/>
  <c r="G523" i="7"/>
  <c r="G531" i="7"/>
  <c r="G539" i="7"/>
  <c r="G547" i="7"/>
  <c r="G555" i="7"/>
  <c r="G563" i="7"/>
  <c r="G571" i="7"/>
  <c r="G579" i="7"/>
  <c r="G587" i="7"/>
  <c r="G595" i="7"/>
  <c r="G603" i="7"/>
  <c r="G611" i="7"/>
  <c r="G619" i="7"/>
  <c r="G627" i="7"/>
  <c r="G635" i="7"/>
  <c r="G643" i="7"/>
  <c r="G651" i="7"/>
  <c r="G659" i="7"/>
  <c r="G667" i="7"/>
  <c r="G675" i="7"/>
  <c r="G683" i="7"/>
  <c r="G691" i="7"/>
  <c r="G699" i="7"/>
  <c r="G707" i="7"/>
  <c r="G715" i="7"/>
  <c r="G723" i="7"/>
  <c r="G731" i="7"/>
  <c r="G739" i="7"/>
  <c r="G747" i="7"/>
  <c r="G755" i="7"/>
  <c r="G763" i="7"/>
  <c r="G771" i="7"/>
  <c r="G779" i="7"/>
  <c r="G787" i="7"/>
  <c r="G795" i="7"/>
  <c r="G803" i="7"/>
  <c r="G811" i="7"/>
  <c r="G819" i="7"/>
  <c r="G827" i="7"/>
  <c r="G835" i="7"/>
  <c r="G843" i="7"/>
  <c r="G851" i="7"/>
  <c r="G859" i="7"/>
  <c r="G867" i="7"/>
  <c r="G875" i="7"/>
  <c r="G883" i="7"/>
  <c r="G891" i="7"/>
  <c r="G899" i="7"/>
  <c r="G907" i="7"/>
  <c r="G915" i="7"/>
  <c r="G923" i="7"/>
  <c r="G931" i="7"/>
  <c r="G939" i="7"/>
  <c r="G947" i="7"/>
  <c r="G955" i="7"/>
  <c r="G963" i="7"/>
  <c r="G971" i="7"/>
  <c r="G979" i="7"/>
  <c r="G987" i="7"/>
  <c r="G995" i="7"/>
  <c r="G1003" i="7"/>
  <c r="G1011" i="7"/>
  <c r="G1019" i="7"/>
  <c r="G1027" i="7"/>
  <c r="G1035" i="7"/>
  <c r="G1043" i="7"/>
  <c r="G1051" i="7"/>
  <c r="G1059" i="7"/>
  <c r="G1067" i="7"/>
  <c r="G1075" i="7"/>
  <c r="G1083" i="7"/>
  <c r="G1091" i="7"/>
  <c r="G1099" i="7"/>
  <c r="G1107" i="7"/>
  <c r="G1115" i="7"/>
  <c r="G1123" i="7"/>
  <c r="G1131" i="7"/>
  <c r="G1139" i="7"/>
  <c r="G1147" i="7"/>
  <c r="G1155" i="7"/>
  <c r="G1163" i="7"/>
  <c r="D885" i="7"/>
  <c r="D1308" i="7"/>
  <c r="D1564" i="7"/>
  <c r="E328" i="7"/>
  <c r="E485" i="7"/>
  <c r="E613" i="7"/>
  <c r="E695" i="7"/>
  <c r="E759" i="7"/>
  <c r="E823" i="7"/>
  <c r="E887" i="7"/>
  <c r="E940" i="7"/>
  <c r="E986" i="7"/>
  <c r="E1029" i="7"/>
  <c r="E1072" i="7"/>
  <c r="E1114" i="7"/>
  <c r="E1157" i="7"/>
  <c r="E1200" i="7"/>
  <c r="E1241" i="7"/>
  <c r="E1274" i="7"/>
  <c r="E1306" i="7"/>
  <c r="E1338" i="7"/>
  <c r="E1370" i="7"/>
  <c r="E1402" i="7"/>
  <c r="E1434" i="7"/>
  <c r="E1466" i="7"/>
  <c r="E1498" i="7"/>
  <c r="E1530" i="7"/>
  <c r="E1562" i="7"/>
  <c r="F166" i="7"/>
  <c r="F198" i="7"/>
  <c r="F230" i="7"/>
  <c r="F262" i="7"/>
  <c r="F290" i="7"/>
  <c r="F310" i="7"/>
  <c r="F333" i="7"/>
  <c r="F354" i="7"/>
  <c r="F374" i="7"/>
  <c r="F397" i="7"/>
  <c r="F418" i="7"/>
  <c r="F437" i="7"/>
  <c r="F450" i="7"/>
  <c r="F462" i="7"/>
  <c r="F475" i="7"/>
  <c r="F487" i="7"/>
  <c r="F501" i="7"/>
  <c r="F514" i="7"/>
  <c r="F526" i="7"/>
  <c r="F539" i="7"/>
  <c r="F551" i="7"/>
  <c r="F565" i="7"/>
  <c r="F578" i="7"/>
  <c r="F590" i="7"/>
  <c r="F603" i="7"/>
  <c r="F614" i="7"/>
  <c r="F625" i="7"/>
  <c r="F635" i="7"/>
  <c r="F646" i="7"/>
  <c r="F657" i="7"/>
  <c r="F667" i="7"/>
  <c r="F678" i="7"/>
  <c r="F689" i="7"/>
  <c r="F699" i="7"/>
  <c r="F710" i="7"/>
  <c r="F721" i="7"/>
  <c r="F731" i="7"/>
  <c r="F742" i="7"/>
  <c r="F753" i="7"/>
  <c r="F763" i="7"/>
  <c r="F774" i="7"/>
  <c r="F785" i="7"/>
  <c r="F795" i="7"/>
  <c r="F806" i="7"/>
  <c r="F817" i="7"/>
  <c r="F827" i="7"/>
  <c r="F838" i="7"/>
  <c r="F849" i="7"/>
  <c r="F859" i="7"/>
  <c r="F870" i="7"/>
  <c r="F881" i="7"/>
  <c r="F891" i="7"/>
  <c r="F902" i="7"/>
  <c r="F913" i="7"/>
  <c r="F923" i="7"/>
  <c r="F934" i="7"/>
  <c r="F945" i="7"/>
  <c r="F955" i="7"/>
  <c r="F966" i="7"/>
  <c r="F977" i="7"/>
  <c r="F987" i="7"/>
  <c r="F998" i="7"/>
  <c r="F1008" i="7"/>
  <c r="F1016" i="7"/>
  <c r="F1024" i="7"/>
  <c r="F1032" i="7"/>
  <c r="F1040" i="7"/>
  <c r="F1048" i="7"/>
  <c r="F1056" i="7"/>
  <c r="F1064" i="7"/>
  <c r="F1072" i="7"/>
  <c r="F1080" i="7"/>
  <c r="F1088" i="7"/>
  <c r="F1096" i="7"/>
  <c r="F1104" i="7"/>
  <c r="F1112" i="7"/>
  <c r="F1120" i="7"/>
  <c r="F1128" i="7"/>
  <c r="F1136" i="7"/>
  <c r="F1144" i="7"/>
  <c r="F1152" i="7"/>
  <c r="F1160" i="7"/>
  <c r="F1168" i="7"/>
  <c r="F1176" i="7"/>
  <c r="F1184" i="7"/>
  <c r="F1192" i="7"/>
  <c r="F1200" i="7"/>
  <c r="F1208" i="7"/>
  <c r="F1216" i="7"/>
  <c r="F1224" i="7"/>
  <c r="F1232" i="7"/>
  <c r="F1240" i="7"/>
  <c r="F1248" i="7"/>
  <c r="F1256" i="7"/>
  <c r="F1264" i="7"/>
  <c r="F1272" i="7"/>
  <c r="F1280" i="7"/>
  <c r="F1288" i="7"/>
  <c r="F1296" i="7"/>
  <c r="F1304" i="7"/>
  <c r="F1312" i="7"/>
  <c r="F1320" i="7"/>
  <c r="F1328" i="7"/>
  <c r="F1336" i="7"/>
  <c r="F1344" i="7"/>
  <c r="F1352" i="7"/>
  <c r="F1360" i="7"/>
  <c r="F1368" i="7"/>
  <c r="F1376" i="7"/>
  <c r="F1384" i="7"/>
  <c r="F1392" i="7"/>
  <c r="F1400" i="7"/>
  <c r="F1408" i="7"/>
  <c r="F1416" i="7"/>
  <c r="F1424" i="7"/>
  <c r="F1432" i="7"/>
  <c r="F1440" i="7"/>
  <c r="F1448" i="7"/>
  <c r="F1456" i="7"/>
  <c r="F1464" i="7"/>
  <c r="F1472" i="7"/>
  <c r="F1480" i="7"/>
  <c r="F1488" i="7"/>
  <c r="F1496" i="7"/>
  <c r="F1504" i="7"/>
  <c r="F1512" i="7"/>
  <c r="F1520" i="7"/>
  <c r="F1528" i="7"/>
  <c r="F1536" i="7"/>
  <c r="F1544" i="7"/>
  <c r="F1552" i="7"/>
  <c r="F1560" i="7"/>
  <c r="F1568" i="7"/>
  <c r="F1576" i="7"/>
  <c r="F1584" i="7"/>
  <c r="F1592" i="7"/>
  <c r="G172" i="7"/>
  <c r="G180" i="7"/>
  <c r="G188" i="7"/>
  <c r="G196" i="7"/>
  <c r="G204" i="7"/>
  <c r="G212" i="7"/>
  <c r="G220" i="7"/>
  <c r="G228" i="7"/>
  <c r="G236" i="7"/>
  <c r="G244" i="7"/>
  <c r="G252" i="7"/>
  <c r="G260" i="7"/>
  <c r="G268" i="7"/>
  <c r="G276" i="7"/>
  <c r="G284" i="7"/>
  <c r="G292" i="7"/>
  <c r="G300" i="7"/>
  <c r="G308" i="7"/>
  <c r="G316" i="7"/>
  <c r="G324" i="7"/>
  <c r="G332" i="7"/>
  <c r="G340" i="7"/>
  <c r="G348" i="7"/>
  <c r="G356" i="7"/>
  <c r="G364" i="7"/>
  <c r="G372" i="7"/>
  <c r="G380" i="7"/>
  <c r="G388" i="7"/>
  <c r="G396" i="7"/>
  <c r="G404" i="7"/>
  <c r="G412" i="7"/>
  <c r="G420" i="7"/>
  <c r="G428" i="7"/>
  <c r="G436" i="7"/>
  <c r="G444" i="7"/>
  <c r="G452" i="7"/>
  <c r="G460" i="7"/>
  <c r="G468" i="7"/>
  <c r="G476" i="7"/>
  <c r="G484" i="7"/>
  <c r="G492" i="7"/>
  <c r="G500" i="7"/>
  <c r="G508" i="7"/>
  <c r="G516" i="7"/>
  <c r="G524" i="7"/>
  <c r="G532" i="7"/>
  <c r="G540" i="7"/>
  <c r="G548" i="7"/>
  <c r="G556" i="7"/>
  <c r="G564" i="7"/>
  <c r="G572" i="7"/>
  <c r="G580" i="7"/>
  <c r="G588" i="7"/>
  <c r="G596" i="7"/>
  <c r="G604" i="7"/>
  <c r="G612" i="7"/>
  <c r="G620" i="7"/>
  <c r="G628" i="7"/>
  <c r="G636" i="7"/>
  <c r="G644" i="7"/>
  <c r="G652" i="7"/>
  <c r="G660" i="7"/>
  <c r="G668" i="7"/>
  <c r="G676" i="7"/>
  <c r="G684" i="7"/>
  <c r="G692" i="7"/>
  <c r="G700" i="7"/>
  <c r="G708" i="7"/>
  <c r="G716" i="7"/>
  <c r="G724" i="7"/>
  <c r="G732" i="7"/>
  <c r="G740" i="7"/>
  <c r="G748" i="7"/>
  <c r="G756" i="7"/>
  <c r="G764" i="7"/>
  <c r="G772" i="7"/>
  <c r="G780" i="7"/>
  <c r="G788" i="7"/>
  <c r="G796" i="7"/>
  <c r="G804" i="7"/>
  <c r="G812" i="7"/>
  <c r="G820" i="7"/>
  <c r="G828" i="7"/>
  <c r="G836" i="7"/>
  <c r="G844" i="7"/>
  <c r="G852" i="7"/>
  <c r="G860" i="7"/>
  <c r="G868" i="7"/>
  <c r="G876" i="7"/>
  <c r="G884" i="7"/>
  <c r="G892" i="7"/>
  <c r="G900" i="7"/>
  <c r="G908" i="7"/>
  <c r="G916" i="7"/>
  <c r="G924" i="7"/>
  <c r="G932" i="7"/>
  <c r="G940" i="7"/>
  <c r="G948" i="7"/>
  <c r="G956" i="7"/>
  <c r="G964" i="7"/>
  <c r="G972" i="7"/>
  <c r="G980" i="7"/>
  <c r="G988" i="7"/>
  <c r="G996" i="7"/>
  <c r="G1004" i="7"/>
  <c r="G1012" i="7"/>
  <c r="G1020" i="7"/>
  <c r="G1028" i="7"/>
  <c r="G1036" i="7"/>
  <c r="G1044" i="7"/>
  <c r="G1052" i="7"/>
  <c r="G1060" i="7"/>
  <c r="G1068" i="7"/>
  <c r="G1076" i="7"/>
  <c r="G1084" i="7"/>
  <c r="G1092" i="7"/>
  <c r="G1100" i="7"/>
  <c r="G1108" i="7"/>
  <c r="G1116" i="7"/>
  <c r="G1124" i="7"/>
  <c r="G1132" i="7"/>
  <c r="G1140" i="7"/>
  <c r="G1148" i="7"/>
  <c r="G1156" i="7"/>
  <c r="G1164" i="7"/>
  <c r="G1172" i="7"/>
  <c r="G1180" i="7"/>
  <c r="G1188" i="7"/>
  <c r="G1196" i="7"/>
  <c r="G1204" i="7"/>
  <c r="G1212" i="7"/>
  <c r="G1220" i="7"/>
  <c r="G1228" i="7"/>
  <c r="G1236" i="7"/>
  <c r="G1244" i="7"/>
  <c r="G1252" i="7"/>
  <c r="G1260" i="7"/>
  <c r="G1268" i="7"/>
  <c r="G1276" i="7"/>
  <c r="G1284" i="7"/>
  <c r="G1292" i="7"/>
  <c r="G1300" i="7"/>
  <c r="G1308" i="7"/>
  <c r="G1316" i="7"/>
  <c r="G1324" i="7"/>
  <c r="G1332" i="7"/>
  <c r="G1340" i="7"/>
  <c r="G1348" i="7"/>
  <c r="G1356" i="7"/>
  <c r="G1364" i="7"/>
  <c r="G1372" i="7"/>
  <c r="G1380" i="7"/>
  <c r="G1388" i="7"/>
  <c r="G1396" i="7"/>
  <c r="G1404" i="7"/>
  <c r="G1412" i="7"/>
  <c r="G1420" i="7"/>
  <c r="G1428" i="7"/>
  <c r="G1436" i="7"/>
  <c r="G1444" i="7"/>
  <c r="G1452" i="7"/>
  <c r="G1460" i="7"/>
  <c r="G1468" i="7"/>
  <c r="G1476" i="7"/>
  <c r="G1484" i="7"/>
  <c r="G1492" i="7"/>
  <c r="G1500" i="7"/>
  <c r="G1508" i="7"/>
  <c r="G1516" i="7"/>
  <c r="G1524" i="7"/>
  <c r="G1532" i="7"/>
  <c r="G1540" i="7"/>
  <c r="G1548" i="7"/>
  <c r="G1556" i="7"/>
  <c r="G1564" i="7"/>
  <c r="G1572" i="7"/>
  <c r="G1580" i="7"/>
  <c r="D916" i="7"/>
  <c r="D1322" i="7"/>
  <c r="D1578" i="7"/>
  <c r="E198" i="7"/>
  <c r="E369" i="7"/>
  <c r="E516" i="7"/>
  <c r="E644" i="7"/>
  <c r="E709" i="7"/>
  <c r="E773" i="7"/>
  <c r="E837" i="7"/>
  <c r="E900" i="7"/>
  <c r="E951" i="7"/>
  <c r="E996" i="7"/>
  <c r="E1039" i="7"/>
  <c r="E1081" i="7"/>
  <c r="E1124" i="7"/>
  <c r="E1167" i="7"/>
  <c r="E1209" i="7"/>
  <c r="E1249" i="7"/>
  <c r="E1281" i="7"/>
  <c r="E1313" i="7"/>
  <c r="E1345" i="7"/>
  <c r="E1377" i="7"/>
  <c r="E1409" i="7"/>
  <c r="E1441" i="7"/>
  <c r="E1473" i="7"/>
  <c r="E1505" i="7"/>
  <c r="E1537" i="7"/>
  <c r="E1569" i="7"/>
  <c r="F173" i="7"/>
  <c r="F205" i="7"/>
  <c r="F237" i="7"/>
  <c r="F269" i="7"/>
  <c r="F293" i="7"/>
  <c r="F314" i="7"/>
  <c r="F334" i="7"/>
  <c r="F357" i="7"/>
  <c r="F378" i="7"/>
  <c r="F398" i="7"/>
  <c r="F421" i="7"/>
  <c r="F438" i="7"/>
  <c r="F451" i="7"/>
  <c r="F463" i="7"/>
  <c r="F477" i="7"/>
  <c r="F490" i="7"/>
  <c r="F502" i="7"/>
  <c r="F515" i="7"/>
  <c r="F527" i="7"/>
  <c r="F541" i="7"/>
  <c r="F554" i="7"/>
  <c r="F566" i="7"/>
  <c r="F579" i="7"/>
  <c r="F591" i="7"/>
  <c r="F605" i="7"/>
  <c r="F615" i="7"/>
  <c r="F626" i="7"/>
  <c r="F637" i="7"/>
  <c r="F647" i="7"/>
  <c r="F658" i="7"/>
  <c r="F669" i="7"/>
  <c r="F679" i="7"/>
  <c r="F690" i="7"/>
  <c r="F701" i="7"/>
  <c r="F711" i="7"/>
  <c r="F722" i="7"/>
  <c r="F733" i="7"/>
  <c r="F743" i="7"/>
  <c r="F754" i="7"/>
  <c r="F765" i="7"/>
  <c r="F775" i="7"/>
  <c r="F786" i="7"/>
  <c r="F797" i="7"/>
  <c r="F807" i="7"/>
  <c r="F818" i="7"/>
  <c r="F829" i="7"/>
  <c r="F839" i="7"/>
  <c r="F850" i="7"/>
  <c r="F861" i="7"/>
  <c r="F871" i="7"/>
  <c r="F882" i="7"/>
  <c r="F893" i="7"/>
  <c r="F903" i="7"/>
  <c r="F914" i="7"/>
  <c r="F925" i="7"/>
  <c r="F935" i="7"/>
  <c r="F946" i="7"/>
  <c r="F957" i="7"/>
  <c r="F967" i="7"/>
  <c r="F978" i="7"/>
  <c r="F989" i="7"/>
  <c r="F999" i="7"/>
  <c r="F1009" i="7"/>
  <c r="F1017" i="7"/>
  <c r="F1025" i="7"/>
  <c r="F1033" i="7"/>
  <c r="F1041" i="7"/>
  <c r="F1049" i="7"/>
  <c r="F1057" i="7"/>
  <c r="F1065" i="7"/>
  <c r="F1073" i="7"/>
  <c r="F1081" i="7"/>
  <c r="F1089" i="7"/>
  <c r="F1097" i="7"/>
  <c r="F1105" i="7"/>
  <c r="F1113" i="7"/>
  <c r="F1121" i="7"/>
  <c r="F1129" i="7"/>
  <c r="F1137" i="7"/>
  <c r="F1145" i="7"/>
  <c r="F1153" i="7"/>
  <c r="F1161" i="7"/>
  <c r="F1169" i="7"/>
  <c r="F1177" i="7"/>
  <c r="F1185" i="7"/>
  <c r="F1193" i="7"/>
  <c r="F1201" i="7"/>
  <c r="F1209" i="7"/>
  <c r="F1217" i="7"/>
  <c r="F1225" i="7"/>
  <c r="F1233" i="7"/>
  <c r="F1241" i="7"/>
  <c r="F1249" i="7"/>
  <c r="F1257" i="7"/>
  <c r="F1265" i="7"/>
  <c r="F1273" i="7"/>
  <c r="F1281" i="7"/>
  <c r="F1289" i="7"/>
  <c r="F1297" i="7"/>
  <c r="F1305" i="7"/>
  <c r="F1313" i="7"/>
  <c r="F1321" i="7"/>
  <c r="F1329" i="7"/>
  <c r="F1337" i="7"/>
  <c r="F1345" i="7"/>
  <c r="F1353" i="7"/>
  <c r="F1361" i="7"/>
  <c r="F1369" i="7"/>
  <c r="F1377" i="7"/>
  <c r="F1385" i="7"/>
  <c r="F1393" i="7"/>
  <c r="F1401" i="7"/>
  <c r="F1409" i="7"/>
  <c r="F1417" i="7"/>
  <c r="F1425" i="7"/>
  <c r="F1433" i="7"/>
  <c r="F1441" i="7"/>
  <c r="F1449" i="7"/>
  <c r="F1457" i="7"/>
  <c r="F1465" i="7"/>
  <c r="F1473" i="7"/>
  <c r="F1481" i="7"/>
  <c r="F1489" i="7"/>
  <c r="F1497" i="7"/>
  <c r="F1505" i="7"/>
  <c r="F1513" i="7"/>
  <c r="F1521" i="7"/>
  <c r="F1529" i="7"/>
  <c r="F1537" i="7"/>
  <c r="F1545" i="7"/>
  <c r="F1553" i="7"/>
  <c r="F1561" i="7"/>
  <c r="F1569" i="7"/>
  <c r="F1577" i="7"/>
  <c r="F1585" i="7"/>
  <c r="F1593" i="7"/>
  <c r="G165" i="7"/>
  <c r="G173" i="7"/>
  <c r="G181" i="7"/>
  <c r="G189" i="7"/>
  <c r="G197" i="7"/>
  <c r="G205" i="7"/>
  <c r="G213" i="7"/>
  <c r="G221" i="7"/>
  <c r="G229" i="7"/>
  <c r="G237" i="7"/>
  <c r="G245" i="7"/>
  <c r="G253" i="7"/>
  <c r="G261" i="7"/>
  <c r="G269" i="7"/>
  <c r="G277" i="7"/>
  <c r="G285" i="7"/>
  <c r="G293" i="7"/>
  <c r="G301" i="7"/>
  <c r="G309" i="7"/>
  <c r="G317" i="7"/>
  <c r="G325" i="7"/>
  <c r="G333" i="7"/>
  <c r="G341" i="7"/>
  <c r="G349" i="7"/>
  <c r="G357" i="7"/>
  <c r="G365" i="7"/>
  <c r="G373" i="7"/>
  <c r="G381" i="7"/>
  <c r="G389" i="7"/>
  <c r="G397" i="7"/>
  <c r="G405" i="7"/>
  <c r="G413" i="7"/>
  <c r="G421" i="7"/>
  <c r="G429" i="7"/>
  <c r="G437" i="7"/>
  <c r="G445" i="7"/>
  <c r="G453" i="7"/>
  <c r="G461" i="7"/>
  <c r="G469" i="7"/>
  <c r="G477" i="7"/>
  <c r="G485" i="7"/>
  <c r="G493" i="7"/>
  <c r="G501" i="7"/>
  <c r="G509" i="7"/>
  <c r="G517" i="7"/>
  <c r="G525" i="7"/>
  <c r="G533" i="7"/>
  <c r="G541" i="7"/>
  <c r="G549" i="7"/>
  <c r="G557" i="7"/>
  <c r="G565" i="7"/>
  <c r="G573" i="7"/>
  <c r="G581" i="7"/>
  <c r="G589" i="7"/>
  <c r="G597" i="7"/>
  <c r="G605" i="7"/>
  <c r="G613" i="7"/>
  <c r="G621" i="7"/>
  <c r="G629" i="7"/>
  <c r="G637" i="7"/>
  <c r="G645" i="7"/>
  <c r="G653" i="7"/>
  <c r="G661" i="7"/>
  <c r="G669" i="7"/>
  <c r="G677" i="7"/>
  <c r="G685" i="7"/>
  <c r="G693" i="7"/>
  <c r="G701" i="7"/>
  <c r="G709" i="7"/>
  <c r="G717" i="7"/>
  <c r="G725" i="7"/>
  <c r="G733" i="7"/>
  <c r="G741" i="7"/>
  <c r="G749" i="7"/>
  <c r="G757" i="7"/>
  <c r="G765" i="7"/>
  <c r="G773" i="7"/>
  <c r="G781" i="7"/>
  <c r="G789" i="7"/>
  <c r="G797" i="7"/>
  <c r="G805" i="7"/>
  <c r="G813" i="7"/>
  <c r="G821" i="7"/>
  <c r="G829" i="7"/>
  <c r="G837" i="7"/>
  <c r="G845" i="7"/>
  <c r="G853" i="7"/>
  <c r="G861" i="7"/>
  <c r="G869" i="7"/>
  <c r="G877" i="7"/>
  <c r="G885" i="7"/>
  <c r="G893" i="7"/>
  <c r="G901" i="7"/>
  <c r="G909" i="7"/>
  <c r="G917" i="7"/>
  <c r="G925" i="7"/>
  <c r="G933" i="7"/>
  <c r="G941" i="7"/>
  <c r="G949" i="7"/>
  <c r="G957" i="7"/>
  <c r="D424" i="7"/>
  <c r="D1141" i="7"/>
  <c r="D1436" i="7"/>
  <c r="E242" i="7"/>
  <c r="E413" i="7"/>
  <c r="E549" i="7"/>
  <c r="E663" i="7"/>
  <c r="E727" i="7"/>
  <c r="E791" i="7"/>
  <c r="E855" i="7"/>
  <c r="E914" i="7"/>
  <c r="E965" i="7"/>
  <c r="E1008" i="7"/>
  <c r="E1050" i="7"/>
  <c r="E1093" i="7"/>
  <c r="E1136" i="7"/>
  <c r="E1178" i="7"/>
  <c r="E1221" i="7"/>
  <c r="E1258" i="7"/>
  <c r="E1290" i="7"/>
  <c r="E1322" i="7"/>
  <c r="E1354" i="7"/>
  <c r="E1386" i="7"/>
  <c r="E1418" i="7"/>
  <c r="E1450" i="7"/>
  <c r="E1482" i="7"/>
  <c r="E1514" i="7"/>
  <c r="E1546" i="7"/>
  <c r="E1578" i="7"/>
  <c r="F182" i="7"/>
  <c r="F214" i="7"/>
  <c r="F246" i="7"/>
  <c r="F278" i="7"/>
  <c r="F301" i="7"/>
  <c r="F322" i="7"/>
  <c r="F342" i="7"/>
  <c r="F365" i="7"/>
  <c r="F386" i="7"/>
  <c r="F406" i="7"/>
  <c r="F429" i="7"/>
  <c r="F443" i="7"/>
  <c r="F455" i="7"/>
  <c r="F469" i="7"/>
  <c r="F482" i="7"/>
  <c r="F494" i="7"/>
  <c r="F507" i="7"/>
  <c r="F519" i="7"/>
  <c r="F533" i="7"/>
  <c r="F546" i="7"/>
  <c r="F558" i="7"/>
  <c r="F571" i="7"/>
  <c r="F583" i="7"/>
  <c r="F597" i="7"/>
  <c r="F609" i="7"/>
  <c r="F619" i="7"/>
  <c r="F630" i="7"/>
  <c r="F641" i="7"/>
  <c r="F651" i="7"/>
  <c r="F662" i="7"/>
  <c r="F673" i="7"/>
  <c r="F683" i="7"/>
  <c r="F694" i="7"/>
  <c r="F705" i="7"/>
  <c r="F715" i="7"/>
  <c r="F726" i="7"/>
  <c r="F737" i="7"/>
  <c r="F747" i="7"/>
  <c r="F758" i="7"/>
  <c r="F769" i="7"/>
  <c r="F779" i="7"/>
  <c r="F790" i="7"/>
  <c r="F801" i="7"/>
  <c r="F811" i="7"/>
  <c r="F822" i="7"/>
  <c r="F833" i="7"/>
  <c r="F843" i="7"/>
  <c r="F854" i="7"/>
  <c r="F865" i="7"/>
  <c r="F875" i="7"/>
  <c r="F886" i="7"/>
  <c r="F897" i="7"/>
  <c r="F907" i="7"/>
  <c r="F918" i="7"/>
  <c r="F929" i="7"/>
  <c r="F939" i="7"/>
  <c r="F950" i="7"/>
  <c r="F961" i="7"/>
  <c r="F971" i="7"/>
  <c r="F982" i="7"/>
  <c r="F993" i="7"/>
  <c r="F1003" i="7"/>
  <c r="F1012" i="7"/>
  <c r="F1020" i="7"/>
  <c r="F1028" i="7"/>
  <c r="F1036" i="7"/>
  <c r="F1044" i="7"/>
  <c r="F1052" i="7"/>
  <c r="F1060" i="7"/>
  <c r="F1068" i="7"/>
  <c r="F1076" i="7"/>
  <c r="F1084" i="7"/>
  <c r="F1092" i="7"/>
  <c r="F1100" i="7"/>
  <c r="F1108" i="7"/>
  <c r="F1116" i="7"/>
  <c r="F1124" i="7"/>
  <c r="F1132" i="7"/>
  <c r="F1140" i="7"/>
  <c r="F1148" i="7"/>
  <c r="F1156" i="7"/>
  <c r="F1164" i="7"/>
  <c r="F1172" i="7"/>
  <c r="F1180" i="7"/>
  <c r="F1188" i="7"/>
  <c r="F1196" i="7"/>
  <c r="F1204" i="7"/>
  <c r="F1212" i="7"/>
  <c r="F1220" i="7"/>
  <c r="F1228" i="7"/>
  <c r="F1236" i="7"/>
  <c r="F1244" i="7"/>
  <c r="F1252" i="7"/>
  <c r="F1260" i="7"/>
  <c r="F1268" i="7"/>
  <c r="F1276" i="7"/>
  <c r="F1284" i="7"/>
  <c r="F1292" i="7"/>
  <c r="F1300" i="7"/>
  <c r="F1308" i="7"/>
  <c r="F1316" i="7"/>
  <c r="F1324" i="7"/>
  <c r="F1332" i="7"/>
  <c r="F1340" i="7"/>
  <c r="F1348" i="7"/>
  <c r="F1356" i="7"/>
  <c r="F1364" i="7"/>
  <c r="F1372" i="7"/>
  <c r="F1380" i="7"/>
  <c r="F1388" i="7"/>
  <c r="F1396" i="7"/>
  <c r="F1404" i="7"/>
  <c r="F1412" i="7"/>
  <c r="F1420" i="7"/>
  <c r="F1428" i="7"/>
  <c r="F1436" i="7"/>
  <c r="F1444" i="7"/>
  <c r="F1452" i="7"/>
  <c r="F1460" i="7"/>
  <c r="F1468" i="7"/>
  <c r="F1476" i="7"/>
  <c r="F1484" i="7"/>
  <c r="F1492" i="7"/>
  <c r="F1500" i="7"/>
  <c r="F1508" i="7"/>
  <c r="F1516" i="7"/>
  <c r="F1524" i="7"/>
  <c r="F1532" i="7"/>
  <c r="F1540" i="7"/>
  <c r="F1548" i="7"/>
  <c r="F1556" i="7"/>
  <c r="F1564" i="7"/>
  <c r="F1572" i="7"/>
  <c r="F1580" i="7"/>
  <c r="F1588" i="7"/>
  <c r="G168" i="7"/>
  <c r="G176" i="7"/>
  <c r="G184" i="7"/>
  <c r="G192" i="7"/>
  <c r="G200" i="7"/>
  <c r="G208" i="7"/>
  <c r="G216" i="7"/>
  <c r="G224" i="7"/>
  <c r="G232" i="7"/>
  <c r="G240" i="7"/>
  <c r="G248" i="7"/>
  <c r="G256" i="7"/>
  <c r="G264" i="7"/>
  <c r="G272" i="7"/>
  <c r="G280" i="7"/>
  <c r="G288" i="7"/>
  <c r="G296" i="7"/>
  <c r="G304" i="7"/>
  <c r="G312" i="7"/>
  <c r="G320" i="7"/>
  <c r="G328" i="7"/>
  <c r="G336" i="7"/>
  <c r="G344" i="7"/>
  <c r="G352" i="7"/>
  <c r="G360" i="7"/>
  <c r="G368" i="7"/>
  <c r="G376" i="7"/>
  <c r="G384" i="7"/>
  <c r="G392" i="7"/>
  <c r="G400" i="7"/>
  <c r="G408" i="7"/>
  <c r="G416" i="7"/>
  <c r="G424" i="7"/>
  <c r="G432" i="7"/>
  <c r="G440" i="7"/>
  <c r="G448" i="7"/>
  <c r="G456" i="7"/>
  <c r="G464" i="7"/>
  <c r="G472" i="7"/>
  <c r="G480" i="7"/>
  <c r="G488" i="7"/>
  <c r="G496" i="7"/>
  <c r="G504" i="7"/>
  <c r="G512" i="7"/>
  <c r="G520" i="7"/>
  <c r="G528" i="7"/>
  <c r="G536" i="7"/>
  <c r="G544" i="7"/>
  <c r="G552" i="7"/>
  <c r="G560" i="7"/>
  <c r="G568" i="7"/>
  <c r="G576" i="7"/>
  <c r="G584" i="7"/>
  <c r="G592" i="7"/>
  <c r="G600" i="7"/>
  <c r="G608" i="7"/>
  <c r="G616" i="7"/>
  <c r="G624" i="7"/>
  <c r="G632" i="7"/>
  <c r="G640" i="7"/>
  <c r="G648" i="7"/>
  <c r="G656" i="7"/>
  <c r="G664" i="7"/>
  <c r="G672" i="7"/>
  <c r="G680" i="7"/>
  <c r="G688" i="7"/>
  <c r="G696" i="7"/>
  <c r="G704" i="7"/>
  <c r="G712" i="7"/>
  <c r="G720" i="7"/>
  <c r="G728" i="7"/>
  <c r="G736" i="7"/>
  <c r="G744" i="7"/>
  <c r="G752" i="7"/>
  <c r="G760" i="7"/>
  <c r="G768" i="7"/>
  <c r="G776" i="7"/>
  <c r="G784" i="7"/>
  <c r="G792" i="7"/>
  <c r="G800" i="7"/>
  <c r="G808" i="7"/>
  <c r="G816" i="7"/>
  <c r="G824" i="7"/>
  <c r="G832" i="7"/>
  <c r="G840" i="7"/>
  <c r="G848" i="7"/>
  <c r="G856" i="7"/>
  <c r="G864" i="7"/>
  <c r="G872" i="7"/>
  <c r="G880" i="7"/>
  <c r="G888" i="7"/>
  <c r="G896" i="7"/>
  <c r="G904" i="7"/>
  <c r="G912" i="7"/>
  <c r="G920" i="7"/>
  <c r="G928" i="7"/>
  <c r="G936" i="7"/>
  <c r="G944" i="7"/>
  <c r="G952" i="7"/>
  <c r="G960" i="7"/>
  <c r="G968" i="7"/>
  <c r="G976" i="7"/>
  <c r="G984" i="7"/>
  <c r="G992" i="7"/>
  <c r="G1000" i="7"/>
  <c r="G1008" i="7"/>
  <c r="G1016" i="7"/>
  <c r="G1024" i="7"/>
  <c r="G1032" i="7"/>
  <c r="G1040" i="7"/>
  <c r="G1048" i="7"/>
  <c r="G1056" i="7"/>
  <c r="G1064" i="7"/>
  <c r="G1072" i="7"/>
  <c r="G1080" i="7"/>
  <c r="G1088" i="7"/>
  <c r="G1096" i="7"/>
  <c r="G1104" i="7"/>
  <c r="G1112" i="7"/>
  <c r="G1120" i="7"/>
  <c r="G1128" i="7"/>
  <c r="G1136" i="7"/>
  <c r="G1144" i="7"/>
  <c r="G1152" i="7"/>
  <c r="G1160" i="7"/>
  <c r="G1168" i="7"/>
  <c r="G1176" i="7"/>
  <c r="G1184" i="7"/>
  <c r="G1192" i="7"/>
  <c r="G1200" i="7"/>
  <c r="G1208" i="7"/>
  <c r="G1216" i="7"/>
  <c r="G1224" i="7"/>
  <c r="G1232" i="7"/>
  <c r="G1240" i="7"/>
  <c r="G1248" i="7"/>
  <c r="G1256" i="7"/>
  <c r="G1264" i="7"/>
  <c r="G1272" i="7"/>
  <c r="G1280" i="7"/>
  <c r="G1288" i="7"/>
  <c r="G1296" i="7"/>
  <c r="G1304" i="7"/>
  <c r="G1312" i="7"/>
  <c r="G1320" i="7"/>
  <c r="G1328" i="7"/>
  <c r="G1336" i="7"/>
  <c r="G1344" i="7"/>
  <c r="G1352" i="7"/>
  <c r="G1360" i="7"/>
  <c r="G1368" i="7"/>
  <c r="G1376" i="7"/>
  <c r="G1384" i="7"/>
  <c r="G1392" i="7"/>
  <c r="G1400" i="7"/>
  <c r="G1408" i="7"/>
  <c r="G1416" i="7"/>
  <c r="G1424" i="7"/>
  <c r="G1432" i="7"/>
  <c r="G1440" i="7"/>
  <c r="G1448" i="7"/>
  <c r="G1456" i="7"/>
  <c r="G1464" i="7"/>
  <c r="G1472" i="7"/>
  <c r="G1480" i="7"/>
  <c r="G1488" i="7"/>
  <c r="G1496" i="7"/>
  <c r="G1504" i="7"/>
  <c r="G1512" i="7"/>
  <c r="G1520" i="7"/>
  <c r="G1528" i="7"/>
  <c r="G1536" i="7"/>
  <c r="G1544" i="7"/>
  <c r="G1552" i="7"/>
  <c r="G1560" i="7"/>
  <c r="G1568" i="7"/>
  <c r="G1576" i="7"/>
  <c r="D1044" i="7"/>
  <c r="E645" i="7"/>
  <c r="E901" i="7"/>
  <c r="E1082" i="7"/>
  <c r="E1250" i="7"/>
  <c r="E1378" i="7"/>
  <c r="E1506" i="7"/>
  <c r="F213" i="7"/>
  <c r="F318" i="7"/>
  <c r="F405" i="7"/>
  <c r="F467" i="7"/>
  <c r="F518" i="7"/>
  <c r="F570" i="7"/>
  <c r="F618" i="7"/>
  <c r="F661" i="7"/>
  <c r="F703" i="7"/>
  <c r="F746" i="7"/>
  <c r="F789" i="7"/>
  <c r="F831" i="7"/>
  <c r="F874" i="7"/>
  <c r="F917" i="7"/>
  <c r="F959" i="7"/>
  <c r="F1002" i="7"/>
  <c r="F1035" i="7"/>
  <c r="F1067" i="7"/>
  <c r="F1099" i="7"/>
  <c r="F1131" i="7"/>
  <c r="F1163" i="7"/>
  <c r="F1195" i="7"/>
  <c r="F1227" i="7"/>
  <c r="F1259" i="7"/>
  <c r="F1291" i="7"/>
  <c r="F1323" i="7"/>
  <c r="F1355" i="7"/>
  <c r="F1387" i="7"/>
  <c r="F1419" i="7"/>
  <c r="F1451" i="7"/>
  <c r="F1483" i="7"/>
  <c r="F1515" i="7"/>
  <c r="F1547" i="7"/>
  <c r="F1579" i="7"/>
  <c r="G190" i="7"/>
  <c r="G222" i="7"/>
  <c r="G254" i="7"/>
  <c r="G286" i="7"/>
  <c r="G318" i="7"/>
  <c r="G350" i="7"/>
  <c r="G382" i="7"/>
  <c r="G414" i="7"/>
  <c r="G446" i="7"/>
  <c r="G478" i="7"/>
  <c r="G510" i="7"/>
  <c r="G542" i="7"/>
  <c r="G574" i="7"/>
  <c r="G606" i="7"/>
  <c r="G638" i="7"/>
  <c r="G670" i="7"/>
  <c r="G702" i="7"/>
  <c r="G734" i="7"/>
  <c r="G766" i="7"/>
  <c r="G798" i="7"/>
  <c r="G830" i="7"/>
  <c r="G862" i="7"/>
  <c r="G886" i="7"/>
  <c r="G902" i="7"/>
  <c r="G918" i="7"/>
  <c r="G934" i="7"/>
  <c r="G950" i="7"/>
  <c r="G965" i="7"/>
  <c r="G977" i="7"/>
  <c r="G990" i="7"/>
  <c r="G1002" i="7"/>
  <c r="G1015" i="7"/>
  <c r="G1029" i="7"/>
  <c r="G1041" i="7"/>
  <c r="G1054" i="7"/>
  <c r="G1066" i="7"/>
  <c r="G1079" i="7"/>
  <c r="G1093" i="7"/>
  <c r="G1105" i="7"/>
  <c r="G1118" i="7"/>
  <c r="G1130" i="7"/>
  <c r="G1143" i="7"/>
  <c r="G1157" i="7"/>
  <c r="G1169" i="7"/>
  <c r="G1179" i="7"/>
  <c r="G1190" i="7"/>
  <c r="G1201" i="7"/>
  <c r="G1211" i="7"/>
  <c r="G1222" i="7"/>
  <c r="G1233" i="7"/>
  <c r="G1243" i="7"/>
  <c r="G1254" i="7"/>
  <c r="G1265" i="7"/>
  <c r="G1275" i="7"/>
  <c r="G1286" i="7"/>
  <c r="G1297" i="7"/>
  <c r="G1307" i="7"/>
  <c r="G1318" i="7"/>
  <c r="G1329" i="7"/>
  <c r="G1339" i="7"/>
  <c r="G1350" i="7"/>
  <c r="G1361" i="7"/>
  <c r="G1371" i="7"/>
  <c r="G1382" i="7"/>
  <c r="G1393" i="7"/>
  <c r="G1403" i="7"/>
  <c r="G1414" i="7"/>
  <c r="G1425" i="7"/>
  <c r="G1435" i="7"/>
  <c r="G1446" i="7"/>
  <c r="G1457" i="7"/>
  <c r="G1467" i="7"/>
  <c r="G1478" i="7"/>
  <c r="G1489" i="7"/>
  <c r="G1499" i="7"/>
  <c r="G1510" i="7"/>
  <c r="G1521" i="7"/>
  <c r="G1531" i="7"/>
  <c r="G1542" i="7"/>
  <c r="G1553" i="7"/>
  <c r="G1563" i="7"/>
  <c r="G1574" i="7"/>
  <c r="G1584" i="7"/>
  <c r="G1592" i="7"/>
  <c r="H172" i="7"/>
  <c r="H180" i="7"/>
  <c r="H188" i="7"/>
  <c r="H196" i="7"/>
  <c r="H204" i="7"/>
  <c r="H212" i="7"/>
  <c r="H220" i="7"/>
  <c r="H228" i="7"/>
  <c r="H236" i="7"/>
  <c r="H244" i="7"/>
  <c r="H252" i="7"/>
  <c r="H260" i="7"/>
  <c r="H268" i="7"/>
  <c r="H276" i="7"/>
  <c r="H284" i="7"/>
  <c r="H292" i="7"/>
  <c r="H300" i="7"/>
  <c r="H308" i="7"/>
  <c r="H316" i="7"/>
  <c r="H324" i="7"/>
  <c r="H332" i="7"/>
  <c r="H340" i="7"/>
  <c r="H348" i="7"/>
  <c r="H356" i="7"/>
  <c r="H364" i="7"/>
  <c r="H372" i="7"/>
  <c r="H380" i="7"/>
  <c r="H388" i="7"/>
  <c r="H396" i="7"/>
  <c r="H404" i="7"/>
  <c r="H412" i="7"/>
  <c r="H420" i="7"/>
  <c r="H428" i="7"/>
  <c r="H436" i="7"/>
  <c r="H444" i="7"/>
  <c r="H452" i="7"/>
  <c r="H460" i="7"/>
  <c r="H468" i="7"/>
  <c r="H476" i="7"/>
  <c r="H484" i="7"/>
  <c r="H492" i="7"/>
  <c r="H500" i="7"/>
  <c r="H508" i="7"/>
  <c r="H516" i="7"/>
  <c r="H524" i="7"/>
  <c r="H532" i="7"/>
  <c r="H540" i="7"/>
  <c r="H548" i="7"/>
  <c r="H556" i="7"/>
  <c r="H564" i="7"/>
  <c r="H572" i="7"/>
  <c r="H580" i="7"/>
  <c r="H588" i="7"/>
  <c r="H596" i="7"/>
  <c r="H604" i="7"/>
  <c r="H612" i="7"/>
  <c r="H620" i="7"/>
  <c r="H628" i="7"/>
  <c r="H636" i="7"/>
  <c r="H644" i="7"/>
  <c r="H652" i="7"/>
  <c r="H660" i="7"/>
  <c r="H668" i="7"/>
  <c r="H676" i="7"/>
  <c r="H684" i="7"/>
  <c r="H692" i="7"/>
  <c r="H700" i="7"/>
  <c r="H708" i="7"/>
  <c r="H716" i="7"/>
  <c r="H724" i="7"/>
  <c r="H732" i="7"/>
  <c r="H740" i="7"/>
  <c r="H748" i="7"/>
  <c r="H756" i="7"/>
  <c r="H764" i="7"/>
  <c r="H772" i="7"/>
  <c r="H780" i="7"/>
  <c r="H788" i="7"/>
  <c r="D1372" i="7"/>
  <c r="E661" i="7"/>
  <c r="E912" i="7"/>
  <c r="E1092" i="7"/>
  <c r="E1257" i="7"/>
  <c r="E1385" i="7"/>
  <c r="E1513" i="7"/>
  <c r="F238" i="7"/>
  <c r="F338" i="7"/>
  <c r="F422" i="7"/>
  <c r="F478" i="7"/>
  <c r="F530" i="7"/>
  <c r="F581" i="7"/>
  <c r="F627" i="7"/>
  <c r="F670" i="7"/>
  <c r="F713" i="7"/>
  <c r="F755" i="7"/>
  <c r="F798" i="7"/>
  <c r="F841" i="7"/>
  <c r="F883" i="7"/>
  <c r="F926" i="7"/>
  <c r="F969" i="7"/>
  <c r="F1010" i="7"/>
  <c r="F1042" i="7"/>
  <c r="F1074" i="7"/>
  <c r="F1106" i="7"/>
  <c r="F1138" i="7"/>
  <c r="F1170" i="7"/>
  <c r="F1202" i="7"/>
  <c r="F1234" i="7"/>
  <c r="F1266" i="7"/>
  <c r="F1298" i="7"/>
  <c r="F1330" i="7"/>
  <c r="F1362" i="7"/>
  <c r="F1394" i="7"/>
  <c r="F1426" i="7"/>
  <c r="F1458" i="7"/>
  <c r="F1490" i="7"/>
  <c r="F1522" i="7"/>
  <c r="F1554" i="7"/>
  <c r="F1586" i="7"/>
  <c r="G191" i="7"/>
  <c r="G223" i="7"/>
  <c r="G255" i="7"/>
  <c r="G287" i="7"/>
  <c r="G319" i="7"/>
  <c r="G351" i="7"/>
  <c r="G383" i="7"/>
  <c r="G415" i="7"/>
  <c r="G447" i="7"/>
  <c r="G479" i="7"/>
  <c r="G511" i="7"/>
  <c r="G543" i="7"/>
  <c r="G575" i="7"/>
  <c r="G607" i="7"/>
  <c r="G639" i="7"/>
  <c r="G671" i="7"/>
  <c r="G703" i="7"/>
  <c r="G735" i="7"/>
  <c r="G767" i="7"/>
  <c r="G799" i="7"/>
  <c r="G831" i="7"/>
  <c r="G863" i="7"/>
  <c r="G887" i="7"/>
  <c r="G903" i="7"/>
  <c r="G919" i="7"/>
  <c r="G935" i="7"/>
  <c r="G951" i="7"/>
  <c r="G966" i="7"/>
  <c r="G978" i="7"/>
  <c r="G991" i="7"/>
  <c r="G1005" i="7"/>
  <c r="G1017" i="7"/>
  <c r="G1030" i="7"/>
  <c r="G1042" i="7"/>
  <c r="G1055" i="7"/>
  <c r="G1069" i="7"/>
  <c r="G1081" i="7"/>
  <c r="G1094" i="7"/>
  <c r="G1106" i="7"/>
  <c r="G1119" i="7"/>
  <c r="G1133" i="7"/>
  <c r="G1145" i="7"/>
  <c r="G1158" i="7"/>
  <c r="G1170" i="7"/>
  <c r="G1181" i="7"/>
  <c r="G1191" i="7"/>
  <c r="G1202" i="7"/>
  <c r="G1213" i="7"/>
  <c r="G1223" i="7"/>
  <c r="G1234" i="7"/>
  <c r="G1245" i="7"/>
  <c r="G1255" i="7"/>
  <c r="G1266" i="7"/>
  <c r="G1277" i="7"/>
  <c r="G1287" i="7"/>
  <c r="G1298" i="7"/>
  <c r="G1309" i="7"/>
  <c r="G1319" i="7"/>
  <c r="G1330" i="7"/>
  <c r="G1341" i="7"/>
  <c r="G1351" i="7"/>
  <c r="G1362" i="7"/>
  <c r="G1373" i="7"/>
  <c r="G1383" i="7"/>
  <c r="G1394" i="7"/>
  <c r="G1405" i="7"/>
  <c r="G1415" i="7"/>
  <c r="G1426" i="7"/>
  <c r="G1437" i="7"/>
  <c r="G1447" i="7"/>
  <c r="G1458" i="7"/>
  <c r="G1469" i="7"/>
  <c r="G1479" i="7"/>
  <c r="G1490" i="7"/>
  <c r="G1501" i="7"/>
  <c r="G1511" i="7"/>
  <c r="G1522" i="7"/>
  <c r="G1533" i="7"/>
  <c r="G1543" i="7"/>
  <c r="G1554" i="7"/>
  <c r="G1565" i="7"/>
  <c r="G1575" i="7"/>
  <c r="G1585" i="7"/>
  <c r="G1593" i="7"/>
  <c r="H165" i="7"/>
  <c r="H173" i="7"/>
  <c r="H181" i="7"/>
  <c r="H189" i="7"/>
  <c r="H197" i="7"/>
  <c r="H205" i="7"/>
  <c r="H213" i="7"/>
  <c r="H221" i="7"/>
  <c r="H229" i="7"/>
  <c r="H237" i="7"/>
  <c r="H245" i="7"/>
  <c r="H253" i="7"/>
  <c r="H261" i="7"/>
  <c r="H269" i="7"/>
  <c r="H277" i="7"/>
  <c r="H285" i="7"/>
  <c r="H293" i="7"/>
  <c r="H301" i="7"/>
  <c r="H309" i="7"/>
  <c r="H317" i="7"/>
  <c r="H325" i="7"/>
  <c r="H333" i="7"/>
  <c r="H341" i="7"/>
  <c r="H349" i="7"/>
  <c r="H357" i="7"/>
  <c r="H365" i="7"/>
  <c r="H373" i="7"/>
  <c r="H381" i="7"/>
  <c r="H389" i="7"/>
  <c r="H397" i="7"/>
  <c r="H405" i="7"/>
  <c r="H413" i="7"/>
  <c r="H421" i="7"/>
  <c r="H429" i="7"/>
  <c r="H437" i="7"/>
  <c r="H445" i="7"/>
  <c r="H453" i="7"/>
  <c r="H461" i="7"/>
  <c r="H469" i="7"/>
  <c r="H477" i="7"/>
  <c r="H485" i="7"/>
  <c r="H493" i="7"/>
  <c r="H501" i="7"/>
  <c r="H509" i="7"/>
  <c r="H517" i="7"/>
  <c r="H525" i="7"/>
  <c r="H533" i="7"/>
  <c r="H541" i="7"/>
  <c r="H549" i="7"/>
  <c r="H557" i="7"/>
  <c r="H565" i="7"/>
  <c r="H573" i="7"/>
  <c r="H581" i="7"/>
  <c r="H589" i="7"/>
  <c r="H597" i="7"/>
  <c r="H605" i="7"/>
  <c r="H613" i="7"/>
  <c r="H621" i="7"/>
  <c r="H629" i="7"/>
  <c r="H637" i="7"/>
  <c r="H645" i="7"/>
  <c r="H653" i="7"/>
  <c r="H661" i="7"/>
  <c r="H669" i="7"/>
  <c r="H677" i="7"/>
  <c r="H685" i="7"/>
  <c r="H693" i="7"/>
  <c r="H701" i="7"/>
  <c r="H709" i="7"/>
  <c r="H717" i="7"/>
  <c r="H725" i="7"/>
  <c r="H733" i="7"/>
  <c r="H741" i="7"/>
  <c r="H749" i="7"/>
  <c r="H757" i="7"/>
  <c r="H765" i="7"/>
  <c r="H773" i="7"/>
  <c r="H781" i="7"/>
  <c r="H789" i="7"/>
  <c r="H797" i="7"/>
  <c r="H805" i="7"/>
  <c r="H813" i="7"/>
  <c r="H821" i="7"/>
  <c r="H829" i="7"/>
  <c r="H837" i="7"/>
  <c r="H845" i="7"/>
  <c r="H853" i="7"/>
  <c r="H861" i="7"/>
  <c r="H869" i="7"/>
  <c r="H877" i="7"/>
  <c r="H885" i="7"/>
  <c r="H893" i="7"/>
  <c r="H901" i="7"/>
  <c r="H909" i="7"/>
  <c r="H917" i="7"/>
  <c r="H925" i="7"/>
  <c r="H933" i="7"/>
  <c r="H941" i="7"/>
  <c r="H949" i="7"/>
  <c r="H957" i="7"/>
  <c r="H965" i="7"/>
  <c r="H973" i="7"/>
  <c r="H981" i="7"/>
  <c r="H989" i="7"/>
  <c r="H997" i="7"/>
  <c r="H1005" i="7"/>
  <c r="H1013" i="7"/>
  <c r="H1021" i="7"/>
  <c r="H1029" i="7"/>
  <c r="H1037" i="7"/>
  <c r="H1045" i="7"/>
  <c r="H1053" i="7"/>
  <c r="H1061" i="7"/>
  <c r="H1069" i="7"/>
  <c r="H1077" i="7"/>
  <c r="H1085" i="7"/>
  <c r="H1093" i="7"/>
  <c r="H1101" i="7"/>
  <c r="H1109" i="7"/>
  <c r="H1117" i="7"/>
  <c r="H1125" i="7"/>
  <c r="H1133" i="7"/>
  <c r="H1141" i="7"/>
  <c r="H1149" i="7"/>
  <c r="H1157" i="7"/>
  <c r="H1165" i="7"/>
  <c r="H1173" i="7"/>
  <c r="H1181" i="7"/>
  <c r="H1189" i="7"/>
  <c r="H1197" i="7"/>
  <c r="H1205" i="7"/>
  <c r="H1213" i="7"/>
  <c r="H1221" i="7"/>
  <c r="H1229" i="7"/>
  <c r="H1237" i="7"/>
  <c r="H1245" i="7"/>
  <c r="H1253" i="7"/>
  <c r="H1261" i="7"/>
  <c r="H1269" i="7"/>
  <c r="H1277" i="7"/>
  <c r="H1285" i="7"/>
  <c r="H1293" i="7"/>
  <c r="H1301" i="7"/>
  <c r="H1309" i="7"/>
  <c r="H1317" i="7"/>
  <c r="H1325" i="7"/>
  <c r="H1333" i="7"/>
  <c r="H1341" i="7"/>
  <c r="H1349" i="7"/>
  <c r="H1357" i="7"/>
  <c r="H1365" i="7"/>
  <c r="H1373" i="7"/>
  <c r="H1381" i="7"/>
  <c r="H1389" i="7"/>
  <c r="H1397" i="7"/>
  <c r="H1405" i="7"/>
  <c r="H1413" i="7"/>
  <c r="H1421" i="7"/>
  <c r="H1429" i="7"/>
  <c r="H1437" i="7"/>
  <c r="H1445" i="7"/>
  <c r="H1453" i="7"/>
  <c r="H1461" i="7"/>
  <c r="H1469" i="7"/>
  <c r="H1477" i="7"/>
  <c r="H1485" i="7"/>
  <c r="H1493" i="7"/>
  <c r="H1501" i="7"/>
  <c r="H1509" i="7"/>
  <c r="H1517" i="7"/>
  <c r="H1525" i="7"/>
  <c r="H1533" i="7"/>
  <c r="H1541" i="7"/>
  <c r="H1549" i="7"/>
  <c r="H1557" i="7"/>
  <c r="H1565" i="7"/>
  <c r="H1573" i="7"/>
  <c r="H1581" i="7"/>
  <c r="H1589" i="7"/>
  <c r="A169" i="7"/>
  <c r="A177" i="7"/>
  <c r="A185" i="7"/>
  <c r="A193" i="7"/>
  <c r="A201" i="7"/>
  <c r="A209" i="7"/>
  <c r="A217" i="7"/>
  <c r="A225" i="7"/>
  <c r="A233" i="7"/>
  <c r="A241" i="7"/>
  <c r="A249" i="7"/>
  <c r="A257" i="7"/>
  <c r="A265" i="7"/>
  <c r="A273" i="7"/>
  <c r="A281" i="7"/>
  <c r="A289" i="7"/>
  <c r="A297" i="7"/>
  <c r="A305" i="7"/>
  <c r="A313" i="7"/>
  <c r="A321" i="7"/>
  <c r="A329" i="7"/>
  <c r="A337" i="7"/>
  <c r="A345" i="7"/>
  <c r="A353" i="7"/>
  <c r="A361" i="7"/>
  <c r="A369" i="7"/>
  <c r="A377" i="7"/>
  <c r="A385" i="7"/>
  <c r="A393" i="7"/>
  <c r="A401" i="7"/>
  <c r="A409" i="7"/>
  <c r="A417" i="7"/>
  <c r="A425" i="7"/>
  <c r="A433" i="7"/>
  <c r="A441" i="7"/>
  <c r="A449" i="7"/>
  <c r="A457" i="7"/>
  <c r="D1386" i="7"/>
  <c r="E200" i="7"/>
  <c r="E711" i="7"/>
  <c r="E952" i="7"/>
  <c r="E1125" i="7"/>
  <c r="E1282" i="7"/>
  <c r="E1410" i="7"/>
  <c r="E1538" i="7"/>
  <c r="F245" i="7"/>
  <c r="F341" i="7"/>
  <c r="F426" i="7"/>
  <c r="F479" i="7"/>
  <c r="F531" i="7"/>
  <c r="F582" i="7"/>
  <c r="F629" i="7"/>
  <c r="F671" i="7"/>
  <c r="F714" i="7"/>
  <c r="F757" i="7"/>
  <c r="F799" i="7"/>
  <c r="F842" i="7"/>
  <c r="F885" i="7"/>
  <c r="F927" i="7"/>
  <c r="F970" i="7"/>
  <c r="F1011" i="7"/>
  <c r="F1043" i="7"/>
  <c r="F1075" i="7"/>
  <c r="F1107" i="7"/>
  <c r="F1139" i="7"/>
  <c r="F1171" i="7"/>
  <c r="F1203" i="7"/>
  <c r="F1235" i="7"/>
  <c r="F1267" i="7"/>
  <c r="F1299" i="7"/>
  <c r="F1331" i="7"/>
  <c r="F1363" i="7"/>
  <c r="F1395" i="7"/>
  <c r="F1427" i="7"/>
  <c r="F1459" i="7"/>
  <c r="F1491" i="7"/>
  <c r="F1523" i="7"/>
  <c r="F1555" i="7"/>
  <c r="F1587" i="7"/>
  <c r="G166" i="7"/>
  <c r="G198" i="7"/>
  <c r="G230" i="7"/>
  <c r="G262" i="7"/>
  <c r="G294" i="7"/>
  <c r="G326" i="7"/>
  <c r="G358" i="7"/>
  <c r="G390" i="7"/>
  <c r="G422" i="7"/>
  <c r="G454" i="7"/>
  <c r="G486" i="7"/>
  <c r="G518" i="7"/>
  <c r="G550" i="7"/>
  <c r="G582" i="7"/>
  <c r="G614" i="7"/>
  <c r="G646" i="7"/>
  <c r="G678" i="7"/>
  <c r="G710" i="7"/>
  <c r="G742" i="7"/>
  <c r="G774" i="7"/>
  <c r="G806" i="7"/>
  <c r="G838" i="7"/>
  <c r="G870" i="7"/>
  <c r="G889" i="7"/>
  <c r="G905" i="7"/>
  <c r="G921" i="7"/>
  <c r="G937" i="7"/>
  <c r="G953" i="7"/>
  <c r="G967" i="7"/>
  <c r="G981" i="7"/>
  <c r="G993" i="7"/>
  <c r="G1006" i="7"/>
  <c r="G1018" i="7"/>
  <c r="G1031" i="7"/>
  <c r="G1045" i="7"/>
  <c r="G1057" i="7"/>
  <c r="G1070" i="7"/>
  <c r="G1082" i="7"/>
  <c r="G1095" i="7"/>
  <c r="G1109" i="7"/>
  <c r="G1121" i="7"/>
  <c r="G1134" i="7"/>
  <c r="G1146" i="7"/>
  <c r="G1159" i="7"/>
  <c r="G1171" i="7"/>
  <c r="G1182" i="7"/>
  <c r="G1193" i="7"/>
  <c r="G1203" i="7"/>
  <c r="G1214" i="7"/>
  <c r="G1225" i="7"/>
  <c r="G1235" i="7"/>
  <c r="G1246" i="7"/>
  <c r="G1257" i="7"/>
  <c r="G1267" i="7"/>
  <c r="G1278" i="7"/>
  <c r="G1289" i="7"/>
  <c r="G1299" i="7"/>
  <c r="G1310" i="7"/>
  <c r="G1321" i="7"/>
  <c r="G1331" i="7"/>
  <c r="G1342" i="7"/>
  <c r="G1353" i="7"/>
  <c r="G1363" i="7"/>
  <c r="G1374" i="7"/>
  <c r="G1385" i="7"/>
  <c r="G1395" i="7"/>
  <c r="G1406" i="7"/>
  <c r="G1417" i="7"/>
  <c r="G1427" i="7"/>
  <c r="G1438" i="7"/>
  <c r="G1449" i="7"/>
  <c r="G1459" i="7"/>
  <c r="G1470" i="7"/>
  <c r="G1481" i="7"/>
  <c r="G1491" i="7"/>
  <c r="G1502" i="7"/>
  <c r="G1513" i="7"/>
  <c r="G1523" i="7"/>
  <c r="G1534" i="7"/>
  <c r="G1545" i="7"/>
  <c r="G1555" i="7"/>
  <c r="G1566" i="7"/>
  <c r="G1577" i="7"/>
  <c r="G1586" i="7"/>
  <c r="H166" i="7"/>
  <c r="H174" i="7"/>
  <c r="H182" i="7"/>
  <c r="H190" i="7"/>
  <c r="H198" i="7"/>
  <c r="H206" i="7"/>
  <c r="H214" i="7"/>
  <c r="H222" i="7"/>
  <c r="H230" i="7"/>
  <c r="H238" i="7"/>
  <c r="H246" i="7"/>
  <c r="H254" i="7"/>
  <c r="H262" i="7"/>
  <c r="H270" i="7"/>
  <c r="H278" i="7"/>
  <c r="H286" i="7"/>
  <c r="H294" i="7"/>
  <c r="H302" i="7"/>
  <c r="H310" i="7"/>
  <c r="H318" i="7"/>
  <c r="H326" i="7"/>
  <c r="H334" i="7"/>
  <c r="H342" i="7"/>
  <c r="H350" i="7"/>
  <c r="H358" i="7"/>
  <c r="H366" i="7"/>
  <c r="H374" i="7"/>
  <c r="H382" i="7"/>
  <c r="H390" i="7"/>
  <c r="H398" i="7"/>
  <c r="H406" i="7"/>
  <c r="H414" i="7"/>
  <c r="H422" i="7"/>
  <c r="H430" i="7"/>
  <c r="H438" i="7"/>
  <c r="H446" i="7"/>
  <c r="H454" i="7"/>
  <c r="H462" i="7"/>
  <c r="H470" i="7"/>
  <c r="H478" i="7"/>
  <c r="H486" i="7"/>
  <c r="H494" i="7"/>
  <c r="H502" i="7"/>
  <c r="H510" i="7"/>
  <c r="H518" i="7"/>
  <c r="H526" i="7"/>
  <c r="H534" i="7"/>
  <c r="H542" i="7"/>
  <c r="H550" i="7"/>
  <c r="H558" i="7"/>
  <c r="H566" i="7"/>
  <c r="H574" i="7"/>
  <c r="H582" i="7"/>
  <c r="H590" i="7"/>
  <c r="H598" i="7"/>
  <c r="H606" i="7"/>
  <c r="H614" i="7"/>
  <c r="H622" i="7"/>
  <c r="H630" i="7"/>
  <c r="H638" i="7"/>
  <c r="H646" i="7"/>
  <c r="H654" i="7"/>
  <c r="H662" i="7"/>
  <c r="H670" i="7"/>
  <c r="H678" i="7"/>
  <c r="H686" i="7"/>
  <c r="H694" i="7"/>
  <c r="H702" i="7"/>
  <c r="H710" i="7"/>
  <c r="H718" i="7"/>
  <c r="H726" i="7"/>
  <c r="H734" i="7"/>
  <c r="H742" i="7"/>
  <c r="H750" i="7"/>
  <c r="H758" i="7"/>
  <c r="H766" i="7"/>
  <c r="H774" i="7"/>
  <c r="H782" i="7"/>
  <c r="H790" i="7"/>
  <c r="H798" i="7"/>
  <c r="H806" i="7"/>
  <c r="H814" i="7"/>
  <c r="H822" i="7"/>
  <c r="H830" i="7"/>
  <c r="H838" i="7"/>
  <c r="H846" i="7"/>
  <c r="H854" i="7"/>
  <c r="H862" i="7"/>
  <c r="H870" i="7"/>
  <c r="H878" i="7"/>
  <c r="H886" i="7"/>
  <c r="H894" i="7"/>
  <c r="H902" i="7"/>
  <c r="H910" i="7"/>
  <c r="H918" i="7"/>
  <c r="H926" i="7"/>
  <c r="H934" i="7"/>
  <c r="H942" i="7"/>
  <c r="H950" i="7"/>
  <c r="H958" i="7"/>
  <c r="H966" i="7"/>
  <c r="H974" i="7"/>
  <c r="H982" i="7"/>
  <c r="H990" i="7"/>
  <c r="H998" i="7"/>
  <c r="H1006" i="7"/>
  <c r="H1014" i="7"/>
  <c r="H1022" i="7"/>
  <c r="H1030" i="7"/>
  <c r="H1038" i="7"/>
  <c r="H1046" i="7"/>
  <c r="H1054" i="7"/>
  <c r="H1062" i="7"/>
  <c r="H1070" i="7"/>
  <c r="H1078" i="7"/>
  <c r="H1086" i="7"/>
  <c r="H1094" i="7"/>
  <c r="H1102" i="7"/>
  <c r="H1110" i="7"/>
  <c r="H1118" i="7"/>
  <c r="H1126" i="7"/>
  <c r="H1134" i="7"/>
  <c r="H1142" i="7"/>
  <c r="H1150" i="7"/>
  <c r="H1158" i="7"/>
  <c r="H1166" i="7"/>
  <c r="H1174" i="7"/>
  <c r="H1182" i="7"/>
  <c r="H1190" i="7"/>
  <c r="H1198" i="7"/>
  <c r="H1206" i="7"/>
  <c r="H1214" i="7"/>
  <c r="H1222" i="7"/>
  <c r="H1230" i="7"/>
  <c r="H1238" i="7"/>
  <c r="H1246" i="7"/>
  <c r="E241" i="7"/>
  <c r="E725" i="7"/>
  <c r="E964" i="7"/>
  <c r="E1135" i="7"/>
  <c r="E1289" i="7"/>
  <c r="E1417" i="7"/>
  <c r="E1545" i="7"/>
  <c r="F270" i="7"/>
  <c r="F358" i="7"/>
  <c r="F439" i="7"/>
  <c r="F491" i="7"/>
  <c r="F542" i="7"/>
  <c r="F594" i="7"/>
  <c r="F638" i="7"/>
  <c r="F681" i="7"/>
  <c r="F723" i="7"/>
  <c r="F766" i="7"/>
  <c r="F809" i="7"/>
  <c r="F851" i="7"/>
  <c r="F894" i="7"/>
  <c r="F937" i="7"/>
  <c r="F979" i="7"/>
  <c r="F1018" i="7"/>
  <c r="F1050" i="7"/>
  <c r="F1082" i="7"/>
  <c r="F1114" i="7"/>
  <c r="F1146" i="7"/>
  <c r="F1178" i="7"/>
  <c r="F1210" i="7"/>
  <c r="F1242" i="7"/>
  <c r="F1274" i="7"/>
  <c r="F1306" i="7"/>
  <c r="F1338" i="7"/>
  <c r="F1370" i="7"/>
  <c r="F1402" i="7"/>
  <c r="F1434" i="7"/>
  <c r="F1466" i="7"/>
  <c r="F1498" i="7"/>
  <c r="F1530" i="7"/>
  <c r="F1562" i="7"/>
  <c r="G167" i="7"/>
  <c r="G199" i="7"/>
  <c r="G231" i="7"/>
  <c r="G263" i="7"/>
  <c r="G295" i="7"/>
  <c r="G327" i="7"/>
  <c r="G359" i="7"/>
  <c r="G391" i="7"/>
  <c r="G423" i="7"/>
  <c r="G455" i="7"/>
  <c r="G487" i="7"/>
  <c r="G519" i="7"/>
  <c r="G551" i="7"/>
  <c r="G583" i="7"/>
  <c r="G615" i="7"/>
  <c r="G647" i="7"/>
  <c r="G679" i="7"/>
  <c r="G711" i="7"/>
  <c r="G743" i="7"/>
  <c r="G775" i="7"/>
  <c r="G807" i="7"/>
  <c r="G839" i="7"/>
  <c r="G871" i="7"/>
  <c r="G890" i="7"/>
  <c r="G906" i="7"/>
  <c r="G922" i="7"/>
  <c r="G938" i="7"/>
  <c r="G954" i="7"/>
  <c r="G969" i="7"/>
  <c r="G982" i="7"/>
  <c r="G994" i="7"/>
  <c r="G1007" i="7"/>
  <c r="G1021" i="7"/>
  <c r="G1033" i="7"/>
  <c r="G1046" i="7"/>
  <c r="G1058" i="7"/>
  <c r="G1071" i="7"/>
  <c r="G1085" i="7"/>
  <c r="G1097" i="7"/>
  <c r="G1110" i="7"/>
  <c r="G1122" i="7"/>
  <c r="G1135" i="7"/>
  <c r="G1149" i="7"/>
  <c r="G1161" i="7"/>
  <c r="G1173" i="7"/>
  <c r="G1183" i="7"/>
  <c r="G1194" i="7"/>
  <c r="G1205" i="7"/>
  <c r="G1215" i="7"/>
  <c r="G1226" i="7"/>
  <c r="G1237" i="7"/>
  <c r="G1247" i="7"/>
  <c r="G1258" i="7"/>
  <c r="G1269" i="7"/>
  <c r="G1279" i="7"/>
  <c r="G1290" i="7"/>
  <c r="G1301" i="7"/>
  <c r="G1311" i="7"/>
  <c r="G1322" i="7"/>
  <c r="G1333" i="7"/>
  <c r="G1343" i="7"/>
  <c r="G1354" i="7"/>
  <c r="G1365" i="7"/>
  <c r="G1375" i="7"/>
  <c r="G1386" i="7"/>
  <c r="G1397" i="7"/>
  <c r="G1407" i="7"/>
  <c r="G1418" i="7"/>
  <c r="G1429" i="7"/>
  <c r="G1439" i="7"/>
  <c r="G1450" i="7"/>
  <c r="G1461" i="7"/>
  <c r="G1471" i="7"/>
  <c r="G1482" i="7"/>
  <c r="G1493" i="7"/>
  <c r="G1503" i="7"/>
  <c r="G1514" i="7"/>
  <c r="G1525" i="7"/>
  <c r="G1535" i="7"/>
  <c r="G1546" i="7"/>
  <c r="G1557" i="7"/>
  <c r="G1567" i="7"/>
  <c r="G1578" i="7"/>
  <c r="G1587" i="7"/>
  <c r="H167" i="7"/>
  <c r="H175" i="7"/>
  <c r="H183" i="7"/>
  <c r="H191" i="7"/>
  <c r="H199" i="7"/>
  <c r="H207" i="7"/>
  <c r="H215" i="7"/>
  <c r="H223" i="7"/>
  <c r="H231" i="7"/>
  <c r="H239" i="7"/>
  <c r="H247" i="7"/>
  <c r="H255" i="7"/>
  <c r="H263" i="7"/>
  <c r="H271" i="7"/>
  <c r="H279" i="7"/>
  <c r="H287" i="7"/>
  <c r="H295" i="7"/>
  <c r="H303" i="7"/>
  <c r="H311" i="7"/>
  <c r="H319" i="7"/>
  <c r="H327" i="7"/>
  <c r="H335" i="7"/>
  <c r="H343" i="7"/>
  <c r="H351" i="7"/>
  <c r="H359" i="7"/>
  <c r="H367" i="7"/>
  <c r="H375" i="7"/>
  <c r="H383" i="7"/>
  <c r="H391" i="7"/>
  <c r="H399" i="7"/>
  <c r="H407" i="7"/>
  <c r="H415" i="7"/>
  <c r="H423" i="7"/>
  <c r="H431" i="7"/>
  <c r="H439" i="7"/>
  <c r="H447" i="7"/>
  <c r="H455" i="7"/>
  <c r="H463" i="7"/>
  <c r="H471" i="7"/>
  <c r="H479" i="7"/>
  <c r="H487" i="7"/>
  <c r="H495" i="7"/>
  <c r="H503" i="7"/>
  <c r="H511" i="7"/>
  <c r="H519" i="7"/>
  <c r="H527" i="7"/>
  <c r="H535" i="7"/>
  <c r="H543" i="7"/>
  <c r="H551" i="7"/>
  <c r="H559" i="7"/>
  <c r="H567" i="7"/>
  <c r="H575" i="7"/>
  <c r="H583" i="7"/>
  <c r="H591" i="7"/>
  <c r="H599" i="7"/>
  <c r="H607" i="7"/>
  <c r="H615" i="7"/>
  <c r="H623" i="7"/>
  <c r="H631" i="7"/>
  <c r="H639" i="7"/>
  <c r="H647" i="7"/>
  <c r="H655" i="7"/>
  <c r="H663" i="7"/>
  <c r="H671" i="7"/>
  <c r="H679" i="7"/>
  <c r="H687" i="7"/>
  <c r="H695" i="7"/>
  <c r="H703" i="7"/>
  <c r="H711" i="7"/>
  <c r="H719" i="7"/>
  <c r="H727" i="7"/>
  <c r="H735" i="7"/>
  <c r="H743" i="7"/>
  <c r="H751" i="7"/>
  <c r="H759" i="7"/>
  <c r="H767" i="7"/>
  <c r="H775" i="7"/>
  <c r="H783" i="7"/>
  <c r="H791" i="7"/>
  <c r="H799" i="7"/>
  <c r="H807" i="7"/>
  <c r="H815" i="7"/>
  <c r="H823" i="7"/>
  <c r="H831" i="7"/>
  <c r="H839" i="7"/>
  <c r="H847" i="7"/>
  <c r="H855" i="7"/>
  <c r="H863" i="7"/>
  <c r="H871" i="7"/>
  <c r="H879" i="7"/>
  <c r="H887" i="7"/>
  <c r="H895" i="7"/>
  <c r="H903" i="7"/>
  <c r="H911" i="7"/>
  <c r="H919" i="7"/>
  <c r="H927" i="7"/>
  <c r="H935" i="7"/>
  <c r="H943" i="7"/>
  <c r="H951" i="7"/>
  <c r="H959" i="7"/>
  <c r="H967" i="7"/>
  <c r="H975" i="7"/>
  <c r="H983" i="7"/>
  <c r="H991" i="7"/>
  <c r="H999" i="7"/>
  <c r="H1007" i="7"/>
  <c r="H1015" i="7"/>
  <c r="H1023" i="7"/>
  <c r="H1031" i="7"/>
  <c r="H1039" i="7"/>
  <c r="H1047" i="7"/>
  <c r="H1055" i="7"/>
  <c r="H1063" i="7"/>
  <c r="H1071" i="7"/>
  <c r="H1079" i="7"/>
  <c r="H1087" i="7"/>
  <c r="H1095" i="7"/>
  <c r="H1103" i="7"/>
  <c r="H1111" i="7"/>
  <c r="H1119" i="7"/>
  <c r="H1127" i="7"/>
  <c r="H1135" i="7"/>
  <c r="H1143" i="7"/>
  <c r="H1151" i="7"/>
  <c r="H1159" i="7"/>
  <c r="H1167" i="7"/>
  <c r="H1175" i="7"/>
  <c r="H1183" i="7"/>
  <c r="H1191" i="7"/>
  <c r="H1199" i="7"/>
  <c r="H1207" i="7"/>
  <c r="H1215" i="7"/>
  <c r="H1223" i="7"/>
  <c r="H1231" i="7"/>
  <c r="H1239" i="7"/>
  <c r="H1247" i="7"/>
  <c r="H1255" i="7"/>
  <c r="H1263" i="7"/>
  <c r="H1271" i="7"/>
  <c r="H1279" i="7"/>
  <c r="H1287" i="7"/>
  <c r="H1295" i="7"/>
  <c r="H1303" i="7"/>
  <c r="E370" i="7"/>
  <c r="E775" i="7"/>
  <c r="E997" i="7"/>
  <c r="E1168" i="7"/>
  <c r="E1314" i="7"/>
  <c r="E1442" i="7"/>
  <c r="E1570" i="7"/>
  <c r="F277" i="7"/>
  <c r="F362" i="7"/>
  <c r="F442" i="7"/>
  <c r="F493" i="7"/>
  <c r="F543" i="7"/>
  <c r="F595" i="7"/>
  <c r="F639" i="7"/>
  <c r="F682" i="7"/>
  <c r="F725" i="7"/>
  <c r="F767" i="7"/>
  <c r="F810" i="7"/>
  <c r="F853" i="7"/>
  <c r="F895" i="7"/>
  <c r="F938" i="7"/>
  <c r="F981" i="7"/>
  <c r="F1019" i="7"/>
  <c r="F1051" i="7"/>
  <c r="F1083" i="7"/>
  <c r="F1115" i="7"/>
  <c r="F1147" i="7"/>
  <c r="F1179" i="7"/>
  <c r="F1211" i="7"/>
  <c r="F1243" i="7"/>
  <c r="F1275" i="7"/>
  <c r="F1307" i="7"/>
  <c r="F1339" i="7"/>
  <c r="F1371" i="7"/>
  <c r="F1403" i="7"/>
  <c r="F1435" i="7"/>
  <c r="F1467" i="7"/>
  <c r="F1499" i="7"/>
  <c r="F1531" i="7"/>
  <c r="F1563" i="7"/>
  <c r="G174" i="7"/>
  <c r="G206" i="7"/>
  <c r="G238" i="7"/>
  <c r="G270" i="7"/>
  <c r="G302" i="7"/>
  <c r="G334" i="7"/>
  <c r="G366" i="7"/>
  <c r="G398" i="7"/>
  <c r="G430" i="7"/>
  <c r="G462" i="7"/>
  <c r="G494" i="7"/>
  <c r="G526" i="7"/>
  <c r="G558" i="7"/>
  <c r="G590" i="7"/>
  <c r="G622" i="7"/>
  <c r="G654" i="7"/>
  <c r="G686" i="7"/>
  <c r="G718" i="7"/>
  <c r="G750" i="7"/>
  <c r="G782" i="7"/>
  <c r="G814" i="7"/>
  <c r="G846" i="7"/>
  <c r="G878" i="7"/>
  <c r="G894" i="7"/>
  <c r="G910" i="7"/>
  <c r="G926" i="7"/>
  <c r="G942" i="7"/>
  <c r="G958" i="7"/>
  <c r="G970" i="7"/>
  <c r="G983" i="7"/>
  <c r="G997" i="7"/>
  <c r="G1009" i="7"/>
  <c r="G1022" i="7"/>
  <c r="G1034" i="7"/>
  <c r="G1047" i="7"/>
  <c r="G1061" i="7"/>
  <c r="G1073" i="7"/>
  <c r="G1086" i="7"/>
  <c r="G1098" i="7"/>
  <c r="G1111" i="7"/>
  <c r="G1125" i="7"/>
  <c r="G1137" i="7"/>
  <c r="G1150" i="7"/>
  <c r="G1162" i="7"/>
  <c r="G1174" i="7"/>
  <c r="G1185" i="7"/>
  <c r="G1195" i="7"/>
  <c r="G1206" i="7"/>
  <c r="G1217" i="7"/>
  <c r="G1227" i="7"/>
  <c r="G1238" i="7"/>
  <c r="G1249" i="7"/>
  <c r="G1259" i="7"/>
  <c r="G1270" i="7"/>
  <c r="G1281" i="7"/>
  <c r="G1291" i="7"/>
  <c r="G1302" i="7"/>
  <c r="G1313" i="7"/>
  <c r="G1323" i="7"/>
  <c r="G1334" i="7"/>
  <c r="G1345" i="7"/>
  <c r="G1355" i="7"/>
  <c r="G1366" i="7"/>
  <c r="G1377" i="7"/>
  <c r="G1387" i="7"/>
  <c r="G1398" i="7"/>
  <c r="G1409" i="7"/>
  <c r="G1419" i="7"/>
  <c r="G1430" i="7"/>
  <c r="G1441" i="7"/>
  <c r="G1451" i="7"/>
  <c r="G1462" i="7"/>
  <c r="G1473" i="7"/>
  <c r="G1483" i="7"/>
  <c r="G1494" i="7"/>
  <c r="G1505" i="7"/>
  <c r="G1515" i="7"/>
  <c r="G1526" i="7"/>
  <c r="G1537" i="7"/>
  <c r="G1547" i="7"/>
  <c r="G1558" i="7"/>
  <c r="G1569" i="7"/>
  <c r="G1579" i="7"/>
  <c r="G1588" i="7"/>
  <c r="H168" i="7"/>
  <c r="H176" i="7"/>
  <c r="H184" i="7"/>
  <c r="H192" i="7"/>
  <c r="H200" i="7"/>
  <c r="H208" i="7"/>
  <c r="H216" i="7"/>
  <c r="H224" i="7"/>
  <c r="H232" i="7"/>
  <c r="H240" i="7"/>
  <c r="H248" i="7"/>
  <c r="H256" i="7"/>
  <c r="H264" i="7"/>
  <c r="H272" i="7"/>
  <c r="H280" i="7"/>
  <c r="H288" i="7"/>
  <c r="H296" i="7"/>
  <c r="H304" i="7"/>
  <c r="H312" i="7"/>
  <c r="H320" i="7"/>
  <c r="H328" i="7"/>
  <c r="H336" i="7"/>
  <c r="H344" i="7"/>
  <c r="H352" i="7"/>
  <c r="H360" i="7"/>
  <c r="H368" i="7"/>
  <c r="H376" i="7"/>
  <c r="H384" i="7"/>
  <c r="H392" i="7"/>
  <c r="H400" i="7"/>
  <c r="H408" i="7"/>
  <c r="H416" i="7"/>
  <c r="H424" i="7"/>
  <c r="H432" i="7"/>
  <c r="H440" i="7"/>
  <c r="H448" i="7"/>
  <c r="H456" i="7"/>
  <c r="H464" i="7"/>
  <c r="H472" i="7"/>
  <c r="H480" i="7"/>
  <c r="H488" i="7"/>
  <c r="H496" i="7"/>
  <c r="H504" i="7"/>
  <c r="H512" i="7"/>
  <c r="H520" i="7"/>
  <c r="H528" i="7"/>
  <c r="H536" i="7"/>
  <c r="H544" i="7"/>
  <c r="H552" i="7"/>
  <c r="H560" i="7"/>
  <c r="H568" i="7"/>
  <c r="H576" i="7"/>
  <c r="H584" i="7"/>
  <c r="H592" i="7"/>
  <c r="H600" i="7"/>
  <c r="H608" i="7"/>
  <c r="H616" i="7"/>
  <c r="H624" i="7"/>
  <c r="H632" i="7"/>
  <c r="H640" i="7"/>
  <c r="H648" i="7"/>
  <c r="H656" i="7"/>
  <c r="H664" i="7"/>
  <c r="H672" i="7"/>
  <c r="H680" i="7"/>
  <c r="H688" i="7"/>
  <c r="H696" i="7"/>
  <c r="H704" i="7"/>
  <c r="H712" i="7"/>
  <c r="H720" i="7"/>
  <c r="H728" i="7"/>
  <c r="H736" i="7"/>
  <c r="H744" i="7"/>
  <c r="H752" i="7"/>
  <c r="H760" i="7"/>
  <c r="H768" i="7"/>
  <c r="H776" i="7"/>
  <c r="E412" i="7"/>
  <c r="E789" i="7"/>
  <c r="E1007" i="7"/>
  <c r="E1177" i="7"/>
  <c r="E1321" i="7"/>
  <c r="E1449" i="7"/>
  <c r="E1577" i="7"/>
  <c r="F174" i="7"/>
  <c r="F294" i="7"/>
  <c r="F381" i="7"/>
  <c r="F453" i="7"/>
  <c r="F503" i="7"/>
  <c r="F555" i="7"/>
  <c r="F606" i="7"/>
  <c r="F649" i="7"/>
  <c r="F691" i="7"/>
  <c r="F734" i="7"/>
  <c r="F777" i="7"/>
  <c r="F819" i="7"/>
  <c r="F862" i="7"/>
  <c r="F905" i="7"/>
  <c r="F947" i="7"/>
  <c r="F990" i="7"/>
  <c r="F1026" i="7"/>
  <c r="F1058" i="7"/>
  <c r="F1090" i="7"/>
  <c r="F1122" i="7"/>
  <c r="F1154" i="7"/>
  <c r="F1186" i="7"/>
  <c r="F1218" i="7"/>
  <c r="F1250" i="7"/>
  <c r="F1282" i="7"/>
  <c r="F1314" i="7"/>
  <c r="F1346" i="7"/>
  <c r="F1378" i="7"/>
  <c r="F1410" i="7"/>
  <c r="F1442" i="7"/>
  <c r="F1474" i="7"/>
  <c r="F1506" i="7"/>
  <c r="F1538" i="7"/>
  <c r="F1570" i="7"/>
  <c r="G175" i="7"/>
  <c r="G207" i="7"/>
  <c r="G239" i="7"/>
  <c r="G271" i="7"/>
  <c r="G303" i="7"/>
  <c r="G335" i="7"/>
  <c r="G367" i="7"/>
  <c r="G399" i="7"/>
  <c r="G431" i="7"/>
  <c r="G463" i="7"/>
  <c r="G495" i="7"/>
  <c r="G527" i="7"/>
  <c r="G559" i="7"/>
  <c r="G591" i="7"/>
  <c r="G623" i="7"/>
  <c r="G655" i="7"/>
  <c r="G687" i="7"/>
  <c r="G719" i="7"/>
  <c r="G751" i="7"/>
  <c r="G783" i="7"/>
  <c r="G815" i="7"/>
  <c r="G847" i="7"/>
  <c r="G879" i="7"/>
  <c r="G895" i="7"/>
  <c r="G911" i="7"/>
  <c r="G927" i="7"/>
  <c r="G943" i="7"/>
  <c r="G959" i="7"/>
  <c r="G973" i="7"/>
  <c r="G985" i="7"/>
  <c r="G998" i="7"/>
  <c r="G1010" i="7"/>
  <c r="G1023" i="7"/>
  <c r="G1037" i="7"/>
  <c r="G1049" i="7"/>
  <c r="G1062" i="7"/>
  <c r="G1074" i="7"/>
  <c r="G1087" i="7"/>
  <c r="G1101" i="7"/>
  <c r="G1113" i="7"/>
  <c r="G1126" i="7"/>
  <c r="G1138" i="7"/>
  <c r="G1151" i="7"/>
  <c r="G1165" i="7"/>
  <c r="G1175" i="7"/>
  <c r="G1186" i="7"/>
  <c r="G1197" i="7"/>
  <c r="G1207" i="7"/>
  <c r="G1218" i="7"/>
  <c r="G1229" i="7"/>
  <c r="G1239" i="7"/>
  <c r="G1250" i="7"/>
  <c r="G1261" i="7"/>
  <c r="G1271" i="7"/>
  <c r="G1282" i="7"/>
  <c r="G1293" i="7"/>
  <c r="G1303" i="7"/>
  <c r="G1314" i="7"/>
  <c r="G1325" i="7"/>
  <c r="G1335" i="7"/>
  <c r="G1346" i="7"/>
  <c r="G1357" i="7"/>
  <c r="G1367" i="7"/>
  <c r="G1378" i="7"/>
  <c r="G1389" i="7"/>
  <c r="G1399" i="7"/>
  <c r="G1410" i="7"/>
  <c r="G1421" i="7"/>
  <c r="G1431" i="7"/>
  <c r="G1442" i="7"/>
  <c r="G1453" i="7"/>
  <c r="G1463" i="7"/>
  <c r="G1474" i="7"/>
  <c r="G1485" i="7"/>
  <c r="G1495" i="7"/>
  <c r="G1506" i="7"/>
  <c r="G1517" i="7"/>
  <c r="G1527" i="7"/>
  <c r="G1538" i="7"/>
  <c r="G1549" i="7"/>
  <c r="G1559" i="7"/>
  <c r="G1570" i="7"/>
  <c r="G1581" i="7"/>
  <c r="G1589" i="7"/>
  <c r="H169" i="7"/>
  <c r="H177" i="7"/>
  <c r="H185" i="7"/>
  <c r="H193" i="7"/>
  <c r="H201" i="7"/>
  <c r="H209" i="7"/>
  <c r="H217" i="7"/>
  <c r="H225" i="7"/>
  <c r="H233" i="7"/>
  <c r="H241" i="7"/>
  <c r="H249" i="7"/>
  <c r="H257" i="7"/>
  <c r="H265" i="7"/>
  <c r="H273" i="7"/>
  <c r="H281" i="7"/>
  <c r="H289" i="7"/>
  <c r="H297" i="7"/>
  <c r="H305" i="7"/>
  <c r="H313" i="7"/>
  <c r="H321" i="7"/>
  <c r="H329" i="7"/>
  <c r="H337" i="7"/>
  <c r="H345" i="7"/>
  <c r="H353" i="7"/>
  <c r="H361" i="7"/>
  <c r="H369" i="7"/>
  <c r="H377" i="7"/>
  <c r="H385" i="7"/>
  <c r="H393" i="7"/>
  <c r="H401" i="7"/>
  <c r="H409" i="7"/>
  <c r="H417" i="7"/>
  <c r="H425" i="7"/>
  <c r="H433" i="7"/>
  <c r="H441" i="7"/>
  <c r="H449" i="7"/>
  <c r="H457" i="7"/>
  <c r="H465" i="7"/>
  <c r="H473" i="7"/>
  <c r="H481" i="7"/>
  <c r="H489" i="7"/>
  <c r="H497" i="7"/>
  <c r="H505" i="7"/>
  <c r="H513" i="7"/>
  <c r="H521" i="7"/>
  <c r="H529" i="7"/>
  <c r="H537" i="7"/>
  <c r="H545" i="7"/>
  <c r="H553" i="7"/>
  <c r="H561" i="7"/>
  <c r="H569" i="7"/>
  <c r="H577" i="7"/>
  <c r="H585" i="7"/>
  <c r="H593" i="7"/>
  <c r="H601" i="7"/>
  <c r="H609" i="7"/>
  <c r="H617" i="7"/>
  <c r="H625" i="7"/>
  <c r="H633" i="7"/>
  <c r="H641" i="7"/>
  <c r="H649" i="7"/>
  <c r="H657" i="7"/>
  <c r="H665" i="7"/>
  <c r="H673" i="7"/>
  <c r="H681" i="7"/>
  <c r="H689" i="7"/>
  <c r="H697" i="7"/>
  <c r="H705" i="7"/>
  <c r="H713" i="7"/>
  <c r="H721" i="7"/>
  <c r="H729" i="7"/>
  <c r="H737" i="7"/>
  <c r="H745" i="7"/>
  <c r="H753" i="7"/>
  <c r="H761" i="7"/>
  <c r="H769" i="7"/>
  <c r="H777" i="7"/>
  <c r="H785" i="7"/>
  <c r="H793" i="7"/>
  <c r="H801" i="7"/>
  <c r="H809" i="7"/>
  <c r="H817" i="7"/>
  <c r="H825" i="7"/>
  <c r="H833" i="7"/>
  <c r="H841" i="7"/>
  <c r="H849" i="7"/>
  <c r="H857" i="7"/>
  <c r="H865" i="7"/>
  <c r="H873" i="7"/>
  <c r="H881" i="7"/>
  <c r="H889" i="7"/>
  <c r="H897" i="7"/>
  <c r="H905" i="7"/>
  <c r="H913" i="7"/>
  <c r="H921" i="7"/>
  <c r="H929" i="7"/>
  <c r="H937" i="7"/>
  <c r="H945" i="7"/>
  <c r="H953" i="7"/>
  <c r="H961" i="7"/>
  <c r="H969" i="7"/>
  <c r="H977" i="7"/>
  <c r="H985" i="7"/>
  <c r="H993" i="7"/>
  <c r="H1001" i="7"/>
  <c r="H1009" i="7"/>
  <c r="H1017" i="7"/>
  <c r="H1025" i="7"/>
  <c r="H1033" i="7"/>
  <c r="H1041" i="7"/>
  <c r="H1049" i="7"/>
  <c r="H1057" i="7"/>
  <c r="H1065" i="7"/>
  <c r="H1073" i="7"/>
  <c r="H1081" i="7"/>
  <c r="H1089" i="7"/>
  <c r="H1097" i="7"/>
  <c r="H1105" i="7"/>
  <c r="H1113" i="7"/>
  <c r="H1121" i="7"/>
  <c r="H1129" i="7"/>
  <c r="H1137" i="7"/>
  <c r="H1145" i="7"/>
  <c r="H1153" i="7"/>
  <c r="H1161" i="7"/>
  <c r="H1169" i="7"/>
  <c r="H1177" i="7"/>
  <c r="H1185" i="7"/>
  <c r="H1193" i="7"/>
  <c r="H1201" i="7"/>
  <c r="H1209" i="7"/>
  <c r="H1217" i="7"/>
  <c r="H1225" i="7"/>
  <c r="H1233" i="7"/>
  <c r="H1241" i="7"/>
  <c r="H1249" i="7"/>
  <c r="H1257" i="7"/>
  <c r="H1265" i="7"/>
  <c r="H1273" i="7"/>
  <c r="H1281" i="7"/>
  <c r="H1289" i="7"/>
  <c r="H1297" i="7"/>
  <c r="H1305" i="7"/>
  <c r="H1313" i="7"/>
  <c r="H1321" i="7"/>
  <c r="H1329" i="7"/>
  <c r="H1337" i="7"/>
  <c r="H1345" i="7"/>
  <c r="H1353" i="7"/>
  <c r="H1361" i="7"/>
  <c r="H1369" i="7"/>
  <c r="H1377" i="7"/>
  <c r="H1385" i="7"/>
  <c r="H1393" i="7"/>
  <c r="H1401" i="7"/>
  <c r="H1409" i="7"/>
  <c r="H1417" i="7"/>
  <c r="H1425" i="7"/>
  <c r="H1433" i="7"/>
  <c r="H1441" i="7"/>
  <c r="H1449" i="7"/>
  <c r="H1457" i="7"/>
  <c r="H1465" i="7"/>
  <c r="H1473" i="7"/>
  <c r="H1481" i="7"/>
  <c r="H1489" i="7"/>
  <c r="H1497" i="7"/>
  <c r="H1505" i="7"/>
  <c r="H1513" i="7"/>
  <c r="H1521" i="7"/>
  <c r="H1529" i="7"/>
  <c r="H1537" i="7"/>
  <c r="H1545" i="7"/>
  <c r="H1553" i="7"/>
  <c r="H1561" i="7"/>
  <c r="H1569" i="7"/>
  <c r="H1577" i="7"/>
  <c r="H1585" i="7"/>
  <c r="H1593" i="7"/>
  <c r="A165" i="7"/>
  <c r="A173" i="7"/>
  <c r="A181" i="7"/>
  <c r="A189" i="7"/>
  <c r="A197" i="7"/>
  <c r="A205" i="7"/>
  <c r="A213" i="7"/>
  <c r="A221" i="7"/>
  <c r="A229" i="7"/>
  <c r="A237" i="7"/>
  <c r="A245" i="7"/>
  <c r="A253" i="7"/>
  <c r="A261" i="7"/>
  <c r="A269" i="7"/>
  <c r="A277" i="7"/>
  <c r="A285" i="7"/>
  <c r="A293" i="7"/>
  <c r="A301" i="7"/>
  <c r="A309" i="7"/>
  <c r="A317" i="7"/>
  <c r="A325" i="7"/>
  <c r="A333" i="7"/>
  <c r="A341" i="7"/>
  <c r="A349" i="7"/>
  <c r="A357" i="7"/>
  <c r="A365" i="7"/>
  <c r="A373" i="7"/>
  <c r="A381" i="7"/>
  <c r="A389" i="7"/>
  <c r="A397" i="7"/>
  <c r="A405" i="7"/>
  <c r="A413" i="7"/>
  <c r="A421" i="7"/>
  <c r="A429" i="7"/>
  <c r="A437" i="7"/>
  <c r="A445" i="7"/>
  <c r="A453" i="7"/>
  <c r="E548" i="7"/>
  <c r="E1353" i="7"/>
  <c r="F454" i="7"/>
  <c r="F650" i="7"/>
  <c r="F821" i="7"/>
  <c r="F991" i="7"/>
  <c r="F1123" i="7"/>
  <c r="F1251" i="7"/>
  <c r="F1379" i="7"/>
  <c r="F1507" i="7"/>
  <c r="G215" i="7"/>
  <c r="G343" i="7"/>
  <c r="G471" i="7"/>
  <c r="G599" i="7"/>
  <c r="G727" i="7"/>
  <c r="G855" i="7"/>
  <c r="G930" i="7"/>
  <c r="G989" i="7"/>
  <c r="G1039" i="7"/>
  <c r="G1090" i="7"/>
  <c r="G1142" i="7"/>
  <c r="G1189" i="7"/>
  <c r="G1231" i="7"/>
  <c r="G1274" i="7"/>
  <c r="G1317" i="7"/>
  <c r="G1359" i="7"/>
  <c r="G1402" i="7"/>
  <c r="G1445" i="7"/>
  <c r="G1487" i="7"/>
  <c r="G1530" i="7"/>
  <c r="G1573" i="7"/>
  <c r="H186" i="7"/>
  <c r="H218" i="7"/>
  <c r="H250" i="7"/>
  <c r="H282" i="7"/>
  <c r="H314" i="7"/>
  <c r="H346" i="7"/>
  <c r="H378" i="7"/>
  <c r="H410" i="7"/>
  <c r="H442" i="7"/>
  <c r="H474" i="7"/>
  <c r="H506" i="7"/>
  <c r="H538" i="7"/>
  <c r="H570" i="7"/>
  <c r="H602" i="7"/>
  <c r="H634" i="7"/>
  <c r="H666" i="7"/>
  <c r="H698" i="7"/>
  <c r="H730" i="7"/>
  <c r="H762" i="7"/>
  <c r="H787" i="7"/>
  <c r="H804" i="7"/>
  <c r="H820" i="7"/>
  <c r="H836" i="7"/>
  <c r="H852" i="7"/>
  <c r="H868" i="7"/>
  <c r="H884" i="7"/>
  <c r="H900" i="7"/>
  <c r="H916" i="7"/>
  <c r="H932" i="7"/>
  <c r="H948" i="7"/>
  <c r="H964" i="7"/>
  <c r="H980" i="7"/>
  <c r="H996" i="7"/>
  <c r="H1012" i="7"/>
  <c r="H1028" i="7"/>
  <c r="H1044" i="7"/>
  <c r="H1060" i="7"/>
  <c r="H1076" i="7"/>
  <c r="H1092" i="7"/>
  <c r="H1108" i="7"/>
  <c r="H1124" i="7"/>
  <c r="H1140" i="7"/>
  <c r="H1156" i="7"/>
  <c r="H1172" i="7"/>
  <c r="H1188" i="7"/>
  <c r="H1204" i="7"/>
  <c r="H1220" i="7"/>
  <c r="H1236" i="7"/>
  <c r="H1252" i="7"/>
  <c r="H1266" i="7"/>
  <c r="H1278" i="7"/>
  <c r="H1291" i="7"/>
  <c r="H1304" i="7"/>
  <c r="H1315" i="7"/>
  <c r="H1326" i="7"/>
  <c r="H1336" i="7"/>
  <c r="H1347" i="7"/>
  <c r="H1358" i="7"/>
  <c r="H1368" i="7"/>
  <c r="H1379" i="7"/>
  <c r="H1390" i="7"/>
  <c r="H1400" i="7"/>
  <c r="H1411" i="7"/>
  <c r="H1422" i="7"/>
  <c r="H1432" i="7"/>
  <c r="H1443" i="7"/>
  <c r="H1454" i="7"/>
  <c r="H1464" i="7"/>
  <c r="H1475" i="7"/>
  <c r="H1486" i="7"/>
  <c r="H1496" i="7"/>
  <c r="H1507" i="7"/>
  <c r="H1518" i="7"/>
  <c r="H1528" i="7"/>
  <c r="H1539" i="7"/>
  <c r="H1550" i="7"/>
  <c r="H1560" i="7"/>
  <c r="H1571" i="7"/>
  <c r="H1582" i="7"/>
  <c r="H1592" i="7"/>
  <c r="A166" i="7"/>
  <c r="A176" i="7"/>
  <c r="A187" i="7"/>
  <c r="A198" i="7"/>
  <c r="A208" i="7"/>
  <c r="A219" i="7"/>
  <c r="A230" i="7"/>
  <c r="A240" i="7"/>
  <c r="A251" i="7"/>
  <c r="A262" i="7"/>
  <c r="A272" i="7"/>
  <c r="A283" i="7"/>
  <c r="A294" i="7"/>
  <c r="A304" i="7"/>
  <c r="A315" i="7"/>
  <c r="A326" i="7"/>
  <c r="A336" i="7"/>
  <c r="A347" i="7"/>
  <c r="A358" i="7"/>
  <c r="A368" i="7"/>
  <c r="A379" i="7"/>
  <c r="A390" i="7"/>
  <c r="A400" i="7"/>
  <c r="A411" i="7"/>
  <c r="A422" i="7"/>
  <c r="A432" i="7"/>
  <c r="A443" i="7"/>
  <c r="A454" i="7"/>
  <c r="A463" i="7"/>
  <c r="A471" i="7"/>
  <c r="A479" i="7"/>
  <c r="A487" i="7"/>
  <c r="A495" i="7"/>
  <c r="A503" i="7"/>
  <c r="A511" i="7"/>
  <c r="A519" i="7"/>
  <c r="A527" i="7"/>
  <c r="A535" i="7"/>
  <c r="A543" i="7"/>
  <c r="A551" i="7"/>
  <c r="A559" i="7"/>
  <c r="A567" i="7"/>
  <c r="A575" i="7"/>
  <c r="A583" i="7"/>
  <c r="A591" i="7"/>
  <c r="A599" i="7"/>
  <c r="A607" i="7"/>
  <c r="A615" i="7"/>
  <c r="A623" i="7"/>
  <c r="A631" i="7"/>
  <c r="A639" i="7"/>
  <c r="A647" i="7"/>
  <c r="A655" i="7"/>
  <c r="A663" i="7"/>
  <c r="A671" i="7"/>
  <c r="A679" i="7"/>
  <c r="A687" i="7"/>
  <c r="A695" i="7"/>
  <c r="A703" i="7"/>
  <c r="A711" i="7"/>
  <c r="A719" i="7"/>
  <c r="A727" i="7"/>
  <c r="A735" i="7"/>
  <c r="A743" i="7"/>
  <c r="A751" i="7"/>
  <c r="A759" i="7"/>
  <c r="A767" i="7"/>
  <c r="A775" i="7"/>
  <c r="A783" i="7"/>
  <c r="A791" i="7"/>
  <c r="A799" i="7"/>
  <c r="A807" i="7"/>
  <c r="A815" i="7"/>
  <c r="A823" i="7"/>
  <c r="A831" i="7"/>
  <c r="A839" i="7"/>
  <c r="A847" i="7"/>
  <c r="A855" i="7"/>
  <c r="A863" i="7"/>
  <c r="A871" i="7"/>
  <c r="A879" i="7"/>
  <c r="A887" i="7"/>
  <c r="A895" i="7"/>
  <c r="A903" i="7"/>
  <c r="A911" i="7"/>
  <c r="A919" i="7"/>
  <c r="A927" i="7"/>
  <c r="A935" i="7"/>
  <c r="A943" i="7"/>
  <c r="A951" i="7"/>
  <c r="A959" i="7"/>
  <c r="A967" i="7"/>
  <c r="A975" i="7"/>
  <c r="A983" i="7"/>
  <c r="A991" i="7"/>
  <c r="A999" i="7"/>
  <c r="A1007" i="7"/>
  <c r="A1015" i="7"/>
  <c r="A1023" i="7"/>
  <c r="A1031" i="7"/>
  <c r="A1039" i="7"/>
  <c r="A1047" i="7"/>
  <c r="A1055" i="7"/>
  <c r="A1063" i="7"/>
  <c r="A1071" i="7"/>
  <c r="A1079" i="7"/>
  <c r="A1087" i="7"/>
  <c r="A1095" i="7"/>
  <c r="A1103" i="7"/>
  <c r="A1111" i="7"/>
  <c r="A1119" i="7"/>
  <c r="A1127" i="7"/>
  <c r="A1135" i="7"/>
  <c r="A1143" i="7"/>
  <c r="A1151" i="7"/>
  <c r="A1159" i="7"/>
  <c r="A1167" i="7"/>
  <c r="A1175" i="7"/>
  <c r="A1183" i="7"/>
  <c r="A1191" i="7"/>
  <c r="A1199" i="7"/>
  <c r="A1207" i="7"/>
  <c r="A1215" i="7"/>
  <c r="A1223" i="7"/>
  <c r="A1231" i="7"/>
  <c r="A1239" i="7"/>
  <c r="A1247" i="7"/>
  <c r="A1255" i="7"/>
  <c r="A1263" i="7"/>
  <c r="A1271" i="7"/>
  <c r="A1279" i="7"/>
  <c r="A1287" i="7"/>
  <c r="A1295" i="7"/>
  <c r="A1303" i="7"/>
  <c r="A1311" i="7"/>
  <c r="A1319" i="7"/>
  <c r="A1327" i="7"/>
  <c r="A1335" i="7"/>
  <c r="A1343" i="7"/>
  <c r="A1351" i="7"/>
  <c r="A1359" i="7"/>
  <c r="A1367" i="7"/>
  <c r="A1375" i="7"/>
  <c r="A1383" i="7"/>
  <c r="A1391" i="7"/>
  <c r="A1399" i="7"/>
  <c r="A1407" i="7"/>
  <c r="A1415" i="7"/>
  <c r="A1423" i="7"/>
  <c r="A1431" i="7"/>
  <c r="A1439" i="7"/>
  <c r="A1447" i="7"/>
  <c r="A1455" i="7"/>
  <c r="A1463" i="7"/>
  <c r="A1471" i="7"/>
  <c r="A1479" i="7"/>
  <c r="A1487" i="7"/>
  <c r="A1495" i="7"/>
  <c r="A1503" i="7"/>
  <c r="A1511" i="7"/>
  <c r="A1519" i="7"/>
  <c r="A1527" i="7"/>
  <c r="A1535" i="7"/>
  <c r="A1543" i="7"/>
  <c r="A1551" i="7"/>
  <c r="A1559" i="7"/>
  <c r="A1567" i="7"/>
  <c r="A1575" i="7"/>
  <c r="A1583" i="7"/>
  <c r="A1591" i="7"/>
  <c r="E839" i="7"/>
  <c r="E1474" i="7"/>
  <c r="F466" i="7"/>
  <c r="F659" i="7"/>
  <c r="F830" i="7"/>
  <c r="F1001" i="7"/>
  <c r="F1130" i="7"/>
  <c r="F1258" i="7"/>
  <c r="F1386" i="7"/>
  <c r="F1514" i="7"/>
  <c r="G246" i="7"/>
  <c r="G374" i="7"/>
  <c r="G502" i="7"/>
  <c r="G630" i="7"/>
  <c r="G758" i="7"/>
  <c r="G881" i="7"/>
  <c r="G945" i="7"/>
  <c r="G999" i="7"/>
  <c r="G1050" i="7"/>
  <c r="G1102" i="7"/>
  <c r="G1153" i="7"/>
  <c r="G1198" i="7"/>
  <c r="G1241" i="7"/>
  <c r="G1283" i="7"/>
  <c r="G1326" i="7"/>
  <c r="G1369" i="7"/>
  <c r="G1411" i="7"/>
  <c r="G1454" i="7"/>
  <c r="G1497" i="7"/>
  <c r="G1539" i="7"/>
  <c r="G1582" i="7"/>
  <c r="H187" i="7"/>
  <c r="H219" i="7"/>
  <c r="H251" i="7"/>
  <c r="H283" i="7"/>
  <c r="H315" i="7"/>
  <c r="H347" i="7"/>
  <c r="H379" i="7"/>
  <c r="H411" i="7"/>
  <c r="H443" i="7"/>
  <c r="H475" i="7"/>
  <c r="H507" i="7"/>
  <c r="H539" i="7"/>
  <c r="H571" i="7"/>
  <c r="H603" i="7"/>
  <c r="H635" i="7"/>
  <c r="H667" i="7"/>
  <c r="H699" i="7"/>
  <c r="H731" i="7"/>
  <c r="H763" i="7"/>
  <c r="H792" i="7"/>
  <c r="H808" i="7"/>
  <c r="H824" i="7"/>
  <c r="H840" i="7"/>
  <c r="H856" i="7"/>
  <c r="H872" i="7"/>
  <c r="H888" i="7"/>
  <c r="H904" i="7"/>
  <c r="H920" i="7"/>
  <c r="H936" i="7"/>
  <c r="H952" i="7"/>
  <c r="H968" i="7"/>
  <c r="H984" i="7"/>
  <c r="H1000" i="7"/>
  <c r="H1016" i="7"/>
  <c r="H1032" i="7"/>
  <c r="H1048" i="7"/>
  <c r="H1064" i="7"/>
  <c r="H1080" i="7"/>
  <c r="H1096" i="7"/>
  <c r="H1112" i="7"/>
  <c r="H1128" i="7"/>
  <c r="H1144" i="7"/>
  <c r="H1160" i="7"/>
  <c r="H1176" i="7"/>
  <c r="H1192" i="7"/>
  <c r="H1208" i="7"/>
  <c r="H1224" i="7"/>
  <c r="H1240" i="7"/>
  <c r="H1254" i="7"/>
  <c r="H1267" i="7"/>
  <c r="H1280" i="7"/>
  <c r="H1292" i="7"/>
  <c r="H1306" i="7"/>
  <c r="H1316" i="7"/>
  <c r="H1327" i="7"/>
  <c r="H1338" i="7"/>
  <c r="H1348" i="7"/>
  <c r="H1359" i="7"/>
  <c r="H1370" i="7"/>
  <c r="H1380" i="7"/>
  <c r="H1391" i="7"/>
  <c r="H1402" i="7"/>
  <c r="H1412" i="7"/>
  <c r="H1423" i="7"/>
  <c r="H1434" i="7"/>
  <c r="H1444" i="7"/>
  <c r="H1455" i="7"/>
  <c r="H1466" i="7"/>
  <c r="H1476" i="7"/>
  <c r="H1487" i="7"/>
  <c r="H1498" i="7"/>
  <c r="H1508" i="7"/>
  <c r="H1519" i="7"/>
  <c r="H1530" i="7"/>
  <c r="H1540" i="7"/>
  <c r="H1551" i="7"/>
  <c r="H1562" i="7"/>
  <c r="H1572" i="7"/>
  <c r="H1583" i="7"/>
  <c r="A167" i="7"/>
  <c r="A178" i="7"/>
  <c r="A188" i="7"/>
  <c r="A199" i="7"/>
  <c r="A210" i="7"/>
  <c r="A220" i="7"/>
  <c r="A231" i="7"/>
  <c r="A242" i="7"/>
  <c r="A252" i="7"/>
  <c r="A263" i="7"/>
  <c r="A274" i="7"/>
  <c r="A284" i="7"/>
  <c r="A295" i="7"/>
  <c r="A306" i="7"/>
  <c r="A316" i="7"/>
  <c r="A327" i="7"/>
  <c r="A338" i="7"/>
  <c r="A348" i="7"/>
  <c r="A359" i="7"/>
  <c r="A370" i="7"/>
  <c r="A380" i="7"/>
  <c r="A391" i="7"/>
  <c r="A402" i="7"/>
  <c r="A412" i="7"/>
  <c r="A423" i="7"/>
  <c r="A434" i="7"/>
  <c r="A444" i="7"/>
  <c r="A455" i="7"/>
  <c r="A464" i="7"/>
  <c r="A472" i="7"/>
  <c r="A480" i="7"/>
  <c r="A488" i="7"/>
  <c r="A496" i="7"/>
  <c r="A504" i="7"/>
  <c r="A512" i="7"/>
  <c r="A520" i="7"/>
  <c r="A528" i="7"/>
  <c r="A536" i="7"/>
  <c r="A544" i="7"/>
  <c r="A552" i="7"/>
  <c r="A560" i="7"/>
  <c r="A568" i="7"/>
  <c r="A576" i="7"/>
  <c r="A584" i="7"/>
  <c r="A592" i="7"/>
  <c r="A600" i="7"/>
  <c r="A608" i="7"/>
  <c r="A616" i="7"/>
  <c r="A624" i="7"/>
  <c r="A632" i="7"/>
  <c r="A640" i="7"/>
  <c r="A648" i="7"/>
  <c r="A656" i="7"/>
  <c r="A664" i="7"/>
  <c r="A672" i="7"/>
  <c r="A680" i="7"/>
  <c r="A688" i="7"/>
  <c r="A696" i="7"/>
  <c r="A704" i="7"/>
  <c r="A712" i="7"/>
  <c r="A720" i="7"/>
  <c r="A728" i="7"/>
  <c r="A736" i="7"/>
  <c r="A744" i="7"/>
  <c r="A752" i="7"/>
  <c r="A760" i="7"/>
  <c r="A768" i="7"/>
  <c r="A776" i="7"/>
  <c r="A784" i="7"/>
  <c r="A792" i="7"/>
  <c r="A800" i="7"/>
  <c r="A808" i="7"/>
  <c r="A816" i="7"/>
  <c r="A824" i="7"/>
  <c r="A832" i="7"/>
  <c r="A840" i="7"/>
  <c r="A848" i="7"/>
  <c r="A856" i="7"/>
  <c r="A864" i="7"/>
  <c r="A872" i="7"/>
  <c r="A880" i="7"/>
  <c r="A888" i="7"/>
  <c r="A896" i="7"/>
  <c r="A904" i="7"/>
  <c r="A912" i="7"/>
  <c r="A920" i="7"/>
  <c r="A928" i="7"/>
  <c r="A936" i="7"/>
  <c r="A944" i="7"/>
  <c r="A952" i="7"/>
  <c r="A960" i="7"/>
  <c r="A968" i="7"/>
  <c r="A976" i="7"/>
  <c r="A984" i="7"/>
  <c r="A992" i="7"/>
  <c r="A1000" i="7"/>
  <c r="A1008" i="7"/>
  <c r="A1016" i="7"/>
  <c r="A1024" i="7"/>
  <c r="A1032" i="7"/>
  <c r="A1040" i="7"/>
  <c r="A1048" i="7"/>
  <c r="A1056" i="7"/>
  <c r="A1064" i="7"/>
  <c r="A1072" i="7"/>
  <c r="A1080" i="7"/>
  <c r="A1088" i="7"/>
  <c r="A1096" i="7"/>
  <c r="A1104" i="7"/>
  <c r="A1112" i="7"/>
  <c r="A1120" i="7"/>
  <c r="A1128" i="7"/>
  <c r="A1136" i="7"/>
  <c r="A1144" i="7"/>
  <c r="A1152" i="7"/>
  <c r="A1160" i="7"/>
  <c r="A1168" i="7"/>
  <c r="A1176" i="7"/>
  <c r="A1184" i="7"/>
  <c r="A1192" i="7"/>
  <c r="A1200" i="7"/>
  <c r="A1208" i="7"/>
  <c r="A1216" i="7"/>
  <c r="A1224" i="7"/>
  <c r="A1232" i="7"/>
  <c r="A1240" i="7"/>
  <c r="A1248" i="7"/>
  <c r="A1256" i="7"/>
  <c r="A1264" i="7"/>
  <c r="A1272" i="7"/>
  <c r="A1280" i="7"/>
  <c r="A1288" i="7"/>
  <c r="A1296" i="7"/>
  <c r="A1304" i="7"/>
  <c r="A1312" i="7"/>
  <c r="A1320" i="7"/>
  <c r="A1328" i="7"/>
  <c r="A1336" i="7"/>
  <c r="A1344" i="7"/>
  <c r="A1352" i="7"/>
  <c r="A1360" i="7"/>
  <c r="A1368" i="7"/>
  <c r="A1376" i="7"/>
  <c r="A1384" i="7"/>
  <c r="A1392" i="7"/>
  <c r="A1400" i="7"/>
  <c r="A1408" i="7"/>
  <c r="A1416" i="7"/>
  <c r="A1424" i="7"/>
  <c r="A1432" i="7"/>
  <c r="A1440" i="7"/>
  <c r="A1448" i="7"/>
  <c r="A1456" i="7"/>
  <c r="A1464" i="7"/>
  <c r="A1472" i="7"/>
  <c r="A1480" i="7"/>
  <c r="A1488" i="7"/>
  <c r="A1496" i="7"/>
  <c r="A1504" i="7"/>
  <c r="A1512" i="7"/>
  <c r="A1520" i="7"/>
  <c r="A1528" i="7"/>
  <c r="A1536" i="7"/>
  <c r="A1544" i="7"/>
  <c r="A1552" i="7"/>
  <c r="A1560" i="7"/>
  <c r="A1568" i="7"/>
  <c r="A1576" i="7"/>
  <c r="A1584" i="7"/>
  <c r="A1592" i="7"/>
  <c r="E853" i="7"/>
  <c r="E1481" i="7"/>
  <c r="F181" i="7"/>
  <c r="F506" i="7"/>
  <c r="F693" i="7"/>
  <c r="F863" i="7"/>
  <c r="F1027" i="7"/>
  <c r="F1155" i="7"/>
  <c r="F1283" i="7"/>
  <c r="F1411" i="7"/>
  <c r="F1539" i="7"/>
  <c r="G247" i="7"/>
  <c r="G375" i="7"/>
  <c r="G503" i="7"/>
  <c r="G631" i="7"/>
  <c r="G759" i="7"/>
  <c r="G882" i="7"/>
  <c r="G946" i="7"/>
  <c r="G1001" i="7"/>
  <c r="G1053" i="7"/>
  <c r="G1103" i="7"/>
  <c r="G1154" i="7"/>
  <c r="G1199" i="7"/>
  <c r="G1242" i="7"/>
  <c r="G1285" i="7"/>
  <c r="G1327" i="7"/>
  <c r="G1370" i="7"/>
  <c r="G1413" i="7"/>
  <c r="G1455" i="7"/>
  <c r="G1498" i="7"/>
  <c r="G1541" i="7"/>
  <c r="G1583" i="7"/>
  <c r="H194" i="7"/>
  <c r="H226" i="7"/>
  <c r="H258" i="7"/>
  <c r="H290" i="7"/>
  <c r="H322" i="7"/>
  <c r="H354" i="7"/>
  <c r="H386" i="7"/>
  <c r="H418" i="7"/>
  <c r="H450" i="7"/>
  <c r="H482" i="7"/>
  <c r="H514" i="7"/>
  <c r="H546" i="7"/>
  <c r="H578" i="7"/>
  <c r="H610" i="7"/>
  <c r="H642" i="7"/>
  <c r="H674" i="7"/>
  <c r="H706" i="7"/>
  <c r="H738" i="7"/>
  <c r="H770" i="7"/>
  <c r="H794" i="7"/>
  <c r="H810" i="7"/>
  <c r="H826" i="7"/>
  <c r="H842" i="7"/>
  <c r="H858" i="7"/>
  <c r="H874" i="7"/>
  <c r="H890" i="7"/>
  <c r="H906" i="7"/>
  <c r="H922" i="7"/>
  <c r="H938" i="7"/>
  <c r="H954" i="7"/>
  <c r="H970" i="7"/>
  <c r="H986" i="7"/>
  <c r="H1002" i="7"/>
  <c r="H1018" i="7"/>
  <c r="H1034" i="7"/>
  <c r="H1050" i="7"/>
  <c r="H1066" i="7"/>
  <c r="H1082" i="7"/>
  <c r="H1098" i="7"/>
  <c r="H1114" i="7"/>
  <c r="H1130" i="7"/>
  <c r="H1146" i="7"/>
  <c r="H1162" i="7"/>
  <c r="H1178" i="7"/>
  <c r="H1194" i="7"/>
  <c r="H1210" i="7"/>
  <c r="H1226" i="7"/>
  <c r="H1242" i="7"/>
  <c r="H1256" i="7"/>
  <c r="H1268" i="7"/>
  <c r="H1282" i="7"/>
  <c r="H1294" i="7"/>
  <c r="H1307" i="7"/>
  <c r="H1318" i="7"/>
  <c r="H1328" i="7"/>
  <c r="H1339" i="7"/>
  <c r="H1350" i="7"/>
  <c r="H1360" i="7"/>
  <c r="H1371" i="7"/>
  <c r="H1382" i="7"/>
  <c r="H1392" i="7"/>
  <c r="H1403" i="7"/>
  <c r="H1414" i="7"/>
  <c r="H1424" i="7"/>
  <c r="H1435" i="7"/>
  <c r="H1446" i="7"/>
  <c r="H1456" i="7"/>
  <c r="H1467" i="7"/>
  <c r="H1478" i="7"/>
  <c r="H1488" i="7"/>
  <c r="H1499" i="7"/>
  <c r="H1510" i="7"/>
  <c r="H1520" i="7"/>
  <c r="H1531" i="7"/>
  <c r="H1542" i="7"/>
  <c r="H1552" i="7"/>
  <c r="H1563" i="7"/>
  <c r="H1574" i="7"/>
  <c r="H1584" i="7"/>
  <c r="A168" i="7"/>
  <c r="A179" i="7"/>
  <c r="A190" i="7"/>
  <c r="A200" i="7"/>
  <c r="A211" i="7"/>
  <c r="A222" i="7"/>
  <c r="A232" i="7"/>
  <c r="A243" i="7"/>
  <c r="A254" i="7"/>
  <c r="A264" i="7"/>
  <c r="A275" i="7"/>
  <c r="A286" i="7"/>
  <c r="A296" i="7"/>
  <c r="A307" i="7"/>
  <c r="A318" i="7"/>
  <c r="A328" i="7"/>
  <c r="A339" i="7"/>
  <c r="A350" i="7"/>
  <c r="A360" i="7"/>
  <c r="A371" i="7"/>
  <c r="A382" i="7"/>
  <c r="A392" i="7"/>
  <c r="A403" i="7"/>
  <c r="A414" i="7"/>
  <c r="A424" i="7"/>
  <c r="A435" i="7"/>
  <c r="A446" i="7"/>
  <c r="A456" i="7"/>
  <c r="A465" i="7"/>
  <c r="A473" i="7"/>
  <c r="A481" i="7"/>
  <c r="A489" i="7"/>
  <c r="A497" i="7"/>
  <c r="A505" i="7"/>
  <c r="A513" i="7"/>
  <c r="A521" i="7"/>
  <c r="A529" i="7"/>
  <c r="A537" i="7"/>
  <c r="A545" i="7"/>
  <c r="A553" i="7"/>
  <c r="A561" i="7"/>
  <c r="A569" i="7"/>
  <c r="A577" i="7"/>
  <c r="A585" i="7"/>
  <c r="A593" i="7"/>
  <c r="A601" i="7"/>
  <c r="A609" i="7"/>
  <c r="A617" i="7"/>
  <c r="A625" i="7"/>
  <c r="A633" i="7"/>
  <c r="A641" i="7"/>
  <c r="A649" i="7"/>
  <c r="A657" i="7"/>
  <c r="A665" i="7"/>
  <c r="A673" i="7"/>
  <c r="A681" i="7"/>
  <c r="A689" i="7"/>
  <c r="A697" i="7"/>
  <c r="A705" i="7"/>
  <c r="A713" i="7"/>
  <c r="A721" i="7"/>
  <c r="A729" i="7"/>
  <c r="A737" i="7"/>
  <c r="A745" i="7"/>
  <c r="A753" i="7"/>
  <c r="A761" i="7"/>
  <c r="A769" i="7"/>
  <c r="A777" i="7"/>
  <c r="A785" i="7"/>
  <c r="A793" i="7"/>
  <c r="A801" i="7"/>
  <c r="A809" i="7"/>
  <c r="A817" i="7"/>
  <c r="A825" i="7"/>
  <c r="A833" i="7"/>
  <c r="A841" i="7"/>
  <c r="A849" i="7"/>
  <c r="A857" i="7"/>
  <c r="A865" i="7"/>
  <c r="A873" i="7"/>
  <c r="A881" i="7"/>
  <c r="A889" i="7"/>
  <c r="A897" i="7"/>
  <c r="A905" i="7"/>
  <c r="A913" i="7"/>
  <c r="A921" i="7"/>
  <c r="A929" i="7"/>
  <c r="A937" i="7"/>
  <c r="A945" i="7"/>
  <c r="A953" i="7"/>
  <c r="A961" i="7"/>
  <c r="A969" i="7"/>
  <c r="A977" i="7"/>
  <c r="A985" i="7"/>
  <c r="A993" i="7"/>
  <c r="A1001" i="7"/>
  <c r="A1009" i="7"/>
  <c r="A1017" i="7"/>
  <c r="A1025" i="7"/>
  <c r="A1033" i="7"/>
  <c r="A1041" i="7"/>
  <c r="A1049" i="7"/>
  <c r="A1057" i="7"/>
  <c r="A1065" i="7"/>
  <c r="A1073" i="7"/>
  <c r="A1081" i="7"/>
  <c r="A1089" i="7"/>
  <c r="A1097" i="7"/>
  <c r="A1105" i="7"/>
  <c r="A1113" i="7"/>
  <c r="A1121" i="7"/>
  <c r="A1129" i="7"/>
  <c r="A1137" i="7"/>
  <c r="A1145" i="7"/>
  <c r="A1153" i="7"/>
  <c r="A1161" i="7"/>
  <c r="A1169" i="7"/>
  <c r="A1177" i="7"/>
  <c r="A1185" i="7"/>
  <c r="A1193" i="7"/>
  <c r="A1201" i="7"/>
  <c r="A1209" i="7"/>
  <c r="A1217" i="7"/>
  <c r="A1225" i="7"/>
  <c r="A1233" i="7"/>
  <c r="A1241" i="7"/>
  <c r="A1249" i="7"/>
  <c r="A1257" i="7"/>
  <c r="A1265" i="7"/>
  <c r="A1273" i="7"/>
  <c r="A1281" i="7"/>
  <c r="A1289" i="7"/>
  <c r="A1297" i="7"/>
  <c r="A1305" i="7"/>
  <c r="A1313" i="7"/>
  <c r="A1321" i="7"/>
  <c r="A1329" i="7"/>
  <c r="A1337" i="7"/>
  <c r="A1345" i="7"/>
  <c r="A1353" i="7"/>
  <c r="A1361" i="7"/>
  <c r="A1369" i="7"/>
  <c r="A1377" i="7"/>
  <c r="A1385" i="7"/>
  <c r="A1393" i="7"/>
  <c r="A1401" i="7"/>
  <c r="A1409" i="7"/>
  <c r="A1417" i="7"/>
  <c r="A1425" i="7"/>
  <c r="A1433" i="7"/>
  <c r="A1441" i="7"/>
  <c r="A1449" i="7"/>
  <c r="A1457" i="7"/>
  <c r="A1465" i="7"/>
  <c r="A1473" i="7"/>
  <c r="A1481" i="7"/>
  <c r="A1489" i="7"/>
  <c r="A1497" i="7"/>
  <c r="A1505" i="7"/>
  <c r="A1513" i="7"/>
  <c r="A1521" i="7"/>
  <c r="A1529" i="7"/>
  <c r="A1537" i="7"/>
  <c r="A1545" i="7"/>
  <c r="A1553" i="7"/>
  <c r="A1561" i="7"/>
  <c r="A1569" i="7"/>
  <c r="A1577" i="7"/>
  <c r="A1585" i="7"/>
  <c r="A1593" i="7"/>
  <c r="E1040" i="7"/>
  <c r="F206" i="7"/>
  <c r="F517" i="7"/>
  <c r="F702" i="7"/>
  <c r="F873" i="7"/>
  <c r="F1034" i="7"/>
  <c r="F1162" i="7"/>
  <c r="F1290" i="7"/>
  <c r="F1418" i="7"/>
  <c r="F1546" i="7"/>
  <c r="G278" i="7"/>
  <c r="G406" i="7"/>
  <c r="G534" i="7"/>
  <c r="G662" i="7"/>
  <c r="G790" i="7"/>
  <c r="G897" i="7"/>
  <c r="G961" i="7"/>
  <c r="G1013" i="7"/>
  <c r="G1063" i="7"/>
  <c r="G1114" i="7"/>
  <c r="G1166" i="7"/>
  <c r="G1209" i="7"/>
  <c r="G1251" i="7"/>
  <c r="G1294" i="7"/>
  <c r="G1337" i="7"/>
  <c r="G1379" i="7"/>
  <c r="G1422" i="7"/>
  <c r="G1465" i="7"/>
  <c r="G1507" i="7"/>
  <c r="G1550" i="7"/>
  <c r="G1590" i="7"/>
  <c r="H195" i="7"/>
  <c r="H227" i="7"/>
  <c r="H259" i="7"/>
  <c r="H291" i="7"/>
  <c r="H323" i="7"/>
  <c r="H355" i="7"/>
  <c r="H387" i="7"/>
  <c r="H419" i="7"/>
  <c r="H451" i="7"/>
  <c r="H483" i="7"/>
  <c r="H515" i="7"/>
  <c r="H547" i="7"/>
  <c r="H579" i="7"/>
  <c r="H611" i="7"/>
  <c r="H643" i="7"/>
  <c r="H675" i="7"/>
  <c r="H707" i="7"/>
  <c r="H739" i="7"/>
  <c r="H771" i="7"/>
  <c r="H795" i="7"/>
  <c r="H811" i="7"/>
  <c r="H827" i="7"/>
  <c r="H843" i="7"/>
  <c r="H859" i="7"/>
  <c r="H875" i="7"/>
  <c r="H891" i="7"/>
  <c r="H907" i="7"/>
  <c r="H923" i="7"/>
  <c r="H939" i="7"/>
  <c r="H955" i="7"/>
  <c r="H971" i="7"/>
  <c r="H987" i="7"/>
  <c r="H1003" i="7"/>
  <c r="H1019" i="7"/>
  <c r="H1035" i="7"/>
  <c r="H1051" i="7"/>
  <c r="H1067" i="7"/>
  <c r="H1083" i="7"/>
  <c r="H1099" i="7"/>
  <c r="H1115" i="7"/>
  <c r="H1131" i="7"/>
  <c r="H1147" i="7"/>
  <c r="H1163" i="7"/>
  <c r="H1179" i="7"/>
  <c r="H1195" i="7"/>
  <c r="H1211" i="7"/>
  <c r="H1227" i="7"/>
  <c r="H1243" i="7"/>
  <c r="H1258" i="7"/>
  <c r="H1270" i="7"/>
  <c r="H1283" i="7"/>
  <c r="H1296" i="7"/>
  <c r="H1308" i="7"/>
  <c r="H1319" i="7"/>
  <c r="H1330" i="7"/>
  <c r="H1340" i="7"/>
  <c r="H1351" i="7"/>
  <c r="H1362" i="7"/>
  <c r="H1372" i="7"/>
  <c r="H1383" i="7"/>
  <c r="H1394" i="7"/>
  <c r="H1404" i="7"/>
  <c r="H1415" i="7"/>
  <c r="H1426" i="7"/>
  <c r="H1436" i="7"/>
  <c r="H1447" i="7"/>
  <c r="H1458" i="7"/>
  <c r="H1468" i="7"/>
  <c r="H1479" i="7"/>
  <c r="H1490" i="7"/>
  <c r="H1500" i="7"/>
  <c r="H1511" i="7"/>
  <c r="H1522" i="7"/>
  <c r="H1532" i="7"/>
  <c r="H1543" i="7"/>
  <c r="H1554" i="7"/>
  <c r="H1564" i="7"/>
  <c r="H1575" i="7"/>
  <c r="H1586" i="7"/>
  <c r="A170" i="7"/>
  <c r="A180" i="7"/>
  <c r="A191" i="7"/>
  <c r="A202" i="7"/>
  <c r="A212" i="7"/>
  <c r="A223" i="7"/>
  <c r="A234" i="7"/>
  <c r="A244" i="7"/>
  <c r="A255" i="7"/>
  <c r="A266" i="7"/>
  <c r="A276" i="7"/>
  <c r="A287" i="7"/>
  <c r="A298" i="7"/>
  <c r="A308" i="7"/>
  <c r="A319" i="7"/>
  <c r="A330" i="7"/>
  <c r="A340" i="7"/>
  <c r="A351" i="7"/>
  <c r="A362" i="7"/>
  <c r="A372" i="7"/>
  <c r="A383" i="7"/>
  <c r="A394" i="7"/>
  <c r="A404" i="7"/>
  <c r="A415" i="7"/>
  <c r="A426" i="7"/>
  <c r="A436" i="7"/>
  <c r="A447" i="7"/>
  <c r="A458" i="7"/>
  <c r="A466" i="7"/>
  <c r="A474" i="7"/>
  <c r="A482" i="7"/>
  <c r="A490" i="7"/>
  <c r="A498" i="7"/>
  <c r="A506" i="7"/>
  <c r="A514" i="7"/>
  <c r="A522" i="7"/>
  <c r="A530" i="7"/>
  <c r="A538" i="7"/>
  <c r="A546" i="7"/>
  <c r="A554" i="7"/>
  <c r="A562" i="7"/>
  <c r="A570" i="7"/>
  <c r="A578" i="7"/>
  <c r="A586" i="7"/>
  <c r="A594" i="7"/>
  <c r="A602" i="7"/>
  <c r="A610" i="7"/>
  <c r="A618" i="7"/>
  <c r="A626" i="7"/>
  <c r="A634" i="7"/>
  <c r="A642" i="7"/>
  <c r="A650" i="7"/>
  <c r="A658" i="7"/>
  <c r="A666" i="7"/>
  <c r="A674" i="7"/>
  <c r="A682" i="7"/>
  <c r="A690" i="7"/>
  <c r="A698" i="7"/>
  <c r="A706" i="7"/>
  <c r="A714" i="7"/>
  <c r="A722" i="7"/>
  <c r="A730" i="7"/>
  <c r="A738" i="7"/>
  <c r="A746" i="7"/>
  <c r="A754" i="7"/>
  <c r="A762" i="7"/>
  <c r="A770" i="7"/>
  <c r="A778" i="7"/>
  <c r="A786" i="7"/>
  <c r="A794" i="7"/>
  <c r="A802" i="7"/>
  <c r="A810" i="7"/>
  <c r="A818" i="7"/>
  <c r="A826" i="7"/>
  <c r="A834" i="7"/>
  <c r="A842" i="7"/>
  <c r="A850" i="7"/>
  <c r="A858" i="7"/>
  <c r="A866" i="7"/>
  <c r="A874" i="7"/>
  <c r="A882" i="7"/>
  <c r="A890" i="7"/>
  <c r="A898" i="7"/>
  <c r="A906" i="7"/>
  <c r="A914" i="7"/>
  <c r="A922" i="7"/>
  <c r="A930" i="7"/>
  <c r="A938" i="7"/>
  <c r="A946" i="7"/>
  <c r="A954" i="7"/>
  <c r="A962" i="7"/>
  <c r="A970" i="7"/>
  <c r="A978" i="7"/>
  <c r="A986" i="7"/>
  <c r="A994" i="7"/>
  <c r="A1002" i="7"/>
  <c r="A1010" i="7"/>
  <c r="A1018" i="7"/>
  <c r="A1026" i="7"/>
  <c r="A1034" i="7"/>
  <c r="A1042" i="7"/>
  <c r="A1050" i="7"/>
  <c r="A1058" i="7"/>
  <c r="A1066" i="7"/>
  <c r="A1074" i="7"/>
  <c r="A1082" i="7"/>
  <c r="A1090" i="7"/>
  <c r="A1098" i="7"/>
  <c r="A1106" i="7"/>
  <c r="A1114" i="7"/>
  <c r="A1122" i="7"/>
  <c r="A1130" i="7"/>
  <c r="A1138" i="7"/>
  <c r="A1146" i="7"/>
  <c r="A1154" i="7"/>
  <c r="A1162" i="7"/>
  <c r="A1170" i="7"/>
  <c r="A1178" i="7"/>
  <c r="A1186" i="7"/>
  <c r="A1194" i="7"/>
  <c r="A1202" i="7"/>
  <c r="A1210" i="7"/>
  <c r="A1218" i="7"/>
  <c r="A1226" i="7"/>
  <c r="A1234" i="7"/>
  <c r="A1242" i="7"/>
  <c r="A1250" i="7"/>
  <c r="A1258" i="7"/>
  <c r="A1266" i="7"/>
  <c r="A1274" i="7"/>
  <c r="A1282" i="7"/>
  <c r="A1290" i="7"/>
  <c r="A1298" i="7"/>
  <c r="A1306" i="7"/>
  <c r="A1314" i="7"/>
  <c r="A1322" i="7"/>
  <c r="A1330" i="7"/>
  <c r="A1338" i="7"/>
  <c r="A1346" i="7"/>
  <c r="A1354" i="7"/>
  <c r="A1362" i="7"/>
  <c r="A1370" i="7"/>
  <c r="A1378" i="7"/>
  <c r="A1386" i="7"/>
  <c r="A1394" i="7"/>
  <c r="A1402" i="7"/>
  <c r="A1410" i="7"/>
  <c r="A1418" i="7"/>
  <c r="A1426" i="7"/>
  <c r="A1434" i="7"/>
  <c r="A1442" i="7"/>
  <c r="A1450" i="7"/>
  <c r="A1458" i="7"/>
  <c r="A1466" i="7"/>
  <c r="A1474" i="7"/>
  <c r="A1482" i="7"/>
  <c r="A1490" i="7"/>
  <c r="A1498" i="7"/>
  <c r="A1506" i="7"/>
  <c r="A1514" i="7"/>
  <c r="A1522" i="7"/>
  <c r="A1530" i="7"/>
  <c r="A1538" i="7"/>
  <c r="A1546" i="7"/>
  <c r="A1554" i="7"/>
  <c r="A1562" i="7"/>
  <c r="A1570" i="7"/>
  <c r="A1578" i="7"/>
  <c r="A1586" i="7"/>
  <c r="E1049" i="7"/>
  <c r="F298" i="7"/>
  <c r="F557" i="7"/>
  <c r="F735" i="7"/>
  <c r="F906" i="7"/>
  <c r="F1059" i="7"/>
  <c r="F1187" i="7"/>
  <c r="F1315" i="7"/>
  <c r="F1443" i="7"/>
  <c r="F1571" i="7"/>
  <c r="G279" i="7"/>
  <c r="G407" i="7"/>
  <c r="G535" i="7"/>
  <c r="G663" i="7"/>
  <c r="G791" i="7"/>
  <c r="G898" i="7"/>
  <c r="G962" i="7"/>
  <c r="G1014" i="7"/>
  <c r="G1065" i="7"/>
  <c r="G1117" i="7"/>
  <c r="G1167" i="7"/>
  <c r="G1210" i="7"/>
  <c r="G1253" i="7"/>
  <c r="G1295" i="7"/>
  <c r="G1338" i="7"/>
  <c r="G1381" i="7"/>
  <c r="G1423" i="7"/>
  <c r="G1466" i="7"/>
  <c r="G1509" i="7"/>
  <c r="G1551" i="7"/>
  <c r="G1591" i="7"/>
  <c r="H170" i="7"/>
  <c r="H202" i="7"/>
  <c r="H234" i="7"/>
  <c r="H266" i="7"/>
  <c r="H298" i="7"/>
  <c r="H330" i="7"/>
  <c r="H362" i="7"/>
  <c r="H394" i="7"/>
  <c r="H426" i="7"/>
  <c r="H458" i="7"/>
  <c r="H490" i="7"/>
  <c r="H522" i="7"/>
  <c r="H554" i="7"/>
  <c r="H586" i="7"/>
  <c r="H618" i="7"/>
  <c r="H650" i="7"/>
  <c r="H682" i="7"/>
  <c r="H714" i="7"/>
  <c r="H746" i="7"/>
  <c r="H778" i="7"/>
  <c r="H796" i="7"/>
  <c r="H812" i="7"/>
  <c r="H828" i="7"/>
  <c r="H844" i="7"/>
  <c r="H860" i="7"/>
  <c r="H876" i="7"/>
  <c r="H892" i="7"/>
  <c r="H908" i="7"/>
  <c r="H924" i="7"/>
  <c r="H940" i="7"/>
  <c r="H956" i="7"/>
  <c r="H972" i="7"/>
  <c r="H988" i="7"/>
  <c r="H1004" i="7"/>
  <c r="H1020" i="7"/>
  <c r="H1036" i="7"/>
  <c r="H1052" i="7"/>
  <c r="H1068" i="7"/>
  <c r="H1084" i="7"/>
  <c r="H1100" i="7"/>
  <c r="H1116" i="7"/>
  <c r="H1132" i="7"/>
  <c r="H1148" i="7"/>
  <c r="H1164" i="7"/>
  <c r="H1180" i="7"/>
  <c r="H1196" i="7"/>
  <c r="H1212" i="7"/>
  <c r="H1228" i="7"/>
  <c r="H1244" i="7"/>
  <c r="H1259" i="7"/>
  <c r="H1272" i="7"/>
  <c r="H1284" i="7"/>
  <c r="H1298" i="7"/>
  <c r="H1310" i="7"/>
  <c r="H1320" i="7"/>
  <c r="H1331" i="7"/>
  <c r="H1342" i="7"/>
  <c r="H1352" i="7"/>
  <c r="H1363" i="7"/>
  <c r="H1374" i="7"/>
  <c r="H1384" i="7"/>
  <c r="H1395" i="7"/>
  <c r="H1406" i="7"/>
  <c r="H1416" i="7"/>
  <c r="H1427" i="7"/>
  <c r="H1438" i="7"/>
  <c r="H1448" i="7"/>
  <c r="H1459" i="7"/>
  <c r="H1470" i="7"/>
  <c r="H1480" i="7"/>
  <c r="H1491" i="7"/>
  <c r="H1502" i="7"/>
  <c r="H1512" i="7"/>
  <c r="H1523" i="7"/>
  <c r="H1534" i="7"/>
  <c r="H1544" i="7"/>
  <c r="H1555" i="7"/>
  <c r="H1566" i="7"/>
  <c r="H1576" i="7"/>
  <c r="H1587" i="7"/>
  <c r="A171" i="7"/>
  <c r="A182" i="7"/>
  <c r="A192" i="7"/>
  <c r="A203" i="7"/>
  <c r="A214" i="7"/>
  <c r="A224" i="7"/>
  <c r="A235" i="7"/>
  <c r="A246" i="7"/>
  <c r="A256" i="7"/>
  <c r="A267" i="7"/>
  <c r="A278" i="7"/>
  <c r="A288" i="7"/>
  <c r="A299" i="7"/>
  <c r="A310" i="7"/>
  <c r="A320" i="7"/>
  <c r="A331" i="7"/>
  <c r="A342" i="7"/>
  <c r="A352" i="7"/>
  <c r="A363" i="7"/>
  <c r="A374" i="7"/>
  <c r="A384" i="7"/>
  <c r="A395" i="7"/>
  <c r="A406" i="7"/>
  <c r="A416" i="7"/>
  <c r="A427" i="7"/>
  <c r="A438" i="7"/>
  <c r="A448" i="7"/>
  <c r="A459" i="7"/>
  <c r="A467" i="7"/>
  <c r="A475" i="7"/>
  <c r="A483" i="7"/>
  <c r="A491" i="7"/>
  <c r="A499" i="7"/>
  <c r="A507" i="7"/>
  <c r="A515" i="7"/>
  <c r="A523" i="7"/>
  <c r="A531" i="7"/>
  <c r="A539" i="7"/>
  <c r="A547" i="7"/>
  <c r="A555" i="7"/>
  <c r="A563" i="7"/>
  <c r="A571" i="7"/>
  <c r="A579" i="7"/>
  <c r="A587" i="7"/>
  <c r="A595" i="7"/>
  <c r="A603" i="7"/>
  <c r="A611" i="7"/>
  <c r="A619" i="7"/>
  <c r="A627" i="7"/>
  <c r="A635" i="7"/>
  <c r="A643" i="7"/>
  <c r="A651" i="7"/>
  <c r="A659" i="7"/>
  <c r="A667" i="7"/>
  <c r="A675" i="7"/>
  <c r="A683" i="7"/>
  <c r="A691" i="7"/>
  <c r="A699" i="7"/>
  <c r="A707" i="7"/>
  <c r="A715" i="7"/>
  <c r="A723" i="7"/>
  <c r="A731" i="7"/>
  <c r="A739" i="7"/>
  <c r="A747" i="7"/>
  <c r="A755" i="7"/>
  <c r="A763" i="7"/>
  <c r="A771" i="7"/>
  <c r="A779" i="7"/>
  <c r="A787" i="7"/>
  <c r="A795" i="7"/>
  <c r="A803" i="7"/>
  <c r="A811" i="7"/>
  <c r="A819" i="7"/>
  <c r="A827" i="7"/>
  <c r="A835" i="7"/>
  <c r="A843" i="7"/>
  <c r="A851" i="7"/>
  <c r="A859" i="7"/>
  <c r="A867" i="7"/>
  <c r="A875" i="7"/>
  <c r="A883" i="7"/>
  <c r="A891" i="7"/>
  <c r="A899" i="7"/>
  <c r="A907" i="7"/>
  <c r="A915" i="7"/>
  <c r="A923" i="7"/>
  <c r="A931" i="7"/>
  <c r="A939" i="7"/>
  <c r="A947" i="7"/>
  <c r="A955" i="7"/>
  <c r="A963" i="7"/>
  <c r="A971" i="7"/>
  <c r="A979" i="7"/>
  <c r="A987" i="7"/>
  <c r="A995" i="7"/>
  <c r="A1003" i="7"/>
  <c r="A1011" i="7"/>
  <c r="A1019" i="7"/>
  <c r="A1027" i="7"/>
  <c r="A1035" i="7"/>
  <c r="A1043" i="7"/>
  <c r="A1051" i="7"/>
  <c r="A1059" i="7"/>
  <c r="A1067" i="7"/>
  <c r="A1075" i="7"/>
  <c r="A1083" i="7"/>
  <c r="A1091" i="7"/>
  <c r="A1099" i="7"/>
  <c r="A1107" i="7"/>
  <c r="A1115" i="7"/>
  <c r="A1123" i="7"/>
  <c r="A1131" i="7"/>
  <c r="A1139" i="7"/>
  <c r="A1147" i="7"/>
  <c r="A1155" i="7"/>
  <c r="A1163" i="7"/>
  <c r="A1171" i="7"/>
  <c r="A1179" i="7"/>
  <c r="A1187" i="7"/>
  <c r="A1195" i="7"/>
  <c r="A1203" i="7"/>
  <c r="A1211" i="7"/>
  <c r="A1219" i="7"/>
  <c r="A1227" i="7"/>
  <c r="A1235" i="7"/>
  <c r="A1243" i="7"/>
  <c r="A1251" i="7"/>
  <c r="A1259" i="7"/>
  <c r="A1267" i="7"/>
  <c r="A1275" i="7"/>
  <c r="A1283" i="7"/>
  <c r="A1291" i="7"/>
  <c r="A1299" i="7"/>
  <c r="A1307" i="7"/>
  <c r="A1315" i="7"/>
  <c r="A1323" i="7"/>
  <c r="A1331" i="7"/>
  <c r="A1339" i="7"/>
  <c r="A1347" i="7"/>
  <c r="A1355" i="7"/>
  <c r="A1363" i="7"/>
  <c r="A1371" i="7"/>
  <c r="A1379" i="7"/>
  <c r="A1387" i="7"/>
  <c r="A1395" i="7"/>
  <c r="A1403" i="7"/>
  <c r="A1411" i="7"/>
  <c r="A1419" i="7"/>
  <c r="A1427" i="7"/>
  <c r="A1435" i="7"/>
  <c r="A1443" i="7"/>
  <c r="A1451" i="7"/>
  <c r="A1459" i="7"/>
  <c r="A1467" i="7"/>
  <c r="A1475" i="7"/>
  <c r="A1483" i="7"/>
  <c r="A1491" i="7"/>
  <c r="A1499" i="7"/>
  <c r="A1507" i="7"/>
  <c r="A1515" i="7"/>
  <c r="A1523" i="7"/>
  <c r="A1531" i="7"/>
  <c r="A1539" i="7"/>
  <c r="A1547" i="7"/>
  <c r="A1555" i="7"/>
  <c r="A1563" i="7"/>
  <c r="A1571" i="7"/>
  <c r="A1579" i="7"/>
  <c r="A1587" i="7"/>
  <c r="E1210" i="7"/>
  <c r="F317" i="7"/>
  <c r="F567" i="7"/>
  <c r="F745" i="7"/>
  <c r="F915" i="7"/>
  <c r="F1066" i="7"/>
  <c r="F1194" i="7"/>
  <c r="F1322" i="7"/>
  <c r="F1450" i="7"/>
  <c r="F1578" i="7"/>
  <c r="G182" i="7"/>
  <c r="G310" i="7"/>
  <c r="G438" i="7"/>
  <c r="G566" i="7"/>
  <c r="G694" i="7"/>
  <c r="G822" i="7"/>
  <c r="G913" i="7"/>
  <c r="G974" i="7"/>
  <c r="G1025" i="7"/>
  <c r="G1077" i="7"/>
  <c r="G1127" i="7"/>
  <c r="G1177" i="7"/>
  <c r="G1219" i="7"/>
  <c r="G1262" i="7"/>
  <c r="G1305" i="7"/>
  <c r="G1347" i="7"/>
  <c r="G1390" i="7"/>
  <c r="G1433" i="7"/>
  <c r="G1475" i="7"/>
  <c r="G1518" i="7"/>
  <c r="G1561" i="7"/>
  <c r="H171" i="7"/>
  <c r="H203" i="7"/>
  <c r="H235" i="7"/>
  <c r="H267" i="7"/>
  <c r="H299" i="7"/>
  <c r="H331" i="7"/>
  <c r="H363" i="7"/>
  <c r="H395" i="7"/>
  <c r="H427" i="7"/>
  <c r="H459" i="7"/>
  <c r="H491" i="7"/>
  <c r="H523" i="7"/>
  <c r="H555" i="7"/>
  <c r="H587" i="7"/>
  <c r="H619" i="7"/>
  <c r="H651" i="7"/>
  <c r="H683" i="7"/>
  <c r="H715" i="7"/>
  <c r="H747" i="7"/>
  <c r="H779" i="7"/>
  <c r="H800" i="7"/>
  <c r="H816" i="7"/>
  <c r="H832" i="7"/>
  <c r="H848" i="7"/>
  <c r="H864" i="7"/>
  <c r="H880" i="7"/>
  <c r="H896" i="7"/>
  <c r="H912" i="7"/>
  <c r="H928" i="7"/>
  <c r="H944" i="7"/>
  <c r="H960" i="7"/>
  <c r="H976" i="7"/>
  <c r="H992" i="7"/>
  <c r="H1008" i="7"/>
  <c r="H1024" i="7"/>
  <c r="H1040" i="7"/>
  <c r="H1056" i="7"/>
  <c r="H1072" i="7"/>
  <c r="H1088" i="7"/>
  <c r="H1104" i="7"/>
  <c r="H1120" i="7"/>
  <c r="H1136" i="7"/>
  <c r="H1152" i="7"/>
  <c r="H1168" i="7"/>
  <c r="H1184" i="7"/>
  <c r="H1200" i="7"/>
  <c r="H1216" i="7"/>
  <c r="H1232" i="7"/>
  <c r="H1248" i="7"/>
  <c r="H1260" i="7"/>
  <c r="H1274" i="7"/>
  <c r="H1286" i="7"/>
  <c r="H1299" i="7"/>
  <c r="H1311" i="7"/>
  <c r="H1322" i="7"/>
  <c r="H1332" i="7"/>
  <c r="H1343" i="7"/>
  <c r="H1354" i="7"/>
  <c r="H1364" i="7"/>
  <c r="H1375" i="7"/>
  <c r="H1386" i="7"/>
  <c r="H1396" i="7"/>
  <c r="H1407" i="7"/>
  <c r="H1418" i="7"/>
  <c r="H1428" i="7"/>
  <c r="H1439" i="7"/>
  <c r="H1450" i="7"/>
  <c r="H1460" i="7"/>
  <c r="H1471" i="7"/>
  <c r="H1482" i="7"/>
  <c r="H1492" i="7"/>
  <c r="H1514" i="7"/>
  <c r="H1524" i="7"/>
  <c r="H1535" i="7"/>
  <c r="H1546" i="7"/>
  <c r="H1556" i="7"/>
  <c r="H1567" i="7"/>
  <c r="H1578" i="7"/>
  <c r="H1588" i="7"/>
  <c r="A172" i="7"/>
  <c r="A183" i="7"/>
  <c r="A194" i="7"/>
  <c r="A204" i="7"/>
  <c r="A215" i="7"/>
  <c r="A226" i="7"/>
  <c r="A236" i="7"/>
  <c r="A247" i="7"/>
  <c r="A258" i="7"/>
  <c r="A268" i="7"/>
  <c r="A279" i="7"/>
  <c r="A290" i="7"/>
  <c r="A300" i="7"/>
  <c r="A311" i="7"/>
  <c r="E1220" i="7"/>
  <c r="F382" i="7"/>
  <c r="F607" i="7"/>
  <c r="F778" i="7"/>
  <c r="F949" i="7"/>
  <c r="F1091" i="7"/>
  <c r="F1219" i="7"/>
  <c r="F1347" i="7"/>
  <c r="F1475" i="7"/>
  <c r="G183" i="7"/>
  <c r="G311" i="7"/>
  <c r="G439" i="7"/>
  <c r="G567" i="7"/>
  <c r="G695" i="7"/>
  <c r="G823" i="7"/>
  <c r="G914" i="7"/>
  <c r="G975" i="7"/>
  <c r="G1026" i="7"/>
  <c r="G1078" i="7"/>
  <c r="G1129" i="7"/>
  <c r="G1178" i="7"/>
  <c r="G1221" i="7"/>
  <c r="G1263" i="7"/>
  <c r="G1306" i="7"/>
  <c r="G1349" i="7"/>
  <c r="G1391" i="7"/>
  <c r="G1434" i="7"/>
  <c r="G1477" i="7"/>
  <c r="G1519" i="7"/>
  <c r="G1562" i="7"/>
  <c r="H178" i="7"/>
  <c r="H210" i="7"/>
  <c r="H242" i="7"/>
  <c r="H274" i="7"/>
  <c r="H306" i="7"/>
  <c r="H338" i="7"/>
  <c r="H370" i="7"/>
  <c r="H402" i="7"/>
  <c r="H434" i="7"/>
  <c r="H466" i="7"/>
  <c r="H498" i="7"/>
  <c r="H530" i="7"/>
  <c r="H562" i="7"/>
  <c r="H594" i="7"/>
  <c r="H626" i="7"/>
  <c r="H658" i="7"/>
  <c r="H690" i="7"/>
  <c r="H722" i="7"/>
  <c r="H754" i="7"/>
  <c r="H784" i="7"/>
  <c r="H802" i="7"/>
  <c r="H818" i="7"/>
  <c r="H834" i="7"/>
  <c r="H850" i="7"/>
  <c r="H866" i="7"/>
  <c r="H882" i="7"/>
  <c r="H898" i="7"/>
  <c r="H914" i="7"/>
  <c r="H930" i="7"/>
  <c r="H946" i="7"/>
  <c r="H962" i="7"/>
  <c r="H978" i="7"/>
  <c r="H994" i="7"/>
  <c r="H1010" i="7"/>
  <c r="H1026" i="7"/>
  <c r="H1042" i="7"/>
  <c r="H1058" i="7"/>
  <c r="H1074" i="7"/>
  <c r="H1090" i="7"/>
  <c r="H1106" i="7"/>
  <c r="H1122" i="7"/>
  <c r="H1138" i="7"/>
  <c r="H1154" i="7"/>
  <c r="H1170" i="7"/>
  <c r="H1186" i="7"/>
  <c r="H1202" i="7"/>
  <c r="H1218" i="7"/>
  <c r="H1234" i="7"/>
  <c r="H1250" i="7"/>
  <c r="H1262" i="7"/>
  <c r="H1275" i="7"/>
  <c r="H1288" i="7"/>
  <c r="H1300" i="7"/>
  <c r="H1312" i="7"/>
  <c r="H1323" i="7"/>
  <c r="D1013" i="7"/>
  <c r="E517" i="7"/>
  <c r="E1346" i="7"/>
  <c r="F402" i="7"/>
  <c r="F617" i="7"/>
  <c r="F787" i="7"/>
  <c r="F958" i="7"/>
  <c r="F1098" i="7"/>
  <c r="F1226" i="7"/>
  <c r="F1354" i="7"/>
  <c r="F1482" i="7"/>
  <c r="G214" i="7"/>
  <c r="G342" i="7"/>
  <c r="G470" i="7"/>
  <c r="G598" i="7"/>
  <c r="G726" i="7"/>
  <c r="G854" i="7"/>
  <c r="G929" i="7"/>
  <c r="G986" i="7"/>
  <c r="G1038" i="7"/>
  <c r="G1089" i="7"/>
  <c r="G1141" i="7"/>
  <c r="G1187" i="7"/>
  <c r="G1230" i="7"/>
  <c r="G1273" i="7"/>
  <c r="G1315" i="7"/>
  <c r="G1358" i="7"/>
  <c r="G1401" i="7"/>
  <c r="G1443" i="7"/>
  <c r="G1486" i="7"/>
  <c r="G1529" i="7"/>
  <c r="G1571" i="7"/>
  <c r="H179" i="7"/>
  <c r="H211" i="7"/>
  <c r="H243" i="7"/>
  <c r="H275" i="7"/>
  <c r="H307" i="7"/>
  <c r="H339" i="7"/>
  <c r="H371" i="7"/>
  <c r="H403" i="7"/>
  <c r="H435" i="7"/>
  <c r="H467" i="7"/>
  <c r="H499" i="7"/>
  <c r="H531" i="7"/>
  <c r="H563" i="7"/>
  <c r="H595" i="7"/>
  <c r="H627" i="7"/>
  <c r="H659" i="7"/>
  <c r="H691" i="7"/>
  <c r="H723" i="7"/>
  <c r="H755" i="7"/>
  <c r="H786" i="7"/>
  <c r="H803" i="7"/>
  <c r="H819" i="7"/>
  <c r="H835" i="7"/>
  <c r="H851" i="7"/>
  <c r="H867" i="7"/>
  <c r="H883" i="7"/>
  <c r="H899" i="7"/>
  <c r="H915" i="7"/>
  <c r="H931" i="7"/>
  <c r="H947" i="7"/>
  <c r="H963" i="7"/>
  <c r="H979" i="7"/>
  <c r="H995" i="7"/>
  <c r="H1011" i="7"/>
  <c r="H1027" i="7"/>
  <c r="H1043" i="7"/>
  <c r="H1059" i="7"/>
  <c r="H1075" i="7"/>
  <c r="H1091" i="7"/>
  <c r="H1107" i="7"/>
  <c r="H1123" i="7"/>
  <c r="H1139" i="7"/>
  <c r="H1155" i="7"/>
  <c r="H1171" i="7"/>
  <c r="H1187" i="7"/>
  <c r="H1203" i="7"/>
  <c r="H1219" i="7"/>
  <c r="H1235" i="7"/>
  <c r="H1251" i="7"/>
  <c r="H1264" i="7"/>
  <c r="H1276" i="7"/>
  <c r="H1290" i="7"/>
  <c r="H1302" i="7"/>
  <c r="H1314" i="7"/>
  <c r="H1324" i="7"/>
  <c r="H1335" i="7"/>
  <c r="H1346" i="7"/>
  <c r="H1356" i="7"/>
  <c r="H1367" i="7"/>
  <c r="H1378" i="7"/>
  <c r="H1388" i="7"/>
  <c r="H1399" i="7"/>
  <c r="H1410" i="7"/>
  <c r="H1420" i="7"/>
  <c r="H1431" i="7"/>
  <c r="H1442" i="7"/>
  <c r="H1452" i="7"/>
  <c r="H1463" i="7"/>
  <c r="H1474" i="7"/>
  <c r="H1484" i="7"/>
  <c r="H1495" i="7"/>
  <c r="H1506" i="7"/>
  <c r="H1516" i="7"/>
  <c r="H1527" i="7"/>
  <c r="H1538" i="7"/>
  <c r="H1548" i="7"/>
  <c r="H1559" i="7"/>
  <c r="H1570" i="7"/>
  <c r="H1580" i="7"/>
  <c r="H1591" i="7"/>
  <c r="A175" i="7"/>
  <c r="A186" i="7"/>
  <c r="A196" i="7"/>
  <c r="A207" i="7"/>
  <c r="A218" i="7"/>
  <c r="A228" i="7"/>
  <c r="A239" i="7"/>
  <c r="A250" i="7"/>
  <c r="A260" i="7"/>
  <c r="A271" i="7"/>
  <c r="A282" i="7"/>
  <c r="A292" i="7"/>
  <c r="A303" i="7"/>
  <c r="A314" i="7"/>
  <c r="A324" i="7"/>
  <c r="A335" i="7"/>
  <c r="A346" i="7"/>
  <c r="A356" i="7"/>
  <c r="A367" i="7"/>
  <c r="A378" i="7"/>
  <c r="A388" i="7"/>
  <c r="A399" i="7"/>
  <c r="A410" i="7"/>
  <c r="A420" i="7"/>
  <c r="A431" i="7"/>
  <c r="A442" i="7"/>
  <c r="A452" i="7"/>
  <c r="A462" i="7"/>
  <c r="A470" i="7"/>
  <c r="A478" i="7"/>
  <c r="A486" i="7"/>
  <c r="A494" i="7"/>
  <c r="A502" i="7"/>
  <c r="A510" i="7"/>
  <c r="A518" i="7"/>
  <c r="A526" i="7"/>
  <c r="A534" i="7"/>
  <c r="A542" i="7"/>
  <c r="A550" i="7"/>
  <c r="A558" i="7"/>
  <c r="A566" i="7"/>
  <c r="A574" i="7"/>
  <c r="A582" i="7"/>
  <c r="A590" i="7"/>
  <c r="A598" i="7"/>
  <c r="A606" i="7"/>
  <c r="A614" i="7"/>
  <c r="A622" i="7"/>
  <c r="A630" i="7"/>
  <c r="A638" i="7"/>
  <c r="A646" i="7"/>
  <c r="A654" i="7"/>
  <c r="A662" i="7"/>
  <c r="A670" i="7"/>
  <c r="A678" i="7"/>
  <c r="A686" i="7"/>
  <c r="A694" i="7"/>
  <c r="A702" i="7"/>
  <c r="A710" i="7"/>
  <c r="A718" i="7"/>
  <c r="A726" i="7"/>
  <c r="A734" i="7"/>
  <c r="A742" i="7"/>
  <c r="A750" i="7"/>
  <c r="A758" i="7"/>
  <c r="A766" i="7"/>
  <c r="A774" i="7"/>
  <c r="A782" i="7"/>
  <c r="A790" i="7"/>
  <c r="A798" i="7"/>
  <c r="A806" i="7"/>
  <c r="A814" i="7"/>
  <c r="A822" i="7"/>
  <c r="A830" i="7"/>
  <c r="A838" i="7"/>
  <c r="A846" i="7"/>
  <c r="A854" i="7"/>
  <c r="A862" i="7"/>
  <c r="A870" i="7"/>
  <c r="A878" i="7"/>
  <c r="A886" i="7"/>
  <c r="A894" i="7"/>
  <c r="A902" i="7"/>
  <c r="A910" i="7"/>
  <c r="A918" i="7"/>
  <c r="A926" i="7"/>
  <c r="A934" i="7"/>
  <c r="A942" i="7"/>
  <c r="A950" i="7"/>
  <c r="A958" i="7"/>
  <c r="A966" i="7"/>
  <c r="A974" i="7"/>
  <c r="A982" i="7"/>
  <c r="A990" i="7"/>
  <c r="A998" i="7"/>
  <c r="A1006" i="7"/>
  <c r="A1014" i="7"/>
  <c r="A1022" i="7"/>
  <c r="A1030" i="7"/>
  <c r="A1038" i="7"/>
  <c r="A1046" i="7"/>
  <c r="A1054" i="7"/>
  <c r="A1062" i="7"/>
  <c r="A1070" i="7"/>
  <c r="A1078" i="7"/>
  <c r="A1086" i="7"/>
  <c r="A1094" i="7"/>
  <c r="A1102" i="7"/>
  <c r="A1110" i="7"/>
  <c r="A1118" i="7"/>
  <c r="A1126" i="7"/>
  <c r="A1134" i="7"/>
  <c r="A1142" i="7"/>
  <c r="A1150" i="7"/>
  <c r="A1158" i="7"/>
  <c r="A1166" i="7"/>
  <c r="A1174" i="7"/>
  <c r="A1182" i="7"/>
  <c r="A1190" i="7"/>
  <c r="A1198" i="7"/>
  <c r="A1206" i="7"/>
  <c r="A1214" i="7"/>
  <c r="A1222" i="7"/>
  <c r="A1230" i="7"/>
  <c r="A1238" i="7"/>
  <c r="A1246" i="7"/>
  <c r="A1254" i="7"/>
  <c r="A1262" i="7"/>
  <c r="A1270" i="7"/>
  <c r="A1278" i="7"/>
  <c r="A1286" i="7"/>
  <c r="A1294" i="7"/>
  <c r="A1302" i="7"/>
  <c r="A1310" i="7"/>
  <c r="A1318" i="7"/>
  <c r="A1326" i="7"/>
  <c r="A1334" i="7"/>
  <c r="A1342" i="7"/>
  <c r="A1350" i="7"/>
  <c r="A1358" i="7"/>
  <c r="A1366" i="7"/>
  <c r="A1374" i="7"/>
  <c r="A1382" i="7"/>
  <c r="A1390" i="7"/>
  <c r="A1398" i="7"/>
  <c r="A1406" i="7"/>
  <c r="A1414" i="7"/>
  <c r="A1422" i="7"/>
  <c r="A1430" i="7"/>
  <c r="A1438" i="7"/>
  <c r="A1446" i="7"/>
  <c r="A1454" i="7"/>
  <c r="A1462" i="7"/>
  <c r="A1470" i="7"/>
  <c r="A1478" i="7"/>
  <c r="A1486" i="7"/>
  <c r="A1494" i="7"/>
  <c r="A1502" i="7"/>
  <c r="A1510" i="7"/>
  <c r="A1518" i="7"/>
  <c r="A1526" i="7"/>
  <c r="A1534" i="7"/>
  <c r="A1542" i="7"/>
  <c r="A1550" i="7"/>
  <c r="A1558" i="7"/>
  <c r="A1566" i="7"/>
  <c r="A1574" i="7"/>
  <c r="A1582" i="7"/>
  <c r="A1590" i="7"/>
  <c r="H1387" i="7"/>
  <c r="H1472" i="7"/>
  <c r="H1547" i="7"/>
  <c r="A216" i="7"/>
  <c r="A302" i="7"/>
  <c r="A354" i="7"/>
  <c r="A396" i="7"/>
  <c r="A439" i="7"/>
  <c r="A476" i="7"/>
  <c r="A508" i="7"/>
  <c r="A540" i="7"/>
  <c r="A572" i="7"/>
  <c r="A636" i="7"/>
  <c r="A668" i="7"/>
  <c r="A700" i="7"/>
  <c r="A732" i="7"/>
  <c r="A764" i="7"/>
  <c r="A796" i="7"/>
  <c r="A828" i="7"/>
  <c r="A860" i="7"/>
  <c r="A892" i="7"/>
  <c r="A924" i="7"/>
  <c r="A956" i="7"/>
  <c r="A988" i="7"/>
  <c r="A1020" i="7"/>
  <c r="A1052" i="7"/>
  <c r="A1084" i="7"/>
  <c r="A1116" i="7"/>
  <c r="A1148" i="7"/>
  <c r="A1180" i="7"/>
  <c r="A1212" i="7"/>
  <c r="A1244" i="7"/>
  <c r="A1276" i="7"/>
  <c r="A1308" i="7"/>
  <c r="A1340" i="7"/>
  <c r="A1372" i="7"/>
  <c r="A1436" i="7"/>
  <c r="A1468" i="7"/>
  <c r="A1500" i="7"/>
  <c r="A1564" i="7"/>
  <c r="H1515" i="7"/>
  <c r="A334" i="7"/>
  <c r="A525" i="7"/>
  <c r="A621" i="7"/>
  <c r="A749" i="7"/>
  <c r="A877" i="7"/>
  <c r="A1005" i="7"/>
  <c r="A1133" i="7"/>
  <c r="A1293" i="7"/>
  <c r="A1421" i="7"/>
  <c r="A1549" i="7"/>
  <c r="H1451" i="7"/>
  <c r="A343" i="7"/>
  <c r="A596" i="7"/>
  <c r="A788" i="7"/>
  <c r="A948" i="7"/>
  <c r="A1108" i="7"/>
  <c r="A1236" i="7"/>
  <c r="A1364" i="7"/>
  <c r="A1492" i="7"/>
  <c r="H1398" i="7"/>
  <c r="H1483" i="7"/>
  <c r="H1558" i="7"/>
  <c r="A227" i="7"/>
  <c r="A312" i="7"/>
  <c r="A355" i="7"/>
  <c r="A398" i="7"/>
  <c r="A440" i="7"/>
  <c r="A477" i="7"/>
  <c r="A509" i="7"/>
  <c r="A541" i="7"/>
  <c r="A573" i="7"/>
  <c r="A605" i="7"/>
  <c r="A637" i="7"/>
  <c r="A669" i="7"/>
  <c r="A701" i="7"/>
  <c r="A733" i="7"/>
  <c r="A765" i="7"/>
  <c r="A797" i="7"/>
  <c r="A829" i="7"/>
  <c r="A861" i="7"/>
  <c r="A893" i="7"/>
  <c r="A925" i="7"/>
  <c r="A957" i="7"/>
  <c r="A989" i="7"/>
  <c r="A1021" i="7"/>
  <c r="A1053" i="7"/>
  <c r="A1085" i="7"/>
  <c r="A1117" i="7"/>
  <c r="A1149" i="7"/>
  <c r="A1181" i="7"/>
  <c r="A1213" i="7"/>
  <c r="A1245" i="7"/>
  <c r="A1277" i="7"/>
  <c r="A1309" i="7"/>
  <c r="A1341" i="7"/>
  <c r="A1373" i="7"/>
  <c r="A1405" i="7"/>
  <c r="A1437" i="7"/>
  <c r="A1469" i="7"/>
  <c r="A1501" i="7"/>
  <c r="A1533" i="7"/>
  <c r="A1565" i="7"/>
  <c r="A884" i="7"/>
  <c r="H1408" i="7"/>
  <c r="H1494" i="7"/>
  <c r="H1568" i="7"/>
  <c r="A238" i="7"/>
  <c r="A322" i="7"/>
  <c r="A364" i="7"/>
  <c r="A407" i="7"/>
  <c r="A450" i="7"/>
  <c r="A484" i="7"/>
  <c r="A516" i="7"/>
  <c r="A548" i="7"/>
  <c r="A580" i="7"/>
  <c r="A612" i="7"/>
  <c r="A644" i="7"/>
  <c r="A676" i="7"/>
  <c r="A708" i="7"/>
  <c r="A740" i="7"/>
  <c r="A772" i="7"/>
  <c r="A804" i="7"/>
  <c r="A836" i="7"/>
  <c r="A868" i="7"/>
  <c r="A900" i="7"/>
  <c r="A932" i="7"/>
  <c r="A964" i="7"/>
  <c r="A996" i="7"/>
  <c r="A1028" i="7"/>
  <c r="A1060" i="7"/>
  <c r="A1092" i="7"/>
  <c r="A1124" i="7"/>
  <c r="A1156" i="7"/>
  <c r="A1188" i="7"/>
  <c r="A1220" i="7"/>
  <c r="A1252" i="7"/>
  <c r="A1284" i="7"/>
  <c r="A1316" i="7"/>
  <c r="A1348" i="7"/>
  <c r="A1380" i="7"/>
  <c r="A1412" i="7"/>
  <c r="A1444" i="7"/>
  <c r="A1476" i="7"/>
  <c r="A1508" i="7"/>
  <c r="A1540" i="7"/>
  <c r="A1572" i="7"/>
  <c r="A376" i="7"/>
  <c r="H1334" i="7"/>
  <c r="H1419" i="7"/>
  <c r="H1503" i="7"/>
  <c r="H1579" i="7"/>
  <c r="A248" i="7"/>
  <c r="A323" i="7"/>
  <c r="A366" i="7"/>
  <c r="A408" i="7"/>
  <c r="A451" i="7"/>
  <c r="A485" i="7"/>
  <c r="A517" i="7"/>
  <c r="A549" i="7"/>
  <c r="A581" i="7"/>
  <c r="A613" i="7"/>
  <c r="A645" i="7"/>
  <c r="A677" i="7"/>
  <c r="A709" i="7"/>
  <c r="A741" i="7"/>
  <c r="A773" i="7"/>
  <c r="A805" i="7"/>
  <c r="A837" i="7"/>
  <c r="A869" i="7"/>
  <c r="A901" i="7"/>
  <c r="A933" i="7"/>
  <c r="A965" i="7"/>
  <c r="A997" i="7"/>
  <c r="A1029" i="7"/>
  <c r="A1061" i="7"/>
  <c r="A1093" i="7"/>
  <c r="A1125" i="7"/>
  <c r="A1157" i="7"/>
  <c r="A1189" i="7"/>
  <c r="A1221" i="7"/>
  <c r="A1253" i="7"/>
  <c r="A1285" i="7"/>
  <c r="A1317" i="7"/>
  <c r="A1349" i="7"/>
  <c r="A1381" i="7"/>
  <c r="A1413" i="7"/>
  <c r="A1445" i="7"/>
  <c r="A1477" i="7"/>
  <c r="A1509" i="7"/>
  <c r="A1541" i="7"/>
  <c r="A1573" i="7"/>
  <c r="H1355" i="7"/>
  <c r="A270" i="7"/>
  <c r="A685" i="7"/>
  <c r="A845" i="7"/>
  <c r="A973" i="7"/>
  <c r="A1101" i="7"/>
  <c r="A1229" i="7"/>
  <c r="A1357" i="7"/>
  <c r="A1485" i="7"/>
  <c r="H1526" i="7"/>
  <c r="A280" i="7"/>
  <c r="A428" i="7"/>
  <c r="A500" i="7"/>
  <c r="A628" i="7"/>
  <c r="A724" i="7"/>
  <c r="A852" i="7"/>
  <c r="A1012" i="7"/>
  <c r="A1172" i="7"/>
  <c r="A1300" i="7"/>
  <c r="A1428" i="7"/>
  <c r="A1556" i="7"/>
  <c r="H1344" i="7"/>
  <c r="H1430" i="7"/>
  <c r="H1504" i="7"/>
  <c r="H1590" i="7"/>
  <c r="A174" i="7"/>
  <c r="A259" i="7"/>
  <c r="A332" i="7"/>
  <c r="A375" i="7"/>
  <c r="A418" i="7"/>
  <c r="A460" i="7"/>
  <c r="A492" i="7"/>
  <c r="A524" i="7"/>
  <c r="A556" i="7"/>
  <c r="A588" i="7"/>
  <c r="A620" i="7"/>
  <c r="A652" i="7"/>
  <c r="A684" i="7"/>
  <c r="A716" i="7"/>
  <c r="A748" i="7"/>
  <c r="A780" i="7"/>
  <c r="A812" i="7"/>
  <c r="A844" i="7"/>
  <c r="A876" i="7"/>
  <c r="A908" i="7"/>
  <c r="A940" i="7"/>
  <c r="A972" i="7"/>
  <c r="A1004" i="7"/>
  <c r="A1036" i="7"/>
  <c r="A1068" i="7"/>
  <c r="A1100" i="7"/>
  <c r="A1132" i="7"/>
  <c r="A1164" i="7"/>
  <c r="A1196" i="7"/>
  <c r="A1228" i="7"/>
  <c r="A1260" i="7"/>
  <c r="A1292" i="7"/>
  <c r="A1324" i="7"/>
  <c r="A1356" i="7"/>
  <c r="A1388" i="7"/>
  <c r="A1420" i="7"/>
  <c r="A1452" i="7"/>
  <c r="A1484" i="7"/>
  <c r="A1516" i="7"/>
  <c r="A1548" i="7"/>
  <c r="A1580" i="7"/>
  <c r="H1440" i="7"/>
  <c r="A419" i="7"/>
  <c r="A493" i="7"/>
  <c r="A589" i="7"/>
  <c r="A717" i="7"/>
  <c r="A813" i="7"/>
  <c r="A909" i="7"/>
  <c r="A1037" i="7"/>
  <c r="A1165" i="7"/>
  <c r="A1261" i="7"/>
  <c r="A1389" i="7"/>
  <c r="A1517" i="7"/>
  <c r="H1366" i="7"/>
  <c r="A386" i="7"/>
  <c r="A564" i="7"/>
  <c r="A692" i="7"/>
  <c r="A820" i="7"/>
  <c r="A980" i="7"/>
  <c r="A1076" i="7"/>
  <c r="A1204" i="7"/>
  <c r="A1332" i="7"/>
  <c r="A1460" i="7"/>
  <c r="A1588" i="7"/>
  <c r="H1376" i="7"/>
  <c r="H1462" i="7"/>
  <c r="H1536" i="7"/>
  <c r="A206" i="7"/>
  <c r="A291" i="7"/>
  <c r="A344" i="7"/>
  <c r="A387" i="7"/>
  <c r="A430" i="7"/>
  <c r="A469" i="7"/>
  <c r="A501" i="7"/>
  <c r="A533" i="7"/>
  <c r="A565" i="7"/>
  <c r="A597" i="7"/>
  <c r="A629" i="7"/>
  <c r="A661" i="7"/>
  <c r="A693" i="7"/>
  <c r="A725" i="7"/>
  <c r="A757" i="7"/>
  <c r="A789" i="7"/>
  <c r="A821" i="7"/>
  <c r="A853" i="7"/>
  <c r="A885" i="7"/>
  <c r="A917" i="7"/>
  <c r="A949" i="7"/>
  <c r="A981" i="7"/>
  <c r="A1013" i="7"/>
  <c r="A1045" i="7"/>
  <c r="A1077" i="7"/>
  <c r="A1109" i="7"/>
  <c r="A1141" i="7"/>
  <c r="A1173" i="7"/>
  <c r="A1205" i="7"/>
  <c r="A1237" i="7"/>
  <c r="A1269" i="7"/>
  <c r="A1301" i="7"/>
  <c r="A1333" i="7"/>
  <c r="A1365" i="7"/>
  <c r="A1397" i="7"/>
  <c r="A1429" i="7"/>
  <c r="A1461" i="7"/>
  <c r="A1493" i="7"/>
  <c r="A1525" i="7"/>
  <c r="A1557" i="7"/>
  <c r="A1589" i="7"/>
  <c r="A604" i="7"/>
  <c r="A1404" i="7"/>
  <c r="A1532" i="7"/>
  <c r="A184" i="7"/>
  <c r="A461" i="7"/>
  <c r="A557" i="7"/>
  <c r="A653" i="7"/>
  <c r="A781" i="7"/>
  <c r="A941" i="7"/>
  <c r="A1069" i="7"/>
  <c r="A1197" i="7"/>
  <c r="A1325" i="7"/>
  <c r="A1453" i="7"/>
  <c r="A1581" i="7"/>
  <c r="A195" i="7"/>
  <c r="A468" i="7"/>
  <c r="A532" i="7"/>
  <c r="A660" i="7"/>
  <c r="A756" i="7"/>
  <c r="A916" i="7"/>
  <c r="A1044" i="7"/>
  <c r="A1140" i="7"/>
  <c r="A1268" i="7"/>
  <c r="A1396" i="7"/>
  <c r="A1524" i="7"/>
  <c r="B14" i="7"/>
  <c r="B22" i="7"/>
  <c r="B30" i="7"/>
  <c r="B38" i="7"/>
  <c r="B46" i="7"/>
  <c r="B54" i="7"/>
  <c r="B62" i="7"/>
  <c r="B70" i="7"/>
  <c r="B78" i="7"/>
  <c r="B86" i="7"/>
  <c r="B94" i="7"/>
  <c r="B102" i="7"/>
  <c r="B110" i="7"/>
  <c r="B118" i="7"/>
  <c r="B126" i="7"/>
  <c r="B134" i="7"/>
  <c r="B142" i="7"/>
  <c r="B150" i="7"/>
  <c r="B158" i="7"/>
  <c r="C13" i="7"/>
  <c r="C21" i="7"/>
  <c r="C29" i="7"/>
  <c r="C37" i="7"/>
  <c r="C45" i="7"/>
  <c r="C53" i="7"/>
  <c r="C61" i="7"/>
  <c r="C69" i="7"/>
  <c r="C77" i="7"/>
  <c r="C85" i="7"/>
  <c r="C93" i="7"/>
  <c r="C101" i="7"/>
  <c r="C109" i="7"/>
  <c r="C117" i="7"/>
  <c r="C125" i="7"/>
  <c r="C133" i="7"/>
  <c r="C141" i="7"/>
  <c r="C149" i="7"/>
  <c r="C157" i="7"/>
  <c r="D12" i="7"/>
  <c r="D20" i="7"/>
  <c r="D28" i="7"/>
  <c r="D36" i="7"/>
  <c r="D44" i="7"/>
  <c r="D52" i="7"/>
  <c r="D60" i="7"/>
  <c r="D68" i="7"/>
  <c r="D76" i="7"/>
  <c r="D84" i="7"/>
  <c r="D92" i="7"/>
  <c r="D100" i="7"/>
  <c r="D108" i="7"/>
  <c r="D116" i="7"/>
  <c r="D124" i="7"/>
  <c r="D132" i="7"/>
  <c r="B15" i="7"/>
  <c r="B23" i="7"/>
  <c r="B31" i="7"/>
  <c r="B39" i="7"/>
  <c r="B47" i="7"/>
  <c r="B55" i="7"/>
  <c r="B63" i="7"/>
  <c r="B71" i="7"/>
  <c r="B79" i="7"/>
  <c r="B87" i="7"/>
  <c r="B95" i="7"/>
  <c r="B103" i="7"/>
  <c r="B111" i="7"/>
  <c r="B119" i="7"/>
  <c r="B127" i="7"/>
  <c r="B135" i="7"/>
  <c r="B143" i="7"/>
  <c r="B151" i="7"/>
  <c r="B159" i="7"/>
  <c r="C14" i="7"/>
  <c r="C22" i="7"/>
  <c r="C30" i="7"/>
  <c r="C38" i="7"/>
  <c r="C46" i="7"/>
  <c r="C54" i="7"/>
  <c r="C62" i="7"/>
  <c r="C70" i="7"/>
  <c r="C78" i="7"/>
  <c r="C86" i="7"/>
  <c r="C94" i="7"/>
  <c r="C102" i="7"/>
  <c r="C110" i="7"/>
  <c r="C118" i="7"/>
  <c r="C126" i="7"/>
  <c r="C134" i="7"/>
  <c r="C142" i="7"/>
  <c r="C150" i="7"/>
  <c r="C158" i="7"/>
  <c r="D13" i="7"/>
  <c r="D21" i="7"/>
  <c r="D29" i="7"/>
  <c r="D37" i="7"/>
  <c r="D45" i="7"/>
  <c r="D53" i="7"/>
  <c r="D61" i="7"/>
  <c r="D69" i="7"/>
  <c r="D77" i="7"/>
  <c r="D85" i="7"/>
  <c r="D93" i="7"/>
  <c r="D101" i="7"/>
  <c r="D109" i="7"/>
  <c r="D117" i="7"/>
  <c r="D125" i="7"/>
  <c r="D133" i="7"/>
  <c r="D141" i="7"/>
  <c r="D149" i="7"/>
  <c r="D157" i="7"/>
  <c r="E12" i="7"/>
  <c r="E20" i="7"/>
  <c r="E28" i="7"/>
  <c r="E36" i="7"/>
  <c r="E44" i="7"/>
  <c r="E52" i="7"/>
  <c r="E60" i="7"/>
  <c r="E68" i="7"/>
  <c r="E76" i="7"/>
  <c r="E84" i="7"/>
  <c r="E92" i="7"/>
  <c r="E100" i="7"/>
  <c r="E108" i="7"/>
  <c r="E116" i="7"/>
  <c r="E124" i="7"/>
  <c r="E132" i="7"/>
  <c r="E140" i="7"/>
  <c r="E148" i="7"/>
  <c r="E156" i="7"/>
  <c r="E164" i="7"/>
  <c r="F11" i="7"/>
  <c r="F19" i="7"/>
  <c r="F27" i="7"/>
  <c r="F35" i="7"/>
  <c r="F43" i="7"/>
  <c r="F51" i="7"/>
  <c r="B8" i="7"/>
  <c r="B16" i="7"/>
  <c r="B24" i="7"/>
  <c r="B32" i="7"/>
  <c r="B40" i="7"/>
  <c r="B48" i="7"/>
  <c r="B56" i="7"/>
  <c r="B64" i="7"/>
  <c r="B72" i="7"/>
  <c r="B80" i="7"/>
  <c r="B88" i="7"/>
  <c r="B96" i="7"/>
  <c r="B104" i="7"/>
  <c r="B112" i="7"/>
  <c r="B120" i="7"/>
  <c r="B128" i="7"/>
  <c r="B136" i="7"/>
  <c r="B144" i="7"/>
  <c r="B152" i="7"/>
  <c r="B160" i="7"/>
  <c r="C15" i="7"/>
  <c r="C23" i="7"/>
  <c r="C31" i="7"/>
  <c r="C39" i="7"/>
  <c r="C47" i="7"/>
  <c r="C55" i="7"/>
  <c r="C63" i="7"/>
  <c r="C71" i="7"/>
  <c r="C79" i="7"/>
  <c r="C87" i="7"/>
  <c r="C95" i="7"/>
  <c r="C103" i="7"/>
  <c r="C111" i="7"/>
  <c r="C119" i="7"/>
  <c r="C127" i="7"/>
  <c r="C135" i="7"/>
  <c r="C143" i="7"/>
  <c r="C151" i="7"/>
  <c r="C159" i="7"/>
  <c r="D14" i="7"/>
  <c r="D22" i="7"/>
  <c r="D30" i="7"/>
  <c r="D38" i="7"/>
  <c r="D46" i="7"/>
  <c r="D54" i="7"/>
  <c r="D62" i="7"/>
  <c r="D70" i="7"/>
  <c r="D78" i="7"/>
  <c r="D86" i="7"/>
  <c r="D94" i="7"/>
  <c r="D102" i="7"/>
  <c r="D110" i="7"/>
  <c r="D118" i="7"/>
  <c r="D126" i="7"/>
  <c r="D134" i="7"/>
  <c r="D142" i="7"/>
  <c r="D150" i="7"/>
  <c r="D158" i="7"/>
  <c r="E13" i="7"/>
  <c r="E21" i="7"/>
  <c r="E29" i="7"/>
  <c r="E37" i="7"/>
  <c r="E45" i="7"/>
  <c r="E53" i="7"/>
  <c r="E61" i="7"/>
  <c r="E69" i="7"/>
  <c r="E77" i="7"/>
  <c r="E85" i="7"/>
  <c r="E93" i="7"/>
  <c r="E101" i="7"/>
  <c r="E109" i="7"/>
  <c r="E117" i="7"/>
  <c r="E125" i="7"/>
  <c r="E133" i="7"/>
  <c r="E141" i="7"/>
  <c r="E149" i="7"/>
  <c r="E157" i="7"/>
  <c r="F12" i="7"/>
  <c r="F20" i="7"/>
  <c r="F28" i="7"/>
  <c r="F36" i="7"/>
  <c r="F44" i="7"/>
  <c r="F52" i="7"/>
  <c r="B9" i="7"/>
  <c r="B17" i="7"/>
  <c r="B25" i="7"/>
  <c r="B33" i="7"/>
  <c r="B41" i="7"/>
  <c r="B49" i="7"/>
  <c r="B57" i="7"/>
  <c r="B65" i="7"/>
  <c r="B73" i="7"/>
  <c r="B81" i="7"/>
  <c r="B89" i="7"/>
  <c r="B97" i="7"/>
  <c r="B105" i="7"/>
  <c r="B113" i="7"/>
  <c r="B121" i="7"/>
  <c r="B129" i="7"/>
  <c r="B137" i="7"/>
  <c r="B145" i="7"/>
  <c r="B153" i="7"/>
  <c r="B161" i="7"/>
  <c r="C8" i="7"/>
  <c r="C16" i="7"/>
  <c r="C24" i="7"/>
  <c r="C32" i="7"/>
  <c r="C40" i="7"/>
  <c r="C48" i="7"/>
  <c r="C56" i="7"/>
  <c r="C64" i="7"/>
  <c r="C72" i="7"/>
  <c r="C80" i="7"/>
  <c r="C88" i="7"/>
  <c r="C96" i="7"/>
  <c r="C104" i="7"/>
  <c r="C112" i="7"/>
  <c r="C120" i="7"/>
  <c r="C128" i="7"/>
  <c r="C136" i="7"/>
  <c r="C144" i="7"/>
  <c r="C152" i="7"/>
  <c r="C160" i="7"/>
  <c r="D15" i="7"/>
  <c r="D23" i="7"/>
  <c r="D31" i="7"/>
  <c r="D39" i="7"/>
  <c r="D47" i="7"/>
  <c r="D55" i="7"/>
  <c r="D63" i="7"/>
  <c r="D71" i="7"/>
  <c r="D79" i="7"/>
  <c r="D87" i="7"/>
  <c r="D95" i="7"/>
  <c r="D103" i="7"/>
  <c r="D111" i="7"/>
  <c r="D119" i="7"/>
  <c r="D127" i="7"/>
  <c r="D135" i="7"/>
  <c r="D143" i="7"/>
  <c r="D151" i="7"/>
  <c r="D159" i="7"/>
  <c r="E14" i="7"/>
  <c r="E22" i="7"/>
  <c r="E30" i="7"/>
  <c r="E38" i="7"/>
  <c r="E46" i="7"/>
  <c r="E54" i="7"/>
  <c r="E62" i="7"/>
  <c r="E70" i="7"/>
  <c r="E78" i="7"/>
  <c r="E86" i="7"/>
  <c r="E94" i="7"/>
  <c r="E102" i="7"/>
  <c r="E110" i="7"/>
  <c r="E118" i="7"/>
  <c r="E126" i="7"/>
  <c r="E134" i="7"/>
  <c r="E142" i="7"/>
  <c r="E150" i="7"/>
  <c r="E158" i="7"/>
  <c r="F13" i="7"/>
  <c r="F21" i="7"/>
  <c r="F29" i="7"/>
  <c r="F37" i="7"/>
  <c r="F45" i="7"/>
  <c r="F53" i="7"/>
  <c r="B10" i="7"/>
  <c r="B18" i="7"/>
  <c r="B26" i="7"/>
  <c r="B34" i="7"/>
  <c r="B42" i="7"/>
  <c r="B50" i="7"/>
  <c r="B58" i="7"/>
  <c r="B66" i="7"/>
  <c r="B74" i="7"/>
  <c r="B82" i="7"/>
  <c r="B90" i="7"/>
  <c r="B98" i="7"/>
  <c r="B106" i="7"/>
  <c r="B114" i="7"/>
  <c r="B122" i="7"/>
  <c r="B130" i="7"/>
  <c r="B138" i="7"/>
  <c r="B146" i="7"/>
  <c r="B154" i="7"/>
  <c r="B162" i="7"/>
  <c r="C9" i="7"/>
  <c r="C17" i="7"/>
  <c r="C25" i="7"/>
  <c r="C33" i="7"/>
  <c r="C41" i="7"/>
  <c r="C49" i="7"/>
  <c r="C57" i="7"/>
  <c r="C65" i="7"/>
  <c r="C73" i="7"/>
  <c r="C81" i="7"/>
  <c r="C89" i="7"/>
  <c r="C97" i="7"/>
  <c r="C105" i="7"/>
  <c r="C113" i="7"/>
  <c r="C121" i="7"/>
  <c r="C129" i="7"/>
  <c r="C137" i="7"/>
  <c r="C145" i="7"/>
  <c r="C153" i="7"/>
  <c r="C161" i="7"/>
  <c r="D8" i="7"/>
  <c r="D16" i="7"/>
  <c r="D24" i="7"/>
  <c r="D32" i="7"/>
  <c r="D40" i="7"/>
  <c r="D48" i="7"/>
  <c r="D56" i="7"/>
  <c r="D64" i="7"/>
  <c r="D72" i="7"/>
  <c r="D80" i="7"/>
  <c r="D88" i="7"/>
  <c r="D96" i="7"/>
  <c r="D104" i="7"/>
  <c r="D112" i="7"/>
  <c r="D120" i="7"/>
  <c r="D128" i="7"/>
  <c r="D136" i="7"/>
  <c r="D144" i="7"/>
  <c r="D152" i="7"/>
  <c r="D160" i="7"/>
  <c r="E15" i="7"/>
  <c r="E23" i="7"/>
  <c r="E31" i="7"/>
  <c r="E39" i="7"/>
  <c r="E47" i="7"/>
  <c r="E55" i="7"/>
  <c r="E63" i="7"/>
  <c r="E71" i="7"/>
  <c r="E79" i="7"/>
  <c r="E87" i="7"/>
  <c r="E95" i="7"/>
  <c r="E103" i="7"/>
  <c r="E111" i="7"/>
  <c r="E119" i="7"/>
  <c r="E127" i="7"/>
  <c r="E135" i="7"/>
  <c r="E143" i="7"/>
  <c r="E151" i="7"/>
  <c r="E159" i="7"/>
  <c r="F14" i="7"/>
  <c r="F22" i="7"/>
  <c r="F30" i="7"/>
  <c r="F38" i="7"/>
  <c r="F46" i="7"/>
  <c r="B11" i="7"/>
  <c r="B19" i="7"/>
  <c r="B27" i="7"/>
  <c r="B35" i="7"/>
  <c r="B43" i="7"/>
  <c r="B51" i="7"/>
  <c r="B59" i="7"/>
  <c r="B67" i="7"/>
  <c r="B75" i="7"/>
  <c r="B83" i="7"/>
  <c r="B91" i="7"/>
  <c r="B99" i="7"/>
  <c r="B107" i="7"/>
  <c r="B115" i="7"/>
  <c r="B123" i="7"/>
  <c r="B131" i="7"/>
  <c r="B139" i="7"/>
  <c r="B147" i="7"/>
  <c r="B155" i="7"/>
  <c r="B163" i="7"/>
  <c r="C10" i="7"/>
  <c r="C18" i="7"/>
  <c r="C26" i="7"/>
  <c r="C34" i="7"/>
  <c r="C42" i="7"/>
  <c r="C50" i="7"/>
  <c r="C58" i="7"/>
  <c r="C66" i="7"/>
  <c r="C74" i="7"/>
  <c r="C82" i="7"/>
  <c r="C90" i="7"/>
  <c r="C98" i="7"/>
  <c r="C106" i="7"/>
  <c r="C114" i="7"/>
  <c r="C122" i="7"/>
  <c r="C130" i="7"/>
  <c r="C138" i="7"/>
  <c r="C146" i="7"/>
  <c r="C154" i="7"/>
  <c r="C162" i="7"/>
  <c r="D9" i="7"/>
  <c r="D17" i="7"/>
  <c r="D25" i="7"/>
  <c r="D33" i="7"/>
  <c r="D41" i="7"/>
  <c r="D49" i="7"/>
  <c r="D57" i="7"/>
  <c r="D65" i="7"/>
  <c r="D73" i="7"/>
  <c r="D81" i="7"/>
  <c r="D89" i="7"/>
  <c r="D97" i="7"/>
  <c r="D105" i="7"/>
  <c r="D113" i="7"/>
  <c r="D121" i="7"/>
  <c r="D129" i="7"/>
  <c r="D137" i="7"/>
  <c r="D145" i="7"/>
  <c r="D153" i="7"/>
  <c r="D161" i="7"/>
  <c r="E8" i="7"/>
  <c r="E16" i="7"/>
  <c r="E24" i="7"/>
  <c r="E32" i="7"/>
  <c r="E40" i="7"/>
  <c r="E48" i="7"/>
  <c r="E56" i="7"/>
  <c r="E64" i="7"/>
  <c r="E72" i="7"/>
  <c r="E80" i="7"/>
  <c r="E88" i="7"/>
  <c r="E96" i="7"/>
  <c r="E104" i="7"/>
  <c r="E112" i="7"/>
  <c r="E120" i="7"/>
  <c r="E128" i="7"/>
  <c r="E136" i="7"/>
  <c r="E144" i="7"/>
  <c r="E152" i="7"/>
  <c r="E160" i="7"/>
  <c r="F15" i="7"/>
  <c r="F23" i="7"/>
  <c r="F31" i="7"/>
  <c r="F39" i="7"/>
  <c r="F47" i="7"/>
  <c r="B12" i="7"/>
  <c r="B20" i="7"/>
  <c r="B28" i="7"/>
  <c r="B36" i="7"/>
  <c r="B44" i="7"/>
  <c r="B52" i="7"/>
  <c r="B60" i="7"/>
  <c r="B68" i="7"/>
  <c r="B76" i="7"/>
  <c r="B84" i="7"/>
  <c r="B92" i="7"/>
  <c r="B100" i="7"/>
  <c r="B108" i="7"/>
  <c r="B116" i="7"/>
  <c r="B124" i="7"/>
  <c r="B132" i="7"/>
  <c r="B140" i="7"/>
  <c r="B148" i="7"/>
  <c r="B156" i="7"/>
  <c r="B164" i="7"/>
  <c r="C11" i="7"/>
  <c r="C19" i="7"/>
  <c r="C27" i="7"/>
  <c r="C35" i="7"/>
  <c r="C43" i="7"/>
  <c r="C51" i="7"/>
  <c r="C59" i="7"/>
  <c r="C67" i="7"/>
  <c r="C75" i="7"/>
  <c r="C83" i="7"/>
  <c r="C91" i="7"/>
  <c r="C99" i="7"/>
  <c r="C107" i="7"/>
  <c r="C115" i="7"/>
  <c r="C123" i="7"/>
  <c r="C131" i="7"/>
  <c r="C139" i="7"/>
  <c r="C147" i="7"/>
  <c r="C155" i="7"/>
  <c r="C163" i="7"/>
  <c r="D10" i="7"/>
  <c r="D18" i="7"/>
  <c r="D26" i="7"/>
  <c r="D34" i="7"/>
  <c r="D42" i="7"/>
  <c r="D50" i="7"/>
  <c r="D58" i="7"/>
  <c r="D66" i="7"/>
  <c r="D74" i="7"/>
  <c r="D82" i="7"/>
  <c r="D90" i="7"/>
  <c r="D98" i="7"/>
  <c r="D106" i="7"/>
  <c r="D114" i="7"/>
  <c r="D122" i="7"/>
  <c r="D130" i="7"/>
  <c r="D138" i="7"/>
  <c r="D146" i="7"/>
  <c r="D154" i="7"/>
  <c r="D162" i="7"/>
  <c r="E9" i="7"/>
  <c r="E17" i="7"/>
  <c r="E25" i="7"/>
  <c r="E33" i="7"/>
  <c r="E41" i="7"/>
  <c r="E49" i="7"/>
  <c r="E57" i="7"/>
  <c r="E65" i="7"/>
  <c r="E73" i="7"/>
  <c r="E81" i="7"/>
  <c r="E89" i="7"/>
  <c r="E97" i="7"/>
  <c r="E105" i="7"/>
  <c r="E113" i="7"/>
  <c r="E121" i="7"/>
  <c r="E129" i="7"/>
  <c r="E137" i="7"/>
  <c r="E145" i="7"/>
  <c r="E153" i="7"/>
  <c r="E161" i="7"/>
  <c r="F8" i="7"/>
  <c r="F16" i="7"/>
  <c r="F24" i="7"/>
  <c r="F32" i="7"/>
  <c r="F40" i="7"/>
  <c r="B61" i="7"/>
  <c r="B125" i="7"/>
  <c r="C68" i="7"/>
  <c r="C132" i="7"/>
  <c r="D67" i="7"/>
  <c r="D131" i="7"/>
  <c r="D164" i="7"/>
  <c r="E19" i="7"/>
  <c r="E51" i="7"/>
  <c r="E83" i="7"/>
  <c r="E115" i="7"/>
  <c r="E147" i="7"/>
  <c r="F34" i="7"/>
  <c r="F56" i="7"/>
  <c r="F64" i="7"/>
  <c r="F72" i="7"/>
  <c r="F80" i="7"/>
  <c r="F88" i="7"/>
  <c r="F96" i="7"/>
  <c r="F104" i="7"/>
  <c r="F112" i="7"/>
  <c r="F120" i="7"/>
  <c r="F128" i="7"/>
  <c r="F136" i="7"/>
  <c r="F144" i="7"/>
  <c r="F152" i="7"/>
  <c r="F160" i="7"/>
  <c r="G15" i="7"/>
  <c r="G23" i="7"/>
  <c r="G31" i="7"/>
  <c r="G39" i="7"/>
  <c r="G47" i="7"/>
  <c r="G55" i="7"/>
  <c r="G63" i="7"/>
  <c r="G71" i="7"/>
  <c r="G79" i="7"/>
  <c r="G87" i="7"/>
  <c r="G95" i="7"/>
  <c r="G103" i="7"/>
  <c r="G111" i="7"/>
  <c r="G119" i="7"/>
  <c r="G127" i="7"/>
  <c r="G135" i="7"/>
  <c r="G143" i="7"/>
  <c r="G151" i="7"/>
  <c r="G159" i="7"/>
  <c r="H14" i="7"/>
  <c r="H22" i="7"/>
  <c r="H30" i="7"/>
  <c r="H38" i="7"/>
  <c r="H46" i="7"/>
  <c r="H54" i="7"/>
  <c r="H62" i="7"/>
  <c r="H70" i="7"/>
  <c r="H78" i="7"/>
  <c r="H86" i="7"/>
  <c r="H94" i="7"/>
  <c r="H102" i="7"/>
  <c r="H110" i="7"/>
  <c r="H118" i="7"/>
  <c r="H126" i="7"/>
  <c r="H134" i="7"/>
  <c r="H142" i="7"/>
  <c r="H150" i="7"/>
  <c r="H158" i="7"/>
  <c r="A13" i="7"/>
  <c r="A21" i="7"/>
  <c r="A29" i="7"/>
  <c r="A37" i="7"/>
  <c r="A45" i="7"/>
  <c r="A53" i="7"/>
  <c r="A61" i="7"/>
  <c r="A69" i="7"/>
  <c r="A77" i="7"/>
  <c r="A85" i="7"/>
  <c r="A93" i="7"/>
  <c r="A101" i="7"/>
  <c r="A109" i="7"/>
  <c r="A117" i="7"/>
  <c r="A125" i="7"/>
  <c r="B69" i="7"/>
  <c r="B133" i="7"/>
  <c r="C12" i="7"/>
  <c r="C76" i="7"/>
  <c r="C140" i="7"/>
  <c r="D11" i="7"/>
  <c r="D75" i="7"/>
  <c r="D139" i="7"/>
  <c r="E26" i="7"/>
  <c r="E58" i="7"/>
  <c r="E90" i="7"/>
  <c r="E122" i="7"/>
  <c r="E154" i="7"/>
  <c r="F9" i="7"/>
  <c r="F41" i="7"/>
  <c r="F57" i="7"/>
  <c r="F65" i="7"/>
  <c r="F73" i="7"/>
  <c r="F81" i="7"/>
  <c r="F89" i="7"/>
  <c r="F97" i="7"/>
  <c r="F105" i="7"/>
  <c r="F113" i="7"/>
  <c r="F121" i="7"/>
  <c r="F129" i="7"/>
  <c r="F137" i="7"/>
  <c r="F145" i="7"/>
  <c r="F153" i="7"/>
  <c r="F161" i="7"/>
  <c r="G8" i="7"/>
  <c r="G16" i="7"/>
  <c r="G24" i="7"/>
  <c r="G32" i="7"/>
  <c r="G40" i="7"/>
  <c r="G48" i="7"/>
  <c r="G56" i="7"/>
  <c r="G64" i="7"/>
  <c r="G72" i="7"/>
  <c r="G80" i="7"/>
  <c r="G88" i="7"/>
  <c r="G96" i="7"/>
  <c r="G104" i="7"/>
  <c r="G112" i="7"/>
  <c r="G120" i="7"/>
  <c r="G128" i="7"/>
  <c r="G136" i="7"/>
  <c r="G144" i="7"/>
  <c r="G152" i="7"/>
  <c r="G160" i="7"/>
  <c r="H15" i="7"/>
  <c r="H23" i="7"/>
  <c r="H31" i="7"/>
  <c r="H39" i="7"/>
  <c r="H47" i="7"/>
  <c r="H55" i="7"/>
  <c r="H63" i="7"/>
  <c r="H71" i="7"/>
  <c r="H79" i="7"/>
  <c r="H87" i="7"/>
  <c r="H95" i="7"/>
  <c r="H103" i="7"/>
  <c r="H111" i="7"/>
  <c r="H119" i="7"/>
  <c r="H127" i="7"/>
  <c r="H135" i="7"/>
  <c r="H143" i="7"/>
  <c r="H151" i="7"/>
  <c r="H159" i="7"/>
  <c r="A14" i="7"/>
  <c r="A22" i="7"/>
  <c r="A30" i="7"/>
  <c r="A38" i="7"/>
  <c r="A46" i="7"/>
  <c r="A54" i="7"/>
  <c r="A62" i="7"/>
  <c r="A70" i="7"/>
  <c r="A78" i="7"/>
  <c r="A86" i="7"/>
  <c r="A94" i="7"/>
  <c r="A102" i="7"/>
  <c r="A110" i="7"/>
  <c r="A118" i="7"/>
  <c r="A126" i="7"/>
  <c r="B13" i="7"/>
  <c r="B77" i="7"/>
  <c r="B141" i="7"/>
  <c r="C20" i="7"/>
  <c r="C84" i="7"/>
  <c r="C148" i="7"/>
  <c r="D19" i="7"/>
  <c r="D83" i="7"/>
  <c r="D140" i="7"/>
  <c r="E27" i="7"/>
  <c r="E59" i="7"/>
  <c r="E91" i="7"/>
  <c r="E123" i="7"/>
  <c r="E155" i="7"/>
  <c r="F10" i="7"/>
  <c r="F42" i="7"/>
  <c r="F58" i="7"/>
  <c r="F66" i="7"/>
  <c r="F74" i="7"/>
  <c r="F82" i="7"/>
  <c r="F90" i="7"/>
  <c r="F98" i="7"/>
  <c r="F106" i="7"/>
  <c r="F114" i="7"/>
  <c r="F122" i="7"/>
  <c r="F130" i="7"/>
  <c r="F138" i="7"/>
  <c r="F146" i="7"/>
  <c r="F154" i="7"/>
  <c r="F162" i="7"/>
  <c r="G9" i="7"/>
  <c r="G17" i="7"/>
  <c r="G25" i="7"/>
  <c r="G33" i="7"/>
  <c r="G41" i="7"/>
  <c r="G49" i="7"/>
  <c r="G57" i="7"/>
  <c r="G65" i="7"/>
  <c r="G73" i="7"/>
  <c r="G81" i="7"/>
  <c r="G89" i="7"/>
  <c r="G97" i="7"/>
  <c r="G105" i="7"/>
  <c r="G113" i="7"/>
  <c r="G121" i="7"/>
  <c r="G129" i="7"/>
  <c r="G137" i="7"/>
  <c r="G145" i="7"/>
  <c r="G153" i="7"/>
  <c r="G161" i="7"/>
  <c r="H8" i="7"/>
  <c r="H16" i="7"/>
  <c r="H24" i="7"/>
  <c r="H32" i="7"/>
  <c r="H40" i="7"/>
  <c r="H48" i="7"/>
  <c r="H56" i="7"/>
  <c r="H64" i="7"/>
  <c r="H72" i="7"/>
  <c r="H80" i="7"/>
  <c r="H88" i="7"/>
  <c r="H96" i="7"/>
  <c r="H104" i="7"/>
  <c r="H112" i="7"/>
  <c r="H120" i="7"/>
  <c r="H128" i="7"/>
  <c r="H136" i="7"/>
  <c r="H144" i="7"/>
  <c r="H152" i="7"/>
  <c r="H160" i="7"/>
  <c r="A15" i="7"/>
  <c r="A23" i="7"/>
  <c r="A31" i="7"/>
  <c r="A39" i="7"/>
  <c r="A47" i="7"/>
  <c r="A55" i="7"/>
  <c r="A63" i="7"/>
  <c r="A71" i="7"/>
  <c r="A79" i="7"/>
  <c r="A87" i="7"/>
  <c r="A95" i="7"/>
  <c r="A103" i="7"/>
  <c r="A111" i="7"/>
  <c r="A119" i="7"/>
  <c r="B21" i="7"/>
  <c r="B85" i="7"/>
  <c r="B149" i="7"/>
  <c r="C28" i="7"/>
  <c r="C92" i="7"/>
  <c r="C156" i="7"/>
  <c r="D27" i="7"/>
  <c r="D91" i="7"/>
  <c r="D147" i="7"/>
  <c r="E34" i="7"/>
  <c r="E66" i="7"/>
  <c r="E98" i="7"/>
  <c r="E130" i="7"/>
  <c r="E162" i="7"/>
  <c r="F17" i="7"/>
  <c r="F48" i="7"/>
  <c r="F59" i="7"/>
  <c r="F67" i="7"/>
  <c r="F75" i="7"/>
  <c r="F83" i="7"/>
  <c r="F91" i="7"/>
  <c r="F99" i="7"/>
  <c r="F107" i="7"/>
  <c r="F115" i="7"/>
  <c r="F123" i="7"/>
  <c r="F131" i="7"/>
  <c r="F139" i="7"/>
  <c r="F147" i="7"/>
  <c r="F155" i="7"/>
  <c r="F163" i="7"/>
  <c r="G10" i="7"/>
  <c r="G18" i="7"/>
  <c r="G26" i="7"/>
  <c r="G34" i="7"/>
  <c r="G42" i="7"/>
  <c r="G50" i="7"/>
  <c r="G58" i="7"/>
  <c r="G66" i="7"/>
  <c r="G74" i="7"/>
  <c r="G82" i="7"/>
  <c r="G90" i="7"/>
  <c r="G98" i="7"/>
  <c r="G106" i="7"/>
  <c r="G114" i="7"/>
  <c r="G122" i="7"/>
  <c r="G130" i="7"/>
  <c r="G138" i="7"/>
  <c r="G146" i="7"/>
  <c r="G154" i="7"/>
  <c r="G162" i="7"/>
  <c r="H9" i="7"/>
  <c r="H17" i="7"/>
  <c r="H25" i="7"/>
  <c r="H33" i="7"/>
  <c r="H41" i="7"/>
  <c r="H49" i="7"/>
  <c r="H57" i="7"/>
  <c r="H65" i="7"/>
  <c r="H73" i="7"/>
  <c r="H81" i="7"/>
  <c r="H89" i="7"/>
  <c r="H97" i="7"/>
  <c r="H105" i="7"/>
  <c r="H113" i="7"/>
  <c r="H121" i="7"/>
  <c r="H129" i="7"/>
  <c r="H137" i="7"/>
  <c r="H145" i="7"/>
  <c r="H153" i="7"/>
  <c r="H161" i="7"/>
  <c r="A16" i="7"/>
  <c r="A24" i="7"/>
  <c r="A32" i="7"/>
  <c r="A40" i="7"/>
  <c r="A48" i="7"/>
  <c r="A56" i="7"/>
  <c r="A64" i="7"/>
  <c r="A72" i="7"/>
  <c r="A80" i="7"/>
  <c r="A88" i="7"/>
  <c r="A96" i="7"/>
  <c r="A104" i="7"/>
  <c r="A112" i="7"/>
  <c r="A120" i="7"/>
  <c r="B37" i="7"/>
  <c r="B101" i="7"/>
  <c r="C44" i="7"/>
  <c r="C108" i="7"/>
  <c r="D43" i="7"/>
  <c r="D107" i="7"/>
  <c r="D155" i="7"/>
  <c r="E10" i="7"/>
  <c r="E42" i="7"/>
  <c r="E74" i="7"/>
  <c r="E106" i="7"/>
  <c r="E138" i="7"/>
  <c r="F25" i="7"/>
  <c r="F50" i="7"/>
  <c r="F61" i="7"/>
  <c r="F69" i="7"/>
  <c r="F77" i="7"/>
  <c r="F85" i="7"/>
  <c r="F93" i="7"/>
  <c r="F101" i="7"/>
  <c r="F109" i="7"/>
  <c r="F117" i="7"/>
  <c r="F125" i="7"/>
  <c r="F133" i="7"/>
  <c r="F141" i="7"/>
  <c r="F149" i="7"/>
  <c r="F157" i="7"/>
  <c r="G12" i="7"/>
  <c r="G20" i="7"/>
  <c r="G28" i="7"/>
  <c r="G36" i="7"/>
  <c r="G44" i="7"/>
  <c r="G52" i="7"/>
  <c r="G60" i="7"/>
  <c r="G68" i="7"/>
  <c r="G76" i="7"/>
  <c r="G84" i="7"/>
  <c r="G92" i="7"/>
  <c r="G100" i="7"/>
  <c r="G108" i="7"/>
  <c r="G116" i="7"/>
  <c r="G124" i="7"/>
  <c r="G132" i="7"/>
  <c r="G140" i="7"/>
  <c r="G148" i="7"/>
  <c r="G156" i="7"/>
  <c r="G164" i="7"/>
  <c r="H11" i="7"/>
  <c r="H19" i="7"/>
  <c r="H27" i="7"/>
  <c r="H35" i="7"/>
  <c r="H43" i="7"/>
  <c r="H51" i="7"/>
  <c r="H59" i="7"/>
  <c r="H67" i="7"/>
  <c r="H75" i="7"/>
  <c r="H83" i="7"/>
  <c r="H91" i="7"/>
  <c r="H99" i="7"/>
  <c r="H107" i="7"/>
  <c r="H115" i="7"/>
  <c r="H123" i="7"/>
  <c r="H131" i="7"/>
  <c r="H139" i="7"/>
  <c r="H147" i="7"/>
  <c r="H155" i="7"/>
  <c r="H163" i="7"/>
  <c r="A10" i="7"/>
  <c r="A18" i="7"/>
  <c r="A26" i="7"/>
  <c r="A34" i="7"/>
  <c r="A42" i="7"/>
  <c r="A50" i="7"/>
  <c r="A58" i="7"/>
  <c r="A66" i="7"/>
  <c r="A74" i="7"/>
  <c r="A82" i="7"/>
  <c r="A90" i="7"/>
  <c r="A98" i="7"/>
  <c r="A106" i="7"/>
  <c r="A114" i="7"/>
  <c r="A122" i="7"/>
  <c r="A130" i="7"/>
  <c r="B45" i="7"/>
  <c r="B109" i="7"/>
  <c r="C52" i="7"/>
  <c r="C116" i="7"/>
  <c r="D51" i="7"/>
  <c r="D115" i="7"/>
  <c r="D156" i="7"/>
  <c r="E11" i="7"/>
  <c r="E43" i="7"/>
  <c r="E75" i="7"/>
  <c r="E107" i="7"/>
  <c r="E139" i="7"/>
  <c r="F26" i="7"/>
  <c r="F54" i="7"/>
  <c r="F62" i="7"/>
  <c r="F70" i="7"/>
  <c r="F78" i="7"/>
  <c r="F86" i="7"/>
  <c r="F94" i="7"/>
  <c r="F102" i="7"/>
  <c r="F110" i="7"/>
  <c r="F118" i="7"/>
  <c r="F126" i="7"/>
  <c r="F134" i="7"/>
  <c r="F142" i="7"/>
  <c r="F150" i="7"/>
  <c r="F158" i="7"/>
  <c r="G13" i="7"/>
  <c r="G21" i="7"/>
  <c r="G29" i="7"/>
  <c r="G37" i="7"/>
  <c r="G45" i="7"/>
  <c r="G53" i="7"/>
  <c r="G61" i="7"/>
  <c r="G69" i="7"/>
  <c r="G77" i="7"/>
  <c r="G85" i="7"/>
  <c r="G93" i="7"/>
  <c r="G101" i="7"/>
  <c r="G109" i="7"/>
  <c r="G117" i="7"/>
  <c r="G125" i="7"/>
  <c r="G133" i="7"/>
  <c r="G141" i="7"/>
  <c r="G149" i="7"/>
  <c r="G157" i="7"/>
  <c r="H12" i="7"/>
  <c r="H20" i="7"/>
  <c r="H28" i="7"/>
  <c r="H36" i="7"/>
  <c r="H44" i="7"/>
  <c r="H52" i="7"/>
  <c r="H60" i="7"/>
  <c r="H68" i="7"/>
  <c r="H76" i="7"/>
  <c r="H84" i="7"/>
  <c r="H92" i="7"/>
  <c r="H100" i="7"/>
  <c r="H108" i="7"/>
  <c r="H116" i="7"/>
  <c r="H124" i="7"/>
  <c r="H132" i="7"/>
  <c r="H140" i="7"/>
  <c r="H148" i="7"/>
  <c r="H156" i="7"/>
  <c r="H164" i="7"/>
  <c r="A11" i="7"/>
  <c r="A19" i="7"/>
  <c r="A27" i="7"/>
  <c r="A35" i="7"/>
  <c r="A43" i="7"/>
  <c r="A51" i="7"/>
  <c r="A59" i="7"/>
  <c r="A67" i="7"/>
  <c r="A75" i="7"/>
  <c r="A83" i="7"/>
  <c r="A91" i="7"/>
  <c r="A99" i="7"/>
  <c r="A107" i="7"/>
  <c r="A115" i="7"/>
  <c r="A123" i="7"/>
  <c r="A131" i="7"/>
  <c r="D148" i="7"/>
  <c r="E50" i="7"/>
  <c r="F60" i="7"/>
  <c r="F92" i="7"/>
  <c r="F124" i="7"/>
  <c r="F156" i="7"/>
  <c r="G14" i="7"/>
  <c r="G46" i="7"/>
  <c r="G78" i="7"/>
  <c r="G110" i="7"/>
  <c r="G142" i="7"/>
  <c r="H34" i="7"/>
  <c r="H66" i="7"/>
  <c r="H98" i="7"/>
  <c r="H130" i="7"/>
  <c r="H162" i="7"/>
  <c r="A20" i="7"/>
  <c r="A52" i="7"/>
  <c r="A84" i="7"/>
  <c r="A116" i="7"/>
  <c r="A134" i="7"/>
  <c r="A142" i="7"/>
  <c r="A150" i="7"/>
  <c r="A158" i="7"/>
  <c r="F18" i="7"/>
  <c r="G30" i="7"/>
  <c r="G126" i="7"/>
  <c r="H18" i="7"/>
  <c r="H114" i="7"/>
  <c r="A68" i="7"/>
  <c r="A138" i="7"/>
  <c r="A162" i="7"/>
  <c r="D163" i="7"/>
  <c r="E67" i="7"/>
  <c r="F63" i="7"/>
  <c r="F95" i="7"/>
  <c r="F127" i="7"/>
  <c r="F159" i="7"/>
  <c r="G19" i="7"/>
  <c r="G51" i="7"/>
  <c r="G83" i="7"/>
  <c r="G115" i="7"/>
  <c r="G147" i="7"/>
  <c r="H37" i="7"/>
  <c r="H69" i="7"/>
  <c r="H101" i="7"/>
  <c r="H133" i="7"/>
  <c r="A25" i="7"/>
  <c r="A57" i="7"/>
  <c r="A89" i="7"/>
  <c r="A121" i="7"/>
  <c r="A135" i="7"/>
  <c r="A143" i="7"/>
  <c r="A151" i="7"/>
  <c r="A159" i="7"/>
  <c r="F108" i="7"/>
  <c r="G94" i="7"/>
  <c r="H82" i="7"/>
  <c r="A100" i="7"/>
  <c r="A146" i="7"/>
  <c r="B29" i="7"/>
  <c r="E82" i="7"/>
  <c r="F68" i="7"/>
  <c r="F100" i="7"/>
  <c r="F132" i="7"/>
  <c r="F164" i="7"/>
  <c r="G22" i="7"/>
  <c r="G54" i="7"/>
  <c r="G86" i="7"/>
  <c r="G118" i="7"/>
  <c r="G150" i="7"/>
  <c r="H10" i="7"/>
  <c r="H42" i="7"/>
  <c r="H74" i="7"/>
  <c r="H106" i="7"/>
  <c r="H138" i="7"/>
  <c r="A28" i="7"/>
  <c r="A60" i="7"/>
  <c r="A92" i="7"/>
  <c r="A124" i="7"/>
  <c r="A136" i="7"/>
  <c r="A144" i="7"/>
  <c r="A152" i="7"/>
  <c r="A160" i="7"/>
  <c r="B53" i="7"/>
  <c r="C36" i="7"/>
  <c r="E99" i="7"/>
  <c r="F71" i="7"/>
  <c r="F103" i="7"/>
  <c r="F135" i="7"/>
  <c r="G27" i="7"/>
  <c r="G59" i="7"/>
  <c r="G91" i="7"/>
  <c r="G123" i="7"/>
  <c r="G155" i="7"/>
  <c r="H13" i="7"/>
  <c r="H45" i="7"/>
  <c r="H77" i="7"/>
  <c r="H109" i="7"/>
  <c r="H141" i="7"/>
  <c r="A33" i="7"/>
  <c r="A65" i="7"/>
  <c r="A97" i="7"/>
  <c r="A127" i="7"/>
  <c r="A137" i="7"/>
  <c r="A145" i="7"/>
  <c r="A153" i="7"/>
  <c r="A161" i="7"/>
  <c r="B93" i="7"/>
  <c r="C60" i="7"/>
  <c r="D35" i="7"/>
  <c r="E114" i="7"/>
  <c r="F76" i="7"/>
  <c r="F140" i="7"/>
  <c r="G62" i="7"/>
  <c r="G158" i="7"/>
  <c r="H50" i="7"/>
  <c r="H146" i="7"/>
  <c r="A36" i="7"/>
  <c r="A128" i="7"/>
  <c r="A154" i="7"/>
  <c r="B117" i="7"/>
  <c r="C100" i="7"/>
  <c r="D59" i="7"/>
  <c r="E131" i="7"/>
  <c r="F33" i="7"/>
  <c r="F79" i="7"/>
  <c r="F111" i="7"/>
  <c r="F143" i="7"/>
  <c r="G35" i="7"/>
  <c r="G67" i="7"/>
  <c r="G99" i="7"/>
  <c r="G131" i="7"/>
  <c r="G163" i="7"/>
  <c r="H21" i="7"/>
  <c r="H53" i="7"/>
  <c r="H85" i="7"/>
  <c r="H117" i="7"/>
  <c r="H149" i="7"/>
  <c r="A9" i="7"/>
  <c r="A41" i="7"/>
  <c r="A73" i="7"/>
  <c r="A105" i="7"/>
  <c r="A129" i="7"/>
  <c r="A139" i="7"/>
  <c r="A147" i="7"/>
  <c r="A155" i="7"/>
  <c r="A163" i="7"/>
  <c r="D123" i="7"/>
  <c r="E35" i="7"/>
  <c r="F55" i="7"/>
  <c r="F119" i="7"/>
  <c r="G11" i="7"/>
  <c r="G75" i="7"/>
  <c r="G139" i="7"/>
  <c r="H61" i="7"/>
  <c r="H125" i="7"/>
  <c r="A17" i="7"/>
  <c r="A113" i="7"/>
  <c r="A149" i="7"/>
  <c r="B157" i="7"/>
  <c r="C124" i="7"/>
  <c r="D99" i="7"/>
  <c r="E18" i="7"/>
  <c r="E146" i="7"/>
  <c r="F49" i="7"/>
  <c r="F84" i="7"/>
  <c r="F116" i="7"/>
  <c r="F148" i="7"/>
  <c r="G38" i="7"/>
  <c r="G70" i="7"/>
  <c r="G102" i="7"/>
  <c r="G134" i="7"/>
  <c r="H26" i="7"/>
  <c r="H58" i="7"/>
  <c r="H90" i="7"/>
  <c r="H122" i="7"/>
  <c r="H154" i="7"/>
  <c r="A12" i="7"/>
  <c r="A44" i="7"/>
  <c r="A76" i="7"/>
  <c r="A108" i="7"/>
  <c r="A132" i="7"/>
  <c r="A140" i="7"/>
  <c r="A148" i="7"/>
  <c r="A156" i="7"/>
  <c r="A164" i="7"/>
  <c r="C164" i="7"/>
  <c r="E163" i="7"/>
  <c r="F87" i="7"/>
  <c r="F151" i="7"/>
  <c r="G43" i="7"/>
  <c r="G107" i="7"/>
  <c r="H29" i="7"/>
  <c r="H93" i="7"/>
  <c r="H157" i="7"/>
  <c r="A49" i="7"/>
  <c r="A81" i="7"/>
  <c r="A133" i="7"/>
  <c r="A141" i="7"/>
  <c r="A157" i="7"/>
  <c r="A10" i="10"/>
  <c r="R7" i="11"/>
  <c r="R6" i="11"/>
  <c r="E9" i="10" l="1"/>
  <c r="O2" i="11" s="1" a="1"/>
  <c r="S4" i="11" l="1"/>
  <c r="S3" i="11"/>
  <c r="R4" i="11"/>
  <c r="R5" i="11"/>
  <c r="M3" i="11" a="1"/>
  <c r="M3" i="11" s="1"/>
  <c r="O2" i="11"/>
  <c r="S2" i="11" s="1"/>
  <c r="V2" i="11" a="1"/>
  <c r="R3" i="11"/>
  <c r="W4" i="11" l="1" a="1"/>
  <c r="W4" i="11" s="1"/>
  <c r="X4" i="11" s="1"/>
  <c r="R2" i="11"/>
  <c r="C4" i="10" a="1"/>
  <c r="C4" i="10" s="1"/>
  <c r="W3" i="11" a="1"/>
  <c r="W3" i="11" s="1"/>
  <c r="X3" i="11" s="1"/>
  <c r="V2" i="11"/>
  <c r="W2" i="11" l="1" a="1"/>
  <c r="W2" i="11" s="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From “Yield (gallon SAF/ton feedstock)” for solids feedstocks or “Yield (gallon SAF/gallon feedstock)”column for liquid feedstocks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From “Input Capacity in ton/yr” column for solid feedstocks and “Input Capacity in gal/yr” for liquid feedstocks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<sst xmlns="http://schemas.openxmlformats.org/spreadsheetml/2006/main" count="11799" uniqueCount="3249">
  <si>
    <t>Scenario Name</t>
  </si>
  <si>
    <t>Scenario Description</t>
  </si>
  <si>
    <t>Common Data Folder</t>
  </si>
  <si>
    <t>Network GDB</t>
  </si>
  <si>
    <t>File Paths</t>
  </si>
  <si>
    <t>solid</t>
  </si>
  <si>
    <t>Existing facilities:</t>
  </si>
  <si>
    <t>Y</t>
  </si>
  <si>
    <t>Additional Settings</t>
  </si>
  <si>
    <t>Transport Costs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</si>
  <si>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</si>
  <si>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</si>
  <si>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</si>
  <si>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</si>
  <si>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</si>
  <si>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</si>
  <si>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</si>
  <si>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</si>
  <si>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</si>
  <si>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</si>
  <si>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</si>
  <si>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</si>
  <si>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</si>
  <si>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</si>
  <si>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</si>
  <si>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</si>
  <si>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</si>
  <si>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</si>
  <si>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</si>
  <si>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</si>
  <si>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</si>
  <si>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</si>
  <si>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</si>
  <si>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</si>
  <si>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</si>
  <si>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</si>
  <si>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</si>
  <si>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</si>
  <si>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</si>
  <si>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</si>
  <si>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</si>
  <si>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</si>
  <si>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</si>
  <si>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</si>
  <si>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</si>
  <si>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</si>
  <si>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</si>
  <si>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</si>
  <si>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</si>
  <si>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</si>
  <si>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</si>
  <si>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</si>
  <si>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</si>
  <si>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</si>
  <si>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</si>
  <si>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</si>
  <si>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</si>
  <si>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</si>
  <si>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</si>
  <si>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</si>
  <si>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</si>
  <si>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</si>
  <si>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</si>
  <si>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</si>
  <si>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</si>
  <si>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</si>
  <si>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</si>
  <si>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</si>
  <si>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</si>
  <si>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</si>
  <si>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</si>
  <si>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</si>
  <si>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</si>
  <si>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</si>
  <si>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</si>
  <si>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</si>
  <si>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</si>
  <si>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</si>
  <si>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</si>
  <si>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</si>
  <si>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</si>
  <si>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</si>
  <si>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</si>
  <si>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</si>
  <si>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</si>
  <si>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</si>
  <si>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</si>
  <si>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</si>
  <si>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</si>
  <si>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</si>
  <si>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</si>
  <si>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</si>
  <si>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</si>
  <si>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</si>
  <si>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</si>
  <si>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</si>
  <si>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</si>
  <si>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</si>
  <si>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</si>
  <si>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</si>
  <si>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</si>
  <si>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</si>
  <si>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</si>
  <si>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</si>
  <si>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</si>
  <si>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</si>
  <si>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</si>
  <si>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</si>
  <si>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</si>
  <si>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</si>
  <si>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</si>
  <si>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</si>
  <si>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</si>
  <si>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usd/tonne/mi</t>
  </si>
  <si>
    <t>usd/tonne</t>
  </si>
  <si>
    <t>positive number</t>
  </si>
  <si>
    <t>non-negative number</t>
  </si>
  <si>
    <t>Value Check</t>
  </si>
  <si>
    <t>Units Check</t>
  </si>
  <si>
    <t>none</t>
  </si>
  <si>
    <t>file path to check with Python, or "None"</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</si>
  <si>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</si>
  <si>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</si>
  <si>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</si>
  <si>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</si>
  <si>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</si>
  <si>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</si>
  <si>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</si>
  <si>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</si>
  <si>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</si>
  <si>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</si>
  <si>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</si>
  <si>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</si>
  <si>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</si>
  <si>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</si>
  <si>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</si>
  <si>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</si>
  <si>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</si>
  <si>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</si>
  <si>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</si>
  <si>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</si>
  <si>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</si>
  <si>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</si>
  <si>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</si>
  <si>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</si>
  <si>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</si>
  <si>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</si>
  <si>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</si>
  <si>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</si>
  <si>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</si>
  <si>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</si>
  <si>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</si>
  <si>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</si>
  <si>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</si>
  <si>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</si>
  <si>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</si>
  <si>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</si>
  <si>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</si>
  <si>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</si>
  <si>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</si>
  <si>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</si>
  <si>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</si>
  <si>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</si>
  <si>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</si>
  <si>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</si>
  <si>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</si>
  <si>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</si>
  <si>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</si>
  <si>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</si>
  <si>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</si>
  <si>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</si>
  <si>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</si>
  <si>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</si>
  <si>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</si>
  <si>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</si>
  <si>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</si>
  <si>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</si>
  <si>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</si>
  <si>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</si>
  <si>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</si>
  <si>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</si>
  <si>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</si>
  <si>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</si>
  <si>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</si>
  <si>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</si>
  <si>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</si>
  <si>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</si>
  <si>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</si>
  <si>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</si>
  <si>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</si>
  <si>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</si>
  <si>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</si>
  <si>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</si>
  <si>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</si>
  <si>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</si>
  <si>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</si>
  <si>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</si>
  <si>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</si>
  <si>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</si>
  <si>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</si>
  <si>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</si>
  <si>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</si>
  <si>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</si>
  <si>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</si>
  <si>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</si>
  <si>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</si>
  <si>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</si>
  <si>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</si>
  <si>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</si>
  <si>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</si>
  <si>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</si>
  <si>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</si>
  <si>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</si>
  <si>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</si>
  <si>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</si>
  <si>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</si>
  <si>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</si>
  <si>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</si>
  <si>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</si>
  <si>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</si>
  <si>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</si>
  <si>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</si>
  <si>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</si>
  <si>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</si>
  <si>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</si>
  <si>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</si>
  <si>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</si>
  <si>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</si>
  <si>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Set TRUE or FALSE:</t>
  </si>
  <si>
    <t>Set TRUE / FALSE toggle and enter numbers:</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</si>
  <si>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</si>
  <si>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</si>
  <si>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</si>
  <si>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</si>
  <si>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</si>
  <si>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</si>
  <si>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</si>
  <si>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</si>
  <si>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</si>
  <si>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</si>
  <si>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</si>
  <si>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</si>
  <si>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</si>
  <si>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</si>
  <si>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</si>
  <si>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</si>
  <si>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</si>
  <si>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</si>
  <si>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</si>
  <si>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</si>
  <si>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</si>
  <si>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</si>
  <si>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</si>
  <si>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</si>
  <si>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</si>
  <si>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</si>
  <si>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</si>
  <si>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</si>
  <si>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</si>
  <si>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</si>
  <si>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</si>
  <si>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</si>
  <si>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</si>
  <si>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</si>
  <si>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</si>
  <si>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</si>
  <si>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</si>
  <si>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</si>
  <si>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</si>
  <si>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</si>
  <si>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</si>
  <si>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</si>
  <si>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</si>
  <si>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</si>
  <si>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</si>
  <si>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</si>
  <si>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</si>
  <si>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</si>
  <si>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</si>
  <si>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</si>
  <si>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</si>
  <si>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</si>
  <si>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</si>
  <si>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</si>
  <si>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</si>
  <si>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</si>
  <si>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</si>
  <si>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</si>
  <si>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</si>
  <si>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</si>
  <si>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</si>
  <si>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</si>
  <si>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</si>
  <si>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</si>
  <si>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</si>
  <si>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</si>
  <si>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</si>
  <si>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</si>
  <si>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</si>
  <si>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</si>
  <si>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</si>
  <si>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</si>
  <si>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</si>
  <si>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</si>
  <si>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</si>
  <si>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</si>
  <si>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</si>
  <si>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</si>
  <si>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</si>
  <si>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</si>
  <si>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</si>
  <si>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</si>
  <si>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</si>
  <si>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</si>
  <si>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</si>
  <si>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</si>
  <si>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</si>
  <si>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</si>
  <si>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</si>
  <si>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</si>
  <si>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</si>
  <si>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</si>
  <si>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</si>
  <si>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</si>
  <si>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</si>
  <si>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</si>
  <si>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</si>
  <si>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</si>
  <si>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</si>
  <si>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</si>
  <si>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</si>
  <si>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</si>
  <si>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</si>
  <si>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</si>
  <si>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</si>
  <si>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</si>
  <si>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</si>
  <si>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</si>
  <si>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</si>
  <si>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</si>
  <si>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</si>
  <si>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</si>
  <si>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</si>
  <si>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</si>
  <si>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</si>
  <si>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</si>
  <si>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</si>
  <si>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</si>
  <si>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</si>
  <si>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</si>
  <si>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</si>
  <si>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</si>
  <si>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</si>
  <si>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</si>
  <si>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</si>
  <si>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</si>
  <si>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</si>
  <si>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</si>
  <si>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</si>
  <si>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</si>
  <si>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</si>
  <si>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</si>
  <si>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</si>
  <si>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</si>
  <si>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</si>
  <si>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</si>
  <si>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</si>
  <si>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</si>
  <si>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</si>
  <si>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</si>
  <si>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</si>
  <si>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</si>
  <si>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</si>
  <si>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</si>
  <si>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</si>
  <si>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</si>
  <si>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</si>
  <si>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</si>
  <si>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</si>
  <si>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</si>
  <si>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</si>
  <si>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</si>
  <si>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</si>
  <si>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</si>
  <si>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</si>
  <si>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</si>
  <si>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</si>
  <si>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</si>
  <si>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</si>
  <si>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</si>
  <si>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</si>
  <si>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</si>
  <si>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</si>
  <si>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</si>
  <si>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</si>
  <si>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</si>
  <si>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</si>
  <si>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</si>
  <si>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</si>
  <si>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</si>
  <si>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</si>
  <si>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</si>
  <si>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</si>
  <si>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</si>
  <si>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</si>
  <si>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</si>
  <si>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</si>
  <si>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</si>
  <si>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</si>
  <si>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</si>
  <si>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</si>
  <si>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</si>
  <si>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</si>
  <si>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</si>
  <si>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</si>
  <si>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</si>
  <si>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</si>
  <si>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</si>
  <si>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</si>
  <si>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</si>
  <si>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</si>
  <si>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</si>
  <si>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</si>
  <si>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</si>
  <si>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</si>
  <si>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</si>
  <si>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</si>
  <si>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</si>
  <si>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</si>
  <si>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</si>
  <si>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</si>
  <si>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</si>
  <si>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</si>
  <si>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</si>
  <si>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</si>
  <si>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</si>
  <si>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</si>
  <si>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</si>
  <si>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</si>
  <si>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</si>
  <si>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</si>
  <si>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</si>
  <si>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</si>
  <si>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</si>
  <si>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</si>
  <si>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</si>
  <si>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</si>
  <si>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</si>
  <si>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</si>
  <si>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</si>
  <si>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</si>
  <si>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</si>
  <si>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</si>
  <si>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</si>
  <si>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</si>
  <si>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</si>
  <si>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</si>
  <si>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</si>
  <si>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</si>
  <si>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</si>
  <si>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</si>
  <si>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</si>
  <si>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</si>
  <si>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</si>
  <si>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</si>
  <si>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</si>
  <si>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</si>
  <si>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</si>
  <si>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</si>
  <si>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</si>
  <si>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</si>
  <si>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</si>
  <si>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</si>
  <si>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</si>
  <si>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</si>
  <si>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</si>
  <si>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</si>
  <si>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</si>
  <si>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</si>
  <si>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</si>
  <si>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</si>
  <si>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</si>
  <si>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</si>
  <si>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</si>
  <si>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</si>
  <si>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</si>
  <si>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</si>
  <si>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</si>
  <si>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</si>
  <si>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</si>
  <si>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</si>
  <si>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</si>
  <si>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</si>
  <si>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</si>
  <si>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</si>
  <si>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</si>
  <si>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</si>
  <si>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</si>
  <si>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</si>
  <si>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</si>
  <si>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</si>
  <si>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</si>
  <si>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</si>
  <si>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</si>
  <si>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</si>
  <si>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</si>
  <si>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</si>
  <si>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</si>
  <si>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</si>
  <si>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</si>
  <si>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</si>
  <si>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</si>
  <si>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</si>
  <si>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</si>
  <si>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</si>
  <si>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</si>
  <si>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</si>
  <si>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</si>
  <si>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</si>
  <si>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</si>
  <si>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</si>
  <si>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</si>
  <si>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</si>
  <si>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</si>
  <si>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</si>
  <si>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</si>
  <si>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</si>
  <si>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</si>
  <si>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</si>
  <si>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</si>
  <si>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</si>
  <si>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</si>
  <si>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</si>
  <si>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</si>
  <si>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</si>
  <si>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</si>
  <si>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</si>
  <si>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</si>
  <si>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</si>
  <si>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</si>
  <si>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</si>
  <si>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airport_bhm</t>
  </si>
  <si>
    <t>airport_hsv</t>
  </si>
  <si>
    <t>airport_phx</t>
  </si>
  <si>
    <t>airport_tus</t>
  </si>
  <si>
    <t>airport_xna</t>
  </si>
  <si>
    <t>airport_bur</t>
  </si>
  <si>
    <t>airport_lax</t>
  </si>
  <si>
    <t>airport_lgb</t>
  </si>
  <si>
    <t>airport_oak</t>
  </si>
  <si>
    <t>airport_ont</t>
  </si>
  <si>
    <t>airport_psp</t>
  </si>
  <si>
    <t>airport_san</t>
  </si>
  <si>
    <t>airport_sba</t>
  </si>
  <si>
    <t>airport_sfo</t>
  </si>
  <si>
    <t>airport_sjc</t>
  </si>
  <si>
    <t>airport_smf</t>
  </si>
  <si>
    <t>airport_sna</t>
  </si>
  <si>
    <t>airport_cos</t>
  </si>
  <si>
    <t>airport_den</t>
  </si>
  <si>
    <t>airport_bdl</t>
  </si>
  <si>
    <t>airport_hvn</t>
  </si>
  <si>
    <t>airport_ecp</t>
  </si>
  <si>
    <t>airport_fll</t>
  </si>
  <si>
    <t>airport_jax</t>
  </si>
  <si>
    <t>airport_mco</t>
  </si>
  <si>
    <t>airport_mia</t>
  </si>
  <si>
    <t>airport_mlb</t>
  </si>
  <si>
    <t>airport_pbi</t>
  </si>
  <si>
    <t>airport_pgd</t>
  </si>
  <si>
    <t>airport_pie</t>
  </si>
  <si>
    <t>airport_pns</t>
  </si>
  <si>
    <t>airport_rsw</t>
  </si>
  <si>
    <t>airport_sfb</t>
  </si>
  <si>
    <t>airport_srq</t>
  </si>
  <si>
    <t>airport_tlh</t>
  </si>
  <si>
    <t>airport_tpa</t>
  </si>
  <si>
    <t>airport_vps</t>
  </si>
  <si>
    <t>airport_atl</t>
  </si>
  <si>
    <t>airport_sav</t>
  </si>
  <si>
    <t>airport_mdw</t>
  </si>
  <si>
    <t>airport_ord</t>
  </si>
  <si>
    <t>airport_ind</t>
  </si>
  <si>
    <t>airport_dsm</t>
  </si>
  <si>
    <t>airport_ict</t>
  </si>
  <si>
    <t>airport_cvg</t>
  </si>
  <si>
    <t>airport_sdf</t>
  </si>
  <si>
    <t>airport_msy</t>
  </si>
  <si>
    <t>airport_bwi</t>
  </si>
  <si>
    <t>airport_bos</t>
  </si>
  <si>
    <t>airport_dtw</t>
  </si>
  <si>
    <t>airport_grr</t>
  </si>
  <si>
    <t>airport_msp</t>
  </si>
  <si>
    <t>airport_mci</t>
  </si>
  <si>
    <t>airport_stl</t>
  </si>
  <si>
    <t>airport_bzn</t>
  </si>
  <si>
    <t>airport_oma</t>
  </si>
  <si>
    <t>airport_las</t>
  </si>
  <si>
    <t>airport_rno</t>
  </si>
  <si>
    <t>airport_ewr</t>
  </si>
  <si>
    <t>airport_abq</t>
  </si>
  <si>
    <t>airport_alb</t>
  </si>
  <si>
    <t>airport_buf</t>
  </si>
  <si>
    <t>airport_hpn</t>
  </si>
  <si>
    <t>airport_isp</t>
  </si>
  <si>
    <t>airport_jfk</t>
  </si>
  <si>
    <t>airport_lga</t>
  </si>
  <si>
    <t>airport_roc</t>
  </si>
  <si>
    <t>airport_swf</t>
  </si>
  <si>
    <t>airport_syr</t>
  </si>
  <si>
    <t>airport_avl</t>
  </si>
  <si>
    <t>airport_clt</t>
  </si>
  <si>
    <t>airport_gso</t>
  </si>
  <si>
    <t>airport_rdu</t>
  </si>
  <si>
    <t>airport_gfk</t>
  </si>
  <si>
    <t>airport_cle</t>
  </si>
  <si>
    <t>airport_cmh</t>
  </si>
  <si>
    <t>airport_lck</t>
  </si>
  <si>
    <t>airport_okc</t>
  </si>
  <si>
    <t>airport_tul</t>
  </si>
  <si>
    <t>airport_eug</t>
  </si>
  <si>
    <t>airport_pdx</t>
  </si>
  <si>
    <t>airport_abe</t>
  </si>
  <si>
    <t>airport_mdt</t>
  </si>
  <si>
    <t>airport_phl</t>
  </si>
  <si>
    <t>airport_pit</t>
  </si>
  <si>
    <t>airport_pvd</t>
  </si>
  <si>
    <t>airport_cae</t>
  </si>
  <si>
    <t>airport_chs</t>
  </si>
  <si>
    <t>airport_gsp</t>
  </si>
  <si>
    <t>airport_myr</t>
  </si>
  <si>
    <t>airport_bna</t>
  </si>
  <si>
    <t>airport_mem</t>
  </si>
  <si>
    <t>airport_tys</t>
  </si>
  <si>
    <t>airport_afw</t>
  </si>
  <si>
    <t>airport_aus</t>
  </si>
  <si>
    <t>airport_dal</t>
  </si>
  <si>
    <t>airport_dfw</t>
  </si>
  <si>
    <t>airport_elp</t>
  </si>
  <si>
    <t>airport_hou</t>
  </si>
  <si>
    <t>airport_iah</t>
  </si>
  <si>
    <t>airport_sat</t>
  </si>
  <si>
    <t>airport_slc</t>
  </si>
  <si>
    <t>airport_dca</t>
  </si>
  <si>
    <t>airport_iad</t>
  </si>
  <si>
    <t>airport_orf</t>
  </si>
  <si>
    <t>airport_geg</t>
  </si>
  <si>
    <t>airport_pae</t>
  </si>
  <si>
    <t>airport_sea</t>
  </si>
  <si>
    <t>airport_mke</t>
  </si>
  <si>
    <t>airport_msn</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</si>
  <si>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</si>
  <si>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</si>
  <si>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</si>
  <si>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</si>
  <si>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</si>
  <si>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</si>
  <si>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</si>
  <si>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</si>
  <si>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</si>
  <si>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</si>
  <si>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</si>
  <si>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</si>
  <si>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</si>
  <si>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</si>
  <si>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</si>
  <si>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</si>
  <si>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</si>
  <si>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</si>
  <si>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</si>
  <si>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</si>
  <si>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</si>
  <si>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</si>
  <si>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</si>
  <si>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</si>
  <si>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</si>
  <si>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</si>
  <si>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</si>
  <si>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</si>
  <si>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</si>
  <si>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</si>
  <si>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</si>
  <si>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</si>
  <si>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</si>
  <si>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</si>
  <si>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</si>
  <si>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</si>
  <si>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</si>
  <si>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</si>
  <si>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</si>
  <si>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</si>
  <si>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</si>
  <si>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</si>
  <si>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</si>
  <si>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</si>
  <si>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</si>
  <si>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</si>
  <si>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</si>
  <si>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</si>
  <si>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</si>
  <si>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</si>
  <si>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</si>
  <si>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</si>
  <si>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</si>
  <si>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</si>
  <si>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</si>
  <si>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</si>
  <si>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</si>
  <si>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</si>
  <si>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</si>
  <si>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</si>
  <si>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</si>
  <si>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</si>
  <si>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</si>
  <si>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</si>
  <si>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</si>
  <si>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</si>
  <si>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</si>
  <si>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</si>
  <si>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</si>
  <si>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</si>
  <si>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</si>
  <si>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</si>
  <si>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</si>
  <si>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</si>
  <si>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</si>
  <si>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</si>
  <si>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</si>
  <si>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</si>
  <si>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</si>
  <si>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</si>
  <si>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</si>
  <si>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</si>
  <si>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</si>
  <si>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</si>
  <si>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</si>
  <si>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</si>
  <si>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</si>
  <si>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</si>
  <si>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</si>
  <si>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</si>
  <si>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</si>
  <si>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</si>
  <si>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</si>
  <si>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</si>
  <si>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</si>
  <si>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</si>
  <si>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</si>
  <si>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</si>
  <si>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</si>
  <si>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</si>
  <si>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</si>
  <si>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</si>
  <si>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</si>
  <si>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</si>
  <si>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</si>
  <si>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</si>
  <si>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</si>
  <si>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</si>
  <si>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</si>
  <si>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</si>
  <si>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</si>
  <si>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</si>
  <si>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</si>
  <si>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</si>
  <si>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</si>
  <si>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</si>
  <si>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</si>
  <si>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</si>
  <si>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</si>
  <si>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</si>
  <si>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</si>
  <si>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</si>
  <si>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</si>
  <si>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</si>
  <si>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</si>
  <si>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</si>
  <si>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</si>
  <si>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</si>
  <si>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</si>
  <si>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</si>
  <si>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</si>
  <si>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</si>
  <si>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</si>
  <si>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</si>
  <si>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</si>
  <si>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</si>
  <si>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</si>
  <si>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</si>
  <si>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</si>
  <si>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</si>
  <si>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</si>
  <si>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</si>
  <si>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</si>
  <si>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</si>
  <si>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</si>
  <si>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</si>
  <si>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</si>
  <si>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</si>
  <si>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</si>
  <si>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</si>
  <si>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</si>
  <si>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</si>
  <si>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</si>
  <si>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</si>
  <si>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</si>
  <si>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</si>
  <si>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</si>
  <si>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</si>
  <si>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</si>
  <si>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</si>
  <si>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</si>
  <si>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</si>
  <si>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</si>
  <si>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</si>
  <si>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</si>
  <si>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</si>
  <si>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</si>
  <si>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</si>
  <si>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</si>
  <si>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</si>
  <si>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</si>
  <si>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</si>
  <si>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</si>
  <si>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</si>
  <si>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</si>
  <si>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</si>
  <si>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</si>
  <si>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</si>
  <si>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</si>
  <si>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</si>
  <si>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</si>
  <si>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</si>
  <si>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</si>
  <si>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</si>
  <si>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</si>
  <si>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</si>
  <si>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</si>
  <si>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</si>
  <si>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</si>
  <si>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</si>
  <si>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</si>
  <si>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</si>
  <si>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</si>
  <si>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</si>
  <si>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</si>
  <si>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</si>
  <si>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</si>
  <si>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</si>
  <si>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</si>
  <si>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</si>
  <si>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</si>
  <si>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</si>
  <si>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</si>
  <si>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</si>
  <si>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</si>
  <si>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</si>
  <si>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</si>
  <si>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</si>
  <si>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</si>
  <si>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</si>
  <si>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</si>
  <si>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</si>
  <si>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</si>
  <si>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</si>
  <si>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</si>
  <si>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</si>
  <si>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</si>
  <si>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</si>
  <si>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</si>
  <si>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</si>
  <si>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</si>
  <si>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</si>
  <si>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</si>
  <si>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</si>
  <si>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</si>
  <si>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</si>
  <si>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</si>
  <si>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</si>
  <si>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</si>
  <si>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</si>
  <si>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</si>
  <si>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</si>
  <si>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</si>
  <si>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</si>
  <si>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</si>
  <si>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</si>
  <si>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</si>
  <si>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</si>
  <si>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</si>
  <si>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</si>
  <si>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</si>
  <si>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</si>
  <si>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</si>
  <si>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</si>
  <si>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</si>
  <si>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</si>
  <si>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</si>
  <si>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</si>
  <si>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</si>
  <si>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</si>
  <si>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</si>
  <si>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</si>
  <si>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</si>
  <si>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</si>
  <si>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</si>
  <si>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</si>
  <si>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</si>
  <si>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</si>
  <si>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</si>
  <si>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</si>
  <si>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</si>
  <si>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</si>
  <si>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</si>
  <si>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</si>
  <si>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</si>
  <si>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</si>
  <si>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</si>
  <si>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</si>
  <si>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</si>
  <si>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</si>
  <si>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</si>
  <si>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</si>
  <si>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</si>
  <si>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</si>
  <si>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</si>
  <si>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</si>
  <si>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</si>
  <si>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</si>
  <si>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</si>
  <si>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</si>
  <si>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</si>
  <si>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</si>
  <si>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</si>
  <si>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</si>
  <si>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</si>
  <si>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</si>
  <si>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</si>
  <si>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</si>
  <si>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</si>
  <si>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</si>
  <si>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</si>
  <si>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</si>
  <si>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</si>
  <si>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</si>
  <si>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</si>
  <si>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</si>
  <si>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</si>
  <si>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</si>
  <si>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</si>
  <si>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</si>
  <si>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</si>
  <si>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</si>
  <si>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</si>
  <si>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</si>
  <si>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</si>
  <si>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</si>
  <si>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</si>
  <si>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</si>
  <si>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</si>
  <si>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</si>
  <si>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</si>
  <si>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</si>
  <si>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</si>
  <si>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</si>
  <si>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</si>
  <si>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</si>
  <si>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</si>
  <si>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</si>
  <si>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</si>
  <si>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</si>
  <si>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</si>
  <si>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</si>
  <si>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</si>
  <si>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</si>
  <si>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</si>
  <si>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</si>
  <si>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</si>
  <si>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</si>
  <si>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</si>
  <si>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</si>
  <si>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</si>
  <si>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</si>
  <si>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</si>
  <si>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</si>
  <si>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</si>
  <si>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</si>
  <si>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</si>
  <si>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</si>
  <si>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</si>
  <si>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</si>
  <si>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</si>
  <si>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</si>
  <si>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</si>
  <si>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</si>
  <si>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</si>
  <si>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</si>
  <si>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</si>
  <si>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</si>
  <si>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</si>
  <si>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</si>
  <si>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</si>
  <si>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</si>
  <si>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</si>
  <si>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</si>
  <si>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</si>
  <si>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</si>
  <si>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</si>
  <si>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</si>
  <si>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</si>
  <si>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</si>
  <si>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</si>
  <si>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</si>
  <si>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</si>
  <si>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</si>
  <si>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</si>
  <si>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</si>
  <si>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</si>
  <si>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</si>
  <si>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</si>
  <si>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</si>
  <si>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</si>
  <si>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</si>
  <si>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</si>
  <si>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</si>
  <si>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</si>
  <si>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</si>
  <si>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</si>
  <si>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</si>
  <si>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</si>
  <si>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</si>
  <si>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</si>
  <si>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</si>
  <si>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</si>
  <si>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</si>
  <si>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</si>
  <si>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</si>
  <si>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</si>
  <si>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</si>
  <si>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</si>
  <si>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</si>
  <si>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</si>
  <si>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</si>
  <si>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</si>
  <si>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</si>
  <si>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</si>
  <si>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</si>
  <si>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</si>
  <si>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</si>
  <si>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</si>
  <si>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</si>
  <si>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</si>
  <si>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</si>
  <si>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</si>
  <si>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</si>
  <si>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</si>
  <si>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</si>
  <si>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</si>
  <si>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</si>
  <si>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</si>
  <si>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</si>
  <si>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</si>
  <si>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</si>
  <si>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</si>
  <si>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</si>
  <si>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</si>
  <si>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</si>
  <si>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</si>
  <si>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</si>
  <si>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</si>
  <si>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</si>
  <si>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</si>
  <si>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</si>
  <si>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</si>
  <si>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</si>
  <si>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</si>
  <si>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</si>
  <si>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</si>
  <si>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</si>
  <si>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</si>
  <si>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</si>
  <si>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</si>
  <si>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</si>
  <si>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</si>
  <si>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</si>
  <si>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</si>
  <si>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</si>
  <si>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</si>
  <si>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</si>
  <si>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</si>
  <si>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</si>
  <si>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</si>
  <si>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</si>
  <si>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</si>
  <si>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</si>
  <si>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</si>
  <si>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</si>
  <si>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</si>
  <si>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</si>
  <si>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</si>
  <si>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</si>
  <si>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</si>
  <si>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</si>
  <si>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</si>
  <si>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</si>
  <si>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</si>
  <si>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</si>
  <si>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</si>
  <si>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</si>
  <si>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</si>
  <si>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</si>
  <si>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</si>
  <si>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</si>
  <si>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</si>
  <si>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</si>
  <si>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</si>
  <si>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</si>
  <si>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</si>
  <si>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</si>
  <si>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</si>
  <si>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</si>
  <si>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</si>
  <si>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</si>
  <si>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</si>
  <si>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</si>
  <si>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</si>
  <si>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</si>
  <si>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</si>
  <si>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</si>
  <si>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</si>
  <si>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</si>
  <si>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</si>
  <si>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</si>
  <si>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</si>
  <si>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</si>
  <si>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</si>
  <si>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</si>
  <si>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</si>
  <si>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</si>
  <si>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</si>
  <si>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</si>
  <si>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</si>
  <si>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</si>
  <si>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</si>
  <si>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</si>
  <si>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</si>
  <si>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</si>
  <si>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</si>
  <si>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</si>
  <si>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</si>
  <si>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</si>
  <si>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</si>
  <si>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</si>
  <si>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</si>
  <si>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</si>
  <si>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</si>
  <si>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</si>
  <si>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</si>
  <si>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</si>
  <si>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</si>
  <si>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</si>
  <si>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</si>
  <si>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</si>
  <si>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</si>
  <si>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</si>
  <si>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</si>
  <si>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</si>
  <si>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</si>
  <si>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</si>
  <si>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</si>
  <si>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</si>
  <si>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</si>
  <si>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</si>
  <si>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</si>
  <si>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</si>
  <si>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</si>
  <si>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</si>
  <si>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</si>
  <si>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</si>
  <si>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</si>
  <si>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</si>
  <si>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</si>
  <si>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</si>
  <si>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</si>
  <si>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</si>
  <si>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</si>
  <si>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</si>
  <si>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</si>
  <si>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</si>
  <si>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</si>
  <si>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</si>
  <si>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</si>
  <si>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</si>
  <si>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</si>
  <si>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</si>
  <si>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</si>
  <si>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</si>
  <si>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</si>
  <si>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</si>
  <si>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</si>
  <si>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</si>
  <si>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</si>
  <si>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</si>
  <si>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</si>
  <si>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</si>
  <si>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</si>
  <si>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</si>
  <si>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</si>
  <si>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</si>
  <si>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</si>
  <si>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</si>
  <si>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</si>
  <si>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</si>
  <si>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</si>
  <si>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</si>
  <si>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</si>
  <si>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</si>
  <si>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</si>
  <si>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</si>
  <si>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</si>
  <si>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</si>
  <si>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</si>
  <si>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</si>
  <si>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</si>
  <si>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</si>
  <si>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</si>
  <si>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</si>
  <si>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</si>
  <si>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</si>
  <si>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</si>
  <si>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</si>
  <si>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</si>
  <si>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</si>
  <si>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</si>
  <si>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</si>
  <si>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</si>
  <si>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</si>
  <si>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</si>
  <si>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</si>
  <si>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</si>
  <si>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</si>
  <si>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</si>
  <si>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</si>
  <si>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</si>
  <si>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</si>
  <si>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</si>
  <si>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</si>
  <si>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</si>
  <si>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</si>
  <si>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</si>
  <si>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</si>
  <si>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</si>
  <si>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</si>
  <si>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</si>
  <si>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</si>
  <si>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</si>
  <si>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</si>
  <si>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</si>
  <si>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</si>
  <si>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</si>
  <si>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</si>
  <si>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</si>
  <si>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</si>
  <si>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</si>
  <si>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</si>
  <si>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</si>
  <si>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</si>
  <si>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</si>
  <si>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</si>
  <si>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</si>
  <si>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</si>
  <si>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</si>
  <si>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</si>
  <si>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</si>
  <si>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</si>
  <si>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</si>
  <si>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</si>
  <si>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</si>
  <si>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</si>
  <si>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</si>
  <si>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</si>
  <si>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</si>
  <si>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</si>
  <si>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</si>
  <si>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</si>
  <si>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</si>
  <si>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</si>
  <si>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</si>
  <si>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</si>
  <si>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</si>
  <si>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</si>
  <si>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</si>
  <si>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</si>
  <si>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</si>
  <si>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</si>
  <si>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</si>
  <si>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</si>
  <si>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</si>
  <si>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</si>
  <si>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</si>
  <si>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</si>
  <si>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</si>
  <si>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</si>
  <si>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</si>
  <si>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</si>
  <si>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</si>
  <si>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</si>
  <si>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</si>
  <si>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</si>
  <si>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</si>
  <si>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</si>
  <si>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</si>
  <si>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</si>
  <si>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</si>
  <si>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</si>
  <si>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</si>
  <si>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</si>
  <si>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</si>
  <si>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</si>
  <si>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</si>
  <si>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</si>
  <si>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</si>
  <si>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</si>
  <si>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</si>
  <si>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</si>
  <si>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</si>
  <si>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</si>
  <si>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</si>
  <si>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</si>
  <si>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</si>
  <si>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</si>
  <si>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</si>
  <si>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</si>
  <si>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</si>
  <si>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</si>
  <si>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</si>
  <si>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</si>
  <si>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</si>
  <si>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</si>
  <si>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</si>
  <si>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</si>
  <si>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</si>
  <si>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</si>
  <si>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</si>
  <si>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</si>
  <si>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</si>
  <si>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</si>
  <si>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</si>
  <si>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</si>
  <si>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</si>
  <si>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</si>
  <si>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</si>
  <si>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</si>
  <si>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</si>
  <si>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</si>
  <si>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</si>
  <si>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</si>
  <si>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</si>
  <si>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</si>
  <si>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</si>
  <si>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</si>
  <si>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</si>
  <si>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</si>
  <si>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</si>
  <si>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</si>
  <si>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</si>
  <si>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</si>
  <si>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</si>
  <si>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</si>
  <si>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</si>
  <si>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</si>
  <si>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</si>
  <si>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</si>
  <si>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</si>
  <si>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</si>
  <si>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</si>
  <si>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</si>
  <si>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</si>
  <si>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</si>
  <si>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</si>
  <si>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</si>
  <si>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</si>
  <si>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</si>
  <si>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</si>
  <si>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</si>
  <si>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</si>
  <si>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</si>
  <si>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</si>
  <si>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</si>
  <si>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</si>
  <si>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</si>
  <si>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</si>
  <si>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</si>
  <si>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</si>
  <si>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</si>
  <si>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</si>
  <si>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</si>
  <si>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</si>
  <si>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</si>
  <si>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</si>
  <si>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</si>
  <si>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</si>
  <si>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</si>
  <si>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</si>
  <si>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</si>
  <si>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</si>
  <si>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</si>
  <si>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</si>
  <si>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</si>
  <si>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</si>
  <si>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</si>
  <si>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</si>
  <si>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</si>
  <si>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</si>
  <si>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</si>
  <si>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</si>
  <si>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</si>
  <si>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</si>
  <si>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</si>
  <si>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</si>
  <si>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</si>
  <si>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</si>
  <si>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</si>
  <si>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</si>
  <si>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</si>
  <si>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</si>
  <si>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</si>
  <si>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</si>
  <si>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</si>
  <si>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</si>
  <si>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</si>
  <si>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</si>
  <si>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</si>
  <si>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</si>
  <si>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</si>
  <si>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</si>
  <si>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</si>
  <si>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</si>
  <si>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</si>
  <si>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</si>
  <si>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</si>
  <si>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</si>
  <si>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</si>
  <si>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</si>
  <si>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</si>
  <si>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</si>
  <si>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</si>
  <si>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</si>
  <si>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</si>
  <si>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</si>
  <si>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</si>
  <si>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</si>
  <si>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</si>
  <si>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</si>
  <si>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</si>
  <si>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</si>
  <si>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</si>
  <si>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</si>
  <si>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</si>
  <si>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</si>
  <si>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</si>
  <si>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</si>
  <si>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</si>
  <si>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</si>
  <si>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</si>
  <si>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</si>
  <si>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</si>
  <si>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</si>
  <si>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</si>
  <si>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</si>
  <si>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</si>
  <si>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</si>
  <si>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</si>
  <si>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</si>
  <si>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</si>
  <si>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</si>
  <si>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</si>
  <si>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</si>
  <si>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</si>
  <si>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</si>
  <si>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</si>
  <si>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</si>
  <si>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</si>
  <si>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</si>
  <si>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</si>
  <si>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</si>
  <si>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</si>
  <si>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</si>
  <si>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</si>
  <si>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</si>
  <si>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</si>
  <si>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</si>
  <si>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</si>
  <si>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</si>
  <si>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</si>
  <si>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</si>
  <si>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</si>
  <si>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</si>
  <si>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</si>
  <si>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</si>
  <si>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</si>
  <si>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</si>
  <si>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</si>
  <si>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</si>
  <si>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</si>
  <si>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</si>
  <si>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</si>
  <si>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</si>
  <si>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</si>
  <si>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</si>
  <si>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</si>
  <si>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</si>
  <si>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</si>
  <si>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</si>
  <si>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</si>
  <si>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</si>
  <si>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</si>
  <si>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</si>
  <si>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</si>
  <si>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</si>
  <si>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</si>
  <si>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</si>
  <si>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</si>
  <si>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</si>
  <si>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</si>
  <si>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</si>
  <si>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</si>
  <si>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</si>
  <si>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</si>
  <si>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</si>
  <si>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</si>
  <si>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</si>
  <si>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</si>
  <si>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</si>
  <si>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</si>
  <si>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</si>
  <si>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</si>
  <si>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</si>
  <si>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</si>
  <si>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</si>
  <si>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</si>
  <si>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</si>
  <si>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</si>
  <si>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</si>
  <si>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</si>
  <si>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</si>
  <si>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</si>
  <si>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</si>
  <si>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</si>
  <si>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</si>
  <si>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</si>
  <si>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</si>
  <si>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</si>
  <si>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</si>
  <si>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</si>
  <si>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</si>
  <si>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</si>
  <si>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</si>
  <si>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</si>
  <si>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</si>
  <si>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</si>
  <si>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</si>
  <si>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</si>
  <si>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</si>
  <si>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</si>
  <si>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</si>
  <si>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</si>
  <si>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</si>
  <si>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</si>
  <si>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</si>
  <si>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</si>
  <si>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</si>
  <si>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</si>
  <si>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</si>
  <si>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</si>
  <si>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</si>
  <si>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</si>
  <si>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</si>
  <si>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</si>
  <si>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</si>
  <si>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</si>
  <si>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</si>
  <si>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</si>
  <si>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</si>
  <si>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</si>
  <si>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</si>
  <si>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</si>
  <si>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</si>
  <si>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</si>
  <si>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</si>
  <si>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</si>
  <si>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</si>
  <si>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</si>
  <si>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</si>
  <si>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</si>
  <si>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</si>
  <si>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</si>
  <si>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</si>
  <si>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</si>
  <si>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</si>
  <si>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</si>
  <si>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</si>
  <si>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</si>
  <si>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</si>
  <si>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</si>
  <si>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</si>
  <si>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</si>
  <si>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</si>
  <si>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</si>
  <si>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</si>
  <si>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</si>
  <si>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</si>
  <si>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</si>
  <si>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</si>
  <si>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</si>
  <si>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</si>
  <si>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</si>
  <si>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</si>
  <si>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</si>
  <si>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</si>
  <si>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</si>
  <si>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</si>
  <si>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</si>
  <si>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</si>
  <si>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</si>
  <si>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</si>
  <si>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</si>
  <si>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</si>
  <si>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</si>
  <si>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</si>
  <si>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</si>
  <si>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</si>
  <si>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</si>
  <si>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</si>
  <si>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</si>
  <si>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</si>
  <si>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</si>
  <si>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</si>
  <si>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</si>
  <si>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</si>
  <si>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</si>
  <si>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</si>
  <si>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</si>
  <si>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</si>
  <si>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</si>
  <si>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</si>
  <si>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</si>
  <si>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</si>
  <si>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</si>
  <si>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</si>
  <si>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</si>
  <si>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</si>
  <si>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</si>
  <si>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</si>
  <si>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</si>
  <si>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</si>
  <si>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</si>
  <si>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blend_3110</t>
  </si>
  <si>
    <t>blend_3111</t>
  </si>
  <si>
    <t>blend_3112</t>
  </si>
  <si>
    <t>blend_3113</t>
  </si>
  <si>
    <t>blend_3114</t>
  </si>
  <si>
    <t>blend_3115</t>
  </si>
  <si>
    <t>blend_3116</t>
  </si>
  <si>
    <t>blend_3117</t>
  </si>
  <si>
    <t>blend_3118</t>
  </si>
  <si>
    <t>blend_3119</t>
  </si>
  <si>
    <t>blend_3120</t>
  </si>
  <si>
    <t>blend_3121</t>
  </si>
  <si>
    <t>blend_3122</t>
  </si>
  <si>
    <t>blend_3123</t>
  </si>
  <si>
    <t>blend_3124</t>
  </si>
  <si>
    <t>blend_3125</t>
  </si>
  <si>
    <t>blend_3126</t>
  </si>
  <si>
    <t>blend_3127</t>
  </si>
  <si>
    <t>blend_3128</t>
  </si>
  <si>
    <t>blend_3129</t>
  </si>
  <si>
    <t>blend_3130</t>
  </si>
  <si>
    <t>blend_3131</t>
  </si>
  <si>
    <t>blend_3132</t>
  </si>
  <si>
    <t>blend_3133</t>
  </si>
  <si>
    <t>blend_3134</t>
  </si>
  <si>
    <t>blend_3135</t>
  </si>
  <si>
    <t>blend_3136</t>
  </si>
  <si>
    <t>blend_3137</t>
  </si>
  <si>
    <t>blend_3138</t>
  </si>
  <si>
    <t>blend_3139</t>
  </si>
  <si>
    <t>blend_3140</t>
  </si>
  <si>
    <t>blend_3141</t>
  </si>
  <si>
    <t>blend_3142</t>
  </si>
  <si>
    <t>blend_3143</t>
  </si>
  <si>
    <t>blend_3144</t>
  </si>
  <si>
    <t>blend_3145</t>
  </si>
  <si>
    <t>blend_3146</t>
  </si>
  <si>
    <t>blend_3147</t>
  </si>
  <si>
    <t>blend_3148</t>
  </si>
  <si>
    <t>blend_3149</t>
  </si>
  <si>
    <t>blend_3150</t>
  </si>
  <si>
    <t>blend_3151</t>
  </si>
  <si>
    <t>blend_3152</t>
  </si>
  <si>
    <t>blend_3153</t>
  </si>
  <si>
    <t>blend_3154</t>
  </si>
  <si>
    <t>blend_3155</t>
  </si>
  <si>
    <t>blend_3156</t>
  </si>
  <si>
    <t>blend_3157</t>
  </si>
  <si>
    <t>blend_3158</t>
  </si>
  <si>
    <t>blend_3159</t>
  </si>
  <si>
    <t>blend_3160</t>
  </si>
  <si>
    <t>blend_3161</t>
  </si>
  <si>
    <t>blend_3162</t>
  </si>
  <si>
    <t>blend_3163</t>
  </si>
  <si>
    <t>blend_3164</t>
  </si>
  <si>
    <t>blend_3165</t>
  </si>
  <si>
    <t>blend_3166</t>
  </si>
  <si>
    <t>blend_3167</t>
  </si>
  <si>
    <t>blend_3168</t>
  </si>
  <si>
    <t>blend_3169</t>
  </si>
  <si>
    <t>blend_3170</t>
  </si>
  <si>
    <t>blend_3171</t>
  </si>
  <si>
    <t>blend_3172</t>
  </si>
  <si>
    <t>blend_3173</t>
  </si>
  <si>
    <t>blend_3174</t>
  </si>
  <si>
    <t>blend_3175</t>
  </si>
  <si>
    <t>blend_3176</t>
  </si>
  <si>
    <t>blend_3177</t>
  </si>
  <si>
    <t>blend_3178</t>
  </si>
  <si>
    <t>blend_3179</t>
  </si>
  <si>
    <t>blend_3180</t>
  </si>
  <si>
    <t>blend_3181</t>
  </si>
  <si>
    <t>blend_3182</t>
  </si>
  <si>
    <t>blend_3183</t>
  </si>
  <si>
    <t>blend_3184</t>
  </si>
  <si>
    <t>blend_3185</t>
  </si>
  <si>
    <t>blend_3186</t>
  </si>
  <si>
    <t>blend_3187</t>
  </si>
  <si>
    <t>blend_3188</t>
  </si>
  <si>
    <t>blend_3189</t>
  </si>
  <si>
    <t>blend_3190</t>
  </si>
  <si>
    <t>blend_3191</t>
  </si>
  <si>
    <t>blend_3192</t>
  </si>
  <si>
    <t>blend_3193</t>
  </si>
  <si>
    <t>blend_3194</t>
  </si>
  <si>
    <t>blend_3195</t>
  </si>
  <si>
    <t>blend_3196</t>
  </si>
  <si>
    <t>blend_3197</t>
  </si>
  <si>
    <t>blend_3198</t>
  </si>
  <si>
    <t>blend_3199</t>
  </si>
  <si>
    <t>blend_3200</t>
  </si>
  <si>
    <t>blend_3201</t>
  </si>
  <si>
    <t>blend_3202</t>
  </si>
  <si>
    <t>blend_3203</t>
  </si>
  <si>
    <t>blend_3204</t>
  </si>
  <si>
    <t>blend_3205</t>
  </si>
  <si>
    <t>blend_3206</t>
  </si>
  <si>
    <t>blend_3207</t>
  </si>
  <si>
    <t>blend_3208</t>
  </si>
  <si>
    <t>blend_3209</t>
  </si>
  <si>
    <t>blend_3210</t>
  </si>
  <si>
    <t>blend_3211</t>
  </si>
  <si>
    <t>blend_3214</t>
  </si>
  <si>
    <t>blend_3215</t>
  </si>
  <si>
    <t>blend_3216</t>
  </si>
  <si>
    <t>blend_3217</t>
  </si>
  <si>
    <t>blend_3218</t>
  </si>
  <si>
    <t>blend_3219</t>
  </si>
  <si>
    <t>blend_3220</t>
  </si>
  <si>
    <t>blend_3221</t>
  </si>
  <si>
    <t>blend_3222</t>
  </si>
  <si>
    <t>blend_3223</t>
  </si>
  <si>
    <t>blend_3224</t>
  </si>
  <si>
    <t>blend_3225</t>
  </si>
  <si>
    <t>blend_3226</t>
  </si>
  <si>
    <t>blend_3227</t>
  </si>
  <si>
    <t>blend_3228</t>
  </si>
  <si>
    <t>blend_3229</t>
  </si>
  <si>
    <t>blend_3230</t>
  </si>
  <si>
    <t>blend_3231</t>
  </si>
  <si>
    <t>blend_3232</t>
  </si>
  <si>
    <t>blend_3233</t>
  </si>
  <si>
    <t>blend_3234</t>
  </si>
  <si>
    <t>blend_3235</t>
  </si>
  <si>
    <t>blend_3236</t>
  </si>
  <si>
    <t>blend_3237</t>
  </si>
  <si>
    <t>blend_3238</t>
  </si>
  <si>
    <t>blend_3239</t>
  </si>
  <si>
    <t>blend_3240</t>
  </si>
  <si>
    <t>blend_3241</t>
  </si>
  <si>
    <t>blend_3242</t>
  </si>
  <si>
    <t>blend_3243</t>
  </si>
  <si>
    <t>blend_3244</t>
  </si>
  <si>
    <t>blend_3245</t>
  </si>
  <si>
    <t>blend_3246</t>
  </si>
  <si>
    <t>blend_3247</t>
  </si>
  <si>
    <t>blend_3248</t>
  </si>
  <si>
    <t>blend_3249</t>
  </si>
  <si>
    <t>blend_3250</t>
  </si>
  <si>
    <t>blend_3251</t>
  </si>
  <si>
    <t>blend_3252</t>
  </si>
  <si>
    <t>blend_3253</t>
  </si>
  <si>
    <t>blend_3254</t>
  </si>
  <si>
    <t>blend_3255</t>
  </si>
  <si>
    <t>blend_3256</t>
  </si>
  <si>
    <t>blend_3257</t>
  </si>
  <si>
    <t>blend_3258</t>
  </si>
  <si>
    <t>blend_3259</t>
  </si>
  <si>
    <t>blend_3260</t>
  </si>
  <si>
    <t>blend_3261</t>
  </si>
  <si>
    <t>blend_3262</t>
  </si>
  <si>
    <t>blend_3263</t>
  </si>
  <si>
    <t>blend_3264</t>
  </si>
  <si>
    <t>blend_3265</t>
  </si>
  <si>
    <t>blend_3266</t>
  </si>
  <si>
    <t>blend_3267</t>
  </si>
  <si>
    <t>blend_3268</t>
  </si>
  <si>
    <t>blend_3277</t>
  </si>
  <si>
    <t>blend_3278</t>
  </si>
  <si>
    <t>blend_3279</t>
  </si>
  <si>
    <t>blend_3280</t>
  </si>
  <si>
    <t>blend_3281</t>
  </si>
  <si>
    <t>blend_3282</t>
  </si>
  <si>
    <t>blend_3283</t>
  </si>
  <si>
    <t>blend_3284</t>
  </si>
  <si>
    <t>blend_3285</t>
  </si>
  <si>
    <t>blend_3286</t>
  </si>
  <si>
    <t>blend_3287</t>
  </si>
  <si>
    <t>blend_3288</t>
  </si>
  <si>
    <t>blend_3289</t>
  </si>
  <si>
    <t>blend_3290</t>
  </si>
  <si>
    <t>blend_3291</t>
  </si>
  <si>
    <t>blend_3292</t>
  </si>
  <si>
    <t>blend_3293</t>
  </si>
  <si>
    <t>blend_3294</t>
  </si>
  <si>
    <t>blend_3295</t>
  </si>
  <si>
    <t>blend_3296</t>
  </si>
  <si>
    <t>blend_3297</t>
  </si>
  <si>
    <t>blend_3298</t>
  </si>
  <si>
    <t>blend_3299</t>
  </si>
  <si>
    <t>blend_3300</t>
  </si>
  <si>
    <t>blend_3301</t>
  </si>
  <si>
    <t>blend_3302</t>
  </si>
  <si>
    <t>blend_3303</t>
  </si>
  <si>
    <t>blend_3304</t>
  </si>
  <si>
    <t>blend_3305</t>
  </si>
  <si>
    <t>blend_3306</t>
  </si>
  <si>
    <t>blend_3307</t>
  </si>
  <si>
    <t>blend_3308</t>
  </si>
  <si>
    <t>blend_3309</t>
  </si>
  <si>
    <t>blend_3310</t>
  </si>
  <si>
    <t>blend_3311</t>
  </si>
  <si>
    <t>blend_3312</t>
  </si>
  <si>
    <t>blend_3313</t>
  </si>
  <si>
    <t>blend_3314</t>
  </si>
  <si>
    <t>blend_3315</t>
  </si>
  <si>
    <t>blend_3316</t>
  </si>
  <si>
    <t>blend_3317</t>
  </si>
  <si>
    <t>blend_3318</t>
  </si>
  <si>
    <t>blend_3319</t>
  </si>
  <si>
    <t>blend_3320</t>
  </si>
  <si>
    <t>blend_3321</t>
  </si>
  <si>
    <t>blend_3322</t>
  </si>
  <si>
    <t>blend_3323</t>
  </si>
  <si>
    <t>blend_3324</t>
  </si>
  <si>
    <t>blend_3325</t>
  </si>
  <si>
    <t>blend_3326</t>
  </si>
  <si>
    <t>blend_3327</t>
  </si>
  <si>
    <t>blend_3328</t>
  </si>
  <si>
    <t>blend_3329</t>
  </si>
  <si>
    <t>blend_3330</t>
  </si>
  <si>
    <t>blend_3331</t>
  </si>
  <si>
    <t>blend_3332</t>
  </si>
  <si>
    <t>blend_3333</t>
  </si>
  <si>
    <t>blend_3334</t>
  </si>
  <si>
    <t>blend_3335</t>
  </si>
  <si>
    <t>blend_3336</t>
  </si>
  <si>
    <t>blend_3337</t>
  </si>
  <si>
    <t>blend_3338</t>
  </si>
  <si>
    <t>blend_3339</t>
  </si>
  <si>
    <t>blend_3340</t>
  </si>
  <si>
    <t>blend_3341</t>
  </si>
  <si>
    <t>blend_3342</t>
  </si>
  <si>
    <t>blend_3343</t>
  </si>
  <si>
    <t>blend_3344</t>
  </si>
  <si>
    <t>blend_3345</t>
  </si>
  <si>
    <t>blend_3346</t>
  </si>
  <si>
    <t>blend_3347</t>
  </si>
  <si>
    <t>blend_3348</t>
  </si>
  <si>
    <t>blend_3349</t>
  </si>
  <si>
    <t>blend_3350</t>
  </si>
  <si>
    <t>blend_3351</t>
  </si>
  <si>
    <t>blend_3352</t>
  </si>
  <si>
    <t>blend_3356</t>
  </si>
  <si>
    <t>blend_3357</t>
  </si>
  <si>
    <t>blend_3358</t>
  </si>
  <si>
    <t>blend_3359</t>
  </si>
  <si>
    <t>blend_3360</t>
  </si>
  <si>
    <t>blend_3361</t>
  </si>
  <si>
    <t>blend_3362</t>
  </si>
  <si>
    <t>blend_3363</t>
  </si>
  <si>
    <t>blend_3364</t>
  </si>
  <si>
    <t>blend_3365</t>
  </si>
  <si>
    <t>blend_3366</t>
  </si>
  <si>
    <t>blend_3367</t>
  </si>
  <si>
    <t>blend_3368</t>
  </si>
  <si>
    <t>blend_3369</t>
  </si>
  <si>
    <t>blend_3370</t>
  </si>
  <si>
    <t>blend_3371</t>
  </si>
  <si>
    <t>blend_3372</t>
  </si>
  <si>
    <t>blend_3373</t>
  </si>
  <si>
    <t>blend_3374</t>
  </si>
  <si>
    <t>blend_3375</t>
  </si>
  <si>
    <t>blend_3376</t>
  </si>
  <si>
    <t>blend_3377</t>
  </si>
  <si>
    <t>blend_3378</t>
  </si>
  <si>
    <t>blend_3379</t>
  </si>
  <si>
    <t>blend_3380</t>
  </si>
  <si>
    <t>blend_3381</t>
  </si>
  <si>
    <t>blend_3382</t>
  </si>
  <si>
    <t>blend_3383</t>
  </si>
  <si>
    <t>blend_3384</t>
  </si>
  <si>
    <t>blend_3385</t>
  </si>
  <si>
    <t>blend_3386</t>
  </si>
  <si>
    <t>blend_3387</t>
  </si>
  <si>
    <t>blend_3388</t>
  </si>
  <si>
    <t>blend_3389</t>
  </si>
  <si>
    <t>blend_3390</t>
  </si>
  <si>
    <t>blend_3391</t>
  </si>
  <si>
    <t>blend_3392</t>
  </si>
  <si>
    <t>blend_3393</t>
  </si>
  <si>
    <t>blend_3394</t>
  </si>
  <si>
    <t>blend_3395</t>
  </si>
  <si>
    <t>blend_3396</t>
  </si>
  <si>
    <t>blend_3397</t>
  </si>
  <si>
    <t>blend_3398</t>
  </si>
  <si>
    <t>blend_3399</t>
  </si>
  <si>
    <t>blend_3400</t>
  </si>
  <si>
    <t>blend_3401</t>
  </si>
  <si>
    <t>blend_3402</t>
  </si>
  <si>
    <t>blend_3403</t>
  </si>
  <si>
    <t>blend_3404</t>
  </si>
  <si>
    <t>blend_3405</t>
  </si>
  <si>
    <t>blend_3406</t>
  </si>
  <si>
    <t>blend_3407</t>
  </si>
  <si>
    <t>blend_3408</t>
  </si>
  <si>
    <t>blend_3409</t>
  </si>
  <si>
    <t>blend_3410</t>
  </si>
  <si>
    <t>blend_3411</t>
  </si>
  <si>
    <t>blend_3412</t>
  </si>
  <si>
    <t>blend_3413</t>
  </si>
  <si>
    <t>blend_3414</t>
  </si>
  <si>
    <t>blend_3415</t>
  </si>
  <si>
    <t>blend_3416</t>
  </si>
  <si>
    <t>blend_3417</t>
  </si>
  <si>
    <t>blend_3418</t>
  </si>
  <si>
    <t>blend_3419</t>
  </si>
  <si>
    <t>blend_3420</t>
  </si>
  <si>
    <t>blend_3421</t>
  </si>
  <si>
    <t>blend_3422</t>
  </si>
  <si>
    <t>blend_3423</t>
  </si>
  <si>
    <t>blend_3424</t>
  </si>
  <si>
    <t>blend_3425</t>
  </si>
  <si>
    <t>blend_3426</t>
  </si>
  <si>
    <t>blend_3427</t>
  </si>
  <si>
    <t>blend_3428</t>
  </si>
  <si>
    <t>blend_3429</t>
  </si>
  <si>
    <t>blend_3430</t>
  </si>
  <si>
    <t>blend_3431</t>
  </si>
  <si>
    <t>blend_3432</t>
  </si>
  <si>
    <t>blend_3433</t>
  </si>
  <si>
    <t>blend_3434</t>
  </si>
  <si>
    <t>blend_3435</t>
  </si>
  <si>
    <t>blend_3436</t>
  </si>
  <si>
    <t>blend_3437</t>
  </si>
  <si>
    <t>blend_3438</t>
  </si>
  <si>
    <t>blend_3439</t>
  </si>
  <si>
    <t>blend_3440</t>
  </si>
  <si>
    <t>blend_3441</t>
  </si>
  <si>
    <t>blend_3442</t>
  </si>
  <si>
    <t>blend_3443</t>
  </si>
  <si>
    <t>blend_3444</t>
  </si>
  <si>
    <t>blend_3445</t>
  </si>
  <si>
    <t>blend_3446</t>
  </si>
  <si>
    <t>blend_3447</t>
  </si>
  <si>
    <t>blend_3448</t>
  </si>
  <si>
    <t>blend_3449</t>
  </si>
  <si>
    <t>blend_3450</t>
  </si>
  <si>
    <t>blend_3451</t>
  </si>
  <si>
    <t>blend_3452</t>
  </si>
  <si>
    <t>blend_3453</t>
  </si>
  <si>
    <t>blend_3454</t>
  </si>
  <si>
    <t>blend_3456</t>
  </si>
  <si>
    <t>blend_3457</t>
  </si>
  <si>
    <t>blend_3458</t>
  </si>
  <si>
    <t>blend_3459</t>
  </si>
  <si>
    <t>blend_3460</t>
  </si>
  <si>
    <t>blend_3461</t>
  </si>
  <si>
    <t>blend_3462</t>
  </si>
  <si>
    <t>blend_3463</t>
  </si>
  <si>
    <t>blend_3464</t>
  </si>
  <si>
    <t>blend_3465</t>
  </si>
  <si>
    <t>blend_3466</t>
  </si>
  <si>
    <t>blend_3467</t>
  </si>
  <si>
    <t>blend_3468</t>
  </si>
  <si>
    <t>blend_3469</t>
  </si>
  <si>
    <t>blend_3470</t>
  </si>
  <si>
    <t>blend_3471</t>
  </si>
  <si>
    <t>blend_3472</t>
  </si>
  <si>
    <t>blend_3473</t>
  </si>
  <si>
    <t>blend_3474</t>
  </si>
  <si>
    <t>blend_3475</t>
  </si>
  <si>
    <t>blend_3476</t>
  </si>
  <si>
    <t>blend_3477</t>
  </si>
  <si>
    <t>blend_3478</t>
  </si>
  <si>
    <t>blend_3479</t>
  </si>
  <si>
    <t>blend_3480</t>
  </si>
  <si>
    <t>blend_3481</t>
  </si>
  <si>
    <t>blend_3482</t>
  </si>
  <si>
    <t>blend_3483</t>
  </si>
  <si>
    <t>blend_3484</t>
  </si>
  <si>
    <t>blend_3485</t>
  </si>
  <si>
    <t>blend_3486</t>
  </si>
  <si>
    <t>blend_3487</t>
  </si>
  <si>
    <t>blend_3488</t>
  </si>
  <si>
    <t>blend_3489</t>
  </si>
  <si>
    <t>blend_3490</t>
  </si>
  <si>
    <t>blend_3491</t>
  </si>
  <si>
    <t>blend_3492</t>
  </si>
  <si>
    <t>blend_3493</t>
  </si>
  <si>
    <t>blend_3494</t>
  </si>
  <si>
    <t>blend_3495</t>
  </si>
  <si>
    <t>blend_3496</t>
  </si>
  <si>
    <t>blend_3497</t>
  </si>
  <si>
    <t>blend_3498</t>
  </si>
  <si>
    <t>blend_3499</t>
  </si>
  <si>
    <t>blend_3500</t>
  </si>
  <si>
    <t>blend_3501</t>
  </si>
  <si>
    <t>blend_3502</t>
  </si>
  <si>
    <t>blend_3503</t>
  </si>
  <si>
    <t>blend_3504</t>
  </si>
  <si>
    <t>blend_3505</t>
  </si>
  <si>
    <t>blend_3506</t>
  </si>
  <si>
    <t>blend_3507</t>
  </si>
  <si>
    <t>blend_3508</t>
  </si>
  <si>
    <t>blend_3509</t>
  </si>
  <si>
    <t>blend_3510</t>
  </si>
  <si>
    <t>blend_3511</t>
  </si>
  <si>
    <t>blend_3512</t>
  </si>
  <si>
    <t>blend_3513</t>
  </si>
  <si>
    <t>blend_3514</t>
  </si>
  <si>
    <t>blend_3515</t>
  </si>
  <si>
    <t>blend_3516</t>
  </si>
  <si>
    <t>blend_3517</t>
  </si>
  <si>
    <t>blend_3518</t>
  </si>
  <si>
    <t>blend_3519</t>
  </si>
  <si>
    <t>blend_3520</t>
  </si>
  <si>
    <t>blend_3521</t>
  </si>
  <si>
    <t>blend_3522</t>
  </si>
  <si>
    <t>blend_3523</t>
  </si>
  <si>
    <t>blend_3524</t>
  </si>
  <si>
    <t>blend_3525</t>
  </si>
  <si>
    <t>blend_3526</t>
  </si>
  <si>
    <t>blend_3527</t>
  </si>
  <si>
    <t>blend_3528</t>
  </si>
  <si>
    <t>blend_3529</t>
  </si>
  <si>
    <t>blend_3530</t>
  </si>
  <si>
    <t>blend_3531</t>
  </si>
  <si>
    <t>blend_3532</t>
  </si>
  <si>
    <t>blend_3533</t>
  </si>
  <si>
    <t>blend_3534</t>
  </si>
  <si>
    <t>blend_3535</t>
  </si>
  <si>
    <t>blend_3536</t>
  </si>
  <si>
    <t>blend_3537</t>
  </si>
  <si>
    <t>blend_3538</t>
  </si>
  <si>
    <t>blend_3539</t>
  </si>
  <si>
    <t>blend_3540</t>
  </si>
  <si>
    <t>blend_3541</t>
  </si>
  <si>
    <t>blend_3542</t>
  </si>
  <si>
    <t>blend_3543</t>
  </si>
  <si>
    <t>blend_3544</t>
  </si>
  <si>
    <t>blend_3545</t>
  </si>
  <si>
    <t>blend_3546</t>
  </si>
  <si>
    <t>blend_3547</t>
  </si>
  <si>
    <t>blend_3548</t>
  </si>
  <si>
    <t>blend_3549</t>
  </si>
  <si>
    <t>blend_3550</t>
  </si>
  <si>
    <t>blend_3551</t>
  </si>
  <si>
    <t>blend_3552</t>
  </si>
  <si>
    <t>blend_3553</t>
  </si>
  <si>
    <t>blend_3554</t>
  </si>
  <si>
    <t>blend_3555</t>
  </si>
  <si>
    <t>blend_3556</t>
  </si>
  <si>
    <t>blend_3557</t>
  </si>
  <si>
    <t>blend_3558</t>
  </si>
  <si>
    <t>blend_3559</t>
  </si>
  <si>
    <t>blend_3568</t>
  </si>
  <si>
    <t>blend_3569</t>
  </si>
  <si>
    <t>blend_3570</t>
  </si>
  <si>
    <t>blend_3571</t>
  </si>
  <si>
    <t>blend_3572</t>
  </si>
  <si>
    <t>blend_3573</t>
  </si>
  <si>
    <t>blend_3574</t>
  </si>
  <si>
    <t>blend_3575</t>
  </si>
  <si>
    <t>blend_3576</t>
  </si>
  <si>
    <t>blend_3577</t>
  </si>
  <si>
    <t>blend_3578</t>
  </si>
  <si>
    <t>blend_3579</t>
  </si>
  <si>
    <t>blend_3580</t>
  </si>
  <si>
    <t>blend_3581</t>
  </si>
  <si>
    <t>blend_3582</t>
  </si>
  <si>
    <t>blend_3583</t>
  </si>
  <si>
    <t>blend_3584</t>
  </si>
  <si>
    <t>blend_3585</t>
  </si>
  <si>
    <t>blend_3586</t>
  </si>
  <si>
    <t>blend_3587</t>
  </si>
  <si>
    <t>blend_3588</t>
  </si>
  <si>
    <t>blend_3589</t>
  </si>
  <si>
    <t>blend_3590</t>
  </si>
  <si>
    <t>blend_3591</t>
  </si>
  <si>
    <t>blend_3592</t>
  </si>
  <si>
    <t>blend_3593</t>
  </si>
  <si>
    <t>blend_3594</t>
  </si>
  <si>
    <t>blend_3595</t>
  </si>
  <si>
    <t>blend_3596</t>
  </si>
  <si>
    <t>blend_3597</t>
  </si>
  <si>
    <t>blend_3598</t>
  </si>
  <si>
    <t>blend_3599</t>
  </si>
  <si>
    <t>blend_3600</t>
  </si>
  <si>
    <t>blend_3601</t>
  </si>
  <si>
    <t>blend_3602</t>
  </si>
  <si>
    <t>blend_3603</t>
  </si>
  <si>
    <t>blend_3604</t>
  </si>
  <si>
    <t>blend_3606</t>
  </si>
  <si>
    <t>blend_3607</t>
  </si>
  <si>
    <t>blend_3608</t>
  </si>
  <si>
    <t>blend_3609</t>
  </si>
  <si>
    <t>blend_3610</t>
  </si>
  <si>
    <t>blend_3611</t>
  </si>
  <si>
    <t>blend_3612</t>
  </si>
  <si>
    <t>blend_3613</t>
  </si>
  <si>
    <t>blend_3614</t>
  </si>
  <si>
    <t>blend_3615</t>
  </si>
  <si>
    <t>blend_3616</t>
  </si>
  <si>
    <t>blend_3617</t>
  </si>
  <si>
    <t>blend_3618</t>
  </si>
  <si>
    <t>blend_3619</t>
  </si>
  <si>
    <t>blend_3620</t>
  </si>
  <si>
    <t>blend_3621</t>
  </si>
  <si>
    <t>blend_3622</t>
  </si>
  <si>
    <t>blend_3623</t>
  </si>
  <si>
    <t>blend_3624</t>
  </si>
  <si>
    <t>blend_3625</t>
  </si>
  <si>
    <t>blend_3626</t>
  </si>
  <si>
    <t>blend_3627</t>
  </si>
  <si>
    <t>blend_3628</t>
  </si>
  <si>
    <t>blend_3629</t>
  </si>
  <si>
    <t>blend_3630</t>
  </si>
  <si>
    <t>blend_3631</t>
  </si>
  <si>
    <t>blend_3632</t>
  </si>
  <si>
    <t>blend_3633</t>
  </si>
  <si>
    <t>blend_3634</t>
  </si>
  <si>
    <t>blend_3635</t>
  </si>
  <si>
    <t>blend_3636</t>
  </si>
  <si>
    <t>blend_3637</t>
  </si>
  <si>
    <t>blend_3638</t>
  </si>
  <si>
    <t>blend_3639</t>
  </si>
  <si>
    <t>blend_3640</t>
  </si>
  <si>
    <t>blend_3641</t>
  </si>
  <si>
    <t>blend_3642</t>
  </si>
  <si>
    <t>blend_3643</t>
  </si>
  <si>
    <t>blend_3650</t>
  </si>
  <si>
    <t>blend_3651</t>
  </si>
  <si>
    <t>blend_3652</t>
  </si>
  <si>
    <t>blend_3653</t>
  </si>
  <si>
    <t>blend_3654</t>
  </si>
  <si>
    <t>blend_3655</t>
  </si>
  <si>
    <t>blend_3656</t>
  </si>
  <si>
    <t>blend_3657</t>
  </si>
  <si>
    <t>blend_3658</t>
  </si>
  <si>
    <t>blend_3659</t>
  </si>
  <si>
    <t>blend_3660</t>
  </si>
  <si>
    <t>blend_3661</t>
  </si>
  <si>
    <t>blend_3662</t>
  </si>
  <si>
    <t>blend_3663</t>
  </si>
  <si>
    <t>blend_3664</t>
  </si>
  <si>
    <t>blend_3665</t>
  </si>
  <si>
    <t>blend_3666</t>
  </si>
  <si>
    <t>blend_3667</t>
  </si>
  <si>
    <t>blend_3668</t>
  </si>
  <si>
    <t>blend_3669</t>
  </si>
  <si>
    <t>blend_3670</t>
  </si>
  <si>
    <t>blend_3671</t>
  </si>
  <si>
    <t>blend_3672</t>
  </si>
  <si>
    <t>blend_3673</t>
  </si>
  <si>
    <t>blend_3674</t>
  </si>
  <si>
    <t>blend_3675</t>
  </si>
  <si>
    <t>blend_3676</t>
  </si>
  <si>
    <t>blend_3677</t>
  </si>
  <si>
    <t>blend_3678</t>
  </si>
  <si>
    <t>blend_3679</t>
  </si>
  <si>
    <t>blend_3680</t>
  </si>
  <si>
    <t>blend_3681</t>
  </si>
  <si>
    <t>blend_3682</t>
  </si>
  <si>
    <t>blend_3683</t>
  </si>
  <si>
    <t>blend_3684</t>
  </si>
  <si>
    <t>blend_3685</t>
  </si>
  <si>
    <t>blend_3686</t>
  </si>
  <si>
    <t>blend_3687</t>
  </si>
  <si>
    <t>blend_3688</t>
  </si>
  <si>
    <t>blend_3689</t>
  </si>
  <si>
    <t>blend_3690</t>
  </si>
  <si>
    <t>blend_3691</t>
  </si>
  <si>
    <t>blend_3692</t>
  </si>
  <si>
    <t>blend_3693</t>
  </si>
  <si>
    <t>blend_3694</t>
  </si>
  <si>
    <t>blend_3695</t>
  </si>
  <si>
    <t>blend_3696</t>
  </si>
  <si>
    <t>blend_3697</t>
  </si>
  <si>
    <t>blend_3698</t>
  </si>
  <si>
    <t>blend_3699</t>
  </si>
  <si>
    <t>blend_3700</t>
  </si>
  <si>
    <t>blend_3701</t>
  </si>
  <si>
    <t>blend_3702</t>
  </si>
  <si>
    <t>blend_3703</t>
  </si>
  <si>
    <t>blend_3704</t>
  </si>
  <si>
    <t>blend_3705</t>
  </si>
  <si>
    <t>blend_3706</t>
  </si>
  <si>
    <t>blend_3707</t>
  </si>
  <si>
    <t>blend_3708</t>
  </si>
  <si>
    <t>blend_3709</t>
  </si>
  <si>
    <t>blend_3710</t>
  </si>
  <si>
    <t>blend_3711</t>
  </si>
  <si>
    <t>blend_3712</t>
  </si>
  <si>
    <t>blend_3713</t>
  </si>
  <si>
    <t>blend_3714</t>
  </si>
  <si>
    <t>blend_3715</t>
  </si>
  <si>
    <t>blend_3716</t>
  </si>
  <si>
    <t>blend_3717</t>
  </si>
  <si>
    <t>blend_3718</t>
  </si>
  <si>
    <t>blend_3719</t>
  </si>
  <si>
    <t>blend_3720</t>
  </si>
  <si>
    <t>blend_3721</t>
  </si>
  <si>
    <t>blend_3722</t>
  </si>
  <si>
    <t>blend_3723</t>
  </si>
  <si>
    <t>blend_3724</t>
  </si>
  <si>
    <t>blend_3725</t>
  </si>
  <si>
    <t>blend_3726</t>
  </si>
  <si>
    <t>blend_3727</t>
  </si>
  <si>
    <t>blend_3728</t>
  </si>
  <si>
    <t>blend_3729</t>
  </si>
  <si>
    <t>blend_3730</t>
  </si>
  <si>
    <t>blend_3731</t>
  </si>
  <si>
    <t>blend_3732</t>
  </si>
  <si>
    <t>blend_3733</t>
  </si>
  <si>
    <t>blend_3734</t>
  </si>
  <si>
    <t>blend_3735</t>
  </si>
  <si>
    <t>blend_3736</t>
  </si>
  <si>
    <t>blend_3737</t>
  </si>
  <si>
    <t>blend_3738</t>
  </si>
  <si>
    <t>blend_3739</t>
  </si>
  <si>
    <t>blend_3740</t>
  </si>
  <si>
    <t>blend_3741</t>
  </si>
  <si>
    <t>blend_3742</t>
  </si>
  <si>
    <t>blend_3743</t>
  </si>
  <si>
    <t>blend_3744</t>
  </si>
  <si>
    <t>blend_3745</t>
  </si>
  <si>
    <t>blend_3746</t>
  </si>
  <si>
    <t>blend_3747</t>
  </si>
  <si>
    <t>blend_3748</t>
  </si>
  <si>
    <t>blend_3749</t>
  </si>
  <si>
    <t>blend_3750</t>
  </si>
  <si>
    <t>blend_3751</t>
  </si>
  <si>
    <t>blend_3752</t>
  </si>
  <si>
    <t>blend_3753</t>
  </si>
  <si>
    <t>blend_3754</t>
  </si>
  <si>
    <t>blend_3755</t>
  </si>
  <si>
    <t>blend_3756</t>
  </si>
  <si>
    <t>blend_3757</t>
  </si>
  <si>
    <t>blend_3758</t>
  </si>
  <si>
    <t>blend_3759</t>
  </si>
  <si>
    <t>blend_3760</t>
  </si>
  <si>
    <t>blend_3761</t>
  </si>
  <si>
    <t>blend_3762</t>
  </si>
  <si>
    <t>blend_3763</t>
  </si>
  <si>
    <t>blend_3764</t>
  </si>
  <si>
    <t>blend_3765</t>
  </si>
  <si>
    <t>blend_3766</t>
  </si>
  <si>
    <t>blend_3767</t>
  </si>
  <si>
    <t>blend_3768</t>
  </si>
  <si>
    <t>blend_3769</t>
  </si>
  <si>
    <t>blend_3770</t>
  </si>
  <si>
    <t>blend_3771</t>
  </si>
  <si>
    <t>blend_3772</t>
  </si>
  <si>
    <t>blend_3773</t>
  </si>
  <si>
    <t>blend_3774</t>
  </si>
  <si>
    <t>blend_3775</t>
  </si>
  <si>
    <t>blend_3776</t>
  </si>
  <si>
    <t>blend_3777</t>
  </si>
  <si>
    <t>blend_3778</t>
  </si>
  <si>
    <t>blend_3779</t>
  </si>
  <si>
    <t>blend_3780</t>
  </si>
  <si>
    <t>blend_3781</t>
  </si>
  <si>
    <t>blend_3782</t>
  </si>
  <si>
    <t>blend_3783</t>
  </si>
  <si>
    <t>blend_3784</t>
  </si>
  <si>
    <t>blend_3785</t>
  </si>
  <si>
    <t>blend_3786</t>
  </si>
  <si>
    <t>blend_3787</t>
  </si>
  <si>
    <t>blend_3788</t>
  </si>
  <si>
    <t>blend_3789</t>
  </si>
  <si>
    <t>blend_3790</t>
  </si>
  <si>
    <t>blend_3791</t>
  </si>
  <si>
    <t>blend_3792</t>
  </si>
  <si>
    <t>blend_3793</t>
  </si>
  <si>
    <t>blend_3794</t>
  </si>
  <si>
    <t>blend_3795</t>
  </si>
  <si>
    <t>blend_3796</t>
  </si>
  <si>
    <t>blend_3797</t>
  </si>
  <si>
    <t>blend_3798</t>
  </si>
  <si>
    <t>blend_3799</t>
  </si>
  <si>
    <t>blend_3800</t>
  </si>
  <si>
    <t>blend_3801</t>
  </si>
  <si>
    <t>blend_3802</t>
  </si>
  <si>
    <t>blend_3803</t>
  </si>
  <si>
    <t>blend_3804</t>
  </si>
  <si>
    <t>blend_3805</t>
  </si>
  <si>
    <t>blend_3806</t>
  </si>
  <si>
    <t>blend_3807</t>
  </si>
  <si>
    <t>blend_3808</t>
  </si>
  <si>
    <t>blend_3809</t>
  </si>
  <si>
    <t>blend_3810</t>
  </si>
  <si>
    <t>blend_3811</t>
  </si>
  <si>
    <t>blend_3812</t>
  </si>
  <si>
    <t>blend_3813</t>
  </si>
  <si>
    <t>blend_3814</t>
  </si>
  <si>
    <t>blend_3815</t>
  </si>
  <si>
    <t>blend_3816</t>
  </si>
  <si>
    <t>blend_3829</t>
  </si>
  <si>
    <t>blend_3830</t>
  </si>
  <si>
    <t>blend_3831</t>
  </si>
  <si>
    <t>blend_3832</t>
  </si>
  <si>
    <t>blend_3833</t>
  </si>
  <si>
    <t>blend_3834</t>
  </si>
  <si>
    <t>blend_3835</t>
  </si>
  <si>
    <t>blend_3836</t>
  </si>
  <si>
    <t>blend_3837</t>
  </si>
  <si>
    <t>blend_3838</t>
  </si>
  <si>
    <t>blend_3839</t>
  </si>
  <si>
    <t>blend_3840</t>
  </si>
  <si>
    <t>blend_3841</t>
  </si>
  <si>
    <t>blend_3842</t>
  </si>
  <si>
    <t>blend_3843</t>
  </si>
  <si>
    <t>blend_3844</t>
  </si>
  <si>
    <t>blend_3845</t>
  </si>
  <si>
    <t>blend_3846</t>
  </si>
  <si>
    <t>blend_3847</t>
  </si>
  <si>
    <t>blend_3848</t>
  </si>
  <si>
    <t>blend_3849</t>
  </si>
  <si>
    <t>blend_3850</t>
  </si>
  <si>
    <t>blend_3851</t>
  </si>
  <si>
    <t>blend_3852</t>
  </si>
  <si>
    <t>blend_3853</t>
  </si>
  <si>
    <t>blend_3854</t>
  </si>
  <si>
    <t>blend_3855</t>
  </si>
  <si>
    <t>blend_3856</t>
  </si>
  <si>
    <t>blend_3857</t>
  </si>
  <si>
    <t>blend_3858</t>
  </si>
  <si>
    <t>blend_3859</t>
  </si>
  <si>
    <t>blend_3860</t>
  </si>
  <si>
    <t>blend_3861</t>
  </si>
  <si>
    <t>blend_3862</t>
  </si>
  <si>
    <t>blend_3863</t>
  </si>
  <si>
    <t>blend_3864</t>
  </si>
  <si>
    <t>blend_3865</t>
  </si>
  <si>
    <t>blend_3866</t>
  </si>
  <si>
    <t>blend_3867</t>
  </si>
  <si>
    <t>blend_3868</t>
  </si>
  <si>
    <t>blend_3869</t>
  </si>
  <si>
    <t>blend_3870</t>
  </si>
  <si>
    <t>blend_3871</t>
  </si>
  <si>
    <t>blend_3872</t>
  </si>
  <si>
    <t>blend_3873</t>
  </si>
  <si>
    <t>blend_3874</t>
  </si>
  <si>
    <t>blend_3875</t>
  </si>
  <si>
    <t>blend_3876</t>
  </si>
  <si>
    <t>blend_3877</t>
  </si>
  <si>
    <t>blend_3878</t>
  </si>
  <si>
    <t>blend_3879</t>
  </si>
  <si>
    <t>blend_3880</t>
  </si>
  <si>
    <t>blend_3881</t>
  </si>
  <si>
    <t>blend_3882</t>
  </si>
  <si>
    <t>blend_3883</t>
  </si>
  <si>
    <t>blend_3884</t>
  </si>
  <si>
    <t>blend_3885</t>
  </si>
  <si>
    <t>blend_3886</t>
  </si>
  <si>
    <t>blend_3887</t>
  </si>
  <si>
    <t>blend_3888</t>
  </si>
  <si>
    <t>blend_3889</t>
  </si>
  <si>
    <t>blend_3890</t>
  </si>
  <si>
    <t>blend_3891</t>
  </si>
  <si>
    <t>blend_3892</t>
  </si>
  <si>
    <t>blend_3893</t>
  </si>
  <si>
    <t>blend_3894</t>
  </si>
  <si>
    <t>blend_3895</t>
  </si>
  <si>
    <t>blend_3896</t>
  </si>
  <si>
    <t>blend_3897</t>
  </si>
  <si>
    <t>blend_3904</t>
  </si>
  <si>
    <t>blend_3905</t>
  </si>
  <si>
    <t>blend_3906</t>
  </si>
  <si>
    <t>blend_3907</t>
  </si>
  <si>
    <t>blend_3908</t>
  </si>
  <si>
    <t>blend_3909</t>
  </si>
  <si>
    <t>blend_3910</t>
  </si>
  <si>
    <t>blend_3911</t>
  </si>
  <si>
    <t>blend_3912</t>
  </si>
  <si>
    <t>blend_3914</t>
  </si>
  <si>
    <t>blend_3915</t>
  </si>
  <si>
    <t>blend_3916</t>
  </si>
  <si>
    <t>blend_3917</t>
  </si>
  <si>
    <t>blend_3918</t>
  </si>
  <si>
    <t>blend_3919</t>
  </si>
  <si>
    <t>blend_3920</t>
  </si>
  <si>
    <t>blend_3921</t>
  </si>
  <si>
    <t>blend_3922</t>
  </si>
  <si>
    <t>blend_3923</t>
  </si>
  <si>
    <t>blend_3924</t>
  </si>
  <si>
    <t>blend_3925</t>
  </si>
  <si>
    <t>blend_3926</t>
  </si>
  <si>
    <t>blend_3927</t>
  </si>
  <si>
    <t>blend_3928</t>
  </si>
  <si>
    <t>blend_3929</t>
  </si>
  <si>
    <t>blend_3930</t>
  </si>
  <si>
    <t>blend_3931</t>
  </si>
  <si>
    <t>blend_3932</t>
  </si>
  <si>
    <t>blend_3933</t>
  </si>
  <si>
    <t>blend_3934</t>
  </si>
  <si>
    <t>blend_3935</t>
  </si>
  <si>
    <t>blend_3936</t>
  </si>
  <si>
    <t>blend_3937</t>
  </si>
  <si>
    <t>blend_3938</t>
  </si>
  <si>
    <t>blend_3939</t>
  </si>
  <si>
    <t>blend_3940</t>
  </si>
  <si>
    <t>blend_3941</t>
  </si>
  <si>
    <t>blend_3942</t>
  </si>
  <si>
    <t>blend_3943</t>
  </si>
  <si>
    <t>blend_3944</t>
  </si>
  <si>
    <t>blend_3945</t>
  </si>
  <si>
    <t>blend_3946</t>
  </si>
  <si>
    <t>blend_3947</t>
  </si>
  <si>
    <t>blend_3948</t>
  </si>
  <si>
    <t>blend_3949</t>
  </si>
  <si>
    <t>blend_3950</t>
  </si>
  <si>
    <t>blend_3951</t>
  </si>
  <si>
    <t>blend_3952</t>
  </si>
  <si>
    <t>blend_3953</t>
  </si>
  <si>
    <t>blend_3954</t>
  </si>
  <si>
    <t>blend_3955</t>
  </si>
  <si>
    <t>blend_3956</t>
  </si>
  <si>
    <t>blend_3957</t>
  </si>
  <si>
    <t>blend_3958</t>
  </si>
  <si>
    <t>blend_3959</t>
  </si>
  <si>
    <t>blend_3960</t>
  </si>
  <si>
    <t>blend_3961</t>
  </si>
  <si>
    <t>blend_3962</t>
  </si>
  <si>
    <t>blend_3963</t>
  </si>
  <si>
    <t>blend_3964</t>
  </si>
  <si>
    <t>blend_3965</t>
  </si>
  <si>
    <t>blend_3966</t>
  </si>
  <si>
    <t>blend_3967</t>
  </si>
  <si>
    <t>blend_3968</t>
  </si>
  <si>
    <t>blend_3969</t>
  </si>
  <si>
    <t>blend_3970</t>
  </si>
  <si>
    <t>blend_3971</t>
  </si>
  <si>
    <t>blend_3972</t>
  </si>
  <si>
    <t>blend_3973</t>
  </si>
  <si>
    <t>blend_3974</t>
  </si>
  <si>
    <t>blend_3975</t>
  </si>
  <si>
    <t>blend_3976</t>
  </si>
  <si>
    <t>blend_3977</t>
  </si>
  <si>
    <t>blend_3978</t>
  </si>
  <si>
    <t>blend_3979</t>
  </si>
  <si>
    <t>blend_3980</t>
  </si>
  <si>
    <t>blend_3981</t>
  </si>
  <si>
    <t>blend_3982</t>
  </si>
  <si>
    <t>blend_3983</t>
  </si>
  <si>
    <t>blend_3984</t>
  </si>
  <si>
    <t>blend_3985</t>
  </si>
  <si>
    <t>blend_3986</t>
  </si>
  <si>
    <t>blend_3987</t>
  </si>
  <si>
    <t>blend_3988</t>
  </si>
  <si>
    <t>blend_3989</t>
  </si>
  <si>
    <t>blend_3990</t>
  </si>
  <si>
    <t>blend_3991</t>
  </si>
  <si>
    <t>blend_3992</t>
  </si>
  <si>
    <t>blend_3993</t>
  </si>
  <si>
    <t>blend_3995</t>
  </si>
  <si>
    <t>blend_3996</t>
  </si>
  <si>
    <t>blend_3997</t>
  </si>
  <si>
    <t>blend_4004</t>
  </si>
  <si>
    <t>blend_4005</t>
  </si>
  <si>
    <t>blend_4006</t>
  </si>
  <si>
    <t>blend_4007</t>
  </si>
  <si>
    <t>blend_4008</t>
  </si>
  <si>
    <t>blend_4009</t>
  </si>
  <si>
    <t>blend_4010</t>
  </si>
  <si>
    <t>blend_4011</t>
  </si>
  <si>
    <t>blend_4012</t>
  </si>
  <si>
    <t>blend_4013</t>
  </si>
  <si>
    <t>blend_4014</t>
  </si>
  <si>
    <t>blend_4015</t>
  </si>
  <si>
    <t>blend_4016</t>
  </si>
  <si>
    <t>blend_4017</t>
  </si>
  <si>
    <t>blend_4018</t>
  </si>
  <si>
    <t>blend_4019</t>
  </si>
  <si>
    <t>blend_4020</t>
  </si>
  <si>
    <t>blend_4021</t>
  </si>
  <si>
    <t>blend_4022</t>
  </si>
  <si>
    <t>blend_4023</t>
  </si>
  <si>
    <t>blend_4024</t>
  </si>
  <si>
    <t>blend_4025</t>
  </si>
  <si>
    <t>blend_4026</t>
  </si>
  <si>
    <t>blend_4027</t>
  </si>
  <si>
    <t>blend_4028</t>
  </si>
  <si>
    <t>blend_4029</t>
  </si>
  <si>
    <t>blend_4030</t>
  </si>
  <si>
    <t>blend_4031</t>
  </si>
  <si>
    <t>blend_4032</t>
  </si>
  <si>
    <t>blend_4033</t>
  </si>
  <si>
    <t>blend_4034</t>
  </si>
  <si>
    <t>blend_4035</t>
  </si>
  <si>
    <t>blend_4036</t>
  </si>
  <si>
    <t>blend_4037</t>
  </si>
  <si>
    <t>blend_4038</t>
  </si>
  <si>
    <t>blend_4039</t>
  </si>
  <si>
    <t>blend_4040</t>
  </si>
  <si>
    <t>blend_4041</t>
  </si>
  <si>
    <t>blend_4042</t>
  </si>
  <si>
    <t>blend_4043</t>
  </si>
  <si>
    <t>blend_4044</t>
  </si>
  <si>
    <t>blend_4045</t>
  </si>
  <si>
    <t>blend_4046</t>
  </si>
  <si>
    <t>blend_4047</t>
  </si>
  <si>
    <t>blend_4048</t>
  </si>
  <si>
    <t>blend_4049</t>
  </si>
  <si>
    <t>blend_4050</t>
  </si>
  <si>
    <t>blend_4051</t>
  </si>
  <si>
    <t>blend_4052</t>
  </si>
  <si>
    <t>blend_4053</t>
  </si>
  <si>
    <t>blend_4054</t>
  </si>
  <si>
    <t>blend_4055</t>
  </si>
  <si>
    <t>blend_4056</t>
  </si>
  <si>
    <t>blend_4057</t>
  </si>
  <si>
    <t>blend_4058</t>
  </si>
  <si>
    <t>blend_4059</t>
  </si>
  <si>
    <t>blend_4060</t>
  </si>
  <si>
    <t>blend_4061</t>
  </si>
  <si>
    <t>blend_4062</t>
  </si>
  <si>
    <t>blend_4063</t>
  </si>
  <si>
    <t>blend_4064</t>
  </si>
  <si>
    <t>blend_4065</t>
  </si>
  <si>
    <t>blend_4066</t>
  </si>
  <si>
    <t>blend_4067</t>
  </si>
  <si>
    <t>blend_4068</t>
  </si>
  <si>
    <t>blend_4069</t>
  </si>
  <si>
    <t>blend_4070</t>
  </si>
  <si>
    <t>blend_4071</t>
  </si>
  <si>
    <t>blend_4072</t>
  </si>
  <si>
    <t>blend_4073</t>
  </si>
  <si>
    <t>blend_4074</t>
  </si>
  <si>
    <t>blend_4075</t>
  </si>
  <si>
    <t>blend_4076</t>
  </si>
  <si>
    <t>blend_4077</t>
  </si>
  <si>
    <t>blend_4078</t>
  </si>
  <si>
    <t>blend_4079</t>
  </si>
  <si>
    <t>blend_4080</t>
  </si>
  <si>
    <t>blend_4081</t>
  </si>
  <si>
    <t>blend_4082</t>
  </si>
  <si>
    <t>blend_4083</t>
  </si>
  <si>
    <t>blend_4084</t>
  </si>
  <si>
    <t>blend_4085</t>
  </si>
  <si>
    <t>blend_4086</t>
  </si>
  <si>
    <t>blend_4087</t>
  </si>
  <si>
    <t>blend_4088</t>
  </si>
  <si>
    <t>blend_4089</t>
  </si>
  <si>
    <t>blend_4090</t>
  </si>
  <si>
    <t>blend_4091</t>
  </si>
  <si>
    <t>blend_4092</t>
  </si>
  <si>
    <t>blend_4093</t>
  </si>
  <si>
    <t>blend_4094</t>
  </si>
  <si>
    <t>blend_4095</t>
  </si>
  <si>
    <t>blend_4096</t>
  </si>
  <si>
    <t>blend_4097</t>
  </si>
  <si>
    <t>blend_4098</t>
  </si>
  <si>
    <t>blend_4099</t>
  </si>
  <si>
    <t>blend_4100</t>
  </si>
  <si>
    <t>blend_4101</t>
  </si>
  <si>
    <t>blend_4102</t>
  </si>
  <si>
    <t>blend_4103</t>
  </si>
  <si>
    <t>blend_4104</t>
  </si>
  <si>
    <t>blend_4105</t>
  </si>
  <si>
    <t>blend_4106</t>
  </si>
  <si>
    <t>blend_4107</t>
  </si>
  <si>
    <t>blend_4108</t>
  </si>
  <si>
    <t>blend_4109</t>
  </si>
  <si>
    <t>blend_4110</t>
  </si>
  <si>
    <t>blend_4111</t>
  </si>
  <si>
    <t>blend_4112</t>
  </si>
  <si>
    <t>blend_4113</t>
  </si>
  <si>
    <t>blend_4114</t>
  </si>
  <si>
    <t>blend_4115</t>
  </si>
  <si>
    <t>blend_4116</t>
  </si>
  <si>
    <t>blend_4117</t>
  </si>
  <si>
    <t>blend_4118</t>
  </si>
  <si>
    <t>blend_4119</t>
  </si>
  <si>
    <t>blend_4120</t>
  </si>
  <si>
    <t>blend_4121</t>
  </si>
  <si>
    <t>blend_4122</t>
  </si>
  <si>
    <t>blend_4123</t>
  </si>
  <si>
    <t>blend_4124</t>
  </si>
  <si>
    <t>blend_4125</t>
  </si>
  <si>
    <t>blend_4126</t>
  </si>
  <si>
    <t>blend_4127</t>
  </si>
  <si>
    <t>blend_4128</t>
  </si>
  <si>
    <t>blend_4129</t>
  </si>
  <si>
    <t>blend_4130</t>
  </si>
  <si>
    <t>blend_4131</t>
  </si>
  <si>
    <t>blend_4132</t>
  </si>
  <si>
    <t>blend_4133</t>
  </si>
  <si>
    <t>blend_4134</t>
  </si>
  <si>
    <t>blend_4135</t>
  </si>
  <si>
    <t>blend_4136</t>
  </si>
  <si>
    <t>blend_4137</t>
  </si>
  <si>
    <t>blend_4138</t>
  </si>
  <si>
    <t>blend_4139</t>
  </si>
  <si>
    <t>blend_4140</t>
  </si>
  <si>
    <t>blend_4141</t>
  </si>
  <si>
    <t>blend_4142</t>
  </si>
  <si>
    <t>blend_4143</t>
  </si>
  <si>
    <t>blend_4144</t>
  </si>
  <si>
    <t>blend_4145</t>
  </si>
  <si>
    <t>blend_4146</t>
  </si>
  <si>
    <t>blend_4147</t>
  </si>
  <si>
    <t>blend_4148</t>
  </si>
  <si>
    <t>blend_4149</t>
  </si>
  <si>
    <t>blend_4150</t>
  </si>
  <si>
    <t>blend_4151</t>
  </si>
  <si>
    <t>blend_4152</t>
  </si>
  <si>
    <t>blend_4153</t>
  </si>
  <si>
    <t>blend_4154</t>
  </si>
  <si>
    <t>blend_4155</t>
  </si>
  <si>
    <t>blend_4156</t>
  </si>
  <si>
    <t>blend_4158</t>
  </si>
  <si>
    <t>blend_4161</t>
  </si>
  <si>
    <t>blend_4162</t>
  </si>
  <si>
    <t>blend_4163</t>
  </si>
  <si>
    <t>blend_4164</t>
  </si>
  <si>
    <t>blend_4165</t>
  </si>
  <si>
    <t>blend_4166</t>
  </si>
  <si>
    <t>blend_4167</t>
  </si>
  <si>
    <t>blend_4169</t>
  </si>
  <si>
    <t>blend_4170</t>
  </si>
  <si>
    <t>blend_4171</t>
  </si>
  <si>
    <t>blend_4172</t>
  </si>
  <si>
    <t>blend_4173</t>
  </si>
  <si>
    <t>blend_4174</t>
  </si>
  <si>
    <t>blend_4175</t>
  </si>
  <si>
    <t>blend_4176</t>
  </si>
  <si>
    <t>blend_4177</t>
  </si>
  <si>
    <t>blend_4178</t>
  </si>
  <si>
    <t>blend_4179</t>
  </si>
  <si>
    <t>blend_4180</t>
  </si>
  <si>
    <t>blend_4181</t>
  </si>
  <si>
    <t>blend_4182</t>
  </si>
  <si>
    <t>blend_4183</t>
  </si>
  <si>
    <t>blend_4184</t>
  </si>
  <si>
    <t>blend_4185</t>
  </si>
  <si>
    <t>blend_4186</t>
  </si>
  <si>
    <t>blend_4187</t>
  </si>
  <si>
    <t>blend_4188</t>
  </si>
  <si>
    <t>blend_4189</t>
  </si>
  <si>
    <t>blend_4190</t>
  </si>
  <si>
    <t>blend_4191</t>
  </si>
  <si>
    <t>blend_4192</t>
  </si>
  <si>
    <t>blend_4193</t>
  </si>
  <si>
    <t>blend_4194</t>
  </si>
  <si>
    <t>blend_4195</t>
  </si>
  <si>
    <t>blend_4196</t>
  </si>
  <si>
    <t>blend_4197</t>
  </si>
  <si>
    <t>blend_4198</t>
  </si>
  <si>
    <t>blend_4199</t>
  </si>
  <si>
    <t>blend_4200</t>
  </si>
  <si>
    <t>blend_4201</t>
  </si>
  <si>
    <t>blend_4202</t>
  </si>
  <si>
    <t>blend_4203</t>
  </si>
  <si>
    <t>blend_4204</t>
  </si>
  <si>
    <t>blend_4205</t>
  </si>
  <si>
    <t>blend_4206</t>
  </si>
  <si>
    <t>blend_4207</t>
  </si>
  <si>
    <t>blend_4208</t>
  </si>
  <si>
    <t>blend_4209</t>
  </si>
  <si>
    <t>blend_4210</t>
  </si>
  <si>
    <t>blend_4211</t>
  </si>
  <si>
    <t>blend_4212</t>
  </si>
  <si>
    <t>blend_4213</t>
  </si>
  <si>
    <t>blend_4214</t>
  </si>
  <si>
    <t>blend_4215</t>
  </si>
  <si>
    <t>blend_4216</t>
  </si>
  <si>
    <t>blend_4217</t>
  </si>
  <si>
    <t>blend_4218</t>
  </si>
  <si>
    <t>blend_4220</t>
  </si>
  <si>
    <t>blend_4221</t>
  </si>
  <si>
    <t>blend_4222</t>
  </si>
  <si>
    <t>blend_4223</t>
  </si>
  <si>
    <t>blend_4224</t>
  </si>
  <si>
    <t>blend_4225</t>
  </si>
  <si>
    <t>blend_4226</t>
  </si>
  <si>
    <t>blend_4227</t>
  </si>
  <si>
    <t>blend_4228</t>
  </si>
  <si>
    <t>blend_4229</t>
  </si>
  <si>
    <t>blend_4230</t>
  </si>
  <si>
    <t>blend_4231</t>
  </si>
  <si>
    <t>blend_4232</t>
  </si>
  <si>
    <t>blend_4233</t>
  </si>
  <si>
    <t>blend_4234</t>
  </si>
  <si>
    <t>blend_4235</t>
  </si>
  <si>
    <t>blend_4236</t>
  </si>
  <si>
    <t>blend_4237</t>
  </si>
  <si>
    <t>blend_4238</t>
  </si>
  <si>
    <t>blend_4239</t>
  </si>
  <si>
    <t>blend_4240</t>
  </si>
  <si>
    <t>blend_4241</t>
  </si>
  <si>
    <t>blend_4242</t>
  </si>
  <si>
    <t>blend_4243</t>
  </si>
  <si>
    <t>blend_4244</t>
  </si>
  <si>
    <t>blend_4245</t>
  </si>
  <si>
    <t>blend_4246</t>
  </si>
  <si>
    <t>blend_4247</t>
  </si>
  <si>
    <t>blend_4248</t>
  </si>
  <si>
    <t>blend_4249</t>
  </si>
  <si>
    <t>blend_4250</t>
  </si>
  <si>
    <t>blend_4251</t>
  </si>
  <si>
    <t>blend_4252</t>
  </si>
  <si>
    <t>blend_4253</t>
  </si>
  <si>
    <t>blend_4254</t>
  </si>
  <si>
    <t>blend_4255</t>
  </si>
  <si>
    <t>blend_4256</t>
  </si>
  <si>
    <t>blend_4257</t>
  </si>
  <si>
    <t>blend_4258</t>
  </si>
  <si>
    <t>blend_4259</t>
  </si>
  <si>
    <t>blend_4260</t>
  </si>
  <si>
    <t>blend_4261</t>
  </si>
  <si>
    <t>blend_4262</t>
  </si>
  <si>
    <t>blend_4263</t>
  </si>
  <si>
    <t>blend_4264</t>
  </si>
  <si>
    <t>blend_4265</t>
  </si>
  <si>
    <t>blend_4266</t>
  </si>
  <si>
    <t>blend_4267</t>
  </si>
  <si>
    <t>blend_4268</t>
  </si>
  <si>
    <t>blend_4269</t>
  </si>
  <si>
    <t>blend_4270</t>
  </si>
  <si>
    <t>blend_4271</t>
  </si>
  <si>
    <t>blend_4272</t>
  </si>
  <si>
    <t>blend_4273</t>
  </si>
  <si>
    <t>blend_4274</t>
  </si>
  <si>
    <t>blend_4275</t>
  </si>
  <si>
    <t>blend_4276</t>
  </si>
  <si>
    <t>blend_4277</t>
  </si>
  <si>
    <t>blend_4278</t>
  </si>
  <si>
    <t>blend_4279</t>
  </si>
  <si>
    <t>blend_4280</t>
  </si>
  <si>
    <t>blend_4281</t>
  </si>
  <si>
    <t>blend_4282</t>
  </si>
  <si>
    <t>blend_4283</t>
  </si>
  <si>
    <t>blend_4284</t>
  </si>
  <si>
    <t>blend_4285</t>
  </si>
  <si>
    <t>blend_4286</t>
  </si>
  <si>
    <t>blend_4293</t>
  </si>
  <si>
    <t>blend_4294</t>
  </si>
  <si>
    <t>blend_4295</t>
  </si>
  <si>
    <t>blend_4296</t>
  </si>
  <si>
    <t>blend_4297</t>
  </si>
  <si>
    <t>blend_4298</t>
  </si>
  <si>
    <t>blend_4299</t>
  </si>
  <si>
    <t>blend_4300</t>
  </si>
  <si>
    <t>blend_4301</t>
  </si>
  <si>
    <t>blend_4302</t>
  </si>
  <si>
    <t>blend_4303</t>
  </si>
  <si>
    <t>blend_4304</t>
  </si>
  <si>
    <t>blend_4305</t>
  </si>
  <si>
    <t>blend_4306</t>
  </si>
  <si>
    <t>blend_4307</t>
  </si>
  <si>
    <t>blend_4308</t>
  </si>
  <si>
    <t>blend_4309</t>
  </si>
  <si>
    <t>blend_4310</t>
  </si>
  <si>
    <t>blend_4311</t>
  </si>
  <si>
    <t>blend_4312</t>
  </si>
  <si>
    <t>blend_4313</t>
  </si>
  <si>
    <t>blend_4314</t>
  </si>
  <si>
    <t>blend_4315</t>
  </si>
  <si>
    <t>blend_4316</t>
  </si>
  <si>
    <t>blend_4317</t>
  </si>
  <si>
    <t>blend_4318</t>
  </si>
  <si>
    <t>blend_4319</t>
  </si>
  <si>
    <t>blend_4320</t>
  </si>
  <si>
    <t>blend_4321</t>
  </si>
  <si>
    <t>blend_4322</t>
  </si>
  <si>
    <t>blend_4323</t>
  </si>
  <si>
    <t>blend_4324</t>
  </si>
  <si>
    <t>blend_4325</t>
  </si>
  <si>
    <t>blend_4326</t>
  </si>
  <si>
    <t>blend_4327</t>
  </si>
  <si>
    <t>blend_4328</t>
  </si>
  <si>
    <t>blend_4329</t>
  </si>
  <si>
    <t>blend_4330</t>
  </si>
  <si>
    <t>blend_4331</t>
  </si>
  <si>
    <t>blend_4332</t>
  </si>
  <si>
    <t>blend_4333</t>
  </si>
  <si>
    <t>blend_4334</t>
  </si>
  <si>
    <t>blend_4335</t>
  </si>
  <si>
    <t>blend_4336</t>
  </si>
  <si>
    <t>blend_4337</t>
  </si>
  <si>
    <t>blend_4338</t>
  </si>
  <si>
    <t>blend_4339</t>
  </si>
  <si>
    <t>blend_4340</t>
  </si>
  <si>
    <t>blend_4341</t>
  </si>
  <si>
    <t>blend_4342</t>
  </si>
  <si>
    <t>blend_4343</t>
  </si>
  <si>
    <t>blend_4344</t>
  </si>
  <si>
    <t>blend_4345</t>
  </si>
  <si>
    <t>blend_4346</t>
  </si>
  <si>
    <t>blend_4347</t>
  </si>
  <si>
    <t>blend_4348</t>
  </si>
  <si>
    <t>blend_4349</t>
  </si>
  <si>
    <t>blend_4350</t>
  </si>
  <si>
    <t>blend_4351</t>
  </si>
  <si>
    <t>blend_4352</t>
  </si>
  <si>
    <t>blend_4353</t>
  </si>
  <si>
    <t>blend_4354</t>
  </si>
  <si>
    <t>blend_4355</t>
  </si>
  <si>
    <t>blend_4356</t>
  </si>
  <si>
    <t>blend_4357</t>
  </si>
  <si>
    <t>blend_4358</t>
  </si>
  <si>
    <t>blend_4359</t>
  </si>
  <si>
    <t>blend_4360</t>
  </si>
  <si>
    <t>blend_4361</t>
  </si>
  <si>
    <t>blend_4362</t>
  </si>
  <si>
    <t>blend_4363</t>
  </si>
  <si>
    <t>blend_4364</t>
  </si>
  <si>
    <t>blend_4367</t>
  </si>
  <si>
    <t>blend_4368</t>
  </si>
  <si>
    <t>blend_4369</t>
  </si>
  <si>
    <t>blend_4370</t>
  </si>
  <si>
    <t>blend_4371</t>
  </si>
  <si>
    <t>blend_4372</t>
  </si>
  <si>
    <t>blend_4373</t>
  </si>
  <si>
    <t>blend_4374</t>
  </si>
  <si>
    <t>blend_4375</t>
  </si>
  <si>
    <t>blend_4376</t>
  </si>
  <si>
    <t>blend_4377</t>
  </si>
  <si>
    <t>blend_4378</t>
  </si>
  <si>
    <t>blend_4379</t>
  </si>
  <si>
    <t>blend_4380</t>
  </si>
  <si>
    <t>blend_4381</t>
  </si>
  <si>
    <t>blend_4382</t>
  </si>
  <si>
    <t>blend_4383</t>
  </si>
  <si>
    <t>blend_4384</t>
  </si>
  <si>
    <t>blend_4385</t>
  </si>
  <si>
    <t>blend_4386</t>
  </si>
  <si>
    <t>blend_4387</t>
  </si>
  <si>
    <t>blend_4388</t>
  </si>
  <si>
    <t>blend_4389</t>
  </si>
  <si>
    <t>blend_4390</t>
  </si>
  <si>
    <t>blend_4397</t>
  </si>
  <si>
    <t>blend_4398</t>
  </si>
  <si>
    <t>blend_4399</t>
  </si>
  <si>
    <t>blend_4400</t>
  </si>
  <si>
    <t>blend_4401</t>
  </si>
  <si>
    <t>blend_4402</t>
  </si>
  <si>
    <t>blend_4403</t>
  </si>
  <si>
    <t>blend_4404</t>
  </si>
  <si>
    <t>blend_4405</t>
  </si>
  <si>
    <t>blend_4406</t>
  </si>
  <si>
    <t>blend_4407</t>
  </si>
  <si>
    <t>blend_4408</t>
  </si>
  <si>
    <t>blend_4409</t>
  </si>
  <si>
    <t>blend_4410</t>
  </si>
  <si>
    <t>blend_4411</t>
  </si>
  <si>
    <t>blend_4412</t>
  </si>
  <si>
    <t>blend_4413</t>
  </si>
  <si>
    <t>blend_4414</t>
  </si>
  <si>
    <t>blend_4415</t>
  </si>
  <si>
    <t>blend_4416</t>
  </si>
  <si>
    <t>blend_4417</t>
  </si>
  <si>
    <t>blend_4418</t>
  </si>
  <si>
    <t>blend_4419</t>
  </si>
  <si>
    <t>blend_4420</t>
  </si>
  <si>
    <t>blend_4421</t>
  </si>
  <si>
    <t>blend_4422</t>
  </si>
  <si>
    <t>blend_4423</t>
  </si>
  <si>
    <t>blend_4424</t>
  </si>
  <si>
    <t>blend_4427</t>
  </si>
  <si>
    <t>blend_4428</t>
  </si>
  <si>
    <t>blend_4429</t>
  </si>
  <si>
    <t>blend_4430</t>
  </si>
  <si>
    <t>blend_4431</t>
  </si>
  <si>
    <t>blend_4432</t>
  </si>
  <si>
    <t>blend_4433</t>
  </si>
  <si>
    <t>blend_4434</t>
  </si>
  <si>
    <t>blend_4435</t>
  </si>
  <si>
    <t>blend_4437</t>
  </si>
  <si>
    <t>blend_4438</t>
  </si>
  <si>
    <t>blend_4439</t>
  </si>
  <si>
    <t>blend_4440</t>
  </si>
  <si>
    <t>blend_4441</t>
  </si>
  <si>
    <t>blend_4442</t>
  </si>
  <si>
    <t>blend_4443</t>
  </si>
  <si>
    <t>blend_4444</t>
  </si>
  <si>
    <t>blend_4445</t>
  </si>
  <si>
    <t>blend_4446</t>
  </si>
  <si>
    <t>blend_4448</t>
  </si>
  <si>
    <t>blend_4449</t>
  </si>
  <si>
    <t>blend_4450</t>
  </si>
  <si>
    <t>blend_4451</t>
  </si>
  <si>
    <t>blend_4452</t>
  </si>
  <si>
    <t>blend_4453</t>
  </si>
  <si>
    <t>blend_4454</t>
  </si>
  <si>
    <t>blend_4455</t>
  </si>
  <si>
    <t>blend_4456</t>
  </si>
  <si>
    <t>blend_4457</t>
  </si>
  <si>
    <t>blend_4458</t>
  </si>
  <si>
    <t>blend_4459</t>
  </si>
  <si>
    <t>blend_4460</t>
  </si>
  <si>
    <t>blend_4461</t>
  </si>
  <si>
    <t>blend_4462</t>
  </si>
  <si>
    <t>blend_4463</t>
  </si>
  <si>
    <t>blend_4464</t>
  </si>
  <si>
    <t>blend_4465</t>
  </si>
  <si>
    <t>blend_4466</t>
  </si>
  <si>
    <t>blend_4467</t>
  </si>
  <si>
    <t>blend_4470</t>
  </si>
  <si>
    <t>blend_4471</t>
  </si>
  <si>
    <t>blend_4472</t>
  </si>
  <si>
    <t>blend_4473</t>
  </si>
  <si>
    <t>blend_4474</t>
  </si>
  <si>
    <t>blend_4475</t>
  </si>
  <si>
    <t>blend_4476</t>
  </si>
  <si>
    <t>blend_4477</t>
  </si>
  <si>
    <t>blend_4478</t>
  </si>
  <si>
    <t>blend_4479</t>
  </si>
  <si>
    <t>blend_4480</t>
  </si>
  <si>
    <t>blend_4481</t>
  </si>
  <si>
    <t>blend_4482</t>
  </si>
  <si>
    <t>blend_4483</t>
  </si>
  <si>
    <t>blend_4484</t>
  </si>
  <si>
    <t>blend_4485</t>
  </si>
  <si>
    <t>blend_4486</t>
  </si>
  <si>
    <t>blend_4487</t>
  </si>
  <si>
    <t>blend_4488</t>
  </si>
  <si>
    <t>blend_4489</t>
  </si>
  <si>
    <t>blend_4490</t>
  </si>
  <si>
    <t>blend_4491</t>
  </si>
  <si>
    <t>blend_4492</t>
  </si>
  <si>
    <t>blend_4493</t>
  </si>
  <si>
    <t>blend_4494</t>
  </si>
  <si>
    <t>blend_4495</t>
  </si>
  <si>
    <t>blend_4496</t>
  </si>
  <si>
    <t>blend_4497</t>
  </si>
  <si>
    <t>blend_4498</t>
  </si>
  <si>
    <t>blend_4499</t>
  </si>
  <si>
    <t>blend_4500</t>
  </si>
  <si>
    <t>blend_4501</t>
  </si>
  <si>
    <t>blend_4502</t>
  </si>
  <si>
    <t>blend_4503</t>
  </si>
  <si>
    <t>blend_4504</t>
  </si>
  <si>
    <t>blend_4505</t>
  </si>
  <si>
    <t>blend_4506</t>
  </si>
  <si>
    <t>blend_4507</t>
  </si>
  <si>
    <t>blend_4508</t>
  </si>
  <si>
    <t>blend_4509</t>
  </si>
  <si>
    <t>blend_4510</t>
  </si>
  <si>
    <t>blend_4511</t>
  </si>
  <si>
    <t>blend_4512</t>
  </si>
  <si>
    <t>blend_4513</t>
  </si>
  <si>
    <t>blend_4514</t>
  </si>
  <si>
    <t>blend_4515</t>
  </si>
  <si>
    <t>blend_4516</t>
  </si>
  <si>
    <t>blend_4517</t>
  </si>
  <si>
    <t>blend_4518</t>
  </si>
  <si>
    <t>blend_4519</t>
  </si>
  <si>
    <t>blend_4520</t>
  </si>
  <si>
    <t>blend_4521</t>
  </si>
  <si>
    <t>blend_4522</t>
  </si>
  <si>
    <t>blend_4523</t>
  </si>
  <si>
    <t>blend_4524</t>
  </si>
  <si>
    <t>blend_4525</t>
  </si>
  <si>
    <t>blend_4526</t>
  </si>
  <si>
    <t>blend_4527</t>
  </si>
  <si>
    <t>blend_4528</t>
  </si>
  <si>
    <t>blend_4529</t>
  </si>
  <si>
    <t>blend_4530</t>
  </si>
  <si>
    <t>blend_4531</t>
  </si>
  <si>
    <t>blend_4532</t>
  </si>
  <si>
    <t>blend_4533</t>
  </si>
  <si>
    <t>blend_4534</t>
  </si>
  <si>
    <t>blend_4535</t>
  </si>
  <si>
    <t>blend_4536</t>
  </si>
  <si>
    <t>blend_4537</t>
  </si>
  <si>
    <t>blend_4538</t>
  </si>
  <si>
    <t>blend_4539</t>
  </si>
  <si>
    <t>blend_4540</t>
  </si>
  <si>
    <t>blend_4541</t>
  </si>
  <si>
    <t>blend_4542</t>
  </si>
  <si>
    <t>blend_4543</t>
  </si>
  <si>
    <t>blend_4544</t>
  </si>
  <si>
    <t>blend_4545</t>
  </si>
  <si>
    <t>blend_4546</t>
  </si>
  <si>
    <t>blend_4547</t>
  </si>
  <si>
    <t>blend_4548</t>
  </si>
  <si>
    <t>blend_4549</t>
  </si>
  <si>
    <t>blend_4550</t>
  </si>
  <si>
    <t>blend_4551</t>
  </si>
  <si>
    <t>blend_4552</t>
  </si>
  <si>
    <t>blend_4553</t>
  </si>
  <si>
    <t>blend_4554</t>
  </si>
  <si>
    <t>blend_4555</t>
  </si>
  <si>
    <t>blend_4556</t>
  </si>
  <si>
    <t>blend_4557</t>
  </si>
  <si>
    <t>blend_4558</t>
  </si>
  <si>
    <t>blend_4559</t>
  </si>
  <si>
    <t>blend_4560</t>
  </si>
  <si>
    <t>blend_4561</t>
  </si>
  <si>
    <t>blend_4562</t>
  </si>
  <si>
    <t>blend_4563</t>
  </si>
  <si>
    <t>blend_4564</t>
  </si>
  <si>
    <t>blend_4565</t>
  </si>
  <si>
    <t>blend_4566</t>
  </si>
  <si>
    <t>blend_4567</t>
  </si>
  <si>
    <t>blend_4568</t>
  </si>
  <si>
    <t>blend_4569</t>
  </si>
  <si>
    <t>blend_4570</t>
  </si>
  <si>
    <t>blend_4571</t>
  </si>
  <si>
    <t>blend_4572</t>
  </si>
  <si>
    <t>blend_4573</t>
  </si>
  <si>
    <t>Company</t>
  </si>
  <si>
    <t>Feedstock</t>
  </si>
  <si>
    <t>Status</t>
  </si>
  <si>
    <t>Aemetis</t>
  </si>
  <si>
    <t>Riverbank</t>
  </si>
  <si>
    <t>Proposed/Under Development</t>
  </si>
  <si>
    <t>refinery_67</t>
  </si>
  <si>
    <t>Chevron USA Inc.</t>
  </si>
  <si>
    <t>Under Construction/Conversion</t>
  </si>
  <si>
    <t>refinery_72</t>
  </si>
  <si>
    <t>CVR Energy Inc. - Coffeyville</t>
  </si>
  <si>
    <t>Coffeyville</t>
  </si>
  <si>
    <t>refinery_74</t>
  </si>
  <si>
    <t>Gron Fuel LLC</t>
  </si>
  <si>
    <t>refinery_78</t>
  </si>
  <si>
    <t>Montana Renewables (Calumet)</t>
  </si>
  <si>
    <t>Operational</t>
  </si>
  <si>
    <t>refinery_87</t>
  </si>
  <si>
    <t>Next Renewable Fuels Inc.</t>
  </si>
  <si>
    <t>refinery_89</t>
  </si>
  <si>
    <t>Phillips 66 - Rodeo Renewed</t>
  </si>
  <si>
    <t>Rodeo</t>
  </si>
  <si>
    <t>Proposed/Under Development Conversion</t>
  </si>
  <si>
    <t>refinery_92</t>
  </si>
  <si>
    <t>ReadiFuels-Iowa LLC</t>
  </si>
  <si>
    <t>Sioux Center</t>
  </si>
  <si>
    <t>refinery_93</t>
  </si>
  <si>
    <t>REG Geismar LLC</t>
  </si>
  <si>
    <t>Under Construction/Expansion</t>
  </si>
  <si>
    <t>refinery_94</t>
  </si>
  <si>
    <t>World Energy - Houston</t>
  </si>
  <si>
    <t>refinery_99</t>
  </si>
  <si>
    <t>World Energy - Paramount</t>
  </si>
  <si>
    <t>Paramount</t>
  </si>
  <si>
    <t>refinery_100</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</si>
  <si>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</si>
  <si>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</si>
  <si>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</si>
  <si>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</si>
  <si>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</si>
  <si>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</si>
  <si>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</si>
  <si>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</si>
  <si>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</si>
  <si>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</si>
  <si>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</si>
  <si>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</si>
  <si>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</si>
  <si>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</si>
  <si>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</si>
  <si>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</si>
  <si>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</si>
  <si>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</si>
  <si>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</si>
  <si>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</si>
  <si>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</si>
  <si>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</si>
  <si>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</si>
  <si>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</si>
  <si>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</si>
  <si>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</si>
  <si>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</si>
  <si>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</si>
  <si>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</si>
  <si>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</si>
  <si>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</si>
  <si>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</si>
  <si>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</si>
  <si>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</si>
  <si>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</si>
  <si>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</si>
  <si>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</si>
  <si>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</si>
  <si>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</si>
  <si>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</si>
  <si>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</si>
  <si>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</si>
  <si>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</si>
  <si>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</si>
  <si>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</si>
  <si>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</si>
  <si>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</si>
  <si>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</si>
  <si>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</si>
  <si>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</si>
  <si>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</si>
  <si>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</si>
  <si>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</si>
  <si>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</si>
  <si>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</si>
  <si>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</si>
  <si>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</si>
  <si>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</si>
  <si>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</si>
  <si>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</si>
  <si>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</si>
  <si>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</si>
  <si>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</si>
  <si>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</si>
  <si>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</si>
  <si>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</si>
  <si>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</si>
  <si>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</si>
  <si>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</si>
  <si>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t>2. Move to the "Configuration" tab. This tab will be used to create the scenario XML file.</t>
  </si>
  <si>
    <t>4. Save the template file. Run the "Scenario Setup Conversion" tool in FTOT Tools.</t>
  </si>
  <si>
    <t>5. Run the FTOT scenario using the batch file created.</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</si>
  <si>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</si>
  <si>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</si>
  <si>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</si>
  <si>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</si>
  <si>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</si>
  <si>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</si>
  <si>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</si>
  <si>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</si>
  <si>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</si>
  <si>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</si>
  <si>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</si>
  <si>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</si>
  <si>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</si>
  <si>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</si>
  <si>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</si>
  <si>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</si>
  <si>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</si>
  <si>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</si>
  <si>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</si>
  <si>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</si>
  <si>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</si>
  <si>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</si>
  <si>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r>
      <rPr>
        <b/>
        <sz val="12"/>
        <color theme="4"/>
        <rFont val="Calibri"/>
        <family val="2"/>
        <scheme val="minor"/>
      </rPr>
      <t xml:space="preserve">DO NOT EDIT THESE TABS. </t>
    </r>
    <r>
      <rPr>
        <sz val="12"/>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</si>
  <si>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If needed, you can customize this information in the CSV files created after running the Scenario Setup Tool.</t>
  </si>
  <si>
    <t>c) Include existing SAF refineries?</t>
  </si>
  <si>
    <t>Regardless, FTOT will also propose locations for new refineries.</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</si>
  <si>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</si>
  <si>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</si>
  <si>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</si>
  <si>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</si>
  <si>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</si>
  <si>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</si>
  <si>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</si>
  <si>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</si>
  <si>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</si>
  <si>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3. Review the "Commodities and Processes" and "Facilities and Amounts" tab.</t>
  </si>
  <si>
    <t>Note that too many blenders may increase runtime.</t>
  </si>
  <si>
    <t>Note that too many airports may increase runtime or decrease solution quality.</t>
  </si>
  <si>
    <t>kg/liter</t>
  </si>
  <si>
    <t>Leave as 0.8 kg/L for SAF scenario template</t>
  </si>
  <si>
    <t>cand_ATJ_Ethanol</t>
  </si>
  <si>
    <t>Ethanol</t>
  </si>
  <si>
    <t>Alcohol-to-Jet</t>
  </si>
  <si>
    <t>Anchorage</t>
  </si>
  <si>
    <t>Juneau</t>
  </si>
  <si>
    <t>Fayetteville/Springdale/</t>
  </si>
  <si>
    <t>Honolulu</t>
  </si>
  <si>
    <t>Hilo</t>
  </si>
  <si>
    <t>Kailua/Kona</t>
  </si>
  <si>
    <t>Lihue</t>
  </si>
  <si>
    <t>Kahului</t>
  </si>
  <si>
    <t>San Juan</t>
  </si>
  <si>
    <t>Alaska</t>
  </si>
  <si>
    <t>Hawaii</t>
  </si>
  <si>
    <t>Puerto Rico</t>
  </si>
  <si>
    <t>ANC</t>
  </si>
  <si>
    <t>JNU</t>
  </si>
  <si>
    <t>HNL</t>
  </si>
  <si>
    <t>ITO</t>
  </si>
  <si>
    <t>KOA</t>
  </si>
  <si>
    <t>LIH</t>
  </si>
  <si>
    <t>OGG</t>
  </si>
  <si>
    <t>SJU</t>
  </si>
  <si>
    <t>airport_anc</t>
  </si>
  <si>
    <t>airport_jnu</t>
  </si>
  <si>
    <t>airport_hnl</t>
  </si>
  <si>
    <t>airport_ito</t>
  </si>
  <si>
    <t>airport_koa</t>
  </si>
  <si>
    <t>airport_lih</t>
  </si>
  <si>
    <t>airport_ogg</t>
  </si>
  <si>
    <t>airport_sju</t>
  </si>
  <si>
    <t>Renewable Fuels Association Ethanol Biorefinery Locations (Downloaded from JBEI Biositing WebTool)</t>
  </si>
  <si>
    <t>Ethanol Biorefinery Checking</t>
  </si>
  <si>
    <t>State with Refinery</t>
  </si>
  <si>
    <t>In Filter Selection?</t>
  </si>
  <si>
    <t>Total</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</si>
  <si>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</si>
  <si>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Ctrl + click to multiselect</t>
  </si>
  <si>
    <t>Ctrl + click to multiselect. Selections will be ignored if step (c) is "N"</t>
  </si>
  <si>
    <t>Share Usable Feedstock</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</si>
  <si>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</si>
  <si>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</si>
  <si>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</si>
  <si>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</si>
  <si>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</si>
  <si>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</si>
  <si>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</si>
  <si>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</si>
  <si>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</si>
  <si>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</si>
  <si>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Speed Time CSV</t>
  </si>
  <si>
    <t>Solver</t>
  </si>
  <si>
    <t>Default</t>
  </si>
  <si>
    <t>Solver Time Limit</t>
  </si>
  <si>
    <t>Specify as a number and unit of time (e.g., 1.5 hours), or leave as None to run without a time limit.</t>
  </si>
  <si>
    <t>Vehicle Characteristics</t>
  </si>
  <si>
    <t>C:\FTOT\scenarios\common_data\networks\FTOT_Public_US_Contiguous_Network_v2025.gdb</t>
  </si>
  <si>
    <t>Set to "Default" for CBC or "HIGHS" for HiGHS</t>
  </si>
  <si>
    <t>Should be in default currency units per mass unit of CO2 emissions (e.g., usd/ton).</t>
  </si>
  <si>
    <t>HEFA scenario from FOG in PNW</t>
  </si>
  <si>
    <t>HEFA supply chain in Pacific Northwest with existing refineries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</si>
</sst>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3"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
      <sz val="12"/>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52" fillId="3" borderId="0" xfId="0" applyFont="1" applyFill="1" applyAlignment="1">
      <alignment vertical="center" wrapText="1"/>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43" fontId="0" fillId="0" borderId="0" xfId="0" applyNumberFormat="1"/>
    <xf numFmtId="0" fontId="19" fillId="3" borderId="0" xfId="1" applyFill="1"/>
    <xf numFmtId="2" fontId="0" fillId="13" borderId="1" xfId="0" applyNumberFormat="1" applyFill="1" applyBorder="1"/>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 Type="http://schemas.openxmlformats.org/officeDocument/2006/relationships/worksheet" Target="worksheets/sheet3.xml"/><Relationship Id="rId21" Type="http://schemas.microsoft.com/office/2007/relationships/slicerCache" Target="slicerCaches/slicerCache9.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4.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511809</xdr:colOff>
      <xdr:row>17</xdr:row>
      <xdr:rowOff>126365</xdr:rowOff>
    </xdr:from>
    <xdr:ext cx="3012441" cy="609013"/>
    <xdr:sp macro="" textlink="">
      <xdr:nvSpPr>
        <xdr:cNvPr id="2" name="TextBox 1">
          <a:extLst>
            <a:ext uri="{FF2B5EF4-FFF2-40B4-BE49-F238E27FC236}">
              <a16:creationId xmlns:a16="http://schemas.microsoft.com/office/drawing/2014/main" id="{8F716E1C-CF92-470F-AF26-165F8B154C44}"/>
            </a:ext>
          </a:extLst>
        </xdr:cNvPr>
        <xdr:cNvSpPr txBox="1"/>
      </xdr:nvSpPr>
      <xdr:spPr>
        <a:xfrm>
          <a:off x="8855709" y="9384665"/>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276225</xdr:colOff>
      <xdr:row>3</xdr:row>
      <xdr:rowOff>276225</xdr:rowOff>
    </xdr:from>
    <xdr:to>
      <xdr:col>0</xdr:col>
      <xdr:colOff>7467600</xdr:colOff>
      <xdr:row>3</xdr:row>
      <xdr:rowOff>866775</xdr:rowOff>
    </xdr:to>
    <xdr:grpSp>
      <xdr:nvGrpSpPr>
        <xdr:cNvPr id="3" name="Group 2">
          <a:extLst>
            <a:ext uri="{FF2B5EF4-FFF2-40B4-BE49-F238E27FC236}">
              <a16:creationId xmlns:a16="http://schemas.microsoft.com/office/drawing/2014/main" id="{4D178597-8FF5-4419-BC6F-663612DEDAAC}"/>
            </a:ext>
          </a:extLst>
        </xdr:cNvPr>
        <xdr:cNvGrpSpPr/>
      </xdr:nvGrpSpPr>
      <xdr:grpSpPr>
        <a:xfrm>
          <a:off x="278130" y="2962448"/>
          <a:ext cx="7189470" cy="586740"/>
          <a:chOff x="323850" y="2863850"/>
          <a:chExt cx="7188200" cy="584200"/>
        </a:xfrm>
      </xdr:grpSpPr>
      <xdr:sp macro="" textlink="">
        <xdr:nvSpPr>
          <xdr:cNvPr id="4" name="Rectangle 3">
            <a:extLst>
              <a:ext uri="{FF2B5EF4-FFF2-40B4-BE49-F238E27FC236}">
                <a16:creationId xmlns:a16="http://schemas.microsoft.com/office/drawing/2014/main" id="{CCA77B17-901B-7948-A665-15153ABC18A7}"/>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5" name="Rectangle 4">
            <a:extLst>
              <a:ext uri="{FF2B5EF4-FFF2-40B4-BE49-F238E27FC236}">
                <a16:creationId xmlns:a16="http://schemas.microsoft.com/office/drawing/2014/main" id="{A2256DD3-89B7-80B3-221E-C3B5A8D7E589}"/>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6" name="Rectangle 5">
            <a:extLst>
              <a:ext uri="{FF2B5EF4-FFF2-40B4-BE49-F238E27FC236}">
                <a16:creationId xmlns:a16="http://schemas.microsoft.com/office/drawing/2014/main" id="{8198369F-4ACF-39B4-25AE-870C92E2401B}"/>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7" name="Rectangle 6">
            <a:extLst>
              <a:ext uri="{FF2B5EF4-FFF2-40B4-BE49-F238E27FC236}">
                <a16:creationId xmlns:a16="http://schemas.microsoft.com/office/drawing/2014/main" id="{434212D3-E75E-C6C7-3F4B-93027BB51523}"/>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8" name="Arrow: Right 7">
            <a:extLst>
              <a:ext uri="{FF2B5EF4-FFF2-40B4-BE49-F238E27FC236}">
                <a16:creationId xmlns:a16="http://schemas.microsoft.com/office/drawing/2014/main" id="{7590CF99-71D2-7F4B-556E-366E2BD46F0E}"/>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FC607AB1-C276-7447-B463-A94B14B8CD03}"/>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Arrow: Right 9">
            <a:extLst>
              <a:ext uri="{FF2B5EF4-FFF2-40B4-BE49-F238E27FC236}">
                <a16:creationId xmlns:a16="http://schemas.microsoft.com/office/drawing/2014/main" id="{DDD434FD-14D6-1DA8-379C-B2CE2BDA55CC}"/>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1" name="TextBox 10">
            <a:extLst>
              <a:ext uri="{FF2B5EF4-FFF2-40B4-BE49-F238E27FC236}">
                <a16:creationId xmlns:a16="http://schemas.microsoft.com/office/drawing/2014/main" id="{DA99A711-A660-F674-449A-9C135BFED537}"/>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2" name="TextBox 11">
            <a:extLst>
              <a:ext uri="{FF2B5EF4-FFF2-40B4-BE49-F238E27FC236}">
                <a16:creationId xmlns:a16="http://schemas.microsoft.com/office/drawing/2014/main" id="{E2A14E1B-214E-62F9-57FA-0B852974C29A}"/>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3" name="TextBox 12">
            <a:extLst>
              <a:ext uri="{FF2B5EF4-FFF2-40B4-BE49-F238E27FC236}">
                <a16:creationId xmlns:a16="http://schemas.microsoft.com/office/drawing/2014/main" id="{891A9E24-40A5-7BC8-FFE7-8D2D9F296B64}"/>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514349</xdr:colOff>
      <xdr:row>10</xdr:row>
      <xdr:rowOff>175259</xdr:rowOff>
    </xdr:from>
    <xdr:ext cx="3004185" cy="2186941"/>
    <xdr:sp macro="" textlink="">
      <xdr:nvSpPr>
        <xdr:cNvPr id="14" name="TextBox 13">
          <a:extLst>
            <a:ext uri="{FF2B5EF4-FFF2-40B4-BE49-F238E27FC236}">
              <a16:creationId xmlns:a16="http://schemas.microsoft.com/office/drawing/2014/main" id="{81BB1AF4-E047-4216-8579-0FB1D26AC9C7}"/>
            </a:ext>
          </a:extLst>
        </xdr:cNvPr>
        <xdr:cNvSpPr txBox="1"/>
      </xdr:nvSpPr>
      <xdr:spPr>
        <a:xfrm>
          <a:off x="8858249" y="6703059"/>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11975</xdr:colOff>
      <xdr:row>5</xdr:row>
      <xdr:rowOff>126729</xdr:rowOff>
    </xdr:from>
    <xdr:to>
      <xdr:col>3</xdr:col>
      <xdr:colOff>702401</xdr:colOff>
      <xdr:row>14</xdr:row>
      <xdr:rowOff>55124</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381801</xdr:colOff>
      <xdr:row>5</xdr:row>
      <xdr:rowOff>136254</xdr:rowOff>
    </xdr:from>
    <xdr:to>
      <xdr:col>7</xdr:col>
      <xdr:colOff>521453</xdr:colOff>
      <xdr:row>22</xdr:row>
      <xdr:rowOff>101308</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06561" y="1564369"/>
              <a:ext cx="1834243" cy="34905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361614</xdr:colOff>
      <xdr:row>5</xdr:row>
      <xdr:rowOff>154669</xdr:rowOff>
    </xdr:from>
    <xdr:to>
      <xdr:col>11</xdr:col>
      <xdr:colOff>445770</xdr:colOff>
      <xdr:row>22</xdr:row>
      <xdr:rowOff>103004</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892800" y="1573894"/>
              <a:ext cx="2212975" cy="348274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340206</xdr:colOff>
      <xdr:row>5</xdr:row>
      <xdr:rowOff>134260</xdr:rowOff>
    </xdr:from>
    <xdr:to>
      <xdr:col>17</xdr:col>
      <xdr:colOff>87294</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48222" y="1553485"/>
              <a:ext cx="2635703" cy="342072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674732</xdr:colOff>
      <xdr:row>38</xdr:row>
      <xdr:rowOff>191196</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393427</xdr:colOff>
      <xdr:row>31</xdr:row>
      <xdr:rowOff>114003</xdr:rowOff>
    </xdr:from>
    <xdr:to>
      <xdr:col>7</xdr:col>
      <xdr:colOff>548666</xdr:colOff>
      <xdr:row>36</xdr:row>
      <xdr:rowOff>131856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26517" y="7029153"/>
              <a:ext cx="1825625" cy="943272"/>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71</xdr:row>
      <xdr:rowOff>16031</xdr:rowOff>
    </xdr:from>
    <xdr:to>
      <xdr:col>3</xdr:col>
      <xdr:colOff>688521</xdr:colOff>
      <xdr:row>86</xdr:row>
      <xdr:rowOff>115224</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261522"/>
              <a:ext cx="1851211" cy="297361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914853</xdr:colOff>
      <xdr:row>71</xdr:row>
      <xdr:rowOff>16937</xdr:rowOff>
    </xdr:from>
    <xdr:to>
      <xdr:col>6</xdr:col>
      <xdr:colOff>331405</xdr:colOff>
      <xdr:row>86</xdr:row>
      <xdr:rowOff>115224</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85382" y="15262428"/>
              <a:ext cx="1834483" cy="297270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780168</xdr:colOff>
      <xdr:row>71</xdr:row>
      <xdr:rowOff>37530</xdr:rowOff>
    </xdr:from>
    <xdr:to>
      <xdr:col>13</xdr:col>
      <xdr:colOff>75772</xdr:colOff>
      <xdr:row>86</xdr:row>
      <xdr:rowOff>131099</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752903" y="15288736"/>
              <a:ext cx="1872957" cy="29622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512381</xdr:colOff>
      <xdr:row>71</xdr:row>
      <xdr:rowOff>37530</xdr:rowOff>
    </xdr:from>
    <xdr:to>
      <xdr:col>9</xdr:col>
      <xdr:colOff>646366</xdr:colOff>
      <xdr:row>80</xdr:row>
      <xdr:rowOff>39521</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91316" y="15288736"/>
              <a:ext cx="1927785" cy="161563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127070</xdr:rowOff>
    </xdr:from>
    <xdr:to>
      <xdr:col>3</xdr:col>
      <xdr:colOff>704850</xdr:colOff>
      <xdr:row>64</xdr:row>
      <xdr:rowOff>49391</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4168" y="10693582"/>
              <a:ext cx="1851211" cy="29030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911225</xdr:colOff>
      <xdr:row>48</xdr:row>
      <xdr:rowOff>127070</xdr:rowOff>
    </xdr:from>
    <xdr:to>
      <xdr:col>6</xdr:col>
      <xdr:colOff>330499</xdr:colOff>
      <xdr:row>64</xdr:row>
      <xdr:rowOff>88970</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81754" y="10693582"/>
              <a:ext cx="184673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520999</xdr:colOff>
      <xdr:row>48</xdr:row>
      <xdr:rowOff>98495</xdr:rowOff>
    </xdr:from>
    <xdr:to>
      <xdr:col>10</xdr:col>
      <xdr:colOff>54909</xdr:colOff>
      <xdr:row>64</xdr:row>
      <xdr:rowOff>98495</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709459" y="10674532"/>
              <a:ext cx="2371538"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15</xdr:col>
      <xdr:colOff>560966</xdr:colOff>
      <xdr:row>31</xdr:row>
      <xdr:rowOff>134619</xdr:rowOff>
    </xdr:from>
    <xdr:to>
      <xdr:col>18</xdr:col>
      <xdr:colOff>397174</xdr:colOff>
      <xdr:row>40</xdr:row>
      <xdr:rowOff>17966</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366749" y="7176059"/>
              <a:ext cx="1835150" cy="185476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1</xdr:row>
      <xdr:rowOff>1731</xdr:rowOff>
    </xdr:from>
    <xdr:to>
      <xdr:col>23</xdr:col>
      <xdr:colOff>1038221</xdr:colOff>
      <xdr:row>10</xdr:row>
      <xdr:rowOff>112059</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756086" y="183572"/>
          <a:ext cx="1909495" cy="2275101"/>
          <a:chOff x="15855047" y="181025"/>
          <a:chExt cx="1910888" cy="2283573"/>
        </a:xfrm>
      </xdr:grpSpPr>
      <xdr:grpSp>
        <xdr:nvGrpSpPr>
          <xdr:cNvPr id="27" name="Group 26">
            <a:extLst>
              <a:ext uri="{FF2B5EF4-FFF2-40B4-BE49-F238E27FC236}">
                <a16:creationId xmlns:a16="http://schemas.microsoft.com/office/drawing/2014/main" id="{45F34B0D-69EC-46E4-8E79-0B4CF96C552C}"/>
              </a:ext>
            </a:extLst>
          </xdr:cNvPr>
          <xdr:cNvGrpSpPr/>
        </xdr:nvGrpSpPr>
        <xdr:grpSpPr>
          <a:xfrm>
            <a:off x="15855047" y="181025"/>
            <a:ext cx="1910888" cy="2283573"/>
            <a:chOff x="15706726" y="2666998"/>
            <a:chExt cx="1914525" cy="2285397"/>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2285397"/>
              <a:chOff x="15481301" y="1400173"/>
              <a:chExt cx="1885949" cy="2326950"/>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2326950"/>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1888505"/>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1"/>
          <a:srcRect l="4938" t="11523" r="9468" b="11937"/>
          <a:stretch/>
        </xdr:blipFill>
        <xdr:spPr>
          <a:xfrm>
            <a:off x="16011070" y="2015505"/>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artItem="33"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yle="SlicerStyleLight5" rowHeight="241300"/>
  <slicer name="City 1" xr10:uid="{41358946-B17F-49F4-AB44-E67C1E15E43A}" cache="Slicer_City1" caption="City"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filterColumn colId="0">
      <filters>
        <filter val="Mature-market high"/>
      </filters>
    </filterColumn>
  </autoFilter>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filterColumn colId="0">
      <filters>
        <filter val="Idaho"/>
        <filter val="Oregon"/>
        <filter val="Washington"/>
      </filters>
    </filterColumn>
  </autoFilter>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25" totalsRowShown="0" headerRowDxfId="40">
  <autoFilter ref="A1:S125" xr:uid="{9DF01256-CB82-4CC3-9894-52FD965C96A9}">
    <filterColumn colId="0">
      <filters>
        <filter val="FOG"/>
      </filters>
    </filterColumn>
  </autoFilter>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filterColumn colId="2">
      <filters>
        <filter val="Montana"/>
        <filter val="Oregon"/>
      </filters>
    </filterColumn>
  </autoFilter>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5" totalsRowShown="0" headerRowDxfId="17">
  <autoFilter ref="A1:L1385" xr:uid="{DB143187-25AE-4948-97C0-A8B578A3EEE2}">
    <filterColumn colId="0">
      <filters>
        <filter val="Idaho"/>
        <filter val="Oregon"/>
        <filter val="Washington"/>
      </filters>
    </filterColumn>
  </autoFilter>
  <sortState xmlns:xlrd2="http://schemas.microsoft.com/office/spreadsheetml/2017/richdata2" ref="A2:L1385">
    <sortCondition ref="A1:A1385"/>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9" totalsRowShown="0" headerRowDxfId="15" dataDxfId="14" tableBorderDxfId="13">
  <autoFilter ref="A1:M119" xr:uid="{5FD4ECEF-426D-43ED-AA6D-E65F18C0C057}">
    <filterColumn colId="0">
      <filters>
        <filter val="Washington"/>
      </filters>
    </filterColumn>
    <filterColumn colId="1">
      <filters>
        <filter val="Seattle"/>
      </filters>
    </filterColumn>
  </autoFilter>
  <sortState xmlns:xlrd2="http://schemas.microsoft.com/office/spreadsheetml/2017/richdata2" ref="A2:M111">
    <sortCondition ref="A1:A111"/>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From “Yield (gallon SAF/ton feedstock)” for solids feedstocks or “Yield (gallon SAF/gallon feedstock)”column for liquid feedstocks in SAF_Data_Tables.xlsx</text>
  </threadedComment>
  <threadedComment ref="O1" dT="2025-02-11T18:17:06.72" personId="{A5E22322-EBCC-441B-889E-9DA3C1077A24}" id="{91CB5016-A55C-478C-BDB6-7700A6C527C6}">
    <text>From “Input Capacity in ton/yr” column for solid feedstocks and “Input Capacity in gal/yr” for liquid feedstocks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12" Type="http://schemas.openxmlformats.org/officeDocument/2006/relationships/drawing" Target="../drawings/drawing1.xm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printerSettings" Target="../printerSettings/printerSettings1.bin"/><Relationship Id="rId5" Type="http://schemas.openxmlformats.org/officeDocument/2006/relationships/hyperlink" Target="https://www.icao.int/environmental-protection/Pages/SAF_RULESOFTHUMB.aspx" TargetMode="External"/><Relationship Id="rId10" Type="http://schemas.openxmlformats.org/officeDocument/2006/relationships/hyperlink" Target="https://biositing.jbei.org/data_downloads" TargetMode="External"/><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6DAA3-80DD-4114-977F-03283E9B7DBD}">
  <dimension ref="A1:J63"/>
  <sheetViews>
    <sheetView tabSelected="1" zoomScale="110" zoomScaleNormal="110" workbookViewId="0"/>
  </sheetViews>
  <sheetFormatPr defaultRowHeight="14.4" x14ac:dyDescent="0.3"/>
  <cols>
    <col min="1" max="1" width="119.44140625" style="4" customWidth="1"/>
    <col min="2" max="2" width="42.5546875" customWidth="1"/>
  </cols>
  <sheetData>
    <row r="1" spans="1:10" s="18" customFormat="1" ht="93.6" x14ac:dyDescent="0.3">
      <c r="A1" s="16" t="s">
        <v>320</v>
      </c>
      <c r="B1" s="17"/>
      <c r="C1" s="17"/>
      <c r="D1" s="17"/>
      <c r="E1" s="17"/>
      <c r="F1" s="17"/>
      <c r="G1" s="17"/>
      <c r="H1" s="17"/>
      <c r="I1" s="17"/>
      <c r="J1" s="17"/>
    </row>
    <row r="2" spans="1:10" ht="57" customHeight="1" x14ac:dyDescent="0.3">
      <c r="A2" s="13" t="s">
        <v>217</v>
      </c>
      <c r="B2" s="7"/>
      <c r="C2" s="138"/>
      <c r="D2" s="7"/>
      <c r="E2" s="7"/>
      <c r="F2" s="7"/>
      <c r="G2" s="7"/>
      <c r="H2" s="7"/>
      <c r="I2" s="7"/>
      <c r="J2" s="7"/>
    </row>
    <row r="3" spans="1:10" ht="60" customHeight="1" x14ac:dyDescent="0.3">
      <c r="A3" s="13" t="s">
        <v>3157</v>
      </c>
      <c r="B3" s="7"/>
      <c r="C3" s="7"/>
      <c r="D3" s="7"/>
      <c r="E3" s="7"/>
      <c r="F3" s="7"/>
      <c r="G3" s="7"/>
      <c r="H3" s="7"/>
      <c r="I3" s="7"/>
      <c r="J3" s="7"/>
    </row>
    <row r="4" spans="1:10" ht="97.05" customHeight="1" x14ac:dyDescent="0.3">
      <c r="A4" s="13"/>
      <c r="B4" s="7"/>
      <c r="C4" s="7"/>
      <c r="D4" s="7"/>
      <c r="E4" s="7"/>
      <c r="F4" s="7"/>
      <c r="G4" s="7"/>
      <c r="H4" s="7"/>
      <c r="I4" s="7"/>
      <c r="J4" s="7"/>
    </row>
    <row r="5" spans="1:10" ht="70.05" customHeight="1" x14ac:dyDescent="0.3">
      <c r="A5" s="13" t="s">
        <v>3224</v>
      </c>
      <c r="B5" s="7"/>
      <c r="C5" s="7"/>
      <c r="D5" s="7"/>
      <c r="E5" s="7"/>
      <c r="F5" s="7"/>
      <c r="G5" s="7"/>
      <c r="H5" s="7"/>
      <c r="I5" s="7"/>
      <c r="J5" s="7"/>
    </row>
    <row r="6" spans="1:10" ht="60" customHeight="1" x14ac:dyDescent="0.3">
      <c r="A6" s="14" t="s">
        <v>3143</v>
      </c>
      <c r="B6" s="7"/>
      <c r="C6" s="7"/>
      <c r="D6" s="7"/>
      <c r="E6" s="7"/>
      <c r="F6" s="7"/>
      <c r="G6" s="7"/>
      <c r="H6" s="7"/>
      <c r="I6" s="7"/>
      <c r="J6" s="7"/>
    </row>
    <row r="7" spans="1:10" x14ac:dyDescent="0.3">
      <c r="A7" s="10"/>
      <c r="B7" s="7"/>
      <c r="C7" s="7"/>
      <c r="D7" s="7"/>
      <c r="E7" s="7"/>
      <c r="F7" s="7"/>
      <c r="G7" s="7"/>
      <c r="H7" s="7"/>
      <c r="I7" s="7"/>
      <c r="J7" s="7"/>
    </row>
    <row r="8" spans="1:10" ht="25.8" x14ac:dyDescent="0.5">
      <c r="A8" s="19" t="s">
        <v>3152</v>
      </c>
      <c r="B8" s="7"/>
      <c r="C8" s="7"/>
      <c r="D8" s="7"/>
      <c r="E8" s="7"/>
      <c r="F8" s="7"/>
      <c r="G8" s="7"/>
      <c r="H8" s="7"/>
      <c r="I8" s="7"/>
      <c r="J8" s="7"/>
    </row>
    <row r="9" spans="1:10" ht="21" x14ac:dyDescent="0.4">
      <c r="A9" s="8"/>
      <c r="B9" s="7"/>
      <c r="C9" s="7"/>
      <c r="D9" s="7"/>
      <c r="E9" s="7"/>
      <c r="F9" s="7"/>
      <c r="G9" s="7"/>
      <c r="H9" s="7"/>
      <c r="I9" s="7"/>
      <c r="J9" s="7"/>
    </row>
    <row r="10" spans="1:10" ht="15.6" x14ac:dyDescent="0.3">
      <c r="A10" s="56" t="s">
        <v>197</v>
      </c>
      <c r="B10" s="7"/>
      <c r="C10" s="7"/>
      <c r="D10" s="7"/>
      <c r="E10" s="7"/>
      <c r="F10" s="7"/>
      <c r="G10" s="7"/>
      <c r="H10" s="7"/>
      <c r="I10" s="7"/>
      <c r="J10" s="7"/>
    </row>
    <row r="11" spans="1:10" x14ac:dyDescent="0.3">
      <c r="A11" s="9"/>
      <c r="B11" s="7"/>
      <c r="C11" s="7"/>
      <c r="D11" s="7"/>
      <c r="E11" s="7"/>
      <c r="F11" s="7"/>
      <c r="G11" s="7"/>
      <c r="H11" s="7"/>
      <c r="I11" s="7"/>
      <c r="J11" s="7"/>
    </row>
    <row r="12" spans="1:10" ht="15.6" x14ac:dyDescent="0.3">
      <c r="A12" s="57" t="s">
        <v>3144</v>
      </c>
      <c r="B12" s="7"/>
      <c r="C12" s="7"/>
      <c r="D12" s="7"/>
      <c r="E12" s="7"/>
      <c r="F12" s="7"/>
      <c r="G12" s="7"/>
      <c r="H12" s="7"/>
      <c r="I12" s="7"/>
      <c r="J12" s="7"/>
    </row>
    <row r="13" spans="1:10" ht="62.1" customHeight="1" x14ac:dyDescent="0.3">
      <c r="A13" s="32" t="s">
        <v>3182</v>
      </c>
      <c r="B13" s="7"/>
      <c r="C13" s="7"/>
      <c r="D13" s="7"/>
      <c r="E13" s="7"/>
      <c r="F13" s="7"/>
      <c r="G13" s="7"/>
      <c r="H13" s="7"/>
      <c r="I13" s="7"/>
      <c r="J13" s="7"/>
    </row>
    <row r="14" spans="1:10" ht="48.6" customHeight="1" x14ac:dyDescent="0.3">
      <c r="A14" s="32" t="s">
        <v>3148</v>
      </c>
      <c r="B14" s="7"/>
      <c r="C14" s="7"/>
      <c r="D14" s="7"/>
      <c r="E14" s="7"/>
      <c r="F14" s="7"/>
      <c r="G14" s="7"/>
      <c r="H14" s="7"/>
      <c r="I14" s="7"/>
      <c r="J14" s="7"/>
    </row>
    <row r="15" spans="1:10" ht="30" customHeight="1" x14ac:dyDescent="0.3">
      <c r="A15" s="32" t="s">
        <v>3149</v>
      </c>
      <c r="B15" s="7"/>
      <c r="C15" s="7"/>
      <c r="D15" s="7"/>
      <c r="E15" s="7"/>
      <c r="F15" s="7"/>
      <c r="G15" s="7"/>
      <c r="H15" s="7"/>
      <c r="I15" s="7"/>
      <c r="J15" s="7"/>
    </row>
    <row r="16" spans="1:10" ht="30" customHeight="1" x14ac:dyDescent="0.3">
      <c r="A16" s="32" t="s">
        <v>3150</v>
      </c>
      <c r="B16" s="7"/>
      <c r="C16" s="7"/>
      <c r="D16" s="7"/>
      <c r="E16" s="7"/>
      <c r="F16" s="7"/>
      <c r="G16" s="7"/>
      <c r="H16" s="7"/>
      <c r="I16" s="7"/>
      <c r="J16" s="7"/>
    </row>
    <row r="17" spans="1:10" x14ac:dyDescent="0.3">
      <c r="A17" s="9"/>
      <c r="B17" s="7"/>
      <c r="C17" s="7"/>
      <c r="D17" s="7"/>
      <c r="E17" s="7"/>
      <c r="F17" s="7"/>
      <c r="G17" s="7"/>
      <c r="H17" s="7"/>
      <c r="I17" s="7"/>
      <c r="J17" s="7"/>
    </row>
    <row r="18" spans="1:10" ht="15.6" x14ac:dyDescent="0.3">
      <c r="A18" s="57" t="s">
        <v>3145</v>
      </c>
      <c r="B18" s="7"/>
      <c r="C18" s="7"/>
      <c r="D18" s="7"/>
      <c r="E18" s="7"/>
      <c r="F18" s="7"/>
      <c r="G18" s="7"/>
      <c r="H18" s="7"/>
      <c r="I18" s="7"/>
      <c r="J18" s="7"/>
    </row>
    <row r="19" spans="1:10" ht="39.6" customHeight="1" x14ac:dyDescent="0.3">
      <c r="A19" s="32" t="s">
        <v>3151</v>
      </c>
      <c r="B19" s="7"/>
      <c r="C19" s="7"/>
      <c r="D19" s="7"/>
      <c r="E19" s="7"/>
      <c r="F19" s="7"/>
      <c r="G19" s="7"/>
      <c r="H19" s="7"/>
      <c r="I19" s="7"/>
      <c r="J19" s="7"/>
    </row>
    <row r="20" spans="1:10" ht="39" customHeight="1" x14ac:dyDescent="0.3">
      <c r="A20" s="32" t="s">
        <v>237</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57" t="s">
        <v>3183</v>
      </c>
      <c r="B22" s="7"/>
      <c r="C22" s="7"/>
      <c r="D22" s="7"/>
      <c r="E22" s="7"/>
      <c r="F22" s="7"/>
      <c r="G22" s="7"/>
      <c r="H22" s="7"/>
      <c r="I22" s="7"/>
      <c r="J22" s="7"/>
    </row>
    <row r="23" spans="1:10" ht="46.8" x14ac:dyDescent="0.3">
      <c r="A23" s="135" t="s">
        <v>3170</v>
      </c>
      <c r="B23" s="7"/>
      <c r="C23" s="7"/>
      <c r="D23" s="7"/>
      <c r="E23" s="7"/>
      <c r="F23" s="7"/>
      <c r="G23" s="7"/>
      <c r="H23" s="7"/>
      <c r="I23" s="7"/>
      <c r="J23" s="7"/>
    </row>
    <row r="24" spans="1:10" x14ac:dyDescent="0.3">
      <c r="A24" s="10"/>
      <c r="B24" s="7"/>
      <c r="C24" s="7"/>
      <c r="D24" s="7"/>
      <c r="E24" s="7"/>
      <c r="F24" s="7"/>
      <c r="G24" s="7"/>
      <c r="H24" s="7"/>
      <c r="I24" s="7"/>
      <c r="J24" s="7"/>
    </row>
    <row r="25" spans="1:10" ht="15.6" x14ac:dyDescent="0.3">
      <c r="A25" s="11" t="s">
        <v>3146</v>
      </c>
      <c r="B25" s="7"/>
      <c r="C25" s="7"/>
      <c r="D25" s="7"/>
      <c r="E25" s="7"/>
      <c r="F25" s="7"/>
      <c r="G25" s="7"/>
      <c r="H25" s="7"/>
      <c r="I25" s="7"/>
      <c r="J25" s="7"/>
    </row>
    <row r="26" spans="1:10" x14ac:dyDescent="0.3">
      <c r="A26" s="10" t="s">
        <v>253</v>
      </c>
      <c r="B26" s="7"/>
      <c r="C26" s="7"/>
      <c r="D26" s="7"/>
      <c r="E26" s="7"/>
      <c r="F26" s="7"/>
      <c r="G26" s="7"/>
      <c r="H26" s="7"/>
      <c r="I26" s="7"/>
      <c r="J26" s="7"/>
    </row>
    <row r="27" spans="1:10" x14ac:dyDescent="0.3">
      <c r="A27" s="10" t="s">
        <v>239</v>
      </c>
      <c r="B27" s="7"/>
      <c r="C27" s="7"/>
      <c r="D27" s="7"/>
      <c r="E27" s="7"/>
      <c r="F27" s="7"/>
      <c r="G27" s="7"/>
      <c r="H27" s="7"/>
      <c r="I27" s="7"/>
      <c r="J27" s="7"/>
    </row>
    <row r="28" spans="1:10" x14ac:dyDescent="0.3">
      <c r="A28" s="10"/>
      <c r="B28" s="7"/>
      <c r="C28" s="7"/>
      <c r="D28" s="7"/>
      <c r="E28" s="7"/>
      <c r="F28" s="7"/>
      <c r="G28" s="7"/>
      <c r="H28" s="7"/>
      <c r="I28" s="7"/>
      <c r="J28" s="7"/>
    </row>
    <row r="29" spans="1:10" ht="15.6" x14ac:dyDescent="0.3">
      <c r="A29" s="11" t="s">
        <v>3147</v>
      </c>
      <c r="B29" s="7"/>
      <c r="C29" s="7"/>
      <c r="D29" s="7"/>
      <c r="E29" s="7"/>
      <c r="F29" s="7"/>
      <c r="G29" s="7"/>
      <c r="H29" s="7"/>
      <c r="I29" s="7"/>
      <c r="J29" s="7"/>
    </row>
    <row r="30" spans="1:10" x14ac:dyDescent="0.3">
      <c r="A30" s="10"/>
      <c r="B30" s="7"/>
      <c r="C30" s="7"/>
      <c r="D30" s="7"/>
      <c r="E30" s="7"/>
      <c r="F30" s="7"/>
      <c r="G30" s="7"/>
      <c r="H30" s="7"/>
      <c r="I30" s="7"/>
      <c r="J30" s="7"/>
    </row>
    <row r="31" spans="1:10" ht="25.8" x14ac:dyDescent="0.5">
      <c r="A31" s="19" t="s">
        <v>3158</v>
      </c>
      <c r="B31" s="7"/>
      <c r="C31" s="7"/>
      <c r="D31" s="7"/>
      <c r="E31" s="7"/>
      <c r="F31" s="7"/>
      <c r="G31" s="7"/>
      <c r="H31" s="7"/>
      <c r="I31" s="7"/>
      <c r="J31" s="7"/>
    </row>
    <row r="32" spans="1:10" x14ac:dyDescent="0.3">
      <c r="A32" s="10" t="s">
        <v>3169</v>
      </c>
      <c r="B32" s="7"/>
      <c r="C32" s="7"/>
      <c r="D32" s="7"/>
      <c r="E32" s="7"/>
      <c r="F32" s="7"/>
      <c r="G32" s="7"/>
      <c r="H32" s="7"/>
      <c r="I32" s="7"/>
      <c r="J32" s="7"/>
    </row>
    <row r="33" spans="1:10" x14ac:dyDescent="0.3">
      <c r="B33" s="7"/>
      <c r="C33" s="7"/>
      <c r="D33" s="7"/>
      <c r="E33" s="7"/>
      <c r="F33" s="7"/>
      <c r="G33" s="7"/>
      <c r="H33" s="7"/>
      <c r="I33" s="7"/>
      <c r="J33" s="7"/>
    </row>
    <row r="34" spans="1:10" x14ac:dyDescent="0.3">
      <c r="A34" s="9" t="s">
        <v>3159</v>
      </c>
      <c r="B34" s="7"/>
      <c r="C34" s="7"/>
      <c r="D34" s="7"/>
      <c r="E34" s="7"/>
      <c r="F34" s="7"/>
      <c r="G34" s="7"/>
      <c r="H34" s="7"/>
      <c r="I34" s="7"/>
      <c r="J34" s="7"/>
    </row>
    <row r="35" spans="1:10" x14ac:dyDescent="0.3">
      <c r="A35" s="139" t="s">
        <v>3160</v>
      </c>
      <c r="B35" s="7"/>
      <c r="C35" s="7"/>
      <c r="D35" s="7"/>
      <c r="E35" s="7"/>
      <c r="F35" s="7"/>
      <c r="G35" s="7"/>
      <c r="H35" s="7"/>
      <c r="I35" s="7"/>
      <c r="J35" s="7"/>
    </row>
    <row r="36" spans="1:10" x14ac:dyDescent="0.3">
      <c r="A36" s="139" t="s">
        <v>3166</v>
      </c>
      <c r="B36" s="7"/>
      <c r="C36" s="7"/>
      <c r="D36" s="7"/>
      <c r="E36" s="7"/>
      <c r="F36" s="7"/>
      <c r="G36" s="7"/>
      <c r="H36" s="7"/>
      <c r="I36" s="7"/>
      <c r="J36" s="7"/>
    </row>
    <row r="37" spans="1:10" x14ac:dyDescent="0.3">
      <c r="A37" s="151" t="s">
        <v>3219</v>
      </c>
      <c r="B37" s="7"/>
      <c r="C37" s="7"/>
      <c r="D37" s="7"/>
      <c r="E37" s="7"/>
      <c r="F37" s="7"/>
      <c r="G37" s="7"/>
      <c r="H37" s="7"/>
      <c r="I37" s="7"/>
      <c r="J37" s="7"/>
    </row>
    <row r="38" spans="1:10" x14ac:dyDescent="0.3">
      <c r="A38" s="10"/>
      <c r="B38" s="7"/>
      <c r="C38" s="7"/>
      <c r="D38" s="7"/>
      <c r="E38" s="7"/>
      <c r="F38" s="7"/>
      <c r="G38" s="7"/>
      <c r="H38" s="7"/>
      <c r="I38" s="7"/>
      <c r="J38" s="7"/>
    </row>
    <row r="39" spans="1:10" x14ac:dyDescent="0.3">
      <c r="A39" s="9" t="s">
        <v>3161</v>
      </c>
      <c r="B39" s="7"/>
      <c r="C39" s="7"/>
      <c r="D39" s="7"/>
      <c r="E39" s="7"/>
      <c r="F39" s="7"/>
      <c r="G39" s="7"/>
      <c r="H39" s="7"/>
      <c r="I39" s="7"/>
      <c r="J39" s="7"/>
    </row>
    <row r="40" spans="1:10" x14ac:dyDescent="0.3">
      <c r="A40" s="139" t="s">
        <v>3162</v>
      </c>
      <c r="B40" s="7"/>
      <c r="C40" s="7"/>
      <c r="D40" s="7"/>
      <c r="E40" s="7"/>
      <c r="F40" s="7"/>
      <c r="G40" s="7"/>
      <c r="H40" s="7"/>
      <c r="I40" s="7"/>
      <c r="J40" s="7"/>
    </row>
    <row r="41" spans="1:10" x14ac:dyDescent="0.3">
      <c r="A41" s="10"/>
      <c r="B41" s="7"/>
      <c r="C41" s="7"/>
      <c r="D41" s="7"/>
      <c r="E41" s="7"/>
      <c r="F41" s="7"/>
      <c r="G41" s="7"/>
      <c r="H41" s="7"/>
      <c r="I41" s="7"/>
      <c r="J41" s="7"/>
    </row>
    <row r="42" spans="1:10" x14ac:dyDescent="0.3">
      <c r="A42" s="9" t="s">
        <v>3112</v>
      </c>
      <c r="B42" s="7"/>
      <c r="C42" s="7"/>
      <c r="D42" s="7"/>
      <c r="E42" s="7"/>
      <c r="F42" s="7"/>
      <c r="G42" s="7"/>
      <c r="H42" s="7"/>
      <c r="I42" s="7"/>
      <c r="J42" s="7"/>
    </row>
    <row r="43" spans="1:10" x14ac:dyDescent="0.3">
      <c r="A43" s="139" t="s">
        <v>3163</v>
      </c>
      <c r="B43" s="7"/>
      <c r="C43" s="7"/>
      <c r="D43" s="7"/>
      <c r="E43" s="7"/>
      <c r="F43" s="7"/>
      <c r="G43" s="7"/>
      <c r="H43" s="7"/>
      <c r="I43" s="7"/>
      <c r="J43" s="7"/>
    </row>
    <row r="44" spans="1:10" x14ac:dyDescent="0.3">
      <c r="A44" s="139" t="s">
        <v>3167</v>
      </c>
      <c r="B44" s="7"/>
      <c r="C44" s="7"/>
      <c r="D44" s="7"/>
      <c r="E44" s="7"/>
      <c r="F44" s="7"/>
      <c r="G44" s="7"/>
      <c r="H44" s="7"/>
      <c r="I44" s="7"/>
      <c r="J44" s="7"/>
    </row>
    <row r="45" spans="1:10" x14ac:dyDescent="0.3">
      <c r="A45" s="10"/>
      <c r="B45" s="7"/>
      <c r="C45" s="7"/>
      <c r="D45" s="7"/>
      <c r="E45" s="7"/>
      <c r="F45" s="7"/>
      <c r="G45" s="7"/>
      <c r="H45" s="7"/>
      <c r="I45" s="7"/>
      <c r="J45" s="7"/>
    </row>
    <row r="46" spans="1:10" x14ac:dyDescent="0.3">
      <c r="A46" s="9" t="s">
        <v>3116</v>
      </c>
      <c r="B46" s="7"/>
      <c r="C46" s="7"/>
      <c r="D46" s="7"/>
      <c r="E46" s="7"/>
      <c r="F46" s="7"/>
      <c r="G46" s="7"/>
      <c r="H46" s="7"/>
      <c r="I46" s="7"/>
      <c r="J46" s="7"/>
    </row>
    <row r="47" spans="1:10" x14ac:dyDescent="0.3">
      <c r="A47" s="139" t="s">
        <v>3164</v>
      </c>
      <c r="B47" s="7"/>
      <c r="C47" s="7"/>
      <c r="D47" s="7"/>
      <c r="E47" s="7"/>
      <c r="F47" s="7"/>
      <c r="G47" s="7"/>
      <c r="H47" s="7"/>
      <c r="I47" s="7"/>
      <c r="J47" s="7"/>
    </row>
    <row r="48" spans="1:10" x14ac:dyDescent="0.3">
      <c r="A48" s="10"/>
      <c r="B48" s="7"/>
      <c r="C48" s="7"/>
      <c r="D48" s="7"/>
      <c r="E48" s="7"/>
      <c r="F48" s="7"/>
      <c r="G48" s="7"/>
      <c r="H48" s="7"/>
      <c r="I48" s="7"/>
      <c r="J48" s="7"/>
    </row>
    <row r="49" spans="1:10" x14ac:dyDescent="0.3">
      <c r="A49" s="9" t="s">
        <v>3165</v>
      </c>
      <c r="B49" s="7"/>
      <c r="C49" s="7"/>
      <c r="D49" s="7"/>
      <c r="E49" s="7"/>
      <c r="F49" s="7"/>
      <c r="G49" s="7"/>
      <c r="H49" s="7"/>
      <c r="I49" s="7"/>
      <c r="J49" s="7"/>
    </row>
    <row r="50" spans="1:10" x14ac:dyDescent="0.3">
      <c r="A50" s="139" t="s">
        <v>3168</v>
      </c>
      <c r="B50" s="7"/>
      <c r="C50" s="7"/>
      <c r="D50" s="7"/>
      <c r="E50" s="7"/>
      <c r="F50" s="7"/>
      <c r="G50" s="7"/>
      <c r="H50" s="7"/>
      <c r="I50" s="7"/>
      <c r="J50" s="7"/>
    </row>
    <row r="51" spans="1:10" x14ac:dyDescent="0.3">
      <c r="A51" s="10"/>
      <c r="B51" s="7"/>
      <c r="C51" s="7"/>
      <c r="D51" s="7"/>
      <c r="E51" s="7"/>
      <c r="F51" s="7"/>
      <c r="G51" s="7"/>
      <c r="H51" s="7"/>
      <c r="I51" s="7"/>
      <c r="J51" s="7"/>
    </row>
    <row r="52" spans="1:10" ht="28.8" x14ac:dyDescent="0.3">
      <c r="A52" s="12" t="s">
        <v>254</v>
      </c>
      <c r="B52" s="7"/>
      <c r="C52" s="7"/>
      <c r="D52" s="7"/>
      <c r="E52" s="7"/>
      <c r="F52" s="7"/>
      <c r="G52" s="7"/>
      <c r="H52" s="7"/>
      <c r="I52" s="7"/>
      <c r="J52" s="7"/>
    </row>
    <row r="53" spans="1:10" x14ac:dyDescent="0.3">
      <c r="A53" s="10"/>
      <c r="B53" s="7"/>
      <c r="C53" s="7"/>
      <c r="D53" s="7"/>
      <c r="E53" s="7"/>
      <c r="F53" s="7"/>
      <c r="G53" s="7"/>
      <c r="H53" s="7"/>
      <c r="I53" s="7"/>
      <c r="J53" s="7"/>
    </row>
    <row r="54" spans="1:10" x14ac:dyDescent="0.3">
      <c r="A54" s="12" t="s">
        <v>214</v>
      </c>
      <c r="B54" s="7"/>
      <c r="C54" s="7"/>
      <c r="D54" s="7"/>
      <c r="E54" s="7"/>
      <c r="F54" s="7"/>
      <c r="G54" s="7"/>
      <c r="H54" s="7"/>
      <c r="I54" s="7"/>
      <c r="J54" s="7"/>
    </row>
    <row r="55" spans="1:10" x14ac:dyDescent="0.3">
      <c r="A55" s="15" t="s">
        <v>216</v>
      </c>
      <c r="B55" s="7"/>
      <c r="C55" s="7"/>
      <c r="D55" s="7"/>
      <c r="E55" s="7"/>
      <c r="F55" s="7"/>
      <c r="G55" s="7"/>
      <c r="H55" s="7"/>
      <c r="I55" s="7"/>
      <c r="J55" s="7"/>
    </row>
    <row r="56" spans="1:10" x14ac:dyDescent="0.3">
      <c r="A56" s="15" t="s">
        <v>215</v>
      </c>
      <c r="B56" s="7"/>
      <c r="C56" s="7"/>
      <c r="D56" s="7"/>
      <c r="E56" s="7"/>
      <c r="F56" s="7"/>
      <c r="G56" s="7"/>
      <c r="H56" s="7"/>
      <c r="I56" s="7"/>
      <c r="J56" s="7"/>
    </row>
    <row r="57" spans="1:10" x14ac:dyDescent="0.3">
      <c r="A57" s="10"/>
      <c r="B57" s="7"/>
      <c r="C57" s="7"/>
      <c r="D57" s="7"/>
      <c r="E57" s="7"/>
      <c r="F57" s="7"/>
      <c r="G57" s="7"/>
      <c r="H57" s="7"/>
      <c r="I57" s="7"/>
      <c r="J57" s="7"/>
    </row>
    <row r="58" spans="1:10" x14ac:dyDescent="0.3">
      <c r="A58" s="10"/>
      <c r="B58" s="7"/>
      <c r="C58" s="7"/>
      <c r="D58" s="7"/>
      <c r="E58" s="7"/>
      <c r="F58" s="7"/>
      <c r="G58" s="7"/>
      <c r="H58" s="7"/>
      <c r="I58" s="7"/>
      <c r="J58" s="7"/>
    </row>
    <row r="59" spans="1:10" x14ac:dyDescent="0.3">
      <c r="A59" s="10"/>
      <c r="B59" s="7"/>
      <c r="C59" s="7"/>
      <c r="D59" s="7"/>
      <c r="E59" s="7"/>
      <c r="F59" s="7"/>
      <c r="G59" s="7"/>
      <c r="H59" s="7"/>
      <c r="I59" s="7"/>
      <c r="J59" s="7"/>
    </row>
    <row r="60" spans="1:10" x14ac:dyDescent="0.3">
      <c r="A60" s="10"/>
      <c r="B60" s="7"/>
      <c r="C60" s="7"/>
      <c r="D60" s="7"/>
      <c r="E60" s="7"/>
      <c r="F60" s="7"/>
      <c r="G60" s="7"/>
      <c r="H60" s="7"/>
      <c r="I60" s="7"/>
      <c r="J60" s="7"/>
    </row>
    <row r="61" spans="1:10" x14ac:dyDescent="0.3">
      <c r="A61" s="10"/>
      <c r="B61" s="7"/>
      <c r="C61" s="7"/>
      <c r="D61" s="7"/>
      <c r="E61" s="7"/>
      <c r="F61" s="7"/>
      <c r="G61" s="7"/>
      <c r="H61" s="7"/>
      <c r="I61" s="7"/>
      <c r="J61" s="7"/>
    </row>
    <row r="62" spans="1:10" x14ac:dyDescent="0.3">
      <c r="A62" s="10"/>
      <c r="B62" s="7"/>
      <c r="C62" s="7"/>
      <c r="D62" s="7"/>
      <c r="E62" s="7"/>
      <c r="F62" s="7"/>
      <c r="G62" s="7"/>
      <c r="H62" s="7"/>
      <c r="I62" s="7"/>
      <c r="J62" s="7"/>
    </row>
    <row r="63" spans="1:10" x14ac:dyDescent="0.3">
      <c r="A63" s="10"/>
      <c r="B63" s="7"/>
      <c r="C63" s="7"/>
      <c r="D63" s="7"/>
      <c r="E63" s="7"/>
      <c r="F63" s="7"/>
      <c r="G63" s="7"/>
      <c r="H63" s="7"/>
      <c r="I63" s="7"/>
      <c r="J63" s="7"/>
    </row>
  </sheetData>
  <hyperlinks>
    <hyperlink ref="A56" r:id="rId1" xr:uid="{121C179E-F1AC-4288-A4BD-10361F7BC67C}"/>
    <hyperlink ref="A55" r:id="rId2" xr:uid="{3DB22406-0DE4-4EDE-B0AD-74A8A5895490}"/>
    <hyperlink ref="A35" r:id="rId3" display="https://bioenergykdf.ornl.gov/document/2023-billion-ton-report" xr:uid="{8FF3BE90-CDBE-47C0-B408-E735F44F07C2}"/>
    <hyperlink ref="A36" r:id="rId4" display="https://biositing.jbei.org/national" xr:uid="{C7FC232F-FBA1-4E85-9C0E-EA3466633D83}"/>
    <hyperlink ref="A40" r:id="rId5" display="https://www.icao.int/environmental-protection/Pages/SAF_RULESOFTHUMB.aspx" xr:uid="{CD8AA926-8C63-4465-8680-AFD6311D8585}"/>
    <hyperlink ref="A43" r:id="rId6" display="https://www.nrel.gov/docs/fy24osti/87803.pdf" xr:uid="{5D1AF430-693B-425D-B4F2-88E8BCEA43C8}"/>
    <hyperlink ref="A44" r:id="rId7" display="https://biositing.jbei.org/national" xr:uid="{0706729C-AD3F-4FEC-A102-60C9B176E549}"/>
    <hyperlink ref="A47" r:id="rId8" display="https://atlas.eia.gov/datasets/eia::petroleum-product-terminals-1/about" xr:uid="{7D649D90-CD2D-4364-A069-7352803E4866}"/>
    <hyperlink ref="A50" r:id="rId9" display="https://www.airlines.org/" xr:uid="{39A8B519-6ECD-41C4-865C-5E145964E5A7}"/>
    <hyperlink ref="A37" r:id="rId10" xr:uid="{32DC3D3C-F593-4247-BFCB-238B149F0104}"/>
  </hyperlinks>
  <pageMargins left="0.7" right="0.7" top="0.75" bottom="0.75" header="0.3" footer="0.3"/>
  <pageSetup orientation="portrait" r:id="rId11"/>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110" zoomScaleNormal="110" workbookViewId="0"/>
  </sheetViews>
  <sheetFormatPr defaultRowHeight="14.4" x14ac:dyDescent="0.3"/>
  <cols>
    <col min="3" max="3" width="8" customWidth="1"/>
    <col min="4" max="4" width="19.21875" customWidth="1"/>
    <col min="5" max="5" width="6.5546875" customWidth="1"/>
    <col min="8" max="8" width="10.21875" customWidth="1"/>
    <col min="9" max="9" width="6.5546875" customWidth="1"/>
    <col min="10" max="10" width="15.21875" customWidth="1"/>
    <col min="12" max="13" width="6.5546875" customWidth="1"/>
    <col min="18" max="18" width="11.21875" customWidth="1"/>
    <col min="19" max="19" width="14.21875" customWidth="1"/>
    <col min="20" max="20" width="22.21875" customWidth="1"/>
    <col min="21" max="21" width="18.5546875" customWidth="1"/>
    <col min="24" max="24" width="21" customWidth="1"/>
    <col min="26" max="26" width="28.77734375" customWidth="1"/>
    <col min="27" max="27" width="13.44140625" bestFit="1" customWidth="1"/>
    <col min="29" max="29" width="8.21875" bestFit="1" customWidth="1"/>
    <col min="30" max="30" width="15" bestFit="1" customWidth="1"/>
    <col min="31" max="31" width="12.44140625" bestFit="1" customWidth="1"/>
    <col min="33" max="33" width="15" bestFit="1" customWidth="1"/>
    <col min="34" max="34" width="12.44140625" bestFit="1" customWidth="1"/>
  </cols>
  <sheetData>
    <row r="1" spans="1:30" x14ac:dyDescent="0.3">
      <c r="A1" s="7"/>
      <c r="B1" s="7"/>
      <c r="C1" s="7"/>
      <c r="D1" s="7"/>
      <c r="E1" s="7"/>
      <c r="F1" s="7"/>
      <c r="G1" s="7"/>
      <c r="H1" s="7"/>
      <c r="I1" s="7"/>
      <c r="J1" s="7"/>
      <c r="K1" s="7"/>
      <c r="L1" s="7"/>
      <c r="M1" s="7"/>
      <c r="N1" s="7"/>
      <c r="O1" s="7"/>
      <c r="P1" s="7"/>
      <c r="Q1" s="7"/>
      <c r="R1" s="7"/>
      <c r="S1" s="7"/>
      <c r="T1" s="7"/>
      <c r="U1" s="7"/>
      <c r="V1" s="7"/>
      <c r="W1" s="7"/>
      <c r="X1" s="7"/>
      <c r="Y1" s="7"/>
      <c r="Z1" s="7"/>
    </row>
    <row r="2" spans="1:30" s="30" customFormat="1" ht="30" customHeight="1" x14ac:dyDescent="0.3">
      <c r="B2" s="92" t="s">
        <v>3094</v>
      </c>
      <c r="C2" s="91"/>
      <c r="D2" s="91"/>
      <c r="E2" s="91"/>
      <c r="F2" s="91"/>
      <c r="G2" s="91"/>
      <c r="H2" s="91"/>
      <c r="I2" s="91"/>
      <c r="J2" s="91"/>
      <c r="K2" s="91"/>
      <c r="L2" s="91"/>
      <c r="M2" s="91"/>
      <c r="N2" s="91"/>
      <c r="O2" s="91"/>
      <c r="P2" s="91"/>
      <c r="Q2" s="91"/>
      <c r="R2" s="91"/>
      <c r="S2" s="91"/>
      <c r="T2" s="91"/>
      <c r="U2" s="91"/>
      <c r="V2" s="21"/>
      <c r="W2" s="21"/>
      <c r="X2" s="21"/>
      <c r="Y2" s="21"/>
      <c r="Z2" s="21"/>
    </row>
    <row r="3" spans="1:30" ht="28.5" customHeight="1" x14ac:dyDescent="0.3">
      <c r="A3" s="7"/>
      <c r="B3" s="123" t="s">
        <v>3119</v>
      </c>
      <c r="C3" s="7"/>
      <c r="D3" s="7"/>
      <c r="E3" s="7"/>
      <c r="F3" s="7"/>
      <c r="G3" s="7"/>
      <c r="H3" s="7"/>
      <c r="I3" s="7"/>
      <c r="J3" s="7"/>
      <c r="K3" s="7"/>
      <c r="L3" s="7"/>
      <c r="M3" s="7"/>
      <c r="N3" s="7"/>
      <c r="O3" s="7"/>
      <c r="P3" s="7"/>
      <c r="Q3" s="7"/>
      <c r="R3" s="7"/>
      <c r="S3" s="7"/>
      <c r="T3" s="7"/>
      <c r="U3" s="7"/>
      <c r="V3" s="7"/>
      <c r="W3" s="7"/>
      <c r="X3" s="7"/>
      <c r="Y3" s="7"/>
      <c r="Z3" s="7"/>
      <c r="AA3" s="130"/>
    </row>
    <row r="4" spans="1:30" s="30" customFormat="1" ht="25.05" customHeight="1" x14ac:dyDescent="0.3">
      <c r="B4" s="84" t="s">
        <v>3140</v>
      </c>
      <c r="C4" s="85"/>
      <c r="D4" s="86"/>
      <c r="F4" s="84" t="s">
        <v>3087</v>
      </c>
      <c r="G4" s="85"/>
      <c r="H4" s="86"/>
      <c r="J4" s="84" t="s">
        <v>3088</v>
      </c>
      <c r="K4" s="85"/>
      <c r="L4" s="86"/>
      <c r="N4" s="84" t="s">
        <v>3089</v>
      </c>
      <c r="O4" s="87"/>
      <c r="P4" s="87"/>
      <c r="Q4" s="88"/>
      <c r="S4" s="84" t="s">
        <v>3090</v>
      </c>
      <c r="T4" s="87"/>
      <c r="U4" s="88"/>
      <c r="V4" s="21"/>
      <c r="W4" s="21"/>
      <c r="X4" s="21"/>
      <c r="Y4" s="21"/>
      <c r="Z4" s="7"/>
      <c r="AA4"/>
      <c r="AB4"/>
      <c r="AC4"/>
      <c r="AD4"/>
    </row>
    <row r="5" spans="1:30" x14ac:dyDescent="0.3">
      <c r="A5" s="7"/>
      <c r="B5" s="93" t="s">
        <v>319</v>
      </c>
      <c r="C5" s="7"/>
      <c r="D5" s="7"/>
      <c r="E5" s="7"/>
      <c r="F5" s="93" t="s">
        <v>3225</v>
      </c>
      <c r="G5" s="7"/>
      <c r="H5" s="7"/>
      <c r="I5" s="7"/>
      <c r="J5" s="93" t="s">
        <v>319</v>
      </c>
      <c r="K5" s="7"/>
      <c r="L5" s="7"/>
      <c r="M5" s="7"/>
      <c r="N5" s="93" t="s">
        <v>3225</v>
      </c>
      <c r="O5" s="7"/>
      <c r="P5" s="7"/>
      <c r="Q5" s="7"/>
      <c r="R5" s="7"/>
      <c r="S5" s="7"/>
      <c r="T5" s="7"/>
      <c r="U5" s="7"/>
      <c r="V5" s="7"/>
      <c r="W5" s="7"/>
      <c r="X5" s="7"/>
      <c r="Y5" s="7"/>
      <c r="Z5" s="7"/>
    </row>
    <row r="6" spans="1:30" x14ac:dyDescent="0.3">
      <c r="A6" s="7"/>
      <c r="B6" s="7"/>
      <c r="C6" s="7"/>
      <c r="D6" s="7"/>
      <c r="E6" s="7"/>
      <c r="F6" s="7"/>
      <c r="G6" s="7"/>
      <c r="H6" s="7"/>
      <c r="I6" s="7"/>
      <c r="J6" s="7"/>
      <c r="K6" s="7"/>
      <c r="L6" s="7"/>
      <c r="M6" s="7"/>
      <c r="N6" s="7"/>
      <c r="O6" s="7"/>
      <c r="P6" s="7"/>
      <c r="Q6" s="7"/>
      <c r="R6" s="7"/>
      <c r="S6" s="7" t="s">
        <v>3091</v>
      </c>
      <c r="T6" s="7"/>
      <c r="U6" s="7"/>
      <c r="V6" s="7"/>
      <c r="W6" s="7"/>
      <c r="X6" s="7"/>
      <c r="Y6" s="7"/>
      <c r="Z6" s="7"/>
    </row>
    <row r="7" spans="1:30" x14ac:dyDescent="0.3">
      <c r="A7" s="7"/>
      <c r="B7" s="7"/>
      <c r="C7" s="7"/>
      <c r="D7" s="7"/>
      <c r="E7" s="7"/>
      <c r="F7" s="7"/>
      <c r="G7" s="7"/>
      <c r="H7" s="7"/>
      <c r="I7" s="7"/>
      <c r="J7" s="7"/>
      <c r="K7" s="7"/>
      <c r="L7" s="7"/>
      <c r="M7" s="7"/>
      <c r="N7" s="7"/>
      <c r="O7" s="7"/>
      <c r="P7" s="7"/>
      <c r="Q7" s="7"/>
      <c r="R7" s="7"/>
      <c r="S7" s="7" t="s">
        <v>3131</v>
      </c>
      <c r="T7" s="7"/>
      <c r="U7" s="7"/>
      <c r="V7" s="7"/>
      <c r="W7" s="7"/>
      <c r="X7" s="7"/>
      <c r="Y7" s="7"/>
      <c r="Z7" s="7"/>
    </row>
    <row r="8" spans="1:30" ht="15" thickBot="1" x14ac:dyDescent="0.35">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35">
      <c r="A9" s="7"/>
      <c r="B9" s="7"/>
      <c r="C9" s="7"/>
      <c r="D9" s="7"/>
      <c r="E9" s="7"/>
      <c r="F9" s="7"/>
      <c r="G9" s="7"/>
      <c r="H9" s="7"/>
      <c r="I9" s="7"/>
      <c r="J9" s="7"/>
      <c r="K9" s="7"/>
      <c r="L9" s="7"/>
      <c r="M9" s="7"/>
      <c r="N9" s="7"/>
      <c r="O9" s="7"/>
      <c r="P9" s="7"/>
      <c r="Q9" s="7"/>
      <c r="R9" s="7"/>
      <c r="S9" s="131">
        <v>1</v>
      </c>
      <c r="T9" s="7"/>
      <c r="U9" s="7"/>
      <c r="V9" s="7"/>
      <c r="W9" s="7"/>
      <c r="X9" s="7"/>
      <c r="Y9" s="7"/>
      <c r="Z9" s="7"/>
    </row>
    <row r="10" spans="1:30" x14ac:dyDescent="0.3">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
      <c r="R11" s="7"/>
      <c r="S11" s="7"/>
      <c r="T11" s="7"/>
      <c r="U11" s="7"/>
      <c r="V11" s="7"/>
      <c r="W11" s="7"/>
      <c r="X11" s="7"/>
      <c r="Y11" s="7"/>
      <c r="Z11" s="7"/>
    </row>
    <row r="12" spans="1:30" x14ac:dyDescent="0.3">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05" customHeight="1" x14ac:dyDescent="0.3">
      <c r="A13" s="7"/>
      <c r="B13" s="7"/>
      <c r="C13" s="7"/>
      <c r="D13" s="7"/>
      <c r="E13" s="7"/>
      <c r="F13" s="7"/>
      <c r="G13" s="7"/>
      <c r="H13" s="7"/>
      <c r="I13" s="7"/>
      <c r="J13" s="7"/>
      <c r="K13" s="7"/>
      <c r="L13" s="7"/>
      <c r="M13" s="7"/>
      <c r="N13" s="7"/>
      <c r="O13" s="7"/>
      <c r="P13" s="7"/>
      <c r="Q13" s="7"/>
      <c r="R13" s="7"/>
      <c r="S13" s="84" t="s">
        <v>3174</v>
      </c>
      <c r="T13" s="132"/>
      <c r="U13" s="133"/>
      <c r="V13" s="7"/>
      <c r="W13" s="7"/>
      <c r="X13" s="7"/>
      <c r="Y13" s="7"/>
      <c r="Z13" s="7"/>
    </row>
    <row r="14" spans="1:30" x14ac:dyDescent="0.3">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
      <c r="A15" s="7"/>
      <c r="B15" s="7"/>
      <c r="C15" s="7"/>
      <c r="D15" s="7"/>
      <c r="E15" s="7"/>
      <c r="F15" s="7"/>
      <c r="G15" s="7"/>
      <c r="H15" s="7"/>
      <c r="I15" s="7"/>
      <c r="J15" s="7"/>
      <c r="K15" s="7"/>
      <c r="L15" s="7"/>
      <c r="M15" s="7"/>
      <c r="N15" s="7"/>
      <c r="O15" s="7"/>
      <c r="P15" s="7"/>
      <c r="Q15" s="7"/>
      <c r="R15" s="7"/>
      <c r="S15" s="7" t="s">
        <v>3137</v>
      </c>
      <c r="T15" s="7"/>
      <c r="U15" s="7"/>
      <c r="V15" s="7"/>
      <c r="W15" s="7"/>
      <c r="X15" s="7"/>
      <c r="Y15" s="7"/>
      <c r="Z15" s="7"/>
    </row>
    <row r="16" spans="1:30" ht="29.1" customHeight="1" thickBot="1" x14ac:dyDescent="0.35">
      <c r="A16" s="7"/>
      <c r="B16" s="154" t="s">
        <v>3142</v>
      </c>
      <c r="C16" s="154"/>
      <c r="D16" s="154"/>
      <c r="E16" s="7"/>
      <c r="F16" s="7"/>
      <c r="G16" s="7"/>
      <c r="H16" s="7"/>
      <c r="I16" s="7"/>
      <c r="J16" s="7"/>
      <c r="K16" s="7"/>
      <c r="L16" s="7"/>
      <c r="M16" s="7"/>
      <c r="N16" s="7"/>
      <c r="O16" s="7"/>
      <c r="P16" s="7"/>
      <c r="Q16" s="7"/>
      <c r="R16" s="7"/>
      <c r="S16" s="142" t="s">
        <v>3138</v>
      </c>
      <c r="T16" s="7"/>
      <c r="U16" s="7"/>
      <c r="V16" s="7"/>
      <c r="W16" s="7"/>
      <c r="X16" s="7"/>
      <c r="Y16" s="7"/>
      <c r="Z16" s="7"/>
    </row>
    <row r="17" spans="1:26" ht="15" customHeight="1" thickBot="1" x14ac:dyDescent="0.35">
      <c r="A17" s="7"/>
      <c r="B17" s="153" t="s">
        <v>3141</v>
      </c>
      <c r="C17" s="153"/>
      <c r="D17" s="153"/>
      <c r="E17" s="7"/>
      <c r="F17" s="7"/>
      <c r="G17" s="7"/>
      <c r="H17" s="7"/>
      <c r="I17" s="7"/>
      <c r="J17" s="7"/>
      <c r="K17" s="7"/>
      <c r="L17" s="7"/>
      <c r="M17" s="7"/>
      <c r="N17" s="7"/>
      <c r="O17" s="7"/>
      <c r="P17" s="7"/>
      <c r="Q17" s="7"/>
      <c r="R17" s="7"/>
      <c r="S17" s="134">
        <v>500</v>
      </c>
      <c r="T17" s="7"/>
      <c r="U17" s="7"/>
      <c r="V17" s="7"/>
      <c r="W17" s="7"/>
      <c r="X17" s="7"/>
      <c r="Y17" s="7"/>
      <c r="Z17" s="7"/>
    </row>
    <row r="18" spans="1:26" ht="15" customHeight="1" x14ac:dyDescent="0.3">
      <c r="A18" s="7"/>
      <c r="B18" s="7"/>
      <c r="C18" s="7"/>
      <c r="D18" s="7"/>
      <c r="E18" s="7"/>
      <c r="F18" s="7"/>
      <c r="G18" s="7"/>
      <c r="H18" s="7"/>
      <c r="I18" s="7"/>
      <c r="J18" s="7"/>
      <c r="K18" s="7"/>
      <c r="L18" s="7"/>
      <c r="M18" s="7"/>
      <c r="N18" s="7"/>
      <c r="O18" s="7"/>
      <c r="P18" s="7"/>
      <c r="Q18" s="7"/>
      <c r="R18" s="7"/>
      <c r="T18" s="127" t="str">
        <f>IF(ISERROR(_xlfn.NUMBERVALUE(S17)), "Error: Enter a number value","")</f>
        <v/>
      </c>
      <c r="U18" s="7"/>
      <c r="V18" s="7"/>
      <c r="W18" s="7"/>
      <c r="X18" s="7"/>
      <c r="Y18" s="7"/>
      <c r="Z18" s="7"/>
    </row>
    <row r="19" spans="1:26" ht="15" customHeight="1" x14ac:dyDescent="0.4">
      <c r="A19" s="7"/>
      <c r="B19" s="127" t="str" cm="1">
        <f t="array" ref="B19">IF(COUNTA(_xlfn.UNIQUE(_xlfn._xlws.FILTER(SAF_Scenario[Scenario], _xlfn.TOCOL(SAF_Scenario[Filtered])=1)))&lt;&gt;1,"Error: Select 1 item only","")</f>
        <v/>
      </c>
      <c r="C19" s="7"/>
      <c r="D19" s="7"/>
      <c r="E19" s="7"/>
      <c r="F19" s="7"/>
      <c r="G19" s="7"/>
      <c r="H19" s="7"/>
      <c r="I19" s="7"/>
      <c r="J19" s="7"/>
      <c r="K19" s="7"/>
      <c r="L19" s="7"/>
      <c r="M19" s="7"/>
      <c r="N19" s="7"/>
      <c r="O19" s="7"/>
      <c r="P19" s="7"/>
      <c r="Q19" s="7"/>
      <c r="R19" s="7"/>
      <c r="S19" s="95"/>
      <c r="T19" s="7"/>
      <c r="U19" s="7"/>
      <c r="V19" s="7"/>
      <c r="W19" s="7"/>
      <c r="X19" s="7"/>
      <c r="Y19" s="7"/>
      <c r="Z19" s="7"/>
    </row>
    <row r="20" spans="1:26" ht="21" x14ac:dyDescent="0.4">
      <c r="A20" s="7"/>
      <c r="B20" s="7"/>
      <c r="C20" s="7"/>
      <c r="D20" s="7"/>
      <c r="E20" s="7"/>
      <c r="F20" s="7"/>
      <c r="G20" s="7"/>
      <c r="H20" s="7"/>
      <c r="I20" s="7"/>
      <c r="J20" s="7"/>
      <c r="K20" s="7"/>
      <c r="L20" s="7"/>
      <c r="M20" s="7"/>
      <c r="N20" s="7"/>
      <c r="O20" s="7"/>
      <c r="P20" s="7"/>
      <c r="Q20" s="7"/>
      <c r="R20" s="7"/>
      <c r="S20" s="95" t="s">
        <v>3109</v>
      </c>
      <c r="T20" s="7"/>
      <c r="U20" s="7"/>
      <c r="V20" s="7"/>
      <c r="W20" s="7"/>
      <c r="X20" s="7"/>
      <c r="Y20" s="7"/>
      <c r="Z20" s="7"/>
    </row>
    <row r="21" spans="1:26"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
      <c r="A24" s="7"/>
      <c r="B24" s="7"/>
      <c r="C24" s="7"/>
      <c r="D24" s="7"/>
      <c r="E24" s="7"/>
      <c r="F24" s="7"/>
      <c r="G24" s="7"/>
      <c r="H24" s="7"/>
      <c r="I24" s="7"/>
      <c r="J24" s="127" t="str" cm="1">
        <f t="array" ref="J24">IF(COUNTA(_xlfn.UNIQUE(_xlfn._xlws.FILTER(SAF_Cand_Refinery[Commodity], _xlfn.TOCOL(SAF_Cand_Refinery[Filtered])=1)))&lt;&gt;1,"Error: Select 1 item only","")</f>
        <v/>
      </c>
      <c r="K24" s="7"/>
      <c r="L24" s="7"/>
      <c r="M24" s="7"/>
      <c r="N24" s="127" t="str">
        <f>IF(AND(Notes!AA2="Ethanol",Notes!CJ30=0),"Error: Selected states in (b) have zero ethanol biorefineries","")</f>
        <v/>
      </c>
      <c r="O24" s="7"/>
      <c r="P24" s="7"/>
      <c r="Q24" s="7"/>
      <c r="R24" s="7"/>
      <c r="S24" s="7"/>
      <c r="T24" s="7"/>
      <c r="U24" s="7"/>
      <c r="V24" s="7"/>
      <c r="W24" s="7"/>
      <c r="X24" s="7"/>
      <c r="Y24" s="7"/>
      <c r="Z24" s="7"/>
    </row>
    <row r="25" spans="1:26"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0" customFormat="1" ht="30" customHeight="1" x14ac:dyDescent="0.3">
      <c r="B27" s="92" t="s">
        <v>3097</v>
      </c>
      <c r="C27" s="91"/>
      <c r="D27" s="91"/>
      <c r="E27" s="91"/>
      <c r="F27" s="91"/>
      <c r="G27" s="91"/>
      <c r="H27" s="91"/>
      <c r="I27" s="91"/>
      <c r="J27" s="91"/>
      <c r="K27" s="91"/>
      <c r="L27" s="91"/>
      <c r="M27" s="91"/>
      <c r="N27" s="91"/>
      <c r="O27" s="91"/>
      <c r="P27" s="91"/>
      <c r="Q27" s="91"/>
      <c r="R27" s="91"/>
      <c r="S27" s="91"/>
      <c r="T27" s="91"/>
      <c r="U27" s="91"/>
      <c r="V27" s="21"/>
      <c r="W27" s="21"/>
      <c r="X27" s="21"/>
      <c r="Y27" s="21"/>
      <c r="Z27" s="21"/>
    </row>
    <row r="28" spans="1:26" x14ac:dyDescent="0.3">
      <c r="A28" s="7"/>
      <c r="B28" s="93" t="s">
        <v>3181</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
      <c r="A29" s="7"/>
      <c r="B29" s="93"/>
      <c r="C29" s="7"/>
      <c r="D29" s="7"/>
      <c r="E29" s="7"/>
      <c r="F29" s="7"/>
      <c r="G29" s="7"/>
      <c r="H29" s="7"/>
      <c r="I29" s="7"/>
      <c r="J29" s="7"/>
      <c r="K29" s="7"/>
      <c r="L29" s="7"/>
      <c r="M29" s="7"/>
      <c r="N29" s="7"/>
      <c r="O29" s="7"/>
      <c r="P29" s="7"/>
      <c r="Q29" s="7"/>
      <c r="R29" s="7"/>
      <c r="S29" s="7"/>
      <c r="T29" s="7"/>
      <c r="U29" s="7"/>
      <c r="V29" s="7"/>
      <c r="W29" s="7"/>
      <c r="X29" s="7"/>
      <c r="Y29" s="7"/>
      <c r="Z29" s="7"/>
    </row>
    <row r="30" spans="1:26" s="30" customFormat="1" ht="25.05" customHeight="1" x14ac:dyDescent="0.3">
      <c r="B30" s="84" t="s">
        <v>3139</v>
      </c>
      <c r="C30" s="85"/>
      <c r="D30" s="86"/>
      <c r="F30" s="84" t="s">
        <v>3092</v>
      </c>
      <c r="G30" s="87"/>
      <c r="H30" s="88"/>
      <c r="J30" s="84" t="s">
        <v>3172</v>
      </c>
      <c r="K30" s="87"/>
      <c r="L30" s="87"/>
      <c r="M30" s="87"/>
      <c r="N30" s="87"/>
      <c r="O30" s="88"/>
      <c r="Q30" s="84" t="s">
        <v>3180</v>
      </c>
      <c r="R30" s="140"/>
      <c r="S30" s="140"/>
      <c r="T30" s="141"/>
      <c r="V30" s="21"/>
      <c r="W30" s="21"/>
      <c r="X30" s="21"/>
      <c r="Y30" s="21"/>
      <c r="Z30" s="21"/>
    </row>
    <row r="31" spans="1:26" x14ac:dyDescent="0.3">
      <c r="A31" s="7"/>
      <c r="B31" s="93" t="s">
        <v>319</v>
      </c>
      <c r="C31" s="7"/>
      <c r="D31" s="7"/>
      <c r="E31" s="7"/>
      <c r="F31" s="93" t="s">
        <v>319</v>
      </c>
      <c r="G31" s="7"/>
      <c r="H31" s="7"/>
      <c r="I31" s="7"/>
      <c r="J31" s="7"/>
      <c r="K31" s="7"/>
      <c r="L31" s="7"/>
      <c r="M31" s="7"/>
      <c r="N31" s="7"/>
      <c r="O31" s="7"/>
      <c r="P31" s="7"/>
      <c r="Q31" s="93" t="s">
        <v>3226</v>
      </c>
      <c r="R31" s="93"/>
      <c r="S31" s="7"/>
      <c r="T31" s="7"/>
      <c r="U31" s="7"/>
      <c r="V31" s="7"/>
      <c r="W31" s="7"/>
      <c r="X31" s="7"/>
      <c r="Y31" s="7"/>
      <c r="Z31" s="7"/>
    </row>
    <row r="32" spans="1:26" x14ac:dyDescent="0.3">
      <c r="A32" s="7"/>
      <c r="B32" s="7"/>
      <c r="C32" s="7"/>
      <c r="D32" s="7"/>
      <c r="E32" s="7"/>
      <c r="F32" s="7"/>
      <c r="G32" s="7"/>
      <c r="H32" s="7"/>
      <c r="I32" s="7"/>
      <c r="J32" s="7" t="s">
        <v>3093</v>
      </c>
      <c r="K32" s="7"/>
      <c r="L32" s="7"/>
      <c r="M32" s="7"/>
      <c r="N32" s="7"/>
      <c r="O32" s="7"/>
      <c r="P32" s="7"/>
      <c r="Q32" s="7"/>
      <c r="R32" s="7"/>
      <c r="S32" s="7"/>
      <c r="T32" s="7"/>
      <c r="U32" s="7"/>
      <c r="V32" s="7"/>
      <c r="W32" s="7"/>
      <c r="X32" s="7"/>
      <c r="Y32" s="7"/>
      <c r="Z32" s="7"/>
    </row>
    <row r="33" spans="1:26" x14ac:dyDescent="0.3">
      <c r="A33" s="7"/>
      <c r="B33" s="7"/>
      <c r="C33" s="7"/>
      <c r="D33" s="7"/>
      <c r="E33" s="7"/>
      <c r="F33" s="7"/>
      <c r="G33" s="7"/>
      <c r="H33" s="7"/>
      <c r="I33" s="7"/>
      <c r="J33" s="1" t="s">
        <v>3178</v>
      </c>
      <c r="K33" s="7"/>
      <c r="L33" s="7"/>
      <c r="M33" s="7"/>
      <c r="N33" s="7"/>
      <c r="O33" s="7"/>
      <c r="P33" s="7"/>
      <c r="Q33" s="7"/>
      <c r="R33" s="7"/>
      <c r="S33" s="7"/>
      <c r="T33" s="7"/>
      <c r="U33" s="7"/>
      <c r="V33" s="7"/>
      <c r="W33" s="7"/>
      <c r="X33" s="7"/>
      <c r="Y33" s="7"/>
      <c r="Z33" s="7"/>
    </row>
    <row r="34" spans="1:26" x14ac:dyDescent="0.3">
      <c r="A34" s="7"/>
      <c r="B34" s="7"/>
      <c r="C34" s="7"/>
      <c r="D34" s="7"/>
      <c r="E34" s="7"/>
      <c r="F34" s="7"/>
      <c r="G34" s="7"/>
      <c r="H34" s="7"/>
      <c r="I34" s="7"/>
      <c r="J34" s="6" t="s">
        <v>3179</v>
      </c>
      <c r="K34" s="7"/>
      <c r="L34" s="7"/>
      <c r="M34" s="7"/>
      <c r="N34" s="7"/>
      <c r="O34" s="7"/>
      <c r="P34" s="7"/>
      <c r="Q34" s="7"/>
      <c r="R34" s="7"/>
      <c r="S34" s="7"/>
      <c r="T34" s="7"/>
      <c r="U34" s="7"/>
      <c r="V34" s="7"/>
      <c r="W34" s="7"/>
      <c r="X34" s="7"/>
      <c r="Y34" s="7"/>
      <c r="Z34" s="7"/>
    </row>
    <row r="35" spans="1:26" ht="15" customHeight="1" x14ac:dyDescent="0.4">
      <c r="A35" s="7"/>
      <c r="B35" s="7"/>
      <c r="C35" s="7"/>
      <c r="D35" s="7"/>
      <c r="E35" s="7"/>
      <c r="F35" s="7"/>
      <c r="G35" s="7"/>
      <c r="H35" s="7"/>
      <c r="I35" s="7"/>
      <c r="J35" s="7" t="s">
        <v>3173</v>
      </c>
      <c r="K35" s="7"/>
      <c r="L35" s="7"/>
      <c r="M35" s="7"/>
      <c r="N35" s="7"/>
      <c r="O35" s="7"/>
      <c r="P35" s="7"/>
      <c r="Q35" s="7"/>
      <c r="R35" s="7"/>
      <c r="S35" s="7"/>
      <c r="T35" s="95"/>
      <c r="U35" s="7"/>
      <c r="V35" s="7"/>
      <c r="W35" s="7"/>
      <c r="X35" s="7"/>
      <c r="Y35" s="7"/>
      <c r="Z35" s="7"/>
    </row>
    <row r="36" spans="1:26" ht="15" customHeight="1" thickBot="1" x14ac:dyDescent="0.45">
      <c r="A36" s="7"/>
      <c r="B36" s="7"/>
      <c r="C36" s="7"/>
      <c r="D36" s="7"/>
      <c r="E36" s="7"/>
      <c r="F36" s="7"/>
      <c r="G36" s="7"/>
      <c r="H36" s="7"/>
      <c r="I36" s="7"/>
      <c r="J36" s="7"/>
      <c r="K36" s="7"/>
      <c r="L36" s="7"/>
      <c r="M36" s="7"/>
      <c r="N36" s="7"/>
      <c r="O36" s="7"/>
      <c r="P36" s="7"/>
      <c r="Q36" s="7"/>
      <c r="R36" s="103"/>
      <c r="S36" s="7"/>
      <c r="T36" s="7"/>
      <c r="U36" s="95"/>
      <c r="V36" s="7"/>
      <c r="W36" s="7"/>
      <c r="X36" s="7"/>
      <c r="Y36" s="7"/>
      <c r="Z36" s="7"/>
    </row>
    <row r="37" spans="1:26" ht="21.6" thickBot="1" x14ac:dyDescent="0.45">
      <c r="A37" s="7"/>
      <c r="B37" s="7"/>
      <c r="C37" s="7"/>
      <c r="D37" s="7"/>
      <c r="E37" s="7"/>
      <c r="F37" s="127"/>
      <c r="G37" s="7"/>
      <c r="H37" s="7"/>
      <c r="I37" s="7"/>
      <c r="J37" s="83" t="s">
        <v>7</v>
      </c>
      <c r="K37" s="7"/>
      <c r="L37" s="7"/>
      <c r="M37" s="7"/>
      <c r="N37" s="7"/>
      <c r="O37" s="7"/>
      <c r="P37" s="7"/>
      <c r="Q37" s="7"/>
      <c r="R37" s="7"/>
      <c r="S37" s="7"/>
      <c r="T37" s="95" t="s">
        <v>3108</v>
      </c>
      <c r="U37" s="7"/>
      <c r="V37" s="7"/>
      <c r="W37" s="7"/>
      <c r="X37" s="7"/>
      <c r="Y37" s="7"/>
      <c r="Z37" s="7"/>
    </row>
    <row r="38" spans="1:26" ht="21" x14ac:dyDescent="0.4">
      <c r="A38" s="7"/>
      <c r="B38" s="7"/>
      <c r="C38" s="7"/>
      <c r="D38" s="7"/>
      <c r="E38" s="7"/>
      <c r="F38" s="127" t="str" cm="1">
        <f t="array" ref="F38">IF(COUNTA(_xlfn.UNIQUE(_xlfn._xlws.FILTER(SAF_Cand_Refinery[Nth/Pioneer], _xlfn.TOCOL(SAF_Cand_Refinery[Filtered])=1)))&lt;&gt;1,"Error: Select 1 item only","")</f>
        <v/>
      </c>
      <c r="G38" s="7"/>
      <c r="H38" s="7"/>
      <c r="I38" s="7"/>
      <c r="J38" s="7"/>
      <c r="K38" s="7"/>
      <c r="L38" s="7"/>
      <c r="M38" s="7"/>
      <c r="N38" s="7"/>
      <c r="O38" s="7"/>
      <c r="P38" s="7"/>
      <c r="Q38" s="7"/>
      <c r="R38" s="7"/>
      <c r="S38" s="7"/>
      <c r="T38" s="7"/>
      <c r="U38" s="95"/>
      <c r="V38" s="7"/>
      <c r="W38" s="7"/>
      <c r="X38" s="7"/>
      <c r="Y38" s="7"/>
      <c r="Z38" s="7"/>
    </row>
    <row r="39" spans="1:26" ht="21" x14ac:dyDescent="0.4">
      <c r="A39" s="7"/>
      <c r="B39" s="7"/>
      <c r="C39" s="7"/>
      <c r="D39" s="7"/>
      <c r="E39" s="7"/>
      <c r="F39" s="7"/>
      <c r="G39" s="7"/>
      <c r="H39" s="7"/>
      <c r="I39" s="7"/>
      <c r="J39" s="7"/>
      <c r="K39" s="7"/>
      <c r="L39" s="7"/>
      <c r="M39" s="7"/>
      <c r="N39" s="7"/>
      <c r="O39" s="7"/>
      <c r="P39" s="7"/>
      <c r="Q39" s="7"/>
      <c r="R39" s="95"/>
      <c r="S39" s="7"/>
      <c r="T39" s="7"/>
      <c r="U39" s="7"/>
      <c r="V39" s="7"/>
      <c r="W39" s="7"/>
      <c r="X39" s="7"/>
      <c r="Y39" s="7"/>
      <c r="Z39" s="7"/>
    </row>
    <row r="40" spans="1:26" x14ac:dyDescent="0.3">
      <c r="A40" s="7"/>
      <c r="B40" s="127" t="str" cm="1">
        <f t="array" ref="B40">IF(COUNTA(_xlfn.UNIQUE(_xlfn._xlws.FILTER(SAF_Cand_Refinery[Conversion Process], _xlfn.TOCOL(SAF_Cand_Refinery[Filtered])=1)))&lt;&gt;1,"Error: Select 1 item only","")</f>
        <v/>
      </c>
      <c r="C40" s="7"/>
      <c r="D40" s="7"/>
      <c r="E40" s="7"/>
      <c r="F40" s="7"/>
      <c r="G40" s="7"/>
      <c r="H40" s="7"/>
      <c r="I40" s="7"/>
      <c r="J40" s="7"/>
      <c r="K40" s="7"/>
      <c r="L40" s="7"/>
      <c r="M40" s="7"/>
      <c r="N40" s="7"/>
      <c r="O40" s="7"/>
      <c r="P40" s="7"/>
      <c r="Q40" s="7"/>
      <c r="R40" s="7"/>
      <c r="S40" s="7"/>
      <c r="T40" s="7"/>
      <c r="U40" s="7"/>
      <c r="V40" s="7"/>
      <c r="W40" s="7"/>
      <c r="X40" s="7"/>
      <c r="Y40" s="7"/>
      <c r="Z40" s="7"/>
    </row>
    <row r="41" spans="1:26" x14ac:dyDescent="0.3">
      <c r="A41" s="7"/>
      <c r="B41" s="127"/>
      <c r="C41" s="7"/>
      <c r="D41" s="7"/>
      <c r="E41" s="7"/>
      <c r="G41" s="7"/>
      <c r="H41" s="7"/>
      <c r="I41" s="7"/>
      <c r="J41" s="7"/>
      <c r="K41" s="7"/>
      <c r="L41" s="7"/>
      <c r="M41" s="7"/>
      <c r="N41" s="7"/>
      <c r="O41" s="7"/>
      <c r="P41" s="7"/>
      <c r="Q41" s="93"/>
      <c r="R41" s="7"/>
      <c r="S41" s="7"/>
      <c r="T41" s="7"/>
      <c r="U41" s="7"/>
      <c r="V41" s="7"/>
      <c r="W41" s="7"/>
      <c r="X41" s="7"/>
      <c r="Y41" s="7"/>
      <c r="Z41" s="7"/>
    </row>
    <row r="42" spans="1:26" x14ac:dyDescent="0.3">
      <c r="A42" s="7"/>
      <c r="B42" s="7"/>
      <c r="C42" s="7"/>
      <c r="D42" s="7"/>
      <c r="E42" s="7"/>
      <c r="F42" s="7"/>
      <c r="G42" s="7"/>
      <c r="H42" s="7"/>
      <c r="I42" s="7"/>
      <c r="J42" s="7"/>
      <c r="K42" s="7"/>
      <c r="L42" s="7"/>
      <c r="M42" s="7"/>
      <c r="N42" s="7"/>
      <c r="O42" s="7"/>
      <c r="P42" s="7"/>
      <c r="Q42" s="93"/>
      <c r="R42" s="7"/>
      <c r="S42" s="7"/>
      <c r="T42" s="7"/>
      <c r="U42" s="7"/>
      <c r="V42" s="7"/>
      <c r="W42" s="7"/>
      <c r="X42" s="7"/>
      <c r="Y42" s="7"/>
      <c r="Z42" s="7"/>
    </row>
    <row r="43" spans="1:26"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
      <c r="A45" s="7"/>
      <c r="B45" s="92" t="s">
        <v>3099</v>
      </c>
      <c r="C45" s="91"/>
      <c r="D45" s="91"/>
      <c r="E45" s="91"/>
      <c r="F45" s="91"/>
      <c r="G45" s="91"/>
      <c r="H45" s="91"/>
      <c r="I45" s="91"/>
      <c r="J45" s="91"/>
      <c r="K45" s="91"/>
      <c r="L45" s="91"/>
      <c r="M45" s="91"/>
      <c r="N45" s="91"/>
      <c r="O45" s="91"/>
      <c r="P45" s="91"/>
      <c r="Q45" s="91"/>
      <c r="R45" s="91"/>
      <c r="S45" s="91"/>
      <c r="T45" s="91"/>
      <c r="U45" s="91"/>
      <c r="V45" s="7"/>
      <c r="W45" s="7"/>
      <c r="X45" s="7"/>
      <c r="Y45" s="7"/>
      <c r="Z45" s="7"/>
    </row>
    <row r="46" spans="1:26"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05" customHeight="1" x14ac:dyDescent="0.3">
      <c r="A47" s="7"/>
      <c r="B47" s="84" t="s">
        <v>3100</v>
      </c>
      <c r="C47" s="89"/>
      <c r="D47" s="89"/>
      <c r="E47" s="89"/>
      <c r="F47" s="89"/>
      <c r="G47" s="89"/>
      <c r="H47" s="89"/>
      <c r="I47" s="89"/>
      <c r="J47" s="89"/>
      <c r="K47" s="90"/>
      <c r="L47" s="21"/>
      <c r="M47" s="84" t="s">
        <v>3103</v>
      </c>
      <c r="N47" s="89"/>
      <c r="O47" s="89"/>
      <c r="P47" s="89"/>
      <c r="Q47" s="85"/>
      <c r="R47" s="90"/>
      <c r="S47" s="7"/>
      <c r="T47" s="84" t="s">
        <v>3110</v>
      </c>
      <c r="U47" s="90"/>
      <c r="V47" s="7"/>
      <c r="W47" s="7"/>
      <c r="X47" s="7"/>
      <c r="Y47" s="7"/>
      <c r="Z47" s="7"/>
    </row>
    <row r="48" spans="1:26" x14ac:dyDescent="0.3">
      <c r="A48" s="7"/>
      <c r="B48" s="93" t="s">
        <v>3225</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
      <c r="A49" s="7"/>
      <c r="B49" s="7"/>
      <c r="C49" s="7"/>
      <c r="D49" s="7"/>
      <c r="E49" s="7"/>
      <c r="F49" s="7"/>
      <c r="G49" s="7"/>
      <c r="H49" s="7"/>
      <c r="I49" s="7"/>
      <c r="J49" s="7"/>
      <c r="K49" s="7"/>
      <c r="L49" s="7"/>
      <c r="M49" s="6" t="s">
        <v>3104</v>
      </c>
      <c r="N49" s="7"/>
      <c r="O49" s="7"/>
      <c r="P49" s="7"/>
      <c r="Q49" s="7"/>
      <c r="R49" s="7"/>
      <c r="S49" s="7"/>
      <c r="T49" s="7" t="s">
        <v>3106</v>
      </c>
      <c r="U49" s="7"/>
      <c r="V49" s="7"/>
      <c r="W49" s="7"/>
      <c r="X49" s="7"/>
      <c r="Y49" s="7"/>
      <c r="Z49" s="7"/>
    </row>
    <row r="50" spans="1:26" x14ac:dyDescent="0.3">
      <c r="A50" s="7"/>
      <c r="B50" s="7"/>
      <c r="C50" s="7"/>
      <c r="D50" s="7"/>
      <c r="E50" s="7"/>
      <c r="F50" s="7"/>
      <c r="G50" s="7"/>
      <c r="H50" s="7"/>
      <c r="I50" s="7"/>
      <c r="J50" s="7"/>
      <c r="K50" s="7"/>
      <c r="L50" s="7"/>
      <c r="M50" s="7" t="s">
        <v>3132</v>
      </c>
      <c r="N50" s="7"/>
      <c r="O50" s="7"/>
      <c r="P50" s="7"/>
      <c r="Q50" s="7"/>
      <c r="R50" s="7"/>
      <c r="S50" s="7"/>
      <c r="T50" s="7" t="s">
        <v>3133</v>
      </c>
      <c r="U50" s="7"/>
      <c r="V50" s="7"/>
      <c r="W50" s="7"/>
      <c r="X50" s="7"/>
      <c r="Y50" s="7"/>
      <c r="Z50" s="7"/>
    </row>
    <row r="51" spans="1:26" ht="15" thickBot="1" x14ac:dyDescent="0.35">
      <c r="A51" s="7"/>
      <c r="B51" s="7"/>
      <c r="C51" s="7"/>
      <c r="D51" s="7"/>
      <c r="E51" s="7"/>
      <c r="F51" s="7"/>
      <c r="G51" s="7"/>
      <c r="H51" s="7"/>
      <c r="I51" s="7"/>
      <c r="J51" s="7"/>
      <c r="K51" s="7"/>
      <c r="L51" s="7"/>
      <c r="M51" s="7" t="s">
        <v>3102</v>
      </c>
      <c r="N51" s="7"/>
      <c r="O51" s="7"/>
      <c r="P51" s="7"/>
      <c r="Q51" s="7"/>
      <c r="R51" s="7"/>
      <c r="S51" s="7"/>
      <c r="T51" s="7"/>
      <c r="U51" s="7"/>
      <c r="V51" s="7"/>
      <c r="W51" s="7"/>
      <c r="X51" s="7"/>
      <c r="Y51" s="7"/>
      <c r="Z51" s="7"/>
    </row>
    <row r="52" spans="1:26" ht="15" thickBot="1" x14ac:dyDescent="0.35">
      <c r="A52" s="7"/>
      <c r="B52" s="7"/>
      <c r="C52" s="7"/>
      <c r="D52" s="7"/>
      <c r="E52" s="7"/>
      <c r="F52" s="7"/>
      <c r="G52" s="7"/>
      <c r="H52" s="7"/>
      <c r="I52" s="7"/>
      <c r="J52" s="7"/>
      <c r="K52" s="7"/>
      <c r="L52" s="7"/>
      <c r="M52" s="7" t="s">
        <v>3184</v>
      </c>
      <c r="N52" s="7"/>
      <c r="O52" s="7"/>
      <c r="P52" s="7"/>
      <c r="Q52" s="7"/>
      <c r="R52" s="7"/>
      <c r="S52" s="7"/>
      <c r="T52" s="131">
        <v>0.5</v>
      </c>
      <c r="U52" s="7"/>
      <c r="V52" s="7"/>
      <c r="W52" s="7"/>
      <c r="X52" s="7"/>
      <c r="Y52" s="7"/>
      <c r="Z52" s="7"/>
    </row>
    <row r="53" spans="1:26" x14ac:dyDescent="0.3">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
      <c r="A54" s="7"/>
      <c r="B54" s="7"/>
      <c r="C54" s="7"/>
      <c r="D54" s="7"/>
      <c r="E54" s="7"/>
      <c r="F54" s="7"/>
      <c r="G54" s="7"/>
      <c r="H54" s="7"/>
      <c r="I54" s="7"/>
      <c r="J54" s="7"/>
      <c r="K54" s="7"/>
      <c r="L54" s="7"/>
      <c r="M54" s="6" t="str">
        <f>"Number of blenders selected: " &amp; SUBTOTAL(3,SAF_Blender[Terminal Name])</f>
        <v>Number of blenders selected: 44</v>
      </c>
      <c r="N54" s="7"/>
      <c r="O54" s="7"/>
      <c r="P54" s="7"/>
      <c r="Q54" s="7"/>
      <c r="R54" s="7"/>
      <c r="S54" s="7"/>
      <c r="T54" s="7"/>
      <c r="U54" s="7"/>
      <c r="V54" s="7"/>
      <c r="W54" s="7"/>
      <c r="X54" s="7"/>
      <c r="Y54" s="7"/>
      <c r="Z54" s="7"/>
    </row>
    <row r="55" spans="1:26"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4">
      <c r="A56" s="7"/>
      <c r="B56" s="7"/>
      <c r="C56" s="7"/>
      <c r="D56" s="7"/>
      <c r="E56" s="7"/>
      <c r="F56" s="7"/>
      <c r="G56" s="7"/>
      <c r="H56" s="7"/>
      <c r="I56" s="7"/>
      <c r="J56" s="7"/>
      <c r="K56" s="7"/>
      <c r="L56" s="7"/>
      <c r="M56" s="7"/>
      <c r="N56" s="7"/>
      <c r="O56" s="7"/>
      <c r="P56" s="7"/>
      <c r="Q56" s="7"/>
      <c r="R56" s="7"/>
      <c r="S56" s="7"/>
      <c r="T56" s="95" t="s">
        <v>3107</v>
      </c>
      <c r="U56" s="7"/>
      <c r="V56" s="7"/>
      <c r="W56" s="7"/>
      <c r="X56" s="7"/>
      <c r="Y56" s="7"/>
      <c r="Z56" s="7"/>
    </row>
    <row r="57" spans="1:26"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
      <c r="B67" s="92" t="s">
        <v>3098</v>
      </c>
      <c r="C67" s="91"/>
      <c r="D67" s="91"/>
      <c r="E67" s="91"/>
      <c r="F67" s="91"/>
      <c r="G67" s="91"/>
      <c r="H67" s="91"/>
      <c r="I67" s="91"/>
      <c r="J67" s="91"/>
      <c r="K67" s="91"/>
      <c r="L67" s="91"/>
      <c r="M67" s="91"/>
      <c r="N67" s="91"/>
      <c r="O67" s="91"/>
      <c r="P67" s="91"/>
      <c r="Q67" s="91"/>
      <c r="R67" s="91"/>
      <c r="S67" s="91"/>
      <c r="T67" s="91"/>
      <c r="U67" s="91"/>
      <c r="V67" s="7"/>
      <c r="W67" s="7"/>
      <c r="X67" s="7"/>
      <c r="Y67" s="7"/>
      <c r="Z67" s="7"/>
    </row>
    <row r="68" spans="1:26" ht="23.55" customHeight="1" x14ac:dyDescent="0.3">
      <c r="A68" s="7"/>
      <c r="B68" s="123" t="s">
        <v>3135</v>
      </c>
      <c r="C68" s="7"/>
      <c r="D68" s="7"/>
      <c r="E68" s="7"/>
      <c r="F68" s="7"/>
      <c r="G68" s="7"/>
      <c r="H68" s="7"/>
      <c r="I68" s="7"/>
      <c r="J68" s="7"/>
      <c r="K68" s="7"/>
      <c r="L68" s="7"/>
      <c r="M68" s="7"/>
      <c r="N68" s="7"/>
      <c r="O68" s="7"/>
      <c r="P68" s="7"/>
      <c r="Q68" s="7"/>
      <c r="R68" s="7"/>
      <c r="S68" s="7"/>
      <c r="T68" s="7"/>
      <c r="U68" s="7"/>
      <c r="V68" s="7"/>
      <c r="W68" s="7"/>
      <c r="X68" s="7"/>
      <c r="Y68" s="7"/>
      <c r="Z68" s="7"/>
    </row>
    <row r="69" spans="1:26" s="30" customFormat="1" ht="25.05" customHeight="1" x14ac:dyDescent="0.3">
      <c r="B69" s="84" t="s">
        <v>3095</v>
      </c>
      <c r="C69" s="89"/>
      <c r="D69" s="89"/>
      <c r="E69" s="89"/>
      <c r="F69" s="89"/>
      <c r="G69" s="89"/>
      <c r="H69" s="89"/>
      <c r="I69" s="89"/>
      <c r="J69" s="89"/>
      <c r="K69" s="89"/>
      <c r="L69" s="89"/>
      <c r="M69" s="89"/>
      <c r="N69" s="90"/>
      <c r="O69" s="21"/>
      <c r="P69" s="84" t="s">
        <v>3101</v>
      </c>
      <c r="Q69" s="89"/>
      <c r="R69" s="89"/>
      <c r="S69" s="89"/>
      <c r="T69" s="90"/>
      <c r="U69" s="21"/>
      <c r="V69" s="21"/>
      <c r="W69" s="21"/>
      <c r="X69" s="21"/>
      <c r="Y69" s="21"/>
      <c r="Z69" s="21"/>
    </row>
    <row r="70" spans="1:26" x14ac:dyDescent="0.3">
      <c r="A70" s="7"/>
      <c r="B70" s="93" t="s">
        <v>3225</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3">
      <c r="A72" s="7"/>
      <c r="B72" s="7"/>
      <c r="C72" s="7"/>
      <c r="D72" s="7"/>
      <c r="E72" s="7"/>
      <c r="F72" s="7"/>
      <c r="G72" s="7"/>
      <c r="H72" s="7"/>
      <c r="I72" s="7"/>
      <c r="J72" s="7"/>
      <c r="K72" s="7"/>
      <c r="L72" s="7"/>
      <c r="M72" s="7"/>
      <c r="N72" s="7"/>
      <c r="O72" s="7"/>
      <c r="P72" s="6" t="s">
        <v>3105</v>
      </c>
      <c r="Q72" s="7"/>
      <c r="R72" s="7"/>
      <c r="S72" s="7"/>
      <c r="T72" s="7"/>
      <c r="U72" s="7"/>
      <c r="V72" s="7"/>
      <c r="W72" s="7"/>
      <c r="X72" s="7"/>
      <c r="Y72" s="7"/>
      <c r="Z72" s="7"/>
    </row>
    <row r="73" spans="1:26" x14ac:dyDescent="0.3">
      <c r="A73" s="7"/>
      <c r="B73" s="7"/>
      <c r="C73" s="7"/>
      <c r="D73" s="7"/>
      <c r="E73" s="7"/>
      <c r="F73" s="7"/>
      <c r="G73" s="7"/>
      <c r="H73" s="7"/>
      <c r="I73" s="7"/>
      <c r="J73" s="7"/>
      <c r="K73" s="7"/>
      <c r="L73" s="7"/>
      <c r="M73" s="7"/>
      <c r="N73" s="7"/>
      <c r="O73" s="7"/>
      <c r="P73" s="7" t="s">
        <v>3134</v>
      </c>
      <c r="Q73" s="7"/>
      <c r="R73" s="7"/>
      <c r="S73" s="7"/>
      <c r="T73" s="7"/>
      <c r="U73" s="7"/>
      <c r="V73" s="7"/>
      <c r="W73" s="7"/>
      <c r="X73" s="7"/>
      <c r="Y73" s="7"/>
      <c r="Z73" s="7"/>
    </row>
    <row r="74" spans="1:26" x14ac:dyDescent="0.3">
      <c r="A74" s="7"/>
      <c r="B74" s="7"/>
      <c r="C74" s="7"/>
      <c r="D74" s="7"/>
      <c r="E74" s="7"/>
      <c r="F74" s="7"/>
      <c r="G74" s="7"/>
      <c r="H74" s="7"/>
      <c r="I74" s="7"/>
      <c r="J74" s="7"/>
      <c r="K74" s="7"/>
      <c r="L74" s="7"/>
      <c r="M74" s="7"/>
      <c r="N74" s="7"/>
      <c r="O74" s="7"/>
      <c r="P74" s="7" t="s">
        <v>3136</v>
      </c>
      <c r="Q74" s="7"/>
      <c r="R74" s="7"/>
      <c r="S74" s="7"/>
      <c r="T74" s="7"/>
      <c r="U74" s="7"/>
      <c r="V74" s="7"/>
      <c r="W74" s="7"/>
      <c r="X74" s="7"/>
      <c r="Y74" s="7"/>
      <c r="Z74" s="7"/>
    </row>
    <row r="75" spans="1:26" x14ac:dyDescent="0.3">
      <c r="A75" s="7"/>
      <c r="B75" s="7"/>
      <c r="C75" s="7"/>
      <c r="D75" s="7"/>
      <c r="E75" s="7"/>
      <c r="F75" s="7"/>
      <c r="G75" s="7"/>
      <c r="H75" s="7"/>
      <c r="I75" s="7"/>
      <c r="J75" s="7"/>
      <c r="K75" s="7"/>
      <c r="L75" s="7"/>
      <c r="M75" s="7"/>
      <c r="N75" s="7"/>
      <c r="O75" s="7"/>
      <c r="P75" s="7" t="s">
        <v>3102</v>
      </c>
      <c r="Q75" s="7"/>
      <c r="R75" s="7"/>
      <c r="S75" s="7"/>
      <c r="T75" s="7"/>
      <c r="U75" s="7"/>
      <c r="V75" s="7"/>
      <c r="W75" s="7"/>
      <c r="X75" s="7"/>
      <c r="Y75" s="7"/>
      <c r="Z75" s="7"/>
    </row>
    <row r="76" spans="1:26" x14ac:dyDescent="0.3">
      <c r="A76" s="7"/>
      <c r="B76" s="7"/>
      <c r="C76" s="7"/>
      <c r="D76" s="7"/>
      <c r="E76" s="7"/>
      <c r="F76" s="7"/>
      <c r="G76" s="7"/>
      <c r="H76" s="7"/>
      <c r="I76" s="7"/>
      <c r="J76" s="7"/>
      <c r="K76" s="7"/>
      <c r="L76" s="7"/>
      <c r="M76" s="7"/>
      <c r="N76" s="7"/>
      <c r="O76" s="7"/>
      <c r="P76" s="7" t="s">
        <v>3185</v>
      </c>
      <c r="Q76" s="7"/>
      <c r="R76" s="7"/>
      <c r="S76" s="7"/>
      <c r="T76" s="7"/>
      <c r="U76" s="7"/>
      <c r="V76" s="7"/>
      <c r="W76" s="7"/>
      <c r="X76" s="7"/>
      <c r="Y76" s="7"/>
      <c r="Z76" s="7"/>
    </row>
    <row r="77" spans="1:26" x14ac:dyDescent="0.3">
      <c r="A77" s="7"/>
      <c r="B77" s="7"/>
      <c r="C77" s="7"/>
      <c r="D77" s="7"/>
      <c r="E77" s="7"/>
      <c r="F77" s="7"/>
      <c r="G77" s="7"/>
      <c r="H77" s="7"/>
      <c r="I77" s="7"/>
      <c r="J77" s="7"/>
      <c r="K77" s="7"/>
      <c r="L77" s="7"/>
      <c r="M77" s="7"/>
      <c r="N77" s="7"/>
      <c r="O77" s="7"/>
      <c r="Q77" s="7"/>
      <c r="R77" s="7"/>
      <c r="S77" s="7"/>
      <c r="T77" s="7"/>
      <c r="U77" s="7"/>
      <c r="V77" s="7"/>
      <c r="W77" s="7"/>
      <c r="X77" s="7"/>
      <c r="Y77" s="7"/>
      <c r="Z77" s="7"/>
    </row>
    <row r="78" spans="1:26" x14ac:dyDescent="0.3">
      <c r="A78" s="7"/>
      <c r="B78" s="7"/>
      <c r="C78" s="7"/>
      <c r="D78" s="7"/>
      <c r="E78" s="7"/>
      <c r="F78" s="7"/>
      <c r="G78" s="7"/>
      <c r="H78" s="7"/>
      <c r="I78" s="7"/>
      <c r="J78" s="7"/>
      <c r="K78" s="7"/>
      <c r="L78" s="7"/>
      <c r="M78" s="7"/>
      <c r="N78" s="7"/>
      <c r="O78" s="7"/>
      <c r="P78" s="6" t="str">
        <f>"Number of airports selected: " &amp; SUBTOTAL(3,SAF_Airport[Airport Code])</f>
        <v>Number of airports selected: 1</v>
      </c>
      <c r="Q78" s="7"/>
      <c r="R78" s="7"/>
      <c r="S78" s="7"/>
      <c r="T78" s="7"/>
      <c r="U78" s="7"/>
      <c r="V78" s="7"/>
      <c r="W78" s="7"/>
      <c r="X78" s="7"/>
      <c r="Y78" s="7"/>
      <c r="Z78" s="7"/>
    </row>
    <row r="79" spans="1:26" x14ac:dyDescent="0.3">
      <c r="A79" s="7"/>
      <c r="B79" s="7"/>
      <c r="C79" s="7"/>
      <c r="D79" s="7"/>
      <c r="E79" s="7"/>
      <c r="F79" s="7"/>
      <c r="G79" s="7"/>
      <c r="H79" s="7"/>
      <c r="I79" s="7"/>
      <c r="J79" s="7"/>
      <c r="K79" s="7"/>
      <c r="L79" s="7"/>
      <c r="M79" s="7"/>
      <c r="N79" s="7"/>
      <c r="O79" s="7"/>
      <c r="P79" s="7"/>
      <c r="Q79" s="7"/>
      <c r="R79" s="94"/>
      <c r="S79" s="7"/>
      <c r="T79" s="7"/>
      <c r="U79" s="7"/>
      <c r="V79" s="7"/>
      <c r="W79" s="7"/>
      <c r="X79" s="7"/>
      <c r="Y79" s="7"/>
      <c r="Z79" s="7"/>
    </row>
    <row r="80" spans="1:26"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21" x14ac:dyDescent="0.4">
      <c r="A81" s="7"/>
      <c r="B81" s="7"/>
      <c r="C81" s="7"/>
      <c r="D81" s="7"/>
      <c r="E81" s="7"/>
      <c r="F81" s="7"/>
      <c r="G81" s="7"/>
      <c r="H81" s="7"/>
      <c r="I81" s="7"/>
      <c r="J81" s="7"/>
      <c r="K81" s="7"/>
      <c r="L81" s="7"/>
      <c r="M81" s="7"/>
      <c r="N81" s="7"/>
      <c r="O81" s="7"/>
      <c r="P81" s="95" t="s">
        <v>3111</v>
      </c>
      <c r="Q81" s="7"/>
      <c r="R81" s="7"/>
      <c r="S81" s="7"/>
      <c r="T81" s="7"/>
      <c r="U81" s="7"/>
      <c r="V81" s="7"/>
      <c r="W81" s="7"/>
      <c r="X81" s="7"/>
      <c r="Y81" s="7"/>
      <c r="Z81" s="7"/>
    </row>
    <row r="82" spans="1:26" ht="21" x14ac:dyDescent="0.4">
      <c r="A82" s="7"/>
      <c r="B82" s="7"/>
      <c r="C82" s="7"/>
      <c r="D82" s="7"/>
      <c r="E82" s="7"/>
      <c r="F82" s="7"/>
      <c r="G82" s="7"/>
      <c r="H82" s="7"/>
      <c r="I82" s="7"/>
      <c r="J82" s="7"/>
      <c r="K82" s="7"/>
      <c r="L82" s="7"/>
      <c r="M82" s="7"/>
      <c r="N82" s="7"/>
      <c r="O82" s="7"/>
      <c r="P82" s="95"/>
      <c r="Q82" s="7"/>
      <c r="R82" s="7"/>
      <c r="S82" s="7"/>
      <c r="T82" s="7"/>
      <c r="U82" s="7"/>
      <c r="V82" s="7"/>
      <c r="W82" s="7"/>
      <c r="X82" s="7"/>
      <c r="Y82" s="7"/>
      <c r="Z82" s="7"/>
    </row>
    <row r="83" spans="1:26"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sheetData>
  <mergeCells count="2">
    <mergeCell ref="B17:D17"/>
    <mergeCell ref="B16:D16"/>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98"/>
  <sheetViews>
    <sheetView zoomScale="110" zoomScaleNormal="110" workbookViewId="0"/>
  </sheetViews>
  <sheetFormatPr defaultRowHeight="14.4" x14ac:dyDescent="0.3"/>
  <cols>
    <col min="1" max="1" width="38.21875" customWidth="1"/>
    <col min="2" max="2" width="37.21875" style="4" customWidth="1"/>
    <col min="3" max="3" width="29.21875" customWidth="1"/>
    <col min="4" max="4" width="9.21875" style="38"/>
    <col min="6" max="6" width="33.77734375" customWidth="1"/>
    <col min="7" max="7" width="27.21875" customWidth="1"/>
  </cols>
  <sheetData>
    <row r="1" spans="1:14" ht="21" customHeight="1" x14ac:dyDescent="0.3">
      <c r="A1" s="24" t="s">
        <v>198</v>
      </c>
      <c r="B1" s="10"/>
      <c r="C1" s="7"/>
      <c r="D1" s="36"/>
      <c r="E1" s="7"/>
      <c r="F1" s="7"/>
      <c r="G1" s="7"/>
      <c r="H1" s="7"/>
      <c r="I1" s="7"/>
      <c r="J1" s="7"/>
      <c r="K1" s="7"/>
      <c r="L1" s="7"/>
      <c r="M1" s="7"/>
      <c r="N1" s="7"/>
    </row>
    <row r="2" spans="1:14" ht="27" customHeight="1" x14ac:dyDescent="0.3">
      <c r="A2" s="155" t="s">
        <v>3153</v>
      </c>
      <c r="B2" s="155"/>
      <c r="C2" s="155"/>
      <c r="D2" s="155"/>
      <c r="E2" s="155"/>
      <c r="F2" s="155"/>
      <c r="G2" s="7"/>
      <c r="H2" s="7"/>
      <c r="I2" s="7"/>
      <c r="J2" s="7"/>
      <c r="K2" s="40"/>
      <c r="L2" s="7"/>
      <c r="M2" s="7"/>
      <c r="N2" s="7"/>
    </row>
    <row r="3" spans="1:14" s="30" customFormat="1" ht="33" customHeight="1" x14ac:dyDescent="0.3">
      <c r="A3" s="155" t="s">
        <v>235</v>
      </c>
      <c r="B3" s="155"/>
      <c r="C3" s="155"/>
      <c r="D3" s="155"/>
      <c r="E3" s="155"/>
      <c r="F3" s="155"/>
      <c r="G3" s="21"/>
      <c r="H3" s="21"/>
      <c r="I3" s="21"/>
      <c r="J3" s="21"/>
      <c r="K3" s="21"/>
      <c r="L3" s="21"/>
      <c r="M3" s="21"/>
      <c r="N3" s="21"/>
    </row>
    <row r="4" spans="1:14" ht="15" customHeight="1" x14ac:dyDescent="0.3">
      <c r="A4" s="43"/>
      <c r="B4" s="10"/>
      <c r="C4" s="7"/>
      <c r="D4" s="36"/>
      <c r="E4" s="7"/>
      <c r="F4" s="7"/>
      <c r="G4" s="7"/>
      <c r="H4" s="7"/>
      <c r="I4" s="7"/>
      <c r="J4" s="7"/>
      <c r="K4" s="7"/>
      <c r="L4" s="7"/>
      <c r="M4" s="7"/>
      <c r="N4" s="7"/>
    </row>
    <row r="5" spans="1:14" ht="21" x14ac:dyDescent="0.4">
      <c r="A5" s="5" t="s">
        <v>12</v>
      </c>
      <c r="B5" s="10"/>
      <c r="C5" s="7"/>
      <c r="D5" s="36"/>
      <c r="E5" s="7"/>
      <c r="F5" s="7"/>
      <c r="G5" s="7"/>
      <c r="H5" s="7"/>
      <c r="I5" s="7"/>
      <c r="J5" s="7"/>
      <c r="K5" s="7"/>
      <c r="L5" s="7"/>
      <c r="M5" s="7"/>
      <c r="N5" s="7"/>
    </row>
    <row r="6" spans="1:14" ht="15.6" x14ac:dyDescent="0.3">
      <c r="A6" s="7"/>
      <c r="B6" s="33"/>
      <c r="C6" s="28"/>
      <c r="D6" s="36"/>
      <c r="E6" s="6"/>
      <c r="F6" s="7"/>
      <c r="G6" s="7"/>
      <c r="H6" s="7"/>
      <c r="I6" s="7"/>
      <c r="J6" s="7"/>
      <c r="K6" s="7"/>
      <c r="L6" s="7"/>
      <c r="M6" s="7"/>
      <c r="N6" s="7"/>
    </row>
    <row r="7" spans="1:14" ht="20.100000000000001" customHeight="1" x14ac:dyDescent="0.3">
      <c r="A7" s="20" t="s">
        <v>99</v>
      </c>
      <c r="B7" s="34" t="s">
        <v>219</v>
      </c>
      <c r="C7" s="26"/>
      <c r="D7" s="37"/>
      <c r="E7" s="21"/>
      <c r="F7" s="7"/>
      <c r="G7" s="7"/>
      <c r="H7" s="7"/>
      <c r="I7" s="7"/>
      <c r="J7" s="7"/>
      <c r="K7" s="7"/>
      <c r="L7" s="7"/>
      <c r="M7" s="7"/>
      <c r="N7" s="7"/>
    </row>
    <row r="8" spans="1:14" ht="20.100000000000001" customHeight="1" x14ac:dyDescent="0.3">
      <c r="A8" s="22" t="s">
        <v>0</v>
      </c>
      <c r="B8" s="44" t="s">
        <v>3247</v>
      </c>
      <c r="C8" s="41"/>
      <c r="D8" s="37"/>
      <c r="E8" s="21"/>
      <c r="F8" s="7"/>
      <c r="G8" s="7"/>
      <c r="H8" s="7"/>
      <c r="I8" s="7"/>
      <c r="J8" s="7"/>
      <c r="K8" s="7"/>
      <c r="L8" s="7"/>
      <c r="M8" s="7"/>
      <c r="N8" s="7"/>
    </row>
    <row r="9" spans="1:14" ht="20.100000000000001" customHeight="1" x14ac:dyDescent="0.3">
      <c r="A9" s="22" t="s">
        <v>1</v>
      </c>
      <c r="B9" s="44" t="s">
        <v>3248</v>
      </c>
      <c r="C9" s="21"/>
      <c r="D9" s="37"/>
      <c r="E9" s="21"/>
      <c r="F9" s="7"/>
      <c r="G9" s="7"/>
      <c r="H9" s="7"/>
      <c r="I9" s="7"/>
      <c r="J9" s="7"/>
      <c r="K9" s="7"/>
      <c r="L9" s="7"/>
      <c r="M9" s="7"/>
      <c r="N9" s="7"/>
    </row>
    <row r="10" spans="1:14" ht="20.100000000000001" customHeight="1" x14ac:dyDescent="0.3">
      <c r="A10" s="21"/>
      <c r="B10" s="32"/>
      <c r="C10" s="21"/>
      <c r="D10" s="37"/>
      <c r="E10" s="21"/>
      <c r="F10" s="7"/>
      <c r="G10" s="7"/>
      <c r="H10" s="7"/>
      <c r="I10" s="7"/>
      <c r="J10" s="7"/>
      <c r="K10" s="7"/>
      <c r="L10" s="7"/>
      <c r="M10" s="7"/>
      <c r="N10" s="7"/>
    </row>
    <row r="11" spans="1:14" ht="20.100000000000001" customHeight="1" x14ac:dyDescent="0.3">
      <c r="A11" s="20" t="s">
        <v>16</v>
      </c>
      <c r="B11" s="34" t="s">
        <v>218</v>
      </c>
      <c r="C11" s="21"/>
      <c r="D11" s="37"/>
      <c r="E11" s="21"/>
      <c r="F11" s="7"/>
      <c r="G11" s="7"/>
      <c r="H11" s="7"/>
      <c r="I11" s="7"/>
      <c r="J11" s="7"/>
      <c r="K11" s="7"/>
      <c r="L11" s="7"/>
      <c r="M11" s="7"/>
      <c r="N11" s="7"/>
    </row>
    <row r="12" spans="1:14" ht="20.100000000000001" customHeight="1" x14ac:dyDescent="0.3">
      <c r="A12" s="22" t="s">
        <v>199</v>
      </c>
      <c r="B12" s="44" t="s">
        <v>14</v>
      </c>
      <c r="C12" s="21"/>
      <c r="D12" s="37"/>
      <c r="E12" s="21"/>
      <c r="F12" s="7"/>
      <c r="G12" s="7"/>
      <c r="H12" s="7"/>
      <c r="I12" s="7"/>
      <c r="J12" s="7"/>
      <c r="K12" s="7"/>
      <c r="L12" s="7"/>
      <c r="M12" s="7"/>
      <c r="N12" s="7"/>
    </row>
    <row r="13" spans="1:14" ht="20.100000000000001" customHeight="1" x14ac:dyDescent="0.3">
      <c r="A13" s="22" t="s">
        <v>200</v>
      </c>
      <c r="B13" s="44" t="s">
        <v>42</v>
      </c>
      <c r="C13" s="21"/>
      <c r="D13" s="37"/>
      <c r="E13" s="21"/>
      <c r="F13" s="7"/>
      <c r="G13" s="7"/>
      <c r="H13" s="7"/>
      <c r="I13" s="7"/>
      <c r="J13" s="7"/>
      <c r="K13" s="7"/>
      <c r="L13" s="7"/>
      <c r="M13" s="7"/>
      <c r="N13" s="7"/>
    </row>
    <row r="14" spans="1:14" ht="20.100000000000001" customHeight="1" x14ac:dyDescent="0.3">
      <c r="A14" s="22" t="s">
        <v>49</v>
      </c>
      <c r="B14" s="44" t="s">
        <v>65</v>
      </c>
      <c r="C14" s="21"/>
      <c r="D14" s="37"/>
      <c r="E14" s="21"/>
      <c r="F14" s="7"/>
      <c r="G14" s="7"/>
      <c r="H14" s="7"/>
      <c r="I14" s="7"/>
      <c r="J14" s="7"/>
      <c r="K14" s="7"/>
      <c r="L14" s="7"/>
      <c r="M14" s="7"/>
      <c r="N14" s="7"/>
    </row>
    <row r="15" spans="1:14" ht="20.100000000000001" customHeight="1" x14ac:dyDescent="0.3">
      <c r="A15" s="22" t="s">
        <v>50</v>
      </c>
      <c r="B15" s="44" t="s">
        <v>3126</v>
      </c>
      <c r="C15" s="21"/>
      <c r="D15" s="37"/>
      <c r="E15" s="21"/>
      <c r="F15" s="7"/>
      <c r="G15" s="7"/>
      <c r="H15" s="7"/>
      <c r="I15" s="7"/>
      <c r="J15" s="7"/>
      <c r="K15" s="7"/>
      <c r="L15" s="7"/>
      <c r="M15" s="7"/>
      <c r="N15" s="7"/>
    </row>
    <row r="16" spans="1:14" ht="20.100000000000001" customHeight="1" x14ac:dyDescent="0.3">
      <c r="A16" s="21"/>
      <c r="B16" s="32"/>
      <c r="C16" s="21"/>
      <c r="D16" s="37"/>
      <c r="E16" s="21"/>
      <c r="F16" s="7"/>
      <c r="G16" s="7"/>
      <c r="H16" s="7"/>
      <c r="I16" s="7"/>
      <c r="J16" s="7"/>
      <c r="K16" s="7"/>
      <c r="L16" s="7"/>
      <c r="M16" s="7"/>
      <c r="N16" s="7"/>
    </row>
    <row r="17" spans="1:14" ht="20.100000000000001" customHeight="1" x14ac:dyDescent="0.3">
      <c r="A17" s="23" t="s">
        <v>4</v>
      </c>
      <c r="B17" s="34" t="s">
        <v>220</v>
      </c>
      <c r="C17" s="28"/>
      <c r="D17" s="37"/>
      <c r="E17" s="21"/>
      <c r="G17" s="7"/>
      <c r="H17" s="7"/>
      <c r="I17" s="7"/>
      <c r="J17" s="7"/>
      <c r="K17" s="7"/>
      <c r="L17" s="7"/>
      <c r="M17" s="7"/>
      <c r="N17" s="7"/>
    </row>
    <row r="18" spans="1:14" ht="20.100000000000001" customHeight="1" x14ac:dyDescent="0.3">
      <c r="A18" s="22" t="s">
        <v>207</v>
      </c>
      <c r="B18" s="148" t="s">
        <v>100</v>
      </c>
      <c r="C18" s="78" t="s">
        <v>324</v>
      </c>
      <c r="D18" s="37"/>
      <c r="E18" s="21"/>
      <c r="F18" s="7"/>
      <c r="G18" s="7"/>
      <c r="H18" s="7"/>
      <c r="I18" s="7"/>
      <c r="J18" s="7"/>
      <c r="K18" s="7"/>
      <c r="L18" s="7"/>
      <c r="M18" s="7"/>
      <c r="N18" s="7"/>
    </row>
    <row r="19" spans="1:14" ht="20.100000000000001" customHeight="1" x14ac:dyDescent="0.3">
      <c r="A19" s="22" t="s">
        <v>213</v>
      </c>
      <c r="B19" s="148" t="s">
        <v>100</v>
      </c>
      <c r="C19" s="78" t="s">
        <v>324</v>
      </c>
      <c r="D19" s="37"/>
      <c r="E19" s="21"/>
      <c r="F19" s="7"/>
      <c r="G19" s="7"/>
      <c r="H19" s="7"/>
      <c r="I19" s="7"/>
      <c r="J19" s="7"/>
      <c r="K19" s="7"/>
      <c r="L19" s="7"/>
      <c r="M19" s="7"/>
      <c r="N19" s="7"/>
    </row>
    <row r="20" spans="1:14" ht="20.100000000000001" customHeight="1" x14ac:dyDescent="0.3">
      <c r="A20" s="22" t="s">
        <v>209</v>
      </c>
      <c r="B20" s="148" t="s">
        <v>100</v>
      </c>
      <c r="C20" s="78" t="s">
        <v>324</v>
      </c>
      <c r="D20" s="37"/>
      <c r="E20" s="21"/>
      <c r="F20" s="7"/>
      <c r="G20" s="7"/>
      <c r="H20" s="7"/>
      <c r="I20" s="7"/>
      <c r="J20" s="7"/>
      <c r="K20" s="7"/>
      <c r="L20" s="7"/>
      <c r="M20" s="7"/>
      <c r="N20" s="7"/>
    </row>
    <row r="21" spans="1:14" ht="20.100000000000001" customHeight="1" x14ac:dyDescent="0.3">
      <c r="A21" s="21"/>
      <c r="B21" s="32"/>
      <c r="C21" s="21"/>
      <c r="D21" s="37"/>
      <c r="E21" s="21"/>
      <c r="F21" s="7"/>
      <c r="G21" s="7"/>
      <c r="H21" s="7"/>
      <c r="I21" s="7"/>
      <c r="J21" s="7"/>
      <c r="K21" s="7"/>
      <c r="L21" s="7"/>
      <c r="M21" s="7"/>
      <c r="N21" s="7"/>
    </row>
    <row r="22" spans="1:14" ht="20.100000000000001" customHeight="1" x14ac:dyDescent="0.3">
      <c r="A22" s="23" t="s">
        <v>89</v>
      </c>
      <c r="B22" s="34" t="s">
        <v>228</v>
      </c>
      <c r="C22" s="21"/>
      <c r="D22" s="37"/>
      <c r="E22" s="21"/>
      <c r="F22" s="7"/>
      <c r="G22" s="7"/>
      <c r="H22" s="7"/>
      <c r="I22" s="7"/>
      <c r="J22" s="7"/>
      <c r="K22" s="7"/>
      <c r="L22" s="7"/>
      <c r="M22" s="7"/>
      <c r="N22" s="7"/>
    </row>
    <row r="23" spans="1:14" ht="20.100000000000001" customHeight="1" x14ac:dyDescent="0.3">
      <c r="A23" s="22" t="s">
        <v>94</v>
      </c>
      <c r="B23" s="44" t="b">
        <v>1</v>
      </c>
      <c r="C23" s="21"/>
      <c r="D23" s="37"/>
      <c r="E23" s="21"/>
      <c r="F23" s="7"/>
      <c r="G23" s="7"/>
      <c r="H23" s="7"/>
      <c r="I23" s="7"/>
      <c r="J23" s="7"/>
      <c r="K23" s="7"/>
      <c r="L23" s="7"/>
      <c r="M23" s="7"/>
      <c r="N23" s="7"/>
    </row>
    <row r="24" spans="1:14" ht="20.100000000000001" customHeight="1" x14ac:dyDescent="0.3">
      <c r="A24" s="22" t="s">
        <v>95</v>
      </c>
      <c r="B24" s="44" t="b">
        <v>1</v>
      </c>
      <c r="C24" s="21"/>
      <c r="D24" s="37"/>
      <c r="E24" s="21"/>
      <c r="F24" s="7"/>
      <c r="G24" s="7"/>
      <c r="H24" s="7"/>
      <c r="I24" s="7"/>
      <c r="J24" s="7"/>
      <c r="K24" s="7"/>
      <c r="L24" s="7"/>
      <c r="M24" s="7"/>
      <c r="N24" s="7"/>
    </row>
    <row r="25" spans="1:14" ht="20.100000000000001" customHeight="1" x14ac:dyDescent="0.3">
      <c r="A25" s="22" t="s">
        <v>96</v>
      </c>
      <c r="B25" s="44" t="b">
        <v>1</v>
      </c>
      <c r="C25" s="21"/>
      <c r="D25" s="37"/>
      <c r="E25" s="21"/>
      <c r="F25" s="7"/>
      <c r="G25" s="7"/>
      <c r="H25" s="7"/>
      <c r="I25" s="7"/>
      <c r="J25" s="7"/>
      <c r="K25" s="7"/>
      <c r="L25" s="7"/>
      <c r="M25" s="7"/>
      <c r="N25" s="7"/>
    </row>
    <row r="26" spans="1:14" ht="20.100000000000001" customHeight="1" x14ac:dyDescent="0.3">
      <c r="A26" s="22" t="s">
        <v>97</v>
      </c>
      <c r="B26" s="149" t="b">
        <v>0</v>
      </c>
      <c r="C26" s="78" t="s">
        <v>3129</v>
      </c>
      <c r="D26" s="37"/>
      <c r="E26" s="21"/>
      <c r="F26" s="7"/>
      <c r="G26" s="7"/>
      <c r="H26" s="7"/>
      <c r="I26" s="7"/>
      <c r="J26" s="7"/>
      <c r="K26" s="7"/>
      <c r="L26" s="7"/>
      <c r="M26" s="7"/>
      <c r="N26" s="7"/>
    </row>
    <row r="27" spans="1:14" ht="20.100000000000001" customHeight="1" x14ac:dyDescent="0.3">
      <c r="A27" s="22" t="s">
        <v>238</v>
      </c>
      <c r="B27" s="44" t="b">
        <v>1</v>
      </c>
      <c r="C27" s="78" t="s">
        <v>3130</v>
      </c>
      <c r="D27" s="37"/>
      <c r="E27" s="21"/>
      <c r="F27" s="7"/>
      <c r="G27" s="7"/>
      <c r="H27" s="7"/>
      <c r="I27" s="7"/>
      <c r="J27" s="7"/>
      <c r="K27" s="7"/>
      <c r="L27" s="7"/>
      <c r="M27" s="7"/>
      <c r="N27" s="7"/>
    </row>
    <row r="28" spans="1:14" ht="20.100000000000001" customHeight="1" x14ac:dyDescent="0.3">
      <c r="A28" s="21"/>
      <c r="B28" s="32"/>
      <c r="C28" s="21"/>
      <c r="D28" s="37"/>
      <c r="E28" s="21"/>
      <c r="F28" s="7"/>
      <c r="G28" s="7"/>
      <c r="H28" s="7"/>
      <c r="I28" s="7"/>
      <c r="J28" s="7"/>
      <c r="K28" s="7"/>
      <c r="L28" s="7"/>
      <c r="M28" s="7"/>
      <c r="N28" s="7"/>
    </row>
    <row r="29" spans="1:14" ht="20.100000000000001" customHeight="1" x14ac:dyDescent="0.3">
      <c r="A29" s="24" t="s">
        <v>8</v>
      </c>
      <c r="B29" s="32"/>
      <c r="C29" s="21"/>
      <c r="D29" s="37"/>
      <c r="E29" s="21"/>
      <c r="F29" s="7"/>
      <c r="G29" s="7"/>
      <c r="H29" s="7"/>
      <c r="I29" s="7"/>
      <c r="J29" s="7"/>
      <c r="K29" s="7"/>
      <c r="L29" s="7"/>
      <c r="M29" s="7"/>
      <c r="N29" s="7"/>
    </row>
    <row r="30" spans="1:14" ht="20.100000000000001" customHeight="1" x14ac:dyDescent="0.3">
      <c r="A30" s="25"/>
      <c r="B30" s="35"/>
      <c r="C30" s="25"/>
      <c r="D30" s="28"/>
      <c r="E30" s="21"/>
      <c r="F30" s="7"/>
      <c r="G30" s="7"/>
      <c r="H30" s="7"/>
      <c r="I30" s="7"/>
      <c r="J30" s="7"/>
      <c r="K30" s="7"/>
      <c r="L30" s="7"/>
      <c r="M30" s="7"/>
      <c r="N30" s="7"/>
    </row>
    <row r="31" spans="1:14" ht="20.100000000000001" customHeight="1" x14ac:dyDescent="0.3">
      <c r="A31" s="23" t="s">
        <v>230</v>
      </c>
      <c r="B31" s="34" t="s">
        <v>220</v>
      </c>
      <c r="C31" s="26"/>
      <c r="D31" s="28"/>
      <c r="E31" s="21"/>
      <c r="F31" s="7"/>
      <c r="G31" s="7"/>
      <c r="H31" s="7"/>
      <c r="I31" s="7"/>
      <c r="J31" s="7"/>
      <c r="K31" s="7"/>
      <c r="L31" s="7"/>
      <c r="M31" s="7"/>
      <c r="N31" s="7"/>
    </row>
    <row r="32" spans="1:14" ht="20.100000000000001" customHeight="1" x14ac:dyDescent="0.3">
      <c r="A32" s="22" t="s">
        <v>2</v>
      </c>
      <c r="B32" s="44" t="s">
        <v>210</v>
      </c>
      <c r="C32" s="29"/>
      <c r="D32" s="39"/>
      <c r="E32" s="21"/>
      <c r="F32" s="7"/>
      <c r="G32" s="7"/>
      <c r="H32" s="7"/>
      <c r="I32" s="7"/>
      <c r="J32" s="7"/>
      <c r="K32" s="7"/>
      <c r="L32" s="7"/>
      <c r="M32" s="7"/>
      <c r="N32" s="7"/>
    </row>
    <row r="33" spans="1:14" ht="43.2" x14ac:dyDescent="0.3">
      <c r="A33" s="22" t="s">
        <v>3</v>
      </c>
      <c r="B33" s="44" t="s">
        <v>3244</v>
      </c>
      <c r="C33" s="29"/>
      <c r="D33" s="39"/>
      <c r="E33" s="21"/>
      <c r="F33" s="7"/>
      <c r="G33" s="7"/>
      <c r="H33" s="7"/>
      <c r="I33" s="7"/>
      <c r="J33" s="7"/>
      <c r="K33" s="7"/>
      <c r="L33" s="7"/>
      <c r="M33" s="7"/>
      <c r="N33" s="7"/>
    </row>
    <row r="34" spans="1:14" s="4" customFormat="1" ht="28.8" x14ac:dyDescent="0.3">
      <c r="A34" s="31" t="s">
        <v>82</v>
      </c>
      <c r="B34" s="44" t="s">
        <v>101</v>
      </c>
      <c r="C34" s="29" t="s">
        <v>231</v>
      </c>
      <c r="D34" s="39"/>
      <c r="E34" s="32"/>
      <c r="F34" s="10"/>
      <c r="G34" s="10"/>
      <c r="H34" s="10"/>
      <c r="I34" s="10"/>
      <c r="J34" s="10"/>
      <c r="K34" s="10"/>
      <c r="L34" s="10"/>
      <c r="M34" s="10"/>
      <c r="N34" s="10"/>
    </row>
    <row r="35" spans="1:14" ht="20.100000000000001" customHeight="1" x14ac:dyDescent="0.3">
      <c r="A35" s="22" t="s">
        <v>47</v>
      </c>
      <c r="B35" s="148" t="s">
        <v>100</v>
      </c>
      <c r="C35" s="78" t="s">
        <v>324</v>
      </c>
      <c r="D35" s="39"/>
      <c r="E35" s="21"/>
      <c r="F35" s="7"/>
      <c r="G35" s="7"/>
      <c r="H35" s="7"/>
      <c r="I35" s="7"/>
      <c r="J35" s="7"/>
      <c r="K35" s="7"/>
      <c r="L35" s="7"/>
      <c r="M35" s="7"/>
      <c r="N35" s="7"/>
    </row>
    <row r="36" spans="1:14" ht="20.100000000000001" customHeight="1" x14ac:dyDescent="0.3">
      <c r="A36" s="22" t="s">
        <v>48</v>
      </c>
      <c r="B36" s="148" t="s">
        <v>100</v>
      </c>
      <c r="C36" s="78" t="s">
        <v>324</v>
      </c>
      <c r="D36" s="39"/>
      <c r="E36" s="21"/>
      <c r="F36" s="7"/>
      <c r="G36" s="7"/>
      <c r="H36" s="7"/>
      <c r="I36" s="7"/>
      <c r="J36" s="7"/>
      <c r="K36" s="7"/>
      <c r="L36" s="7"/>
      <c r="M36" s="7"/>
      <c r="N36" s="7"/>
    </row>
    <row r="37" spans="1:14" ht="20.100000000000001" customHeight="1" x14ac:dyDescent="0.3">
      <c r="A37" s="22" t="s">
        <v>37</v>
      </c>
      <c r="B37" s="44" t="s">
        <v>100</v>
      </c>
      <c r="C37" s="29" t="s">
        <v>231</v>
      </c>
      <c r="D37" s="39"/>
      <c r="E37" s="21"/>
      <c r="F37" s="7"/>
      <c r="G37" s="7"/>
      <c r="H37" s="7"/>
      <c r="I37" s="7"/>
      <c r="J37" s="7"/>
      <c r="K37" s="7"/>
      <c r="L37" s="7"/>
      <c r="M37" s="7"/>
      <c r="N37" s="7"/>
    </row>
    <row r="38" spans="1:14" ht="20.100000000000001" customHeight="1" x14ac:dyDescent="0.3">
      <c r="A38" s="22" t="s">
        <v>38</v>
      </c>
      <c r="B38" s="44" t="s">
        <v>100</v>
      </c>
      <c r="C38" s="29" t="s">
        <v>231</v>
      </c>
      <c r="D38" s="39"/>
      <c r="E38" s="21"/>
      <c r="F38" s="7"/>
      <c r="G38" s="7"/>
      <c r="H38" s="7"/>
      <c r="I38" s="7"/>
      <c r="J38" s="7"/>
      <c r="K38" s="7"/>
      <c r="L38" s="7"/>
      <c r="M38" s="7"/>
      <c r="N38" s="7"/>
    </row>
    <row r="39" spans="1:14" ht="19.95" customHeight="1" x14ac:dyDescent="0.3">
      <c r="A39" s="22" t="s">
        <v>69</v>
      </c>
      <c r="B39" s="44" t="s">
        <v>100</v>
      </c>
      <c r="C39" s="29" t="s">
        <v>231</v>
      </c>
      <c r="D39" s="39"/>
      <c r="E39" s="21"/>
      <c r="F39" s="7"/>
      <c r="G39" s="7"/>
      <c r="H39" s="7"/>
      <c r="I39" s="7"/>
      <c r="J39" s="7"/>
      <c r="K39" s="7"/>
      <c r="L39" s="7"/>
      <c r="M39" s="7"/>
      <c r="N39" s="7"/>
    </row>
    <row r="40" spans="1:14" ht="19.95" customHeight="1" x14ac:dyDescent="0.3">
      <c r="A40" s="22" t="s">
        <v>3238</v>
      </c>
      <c r="B40" s="44" t="s">
        <v>100</v>
      </c>
      <c r="C40" s="29" t="s">
        <v>231</v>
      </c>
      <c r="D40" s="39"/>
      <c r="E40" s="21"/>
      <c r="F40" s="7"/>
      <c r="G40" s="7"/>
      <c r="H40" s="7"/>
      <c r="I40" s="7"/>
      <c r="J40" s="7"/>
      <c r="K40" s="7"/>
      <c r="L40" s="7"/>
      <c r="M40" s="7"/>
      <c r="N40" s="7"/>
    </row>
    <row r="41" spans="1:14" ht="20.100000000000001" customHeight="1" x14ac:dyDescent="0.3">
      <c r="A41" s="21"/>
      <c r="B41" s="32"/>
      <c r="C41" s="21"/>
      <c r="D41" s="28"/>
      <c r="E41" s="21"/>
      <c r="F41" s="7"/>
      <c r="G41" s="7"/>
      <c r="H41" s="7"/>
      <c r="I41" s="7"/>
      <c r="J41" s="7"/>
      <c r="K41" s="7"/>
      <c r="L41" s="7"/>
      <c r="M41" s="7"/>
      <c r="N41" s="7"/>
    </row>
    <row r="42" spans="1:14" ht="20.100000000000001" customHeight="1" x14ac:dyDescent="0.3">
      <c r="A42" s="23" t="s">
        <v>9</v>
      </c>
      <c r="B42" s="34" t="s">
        <v>221</v>
      </c>
      <c r="C42" s="27" t="s">
        <v>222</v>
      </c>
      <c r="D42" s="28"/>
      <c r="E42" s="21"/>
      <c r="F42" s="7"/>
      <c r="G42" s="7"/>
      <c r="H42" s="7"/>
      <c r="I42" s="7"/>
      <c r="J42" s="7"/>
      <c r="K42" s="7"/>
      <c r="L42" s="7"/>
      <c r="M42" s="7"/>
      <c r="N42" s="7"/>
    </row>
    <row r="43" spans="1:14" ht="20.100000000000001" customHeight="1" x14ac:dyDescent="0.3">
      <c r="A43" s="22" t="s">
        <v>3228</v>
      </c>
      <c r="B43" s="45">
        <v>0.21</v>
      </c>
      <c r="C43" s="46" t="s">
        <v>113</v>
      </c>
      <c r="D43" s="29" t="s">
        <v>225</v>
      </c>
      <c r="E43" s="21"/>
      <c r="F43" s="7"/>
      <c r="G43" s="7"/>
      <c r="H43" s="7"/>
      <c r="I43" s="7"/>
      <c r="J43" s="7"/>
      <c r="K43" s="7"/>
      <c r="L43" s="7"/>
      <c r="M43" s="7"/>
      <c r="N43" s="7"/>
    </row>
    <row r="44" spans="1:14" ht="20.100000000000001" customHeight="1" x14ac:dyDescent="0.3">
      <c r="A44" s="22" t="s">
        <v>3229</v>
      </c>
      <c r="B44" s="45">
        <v>4.8000000000000001E-2</v>
      </c>
      <c r="C44" s="46" t="s">
        <v>113</v>
      </c>
      <c r="D44" s="29" t="s">
        <v>225</v>
      </c>
      <c r="E44" s="21"/>
      <c r="F44" s="7"/>
      <c r="G44" s="7"/>
      <c r="H44" s="7"/>
      <c r="I44" s="7"/>
      <c r="J44" s="7"/>
      <c r="K44" s="7"/>
      <c r="L44" s="7"/>
      <c r="M44" s="7"/>
      <c r="N44" s="7"/>
    </row>
    <row r="45" spans="1:14" ht="20.100000000000001" customHeight="1" x14ac:dyDescent="0.3">
      <c r="A45" s="22" t="s">
        <v>3230</v>
      </c>
      <c r="B45" s="45">
        <v>3.2000000000000001E-2</v>
      </c>
      <c r="C45" s="46" t="s">
        <v>113</v>
      </c>
      <c r="D45" s="29" t="s">
        <v>225</v>
      </c>
      <c r="E45" s="21"/>
      <c r="F45" s="7"/>
      <c r="G45" s="7"/>
      <c r="H45" s="7"/>
      <c r="I45" s="7"/>
      <c r="J45" s="7"/>
      <c r="K45" s="7"/>
      <c r="L45" s="7"/>
      <c r="M45" s="7"/>
      <c r="N45" s="7"/>
    </row>
    <row r="46" spans="1:14" ht="20.100000000000001" customHeight="1" x14ac:dyDescent="0.3">
      <c r="A46" s="22" t="s">
        <v>3231</v>
      </c>
      <c r="B46" s="45">
        <v>0.21</v>
      </c>
      <c r="C46" s="46" t="s">
        <v>113</v>
      </c>
      <c r="D46" s="29" t="s">
        <v>224</v>
      </c>
      <c r="E46" s="21"/>
      <c r="F46" s="7"/>
      <c r="G46" s="7"/>
      <c r="H46" s="7"/>
      <c r="I46" s="7"/>
      <c r="J46" s="7"/>
      <c r="K46" s="7"/>
      <c r="L46" s="7"/>
      <c r="M46" s="7"/>
      <c r="N46" s="7"/>
    </row>
    <row r="47" spans="1:14" ht="20.100000000000001" customHeight="1" x14ac:dyDescent="0.3">
      <c r="A47" s="22" t="s">
        <v>3232</v>
      </c>
      <c r="B47" s="45">
        <v>12.35</v>
      </c>
      <c r="C47" s="46" t="s">
        <v>114</v>
      </c>
      <c r="D47" s="29" t="s">
        <v>224</v>
      </c>
      <c r="E47" s="21"/>
      <c r="F47" s="7"/>
      <c r="G47" s="7"/>
      <c r="H47" s="7"/>
      <c r="I47" s="7"/>
      <c r="J47" s="7"/>
      <c r="K47" s="7"/>
      <c r="L47" s="7"/>
      <c r="M47" s="7"/>
      <c r="N47" s="7"/>
    </row>
    <row r="48" spans="1:14" ht="20.100000000000001" customHeight="1" x14ac:dyDescent="0.3">
      <c r="A48" s="21"/>
      <c r="B48" s="32"/>
      <c r="C48" s="21"/>
      <c r="D48" s="37"/>
      <c r="E48" s="21"/>
      <c r="F48" s="7"/>
      <c r="G48" s="7"/>
      <c r="H48" s="7"/>
      <c r="I48" s="7"/>
      <c r="J48" s="7"/>
      <c r="K48" s="7"/>
      <c r="L48" s="7"/>
      <c r="M48" s="7"/>
      <c r="N48" s="7"/>
    </row>
    <row r="49" spans="1:14" ht="28.8" x14ac:dyDescent="0.3">
      <c r="A49" s="23" t="s">
        <v>3243</v>
      </c>
      <c r="B49" s="34" t="s">
        <v>229</v>
      </c>
      <c r="C49" s="42" t="s">
        <v>251</v>
      </c>
      <c r="D49" s="37"/>
      <c r="E49" s="21"/>
      <c r="F49" s="7"/>
      <c r="G49" s="7"/>
      <c r="H49" s="7"/>
      <c r="I49" s="7"/>
      <c r="J49" s="7"/>
      <c r="K49" s="7"/>
      <c r="L49" s="7"/>
      <c r="M49" s="7"/>
      <c r="N49" s="7"/>
    </row>
    <row r="50" spans="1:14" ht="20.100000000000001" customHeight="1" x14ac:dyDescent="0.3">
      <c r="A50" s="22" t="s">
        <v>10</v>
      </c>
      <c r="B50" s="45">
        <v>26</v>
      </c>
      <c r="C50" s="46" t="s">
        <v>14</v>
      </c>
      <c r="D50" s="37"/>
      <c r="E50" s="21"/>
      <c r="F50" s="7"/>
      <c r="G50" s="7"/>
      <c r="H50" s="7"/>
      <c r="I50" s="7"/>
      <c r="J50" s="7"/>
      <c r="K50" s="7"/>
      <c r="L50" s="7"/>
      <c r="M50" s="7"/>
      <c r="N50" s="7"/>
    </row>
    <row r="51" spans="1:14" ht="20.100000000000001" customHeight="1" x14ac:dyDescent="0.3">
      <c r="A51" s="22" t="s">
        <v>11</v>
      </c>
      <c r="B51" s="45">
        <v>8</v>
      </c>
      <c r="C51" s="46" t="s">
        <v>43</v>
      </c>
      <c r="D51" s="37"/>
      <c r="E51" s="21"/>
      <c r="F51" s="7"/>
      <c r="G51" s="7"/>
      <c r="H51" s="7"/>
      <c r="I51" s="7"/>
      <c r="J51" s="7"/>
      <c r="K51" s="7"/>
      <c r="L51" s="7"/>
      <c r="M51" s="7"/>
      <c r="N51" s="7"/>
    </row>
    <row r="52" spans="1:14" ht="20.100000000000001" customHeight="1" x14ac:dyDescent="0.3">
      <c r="A52" s="22" t="s">
        <v>59</v>
      </c>
      <c r="B52" s="45">
        <v>195.2</v>
      </c>
      <c r="C52" s="46" t="s">
        <v>3233</v>
      </c>
      <c r="D52" s="29" t="s">
        <v>3234</v>
      </c>
      <c r="E52" s="21"/>
      <c r="F52" s="7"/>
      <c r="G52" s="7"/>
      <c r="H52" s="7"/>
      <c r="I52" s="7"/>
      <c r="J52" s="7"/>
      <c r="K52" s="7"/>
      <c r="L52" s="7"/>
      <c r="M52" s="7"/>
      <c r="N52" s="7"/>
    </row>
    <row r="53" spans="1:14" ht="20.100000000000001" customHeight="1" x14ac:dyDescent="0.3">
      <c r="A53" s="22" t="s">
        <v>53</v>
      </c>
      <c r="B53" s="45">
        <v>100</v>
      </c>
      <c r="C53" s="46" t="s">
        <v>14</v>
      </c>
      <c r="D53" s="37"/>
      <c r="E53" s="21"/>
      <c r="F53" s="7"/>
      <c r="G53" s="7"/>
      <c r="H53" s="7"/>
      <c r="I53" s="7"/>
      <c r="J53" s="7"/>
      <c r="K53" s="7"/>
      <c r="L53" s="7"/>
      <c r="M53" s="7"/>
      <c r="N53" s="7"/>
    </row>
    <row r="54" spans="1:14" ht="20.100000000000001" customHeight="1" x14ac:dyDescent="0.3">
      <c r="A54" s="22" t="s">
        <v>54</v>
      </c>
      <c r="B54" s="45">
        <v>30</v>
      </c>
      <c r="C54" s="46" t="s">
        <v>43</v>
      </c>
      <c r="D54" s="37"/>
      <c r="E54" s="21"/>
      <c r="F54" s="7"/>
      <c r="G54" s="7"/>
      <c r="H54" s="7"/>
      <c r="I54" s="7"/>
      <c r="J54" s="7"/>
      <c r="K54" s="7"/>
      <c r="L54" s="7"/>
      <c r="M54" s="7"/>
      <c r="N54" s="7"/>
    </row>
    <row r="55" spans="1:14" ht="20.100000000000001" customHeight="1" x14ac:dyDescent="0.3">
      <c r="A55" s="22" t="s">
        <v>3235</v>
      </c>
      <c r="B55" s="45">
        <v>471</v>
      </c>
      <c r="C55" s="46" t="s">
        <v>3233</v>
      </c>
      <c r="D55" s="29" t="s">
        <v>3234</v>
      </c>
      <c r="E55" s="21"/>
      <c r="F55" s="7"/>
      <c r="G55" s="7"/>
      <c r="H55" s="7"/>
      <c r="I55" s="7"/>
      <c r="J55" s="7"/>
      <c r="K55" s="7"/>
      <c r="L55" s="7"/>
      <c r="M55" s="7"/>
      <c r="N55" s="7"/>
    </row>
    <row r="56" spans="1:14" ht="20.100000000000001" customHeight="1" x14ac:dyDescent="0.3">
      <c r="A56" s="22" t="s">
        <v>55</v>
      </c>
      <c r="B56" s="45">
        <v>1500</v>
      </c>
      <c r="C56" s="46" t="s">
        <v>14</v>
      </c>
      <c r="D56" s="37"/>
      <c r="E56" s="21"/>
      <c r="F56" s="7"/>
      <c r="G56" s="7"/>
      <c r="H56" s="7"/>
      <c r="I56" s="7"/>
      <c r="J56" s="7"/>
      <c r="K56" s="7"/>
      <c r="L56" s="7"/>
      <c r="M56" s="7"/>
      <c r="N56" s="7"/>
    </row>
    <row r="57" spans="1:14" ht="20.100000000000001" customHeight="1" x14ac:dyDescent="0.3">
      <c r="A57" s="22" t="s">
        <v>56</v>
      </c>
      <c r="B57" s="45">
        <v>454</v>
      </c>
      <c r="C57" s="46" t="s">
        <v>43</v>
      </c>
      <c r="D57" s="37"/>
      <c r="E57" s="21"/>
      <c r="F57" s="7"/>
      <c r="G57" s="7"/>
      <c r="H57" s="7"/>
      <c r="I57" s="7"/>
      <c r="J57" s="7"/>
      <c r="K57" s="7"/>
      <c r="L57" s="7"/>
      <c r="M57" s="7"/>
      <c r="N57" s="7"/>
    </row>
    <row r="58" spans="1:14" ht="20.100000000000001" customHeight="1" x14ac:dyDescent="0.3">
      <c r="A58" s="22" t="s">
        <v>61</v>
      </c>
      <c r="B58" s="45">
        <v>618.29999999999995</v>
      </c>
      <c r="C58" s="46" t="s">
        <v>3233</v>
      </c>
      <c r="D58" s="29" t="s">
        <v>3234</v>
      </c>
      <c r="E58" s="21"/>
      <c r="F58" s="7"/>
      <c r="G58" s="7"/>
      <c r="H58" s="7"/>
      <c r="I58" s="7"/>
      <c r="J58" s="7"/>
      <c r="K58" s="7"/>
      <c r="L58" s="7"/>
      <c r="M58" s="7"/>
      <c r="N58" s="7"/>
    </row>
    <row r="59" spans="1:14" ht="20.100000000000001" customHeight="1" x14ac:dyDescent="0.3">
      <c r="A59" s="22" t="s">
        <v>57</v>
      </c>
      <c r="B59" s="45">
        <v>3150</v>
      </c>
      <c r="C59" s="46" t="s">
        <v>43</v>
      </c>
      <c r="D59" s="37"/>
      <c r="E59" s="21"/>
      <c r="F59" s="7"/>
      <c r="G59" s="7"/>
      <c r="H59" s="7"/>
      <c r="I59" s="7"/>
      <c r="J59" s="7"/>
      <c r="K59" s="7"/>
      <c r="L59" s="7"/>
      <c r="M59" s="7"/>
      <c r="N59" s="7"/>
    </row>
    <row r="60" spans="1:14" ht="20.100000000000001" customHeight="1" x14ac:dyDescent="0.3">
      <c r="A60" s="22" t="s">
        <v>58</v>
      </c>
      <c r="B60" s="45">
        <v>3150</v>
      </c>
      <c r="C60" s="46" t="s">
        <v>43</v>
      </c>
      <c r="D60" s="37"/>
      <c r="E60" s="21"/>
      <c r="F60" s="7"/>
      <c r="G60" s="7"/>
      <c r="H60" s="7"/>
      <c r="I60" s="7"/>
      <c r="J60" s="7"/>
      <c r="K60" s="7"/>
      <c r="L60" s="7"/>
      <c r="M60" s="7"/>
      <c r="N60" s="7"/>
    </row>
    <row r="61" spans="1:14" ht="20.100000000000001" customHeight="1" x14ac:dyDescent="0.3">
      <c r="A61" s="21"/>
      <c r="B61" s="32"/>
      <c r="C61" s="21"/>
      <c r="D61" s="37"/>
      <c r="E61" s="21"/>
      <c r="F61" s="7"/>
      <c r="G61" s="7"/>
      <c r="H61" s="7"/>
      <c r="I61" s="7"/>
      <c r="J61" s="7"/>
      <c r="K61" s="7"/>
      <c r="L61" s="7"/>
      <c r="M61" s="7"/>
      <c r="N61" s="7"/>
    </row>
    <row r="62" spans="1:14" ht="20.100000000000001" customHeight="1" x14ac:dyDescent="0.3">
      <c r="A62" s="23" t="s">
        <v>70</v>
      </c>
      <c r="B62" s="34" t="s">
        <v>221</v>
      </c>
      <c r="C62" s="27" t="s">
        <v>222</v>
      </c>
      <c r="D62" s="28"/>
      <c r="E62" s="21"/>
      <c r="F62" s="7"/>
      <c r="G62" s="7"/>
      <c r="H62" s="7"/>
      <c r="I62" s="7"/>
      <c r="J62" s="7"/>
      <c r="K62" s="7"/>
      <c r="L62" s="7"/>
      <c r="M62" s="7"/>
      <c r="N62" s="7"/>
    </row>
    <row r="63" spans="1:14" ht="20.100000000000001" customHeight="1" x14ac:dyDescent="0.3">
      <c r="A63" s="22" t="s">
        <v>3236</v>
      </c>
      <c r="B63" s="45">
        <v>1384.06</v>
      </c>
      <c r="C63" s="46" t="s">
        <v>121</v>
      </c>
      <c r="D63" s="29" t="s">
        <v>226</v>
      </c>
      <c r="E63" s="21"/>
      <c r="F63" s="7"/>
      <c r="G63" s="7"/>
      <c r="H63" s="7"/>
      <c r="I63" s="7"/>
      <c r="J63" s="7"/>
      <c r="K63" s="7"/>
      <c r="L63" s="7"/>
      <c r="M63" s="7"/>
      <c r="N63" s="7"/>
    </row>
    <row r="64" spans="1:14" ht="20.100000000000001" customHeight="1" x14ac:dyDescent="0.3">
      <c r="A64" s="22" t="s">
        <v>3237</v>
      </c>
      <c r="B64" s="45">
        <v>21.54</v>
      </c>
      <c r="C64" s="46" t="s">
        <v>122</v>
      </c>
      <c r="D64" s="29" t="s">
        <v>227</v>
      </c>
      <c r="E64" s="21"/>
      <c r="F64" s="7"/>
      <c r="G64" s="7"/>
      <c r="H64" s="7"/>
      <c r="I64" s="7"/>
      <c r="J64" s="7"/>
      <c r="K64" s="7"/>
      <c r="L64" s="7"/>
      <c r="M64" s="7"/>
      <c r="N64" s="7"/>
    </row>
    <row r="65" spans="1:14" ht="20.100000000000001" customHeight="1" x14ac:dyDescent="0.3">
      <c r="A65" s="22" t="s">
        <v>73</v>
      </c>
      <c r="B65" s="45">
        <v>34.72</v>
      </c>
      <c r="C65" s="46" t="s">
        <v>122</v>
      </c>
      <c r="D65" s="29" t="s">
        <v>227</v>
      </c>
      <c r="E65" s="21"/>
      <c r="F65" s="7"/>
      <c r="G65" s="7"/>
      <c r="H65" s="7"/>
      <c r="I65" s="7"/>
      <c r="J65" s="7"/>
      <c r="K65" s="7"/>
      <c r="L65" s="7"/>
      <c r="M65" s="7"/>
      <c r="N65" s="7"/>
    </row>
    <row r="66" spans="1:14" ht="20.100000000000001" customHeight="1" x14ac:dyDescent="0.3">
      <c r="A66" s="22" t="s">
        <v>74</v>
      </c>
      <c r="B66" s="45">
        <v>0</v>
      </c>
      <c r="C66" s="46" t="s">
        <v>122</v>
      </c>
      <c r="D66" s="29" t="s">
        <v>227</v>
      </c>
      <c r="E66" s="21"/>
      <c r="F66" s="7"/>
      <c r="G66" s="7"/>
      <c r="H66" s="7"/>
      <c r="I66" s="7"/>
      <c r="J66" s="7"/>
      <c r="K66" s="7"/>
      <c r="L66" s="7"/>
      <c r="M66" s="7"/>
      <c r="N66" s="7"/>
    </row>
    <row r="67" spans="1:14" ht="20.100000000000001" customHeight="1" x14ac:dyDescent="0.3">
      <c r="A67" s="22" t="s">
        <v>75</v>
      </c>
      <c r="B67" s="45">
        <v>0.8</v>
      </c>
      <c r="C67" s="46" t="s">
        <v>3186</v>
      </c>
      <c r="D67" s="78" t="s">
        <v>3187</v>
      </c>
      <c r="E67" s="21"/>
      <c r="F67" s="7"/>
      <c r="G67" s="7"/>
      <c r="H67" s="7"/>
      <c r="I67" s="7"/>
      <c r="J67" s="7"/>
      <c r="K67" s="7"/>
      <c r="L67" s="7"/>
      <c r="M67" s="7"/>
      <c r="N67" s="7"/>
    </row>
    <row r="68" spans="1:14" ht="20.100000000000001" customHeight="1" x14ac:dyDescent="0.3">
      <c r="A68" s="21"/>
      <c r="B68" s="32"/>
      <c r="C68" s="21"/>
      <c r="D68" s="37"/>
      <c r="E68" s="21"/>
      <c r="F68" s="7"/>
      <c r="G68" s="7"/>
      <c r="H68" s="7"/>
      <c r="I68" s="7"/>
      <c r="J68" s="7"/>
      <c r="K68" s="7"/>
      <c r="L68" s="7"/>
      <c r="M68" s="7"/>
      <c r="N68" s="7"/>
    </row>
    <row r="69" spans="1:14" ht="30" customHeight="1" x14ac:dyDescent="0.3">
      <c r="A69" s="23" t="s">
        <v>123</v>
      </c>
      <c r="B69" s="34" t="s">
        <v>229</v>
      </c>
      <c r="C69" s="27" t="s">
        <v>223</v>
      </c>
      <c r="D69" s="28"/>
      <c r="E69" s="21"/>
      <c r="F69" s="7"/>
      <c r="G69" s="7"/>
      <c r="H69" s="7"/>
      <c r="I69" s="7"/>
      <c r="J69" s="7"/>
      <c r="K69" s="7"/>
      <c r="L69" s="7"/>
      <c r="M69" s="7"/>
      <c r="N69" s="7"/>
    </row>
    <row r="70" spans="1:14" ht="20.100000000000001" customHeight="1" x14ac:dyDescent="0.3">
      <c r="A70" s="22" t="s">
        <v>91</v>
      </c>
      <c r="B70" s="44" t="b">
        <v>0</v>
      </c>
      <c r="C70" s="30"/>
      <c r="D70" s="29"/>
      <c r="E70" s="21"/>
      <c r="F70" s="7"/>
      <c r="G70" s="7"/>
      <c r="H70" s="7"/>
      <c r="I70" s="7"/>
      <c r="J70" s="7"/>
      <c r="K70" s="7"/>
      <c r="L70" s="7"/>
      <c r="M70" s="7"/>
      <c r="N70" s="7"/>
    </row>
    <row r="71" spans="1:14" ht="20.100000000000001" customHeight="1" x14ac:dyDescent="0.3">
      <c r="A71" s="22" t="s">
        <v>84</v>
      </c>
      <c r="B71" s="45">
        <v>5</v>
      </c>
      <c r="C71" s="46" t="s">
        <v>65</v>
      </c>
      <c r="D71" s="37"/>
      <c r="E71" s="21"/>
      <c r="F71" s="7"/>
      <c r="G71" s="7"/>
      <c r="H71" s="7"/>
      <c r="I71" s="7"/>
      <c r="J71" s="7"/>
      <c r="K71" s="7"/>
      <c r="L71" s="7"/>
      <c r="M71" s="7"/>
      <c r="N71" s="7"/>
    </row>
    <row r="72" spans="1:14" ht="20.100000000000001" customHeight="1" x14ac:dyDescent="0.3">
      <c r="A72" s="22" t="s">
        <v>85</v>
      </c>
      <c r="B72" s="45">
        <v>5</v>
      </c>
      <c r="C72" s="46" t="s">
        <v>65</v>
      </c>
      <c r="D72" s="37"/>
      <c r="E72" s="21"/>
      <c r="F72" s="7"/>
      <c r="G72" s="7"/>
      <c r="H72" s="7"/>
      <c r="I72" s="7"/>
      <c r="J72" s="7"/>
      <c r="K72" s="7"/>
      <c r="L72" s="7"/>
      <c r="M72" s="7"/>
      <c r="N72" s="7"/>
    </row>
    <row r="73" spans="1:14" ht="20.100000000000001" customHeight="1" x14ac:dyDescent="0.3">
      <c r="A73" s="22" t="s">
        <v>86</v>
      </c>
      <c r="B73" s="45">
        <v>5</v>
      </c>
      <c r="C73" s="46" t="s">
        <v>65</v>
      </c>
      <c r="D73" s="37"/>
      <c r="E73" s="21"/>
      <c r="F73" s="7"/>
      <c r="G73" s="7"/>
      <c r="H73" s="7"/>
      <c r="I73" s="7"/>
      <c r="J73" s="7"/>
      <c r="K73" s="7"/>
      <c r="L73" s="7"/>
      <c r="M73" s="7"/>
      <c r="N73" s="7"/>
    </row>
    <row r="74" spans="1:14" ht="20.100000000000001" customHeight="1" x14ac:dyDescent="0.3">
      <c r="A74" s="22" t="s">
        <v>87</v>
      </c>
      <c r="B74" s="45">
        <v>5</v>
      </c>
      <c r="C74" s="46" t="s">
        <v>65</v>
      </c>
      <c r="D74" s="37"/>
      <c r="E74" s="21"/>
      <c r="F74" s="7"/>
      <c r="G74" s="7"/>
      <c r="H74" s="7"/>
      <c r="I74" s="7"/>
      <c r="J74" s="7"/>
      <c r="K74" s="7"/>
      <c r="L74" s="7"/>
      <c r="M74" s="7"/>
      <c r="N74" s="7"/>
    </row>
    <row r="75" spans="1:14" ht="20.100000000000001" customHeight="1" x14ac:dyDescent="0.3">
      <c r="A75" s="22" t="s">
        <v>88</v>
      </c>
      <c r="B75" s="45">
        <v>5</v>
      </c>
      <c r="C75" s="46" t="s">
        <v>65</v>
      </c>
      <c r="D75" s="37"/>
      <c r="E75" s="21"/>
      <c r="F75" s="7"/>
      <c r="G75" s="7"/>
      <c r="H75" s="7"/>
      <c r="I75" s="7"/>
      <c r="J75" s="7"/>
      <c r="K75" s="7"/>
      <c r="L75" s="7"/>
      <c r="M75" s="7"/>
      <c r="N75" s="7"/>
    </row>
    <row r="76" spans="1:14" ht="20.100000000000001" customHeight="1" x14ac:dyDescent="0.3">
      <c r="A76" s="21"/>
      <c r="B76" s="32"/>
      <c r="C76" s="21"/>
      <c r="D76" s="37"/>
      <c r="E76" s="21"/>
      <c r="F76" s="7"/>
      <c r="G76" s="7"/>
      <c r="H76" s="7"/>
      <c r="I76" s="7"/>
      <c r="J76" s="7"/>
      <c r="K76" s="7"/>
      <c r="L76" s="7"/>
      <c r="M76" s="7"/>
      <c r="N76" s="7"/>
    </row>
    <row r="77" spans="1:14" ht="28.8" x14ac:dyDescent="0.3">
      <c r="A77" s="23" t="s">
        <v>124</v>
      </c>
      <c r="B77" s="34" t="s">
        <v>229</v>
      </c>
      <c r="C77" s="42" t="s">
        <v>251</v>
      </c>
      <c r="D77" s="28"/>
      <c r="E77" s="21"/>
      <c r="F77" s="7"/>
      <c r="G77" s="7"/>
      <c r="H77" s="7"/>
      <c r="I77" s="7"/>
      <c r="J77" s="7"/>
      <c r="K77" s="7"/>
      <c r="L77" s="7"/>
      <c r="M77" s="7"/>
      <c r="N77" s="7"/>
    </row>
    <row r="78" spans="1:14" ht="20.100000000000001" customHeight="1" x14ac:dyDescent="0.3">
      <c r="A78" s="22" t="s">
        <v>109</v>
      </c>
      <c r="B78" s="45">
        <v>10000</v>
      </c>
      <c r="C78" s="21"/>
      <c r="D78" s="37"/>
      <c r="E78" s="21"/>
      <c r="F78" s="7"/>
      <c r="G78" s="7"/>
      <c r="H78" s="7"/>
      <c r="I78" s="7"/>
      <c r="J78" s="7"/>
      <c r="K78" s="7"/>
      <c r="L78" s="7"/>
      <c r="M78" s="7"/>
      <c r="N78" s="7"/>
    </row>
    <row r="79" spans="1:14" ht="20.100000000000001" customHeight="1" x14ac:dyDescent="0.3">
      <c r="A79" s="22" t="s">
        <v>83</v>
      </c>
      <c r="B79" s="45" t="b">
        <v>1</v>
      </c>
      <c r="C79" s="21"/>
      <c r="D79" s="37"/>
      <c r="E79" s="21"/>
      <c r="F79" s="7"/>
      <c r="G79" s="7"/>
      <c r="H79" s="7"/>
      <c r="I79" s="7"/>
      <c r="J79" s="7"/>
      <c r="K79" s="7"/>
      <c r="L79" s="7"/>
      <c r="M79" s="7"/>
      <c r="N79" s="7"/>
    </row>
    <row r="80" spans="1:14" ht="20.100000000000001" customHeight="1" x14ac:dyDescent="0.3">
      <c r="A80" s="22" t="s">
        <v>92</v>
      </c>
      <c r="B80" s="45">
        <v>100</v>
      </c>
      <c r="C80" s="46" t="s">
        <v>65</v>
      </c>
      <c r="D80" s="37"/>
      <c r="E80" s="21"/>
      <c r="F80" s="7"/>
      <c r="G80" s="7"/>
      <c r="H80" s="7"/>
      <c r="I80" s="7"/>
      <c r="J80" s="7"/>
      <c r="K80" s="7"/>
      <c r="L80" s="7"/>
      <c r="M80" s="7"/>
      <c r="N80" s="7"/>
    </row>
    <row r="81" spans="1:14" ht="20.100000000000001" customHeight="1" x14ac:dyDescent="0.3">
      <c r="A81" s="22" t="s">
        <v>93</v>
      </c>
      <c r="B81" s="45">
        <v>100</v>
      </c>
      <c r="C81" s="46" t="s">
        <v>65</v>
      </c>
      <c r="D81" s="37"/>
      <c r="E81" s="21"/>
      <c r="F81" s="7"/>
      <c r="G81" s="7"/>
      <c r="H81" s="7"/>
      <c r="I81" s="7"/>
      <c r="J81" s="7"/>
      <c r="K81" s="7"/>
      <c r="L81" s="7"/>
      <c r="M81" s="7"/>
      <c r="N81" s="7"/>
    </row>
    <row r="82" spans="1:14" ht="20.100000000000001" customHeight="1" x14ac:dyDescent="0.3">
      <c r="A82" s="22" t="s">
        <v>102</v>
      </c>
      <c r="B82" s="45" t="b">
        <v>0</v>
      </c>
      <c r="C82" s="21"/>
      <c r="D82" s="37"/>
      <c r="E82" s="21"/>
      <c r="F82" s="7"/>
      <c r="G82" s="7"/>
      <c r="H82" s="7"/>
      <c r="I82" s="7"/>
      <c r="J82" s="7"/>
      <c r="K82" s="7"/>
      <c r="L82" s="7"/>
      <c r="M82" s="7"/>
      <c r="N82" s="7"/>
    </row>
    <row r="83" spans="1:14" ht="20.100000000000001" customHeight="1" x14ac:dyDescent="0.3">
      <c r="A83" s="22" t="s">
        <v>103</v>
      </c>
      <c r="B83" s="45" t="b">
        <v>0</v>
      </c>
      <c r="C83" s="21"/>
      <c r="D83" s="37"/>
      <c r="E83" s="21"/>
      <c r="F83" s="7"/>
      <c r="G83" s="7"/>
      <c r="H83" s="7"/>
      <c r="I83" s="7"/>
      <c r="J83" s="7"/>
      <c r="K83" s="7"/>
      <c r="L83" s="7"/>
      <c r="M83" s="7"/>
      <c r="N83" s="7"/>
    </row>
    <row r="84" spans="1:14" ht="20.100000000000001" customHeight="1" x14ac:dyDescent="0.3">
      <c r="A84" s="22" t="s">
        <v>104</v>
      </c>
      <c r="B84" s="45" t="b">
        <v>0</v>
      </c>
      <c r="C84" s="21"/>
      <c r="D84" s="37"/>
      <c r="E84" s="21"/>
      <c r="F84" s="7"/>
      <c r="G84" s="7"/>
      <c r="H84" s="7"/>
      <c r="I84" s="7"/>
      <c r="J84" s="7"/>
      <c r="K84" s="7"/>
      <c r="L84" s="7"/>
      <c r="M84" s="7"/>
      <c r="N84" s="7"/>
    </row>
    <row r="85" spans="1:14" ht="20.100000000000001" customHeight="1" x14ac:dyDescent="0.3">
      <c r="A85" s="22" t="s">
        <v>105</v>
      </c>
      <c r="B85" s="45" t="b">
        <v>0</v>
      </c>
      <c r="C85" s="21"/>
      <c r="D85" s="37"/>
      <c r="E85" s="21"/>
      <c r="F85" s="7"/>
      <c r="G85" s="7"/>
      <c r="H85" s="7"/>
      <c r="I85" s="7"/>
      <c r="J85" s="7"/>
      <c r="K85" s="7"/>
      <c r="L85" s="7"/>
      <c r="M85" s="7"/>
      <c r="N85" s="7"/>
    </row>
    <row r="86" spans="1:14" ht="20.100000000000001" customHeight="1" x14ac:dyDescent="0.3">
      <c r="A86" s="22" t="s">
        <v>106</v>
      </c>
      <c r="B86" s="45" t="b">
        <v>0</v>
      </c>
      <c r="C86" s="21"/>
      <c r="D86" s="37"/>
      <c r="E86" s="21"/>
      <c r="F86" s="7"/>
      <c r="G86" s="7"/>
      <c r="H86" s="7"/>
      <c r="I86" s="7"/>
      <c r="J86" s="7"/>
      <c r="K86" s="7"/>
      <c r="L86" s="7"/>
      <c r="M86" s="7"/>
      <c r="N86" s="7"/>
    </row>
    <row r="87" spans="1:14" ht="20.100000000000001" customHeight="1" x14ac:dyDescent="0.3">
      <c r="A87" s="22" t="s">
        <v>107</v>
      </c>
      <c r="B87" s="45" t="b">
        <v>0</v>
      </c>
      <c r="C87" s="21"/>
      <c r="D87" s="37"/>
      <c r="E87" s="21"/>
      <c r="F87" s="7"/>
      <c r="G87" s="7"/>
      <c r="H87" s="7"/>
      <c r="I87" s="7"/>
      <c r="J87" s="7"/>
      <c r="K87" s="7"/>
      <c r="L87" s="7"/>
      <c r="M87" s="7"/>
      <c r="N87" s="7"/>
    </row>
    <row r="88" spans="1:14" ht="20.100000000000001" customHeight="1" x14ac:dyDescent="0.3">
      <c r="A88" s="22" t="s">
        <v>108</v>
      </c>
      <c r="B88" s="45">
        <v>0</v>
      </c>
      <c r="C88" s="21"/>
      <c r="D88" s="37"/>
      <c r="E88" s="21"/>
      <c r="F88" s="7"/>
      <c r="G88" s="7"/>
      <c r="H88" s="7"/>
      <c r="I88" s="7"/>
      <c r="J88" s="7"/>
      <c r="K88" s="7"/>
      <c r="L88" s="7"/>
      <c r="M88" s="7"/>
      <c r="N88" s="7"/>
    </row>
    <row r="89" spans="1:14" ht="20.100000000000001" customHeight="1" x14ac:dyDescent="0.3">
      <c r="A89" s="22" t="s">
        <v>211</v>
      </c>
      <c r="B89" s="45">
        <v>1</v>
      </c>
      <c r="C89" s="21"/>
      <c r="D89" s="37"/>
      <c r="E89" s="21"/>
      <c r="F89" s="7"/>
      <c r="G89" s="7"/>
      <c r="H89" s="7"/>
      <c r="I89" s="7"/>
      <c r="J89" s="7"/>
      <c r="K89" s="7"/>
      <c r="L89" s="7"/>
      <c r="M89" s="7"/>
      <c r="N89" s="7"/>
    </row>
    <row r="90" spans="1:14" ht="20.100000000000001" customHeight="1" x14ac:dyDescent="0.3">
      <c r="A90" s="22" t="s">
        <v>212</v>
      </c>
      <c r="B90" s="45">
        <v>0</v>
      </c>
      <c r="C90" s="21"/>
      <c r="D90" s="37"/>
      <c r="E90" s="21"/>
      <c r="F90" s="7"/>
      <c r="G90" s="7"/>
      <c r="H90" s="7"/>
      <c r="I90" s="7"/>
      <c r="J90" s="7"/>
      <c r="K90" s="7"/>
      <c r="L90" s="7"/>
      <c r="M90" s="7"/>
      <c r="N90" s="7"/>
    </row>
    <row r="91" spans="1:14" ht="20.100000000000001" customHeight="1" x14ac:dyDescent="0.3">
      <c r="A91" s="22" t="s">
        <v>205</v>
      </c>
      <c r="B91" s="45">
        <v>191</v>
      </c>
      <c r="C91" s="46" t="s">
        <v>206</v>
      </c>
      <c r="D91" s="29" t="s">
        <v>3246</v>
      </c>
      <c r="E91" s="21"/>
      <c r="F91" s="7"/>
      <c r="G91" s="7"/>
      <c r="H91" s="7"/>
      <c r="I91" s="7"/>
      <c r="J91" s="7"/>
      <c r="K91" s="7"/>
      <c r="L91" s="7"/>
      <c r="M91" s="7"/>
      <c r="N91" s="7"/>
    </row>
    <row r="92" spans="1:14" ht="20.25" customHeight="1" x14ac:dyDescent="0.3">
      <c r="A92" s="22" t="s">
        <v>3239</v>
      </c>
      <c r="B92" s="45" t="s">
        <v>3240</v>
      </c>
      <c r="C92" s="29" t="s">
        <v>3245</v>
      </c>
      <c r="D92" s="37"/>
      <c r="E92" s="21"/>
      <c r="F92" s="7"/>
      <c r="G92" s="7"/>
      <c r="H92" s="7"/>
      <c r="I92" s="7"/>
      <c r="J92" s="7"/>
      <c r="K92" s="7"/>
      <c r="L92" s="7"/>
      <c r="M92" s="7"/>
      <c r="N92" s="7"/>
    </row>
    <row r="93" spans="1:14" ht="20.25" customHeight="1" x14ac:dyDescent="0.3">
      <c r="A93" s="22" t="s">
        <v>3241</v>
      </c>
      <c r="B93" s="45" t="s">
        <v>100</v>
      </c>
      <c r="C93" s="29" t="s">
        <v>3242</v>
      </c>
      <c r="D93" s="29"/>
      <c r="E93" s="7"/>
      <c r="F93" s="7"/>
      <c r="G93" s="7"/>
      <c r="H93" s="7"/>
      <c r="I93" s="7"/>
      <c r="J93" s="7"/>
      <c r="K93" s="7"/>
      <c r="L93" s="7"/>
      <c r="M93" s="7"/>
      <c r="N93" s="7"/>
    </row>
    <row r="94" spans="1:14" x14ac:dyDescent="0.3">
      <c r="A94" s="7"/>
      <c r="B94" s="10"/>
      <c r="C94" s="7"/>
      <c r="D94" s="36"/>
      <c r="E94" s="7"/>
      <c r="F94" s="7"/>
      <c r="G94" s="7"/>
      <c r="H94" s="7"/>
      <c r="I94" s="7"/>
      <c r="J94" s="7"/>
      <c r="K94" s="7"/>
      <c r="L94" s="7"/>
      <c r="M94" s="7"/>
      <c r="N94" s="7"/>
    </row>
    <row r="95" spans="1:14" x14ac:dyDescent="0.3">
      <c r="A95" s="7"/>
      <c r="B95" s="10"/>
      <c r="C95" s="7"/>
      <c r="D95" s="36"/>
      <c r="E95" s="7"/>
      <c r="F95" s="7"/>
      <c r="G95" s="7"/>
      <c r="H95" s="7"/>
      <c r="I95" s="7"/>
      <c r="J95" s="7"/>
      <c r="K95" s="7"/>
      <c r="L95" s="7"/>
      <c r="M95" s="7"/>
      <c r="N95" s="7"/>
    </row>
    <row r="96" spans="1:14" x14ac:dyDescent="0.3">
      <c r="A96" s="7"/>
      <c r="B96" s="10"/>
      <c r="C96" s="7"/>
      <c r="D96" s="36"/>
      <c r="E96" s="7"/>
      <c r="F96" s="7"/>
      <c r="G96" s="7"/>
      <c r="H96" s="7"/>
      <c r="I96" s="7"/>
      <c r="J96" s="7"/>
      <c r="K96" s="7"/>
      <c r="L96" s="7"/>
      <c r="M96" s="7"/>
      <c r="N96" s="7"/>
    </row>
    <row r="97" spans="1:14" x14ac:dyDescent="0.3">
      <c r="A97" s="7"/>
      <c r="B97" s="10"/>
      <c r="C97" s="7"/>
      <c r="D97" s="36"/>
      <c r="E97" s="7"/>
      <c r="F97" s="7"/>
      <c r="G97" s="7"/>
      <c r="H97" s="7"/>
      <c r="I97" s="7"/>
      <c r="J97" s="7"/>
      <c r="K97" s="7"/>
      <c r="L97" s="7"/>
      <c r="M97" s="7"/>
      <c r="N97" s="7"/>
    </row>
    <row r="98" spans="1:14" x14ac:dyDescent="0.3">
      <c r="A98" s="7"/>
      <c r="B98" s="10"/>
      <c r="C98" s="7"/>
      <c r="D98" s="36"/>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43:B47 B52 B55 B58 B63:B67 B80:B81 B89:B91" xr:uid="{E2D9F016-4A83-4135-BBE5-4B87F2D58717}">
      <formula1>0</formula1>
    </dataValidation>
    <dataValidation type="decimal" operator="greaterThan" allowBlank="1" showInputMessage="1" showErrorMessage="1" sqref="B50:B51 B53:B54 B56:B57 B71:B75 B78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86D356CB-174D-48DE-BE3D-245B09C59DAD}">
      <formula1>"Default,HIGHS"</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C50 C53 C56 B12</xm:sqref>
        </x14:dataValidation>
        <x14:dataValidation type="list" allowBlank="1" showInputMessage="1" showErrorMessage="1" xr:uid="{39AE4407-D644-4DAC-9593-538A3F267722}">
          <x14:formula1>
            <xm:f>Notes!$G$3:$G$5</xm:f>
          </x14:formula1>
          <xm:sqref>C51 C54 C57 B13 C59:C60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B70 B82:B87 B79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zoomScale="110" zoomScaleNormal="110" workbookViewId="0">
      <selection activeCell="D26" sqref="D26"/>
    </sheetView>
  </sheetViews>
  <sheetFormatPr defaultColWidth="8.77734375" defaultRowHeight="14.4" x14ac:dyDescent="0.3"/>
  <cols>
    <col min="1" max="2" width="23.77734375" style="66" customWidth="1"/>
    <col min="3" max="3" width="28.77734375" style="66" customWidth="1"/>
    <col min="4" max="4" width="9.21875" style="66" customWidth="1"/>
    <col min="5" max="5" width="20.77734375" style="66" customWidth="1"/>
    <col min="6" max="6" width="20.21875" style="66" customWidth="1"/>
    <col min="7" max="10" width="16.77734375" style="66" customWidth="1"/>
    <col min="11" max="11" width="18.77734375" style="66" customWidth="1"/>
    <col min="12" max="12" width="18.5546875" style="66" bestFit="1" customWidth="1"/>
    <col min="13" max="16384" width="8.77734375" style="66"/>
  </cols>
  <sheetData>
    <row r="1" spans="1:22" ht="21" x14ac:dyDescent="0.4">
      <c r="A1" s="63" t="s">
        <v>3154</v>
      </c>
      <c r="B1" s="64"/>
      <c r="C1" s="64"/>
      <c r="D1" s="65"/>
      <c r="E1" s="65"/>
      <c r="F1" s="65"/>
      <c r="G1" s="65"/>
      <c r="H1" s="65"/>
      <c r="I1" s="65"/>
      <c r="J1" s="65"/>
      <c r="K1" s="65"/>
      <c r="L1" s="65"/>
      <c r="M1" s="65"/>
      <c r="N1" s="65"/>
      <c r="O1" s="65"/>
      <c r="P1" s="65"/>
      <c r="Q1" s="65"/>
      <c r="R1" s="65"/>
      <c r="S1" s="65"/>
      <c r="T1" s="65"/>
      <c r="U1" s="65"/>
      <c r="V1" s="65"/>
    </row>
    <row r="2" spans="1:22" s="137" customFormat="1" ht="17.100000000000001" customHeight="1" x14ac:dyDescent="0.3">
      <c r="A2" s="156" t="s">
        <v>3155</v>
      </c>
      <c r="B2" s="156"/>
      <c r="C2" s="156"/>
      <c r="D2" s="156"/>
      <c r="E2" s="156"/>
      <c r="F2" s="156"/>
      <c r="G2" s="156"/>
      <c r="H2" s="156"/>
      <c r="I2" s="156"/>
      <c r="J2" s="156"/>
      <c r="K2" s="136"/>
      <c r="L2" s="136"/>
      <c r="M2" s="136"/>
      <c r="N2" s="136"/>
      <c r="O2" s="136"/>
      <c r="P2" s="136"/>
      <c r="Q2" s="136"/>
      <c r="R2" s="136"/>
      <c r="S2" s="136"/>
      <c r="T2" s="136"/>
      <c r="U2" s="136"/>
      <c r="V2" s="136"/>
    </row>
    <row r="3" spans="1:22" ht="18.600000000000001" customHeight="1" x14ac:dyDescent="0.3">
      <c r="A3" s="157" t="s">
        <v>3171</v>
      </c>
      <c r="B3" s="157"/>
      <c r="C3" s="157"/>
      <c r="D3" s="157"/>
      <c r="E3" s="157"/>
      <c r="F3" s="157"/>
      <c r="G3" s="157"/>
      <c r="H3" s="157"/>
      <c r="I3" s="157"/>
      <c r="J3" s="157"/>
      <c r="K3" s="65"/>
      <c r="L3" s="65"/>
      <c r="M3" s="65"/>
      <c r="N3" s="65"/>
      <c r="O3" s="65"/>
      <c r="P3" s="65"/>
      <c r="Q3" s="65"/>
      <c r="R3" s="65"/>
      <c r="S3" s="65"/>
      <c r="T3" s="65"/>
      <c r="U3" s="65"/>
      <c r="V3" s="65"/>
    </row>
    <row r="4" spans="1:22" ht="16.5" customHeight="1" x14ac:dyDescent="0.3">
      <c r="B4" s="65"/>
      <c r="C4" s="67" t="str" cm="1">
        <f t="array" ref="C4">IF(ISERROR(_xlfn._xlws.FILTER(Notes!O:O,(Notes!Q:Q="N")*(Notes!S:S=0))),"","ERROR! Enter a max transport distance for: "&amp;_xlfn.CONCAT(_xlfn.UNIQUE(_xlfn._xlws.FILTER(Notes!O:O,(Notes!Q:Q="N")*(Notes!S:S=0)))&amp;" "))</f>
        <v/>
      </c>
      <c r="D4" s="65"/>
      <c r="E4" s="65"/>
      <c r="G4" s="65"/>
      <c r="H4" s="65"/>
      <c r="I4" s="65"/>
      <c r="J4" s="65"/>
      <c r="K4" s="65"/>
      <c r="L4" s="65"/>
      <c r="M4" s="65"/>
      <c r="N4" s="65"/>
      <c r="O4" s="65"/>
      <c r="P4" s="65"/>
      <c r="Q4" s="65"/>
      <c r="R4" s="65"/>
      <c r="S4" s="65"/>
      <c r="T4" s="65"/>
      <c r="U4" s="65"/>
      <c r="V4" s="65"/>
    </row>
    <row r="5" spans="1:22" ht="21" x14ac:dyDescent="0.4">
      <c r="A5" s="64" t="s">
        <v>26</v>
      </c>
      <c r="B5" s="64"/>
      <c r="C5" s="68"/>
      <c r="D5" s="65"/>
      <c r="E5" s="64" t="s">
        <v>30</v>
      </c>
      <c r="F5" s="64"/>
      <c r="G5" s="64"/>
      <c r="H5" s="64"/>
      <c r="I5" s="64"/>
      <c r="J5" s="64"/>
      <c r="K5" s="69"/>
      <c r="L5" s="69"/>
      <c r="M5" s="65"/>
      <c r="N5" s="65"/>
      <c r="O5" s="65"/>
      <c r="P5" s="65"/>
      <c r="Q5" s="65"/>
      <c r="R5" s="65"/>
      <c r="S5" s="65"/>
      <c r="T5" s="65"/>
      <c r="U5" s="65"/>
      <c r="V5" s="65"/>
    </row>
    <row r="6" spans="1:22" x14ac:dyDescent="0.3">
      <c r="A6" s="65"/>
      <c r="B6" s="65"/>
      <c r="C6" s="70" t="s">
        <v>236</v>
      </c>
      <c r="D6" s="65"/>
      <c r="E6" s="71" t="s">
        <v>32</v>
      </c>
      <c r="F6" s="72" t="str">
        <f>Notes!AH3</f>
        <v>makeSAF</v>
      </c>
      <c r="G6" s="65"/>
      <c r="H6" s="65"/>
      <c r="I6" s="65"/>
      <c r="J6" s="65"/>
      <c r="K6" s="65"/>
      <c r="L6" s="65"/>
      <c r="M6" s="65"/>
      <c r="N6" s="65"/>
      <c r="O6" s="65"/>
      <c r="P6" s="65"/>
      <c r="Q6" s="65"/>
      <c r="R6" s="65"/>
      <c r="S6" s="65"/>
      <c r="T6" s="65"/>
      <c r="U6" s="65"/>
      <c r="V6" s="65"/>
    </row>
    <row r="7" spans="1:22" x14ac:dyDescent="0.3">
      <c r="A7" s="73" t="s">
        <v>27</v>
      </c>
      <c r="B7" s="73" t="s">
        <v>28</v>
      </c>
      <c r="C7" s="73" t="s">
        <v>29</v>
      </c>
      <c r="D7" s="65"/>
      <c r="E7" s="73" t="s">
        <v>6</v>
      </c>
      <c r="F7" s="72" t="str">
        <f>Notes!AH4</f>
        <v>N</v>
      </c>
      <c r="G7" s="74"/>
      <c r="H7" s="65"/>
      <c r="I7" s="65"/>
      <c r="J7" s="75"/>
      <c r="K7" s="70" t="s">
        <v>247</v>
      </c>
      <c r="L7" s="65"/>
      <c r="M7" s="65"/>
      <c r="N7" s="65"/>
      <c r="O7" s="65"/>
      <c r="P7" s="65"/>
      <c r="Q7" s="65"/>
      <c r="R7" s="65"/>
      <c r="S7" s="65"/>
      <c r="T7" s="65"/>
      <c r="U7" s="65"/>
      <c r="V7" s="65"/>
    </row>
    <row r="8" spans="1:22" x14ac:dyDescent="0.3">
      <c r="A8" s="65" t="str">
        <f>Notes!AC4</f>
        <v>SAF</v>
      </c>
      <c r="B8" s="65" t="str">
        <f>Notes!AD4</f>
        <v>liquid</v>
      </c>
      <c r="C8" s="65"/>
      <c r="D8" s="65"/>
      <c r="E8" s="73" t="s">
        <v>20</v>
      </c>
      <c r="F8" s="73" t="s">
        <v>241</v>
      </c>
      <c r="G8" s="73" t="s">
        <v>244</v>
      </c>
      <c r="H8" s="73" t="s">
        <v>21</v>
      </c>
      <c r="I8" s="73" t="s">
        <v>243</v>
      </c>
      <c r="J8" s="73" t="s">
        <v>242</v>
      </c>
      <c r="K8" s="73" t="s">
        <v>202</v>
      </c>
      <c r="L8" s="73" t="s">
        <v>246</v>
      </c>
      <c r="M8" s="71"/>
      <c r="N8" s="65"/>
      <c r="O8" s="65"/>
      <c r="P8" s="65"/>
      <c r="Q8" s="65"/>
      <c r="R8" s="65"/>
      <c r="S8" s="65"/>
      <c r="T8" s="65"/>
      <c r="U8" s="65"/>
      <c r="V8" s="65"/>
    </row>
    <row r="9" spans="1:22" x14ac:dyDescent="0.3">
      <c r="A9" s="65" t="str">
        <f>Notes!AC5</f>
        <v>fuel_blend</v>
      </c>
      <c r="B9" s="65" t="str">
        <f>Notes!AD5</f>
        <v>liquid</v>
      </c>
      <c r="C9" s="65"/>
      <c r="D9" s="65"/>
      <c r="E9" s="65" t="str">
        <f>Notes!AG6</f>
        <v>FOG</v>
      </c>
      <c r="F9" s="65">
        <f>Notes!AH6</f>
        <v>1</v>
      </c>
      <c r="G9" s="65" t="str">
        <f>Notes!AI6</f>
        <v>tons</v>
      </c>
      <c r="H9" s="65" t="str">
        <f>Notes!AJ6</f>
        <v>SAF</v>
      </c>
      <c r="I9" s="65">
        <f>Notes!AK6</f>
        <v>127.21129047148131</v>
      </c>
      <c r="J9" s="65" t="str">
        <f>Notes!AL6</f>
        <v>gallon</v>
      </c>
      <c r="K9" s="76" t="str">
        <f>F6</f>
        <v>makeSAF</v>
      </c>
      <c r="L9" s="76" t="str">
        <f>F7</f>
        <v>N</v>
      </c>
      <c r="M9" s="65"/>
      <c r="N9" s="65"/>
      <c r="O9" s="65"/>
      <c r="P9" s="65"/>
      <c r="Q9" s="65"/>
      <c r="R9" s="65"/>
      <c r="S9" s="65"/>
      <c r="T9" s="65"/>
      <c r="U9" s="65"/>
      <c r="V9" s="65"/>
    </row>
    <row r="10" spans="1:22" x14ac:dyDescent="0.3">
      <c r="A10" s="65" t="str">
        <f>Notes!AC6</f>
        <v>FOG</v>
      </c>
      <c r="B10" s="65" t="str">
        <f>Notes!AD6</f>
        <v>solid</v>
      </c>
      <c r="C10" s="65">
        <f>Notes!AE6</f>
        <v>500</v>
      </c>
      <c r="D10" s="65"/>
      <c r="E10" s="65"/>
      <c r="F10" s="65"/>
      <c r="G10" s="65"/>
      <c r="H10" s="65"/>
      <c r="I10" s="65"/>
      <c r="J10" s="65"/>
      <c r="K10" s="65"/>
      <c r="L10" s="65"/>
      <c r="M10" s="65"/>
      <c r="N10" s="65"/>
      <c r="O10" s="65"/>
      <c r="P10" s="65"/>
      <c r="Q10" s="65"/>
      <c r="R10" s="65"/>
      <c r="S10" s="65"/>
      <c r="T10" s="65"/>
      <c r="U10" s="65"/>
      <c r="V10" s="65"/>
    </row>
    <row r="11" spans="1:22" x14ac:dyDescent="0.3">
      <c r="A11" s="65"/>
      <c r="B11" s="65"/>
      <c r="C11" s="65"/>
      <c r="D11" s="65"/>
      <c r="E11" s="71" t="s">
        <v>32</v>
      </c>
      <c r="F11" s="72" t="str">
        <f>Notes!AH8</f>
        <v>blendSAF</v>
      </c>
      <c r="G11" s="104"/>
      <c r="H11" s="65"/>
      <c r="I11" s="65"/>
      <c r="J11" s="65"/>
      <c r="K11" s="65"/>
      <c r="L11" s="65"/>
      <c r="M11" s="65"/>
      <c r="N11" s="65"/>
      <c r="O11" s="65"/>
      <c r="P11" s="65"/>
      <c r="Q11" s="65"/>
      <c r="R11" s="65"/>
      <c r="S11" s="65"/>
      <c r="T11" s="65"/>
      <c r="U11" s="65"/>
      <c r="V11" s="65"/>
    </row>
    <row r="12" spans="1:22" x14ac:dyDescent="0.3">
      <c r="A12" s="65"/>
      <c r="B12" s="65"/>
      <c r="C12" s="65"/>
      <c r="D12" s="65"/>
      <c r="E12" s="73" t="s">
        <v>6</v>
      </c>
      <c r="F12" s="72" t="str">
        <f>Notes!AH9</f>
        <v>Y</v>
      </c>
      <c r="G12" s="74"/>
      <c r="H12" s="65"/>
      <c r="I12" s="65"/>
      <c r="J12" s="75"/>
      <c r="K12" s="70" t="s">
        <v>247</v>
      </c>
      <c r="L12" s="65"/>
      <c r="M12" s="65"/>
      <c r="N12" s="65"/>
      <c r="O12" s="65"/>
      <c r="P12" s="65"/>
      <c r="Q12" s="65"/>
      <c r="R12" s="65"/>
      <c r="S12" s="65"/>
      <c r="T12" s="65"/>
      <c r="U12" s="65"/>
      <c r="V12" s="65"/>
    </row>
    <row r="13" spans="1:22" x14ac:dyDescent="0.3">
      <c r="A13" s="65"/>
      <c r="B13" s="65"/>
      <c r="C13" s="65"/>
      <c r="D13" s="65"/>
      <c r="E13" s="73" t="s">
        <v>20</v>
      </c>
      <c r="F13" s="73" t="s">
        <v>241</v>
      </c>
      <c r="G13" s="73" t="s">
        <v>244</v>
      </c>
      <c r="H13" s="73" t="s">
        <v>21</v>
      </c>
      <c r="I13" s="73" t="s">
        <v>243</v>
      </c>
      <c r="J13" s="73" t="s">
        <v>242</v>
      </c>
      <c r="K13" s="73" t="s">
        <v>202</v>
      </c>
      <c r="L13" s="73" t="s">
        <v>246</v>
      </c>
      <c r="M13" s="65"/>
      <c r="N13" s="65"/>
      <c r="O13" s="65"/>
      <c r="P13" s="65"/>
      <c r="Q13" s="65"/>
      <c r="R13" s="65"/>
      <c r="S13" s="65"/>
      <c r="T13" s="65"/>
      <c r="U13" s="65"/>
      <c r="V13" s="65"/>
    </row>
    <row r="14" spans="1:22" x14ac:dyDescent="0.3">
      <c r="A14" s="65"/>
      <c r="B14" s="65"/>
      <c r="C14" s="65"/>
      <c r="D14" s="65"/>
      <c r="E14" s="65" t="str">
        <f>Notes!AG11</f>
        <v>SAF</v>
      </c>
      <c r="F14" s="65">
        <f>Notes!AH11</f>
        <v>1</v>
      </c>
      <c r="G14" s="65" t="str">
        <f>Notes!AI11</f>
        <v>gallons</v>
      </c>
      <c r="H14" s="65" t="str">
        <f>Notes!AJ11</f>
        <v>fuel_blend</v>
      </c>
      <c r="I14" s="65">
        <f>Notes!AK11</f>
        <v>2</v>
      </c>
      <c r="J14" s="65" t="str">
        <f>Notes!AL11</f>
        <v>gallons</v>
      </c>
      <c r="K14" s="76" t="str">
        <f>F11</f>
        <v>blendSAF</v>
      </c>
      <c r="L14" s="76" t="str">
        <f>F12</f>
        <v>Y</v>
      </c>
      <c r="M14" s="105"/>
      <c r="N14" s="65"/>
      <c r="O14" s="65"/>
      <c r="P14" s="65"/>
      <c r="Q14" s="65"/>
      <c r="R14" s="65"/>
      <c r="S14" s="65"/>
      <c r="T14" s="65"/>
      <c r="U14" s="65"/>
      <c r="V14" s="65"/>
    </row>
    <row r="15" spans="1:22" x14ac:dyDescent="0.3">
      <c r="A15" s="65"/>
      <c r="B15" s="65"/>
      <c r="C15" s="65"/>
      <c r="D15" s="65"/>
      <c r="E15" s="65"/>
      <c r="F15" s="65"/>
      <c r="G15" s="65"/>
      <c r="H15" s="65"/>
      <c r="I15" s="65"/>
      <c r="J15" s="65"/>
      <c r="K15" s="65"/>
      <c r="L15" s="65"/>
      <c r="M15" s="65"/>
      <c r="N15" s="65"/>
      <c r="O15" s="65"/>
      <c r="P15" s="65"/>
      <c r="Q15" s="65"/>
      <c r="R15" s="65"/>
      <c r="S15" s="65"/>
      <c r="T15" s="65"/>
      <c r="U15" s="65"/>
      <c r="V15" s="65"/>
    </row>
    <row r="16" spans="1:22" x14ac:dyDescent="0.3">
      <c r="A16" s="65"/>
      <c r="B16" s="65"/>
      <c r="C16" s="65"/>
      <c r="D16" s="65"/>
      <c r="E16" s="71" t="s">
        <v>32</v>
      </c>
      <c r="F16" s="72" t="str">
        <f>IF('SAF Filters'!$J$37="Y",Notes!AH13,"")</f>
        <v>makeSAF_Existing</v>
      </c>
      <c r="G16" s="65"/>
      <c r="H16" s="65"/>
      <c r="I16" s="65"/>
      <c r="J16" s="65"/>
      <c r="K16" s="65"/>
      <c r="L16" s="65"/>
      <c r="M16" s="65"/>
      <c r="N16" s="65"/>
      <c r="O16" s="65"/>
      <c r="P16" s="65"/>
      <c r="Q16" s="65"/>
      <c r="R16" s="65"/>
      <c r="S16" s="65"/>
      <c r="T16" s="65"/>
      <c r="U16" s="65"/>
      <c r="V16" s="65"/>
    </row>
    <row r="17" spans="1:22" x14ac:dyDescent="0.3">
      <c r="A17" s="65"/>
      <c r="B17" s="65"/>
      <c r="C17" s="65"/>
      <c r="D17" s="65"/>
      <c r="E17" s="73" t="s">
        <v>6</v>
      </c>
      <c r="F17" s="72" t="str">
        <f>IF('SAF Filters'!$J$37="Y",Notes!AH14,"")</f>
        <v>Y</v>
      </c>
      <c r="G17" s="74"/>
      <c r="H17" s="65"/>
      <c r="I17" s="65"/>
      <c r="J17" s="75"/>
      <c r="K17" s="70" t="s">
        <v>247</v>
      </c>
      <c r="L17" s="65"/>
      <c r="M17" s="65"/>
      <c r="N17" s="65"/>
      <c r="O17" s="65"/>
      <c r="P17" s="65"/>
      <c r="Q17" s="65"/>
      <c r="R17" s="65"/>
      <c r="S17" s="65"/>
      <c r="T17" s="65"/>
      <c r="U17" s="65"/>
      <c r="V17" s="65"/>
    </row>
    <row r="18" spans="1:22" x14ac:dyDescent="0.3">
      <c r="A18" s="65"/>
      <c r="B18" s="65"/>
      <c r="C18" s="65"/>
      <c r="D18" s="65"/>
      <c r="E18" s="73" t="s">
        <v>20</v>
      </c>
      <c r="F18" s="73" t="s">
        <v>241</v>
      </c>
      <c r="G18" s="73" t="s">
        <v>244</v>
      </c>
      <c r="H18" s="73" t="s">
        <v>21</v>
      </c>
      <c r="I18" s="73" t="s">
        <v>243</v>
      </c>
      <c r="J18" s="73" t="s">
        <v>242</v>
      </c>
      <c r="K18" s="73" t="s">
        <v>202</v>
      </c>
      <c r="L18" s="73" t="s">
        <v>246</v>
      </c>
      <c r="M18" s="65"/>
      <c r="N18" s="65"/>
      <c r="O18" s="65"/>
      <c r="P18" s="65"/>
      <c r="Q18" s="65"/>
      <c r="R18" s="65"/>
      <c r="S18" s="65"/>
      <c r="T18" s="65"/>
      <c r="U18" s="65"/>
      <c r="V18" s="65"/>
    </row>
    <row r="19" spans="1:22" x14ac:dyDescent="0.3">
      <c r="A19" s="65"/>
      <c r="B19" s="65"/>
      <c r="C19" s="65"/>
      <c r="D19" s="65"/>
      <c r="E19" s="65" t="str">
        <f>IF('SAF Filters'!$J$37="Y",Notes!AG16,"")</f>
        <v>FOG</v>
      </c>
      <c r="F19" s="65">
        <f>IF('SAF Filters'!$J$37="Y",Notes!AH16,"")</f>
        <v>1</v>
      </c>
      <c r="G19" s="65" t="str">
        <f>IF('SAF Filters'!$J$37="Y",Notes!AI16,"")</f>
        <v>tons</v>
      </c>
      <c r="H19" s="65" t="str">
        <f>IF('SAF Filters'!$J$37="Y",Notes!AJ16,"")</f>
        <v>SAF</v>
      </c>
      <c r="I19" s="65">
        <f>IF('SAF Filters'!$J$37="Y",Notes!AK16,"")</f>
        <v>127.21129047148131</v>
      </c>
      <c r="J19" s="65" t="str">
        <f>IF('SAF Filters'!$J$37="Y",Notes!AL16,"")</f>
        <v>gallon</v>
      </c>
      <c r="K19" s="76">
        <f>IF('SAF Filters'!$J$37="Y",Notes!AM16,"")</f>
        <v>0</v>
      </c>
      <c r="L19" s="76">
        <f>IF('SAF Filters'!$J$37="Y",Notes!AN16,"")</f>
        <v>0</v>
      </c>
      <c r="M19" s="65"/>
      <c r="N19" s="65"/>
      <c r="O19" s="65"/>
      <c r="P19" s="65"/>
      <c r="Q19" s="65"/>
      <c r="R19" s="65"/>
      <c r="S19" s="65"/>
      <c r="T19" s="65"/>
      <c r="U19" s="65"/>
      <c r="V19" s="65"/>
    </row>
    <row r="20" spans="1:22" x14ac:dyDescent="0.3">
      <c r="A20" s="65"/>
      <c r="B20" s="65"/>
      <c r="C20" s="65"/>
      <c r="D20" s="65"/>
      <c r="E20" s="65"/>
      <c r="F20" s="65"/>
      <c r="G20" s="65"/>
      <c r="H20" s="65"/>
      <c r="I20" s="65"/>
      <c r="J20" s="65"/>
      <c r="K20" s="65"/>
      <c r="L20" s="65"/>
      <c r="M20" s="65"/>
      <c r="N20" s="65"/>
      <c r="O20" s="65"/>
      <c r="P20" s="65"/>
      <c r="Q20" s="65"/>
      <c r="R20" s="65"/>
      <c r="S20" s="65"/>
      <c r="T20" s="65"/>
      <c r="U20" s="65"/>
      <c r="V20" s="65"/>
    </row>
    <row r="21" spans="1:22" x14ac:dyDescent="0.3">
      <c r="A21" s="65"/>
      <c r="B21" s="65"/>
      <c r="C21" s="65"/>
      <c r="D21" s="65"/>
      <c r="E21" s="65"/>
      <c r="F21" s="65"/>
      <c r="G21" s="65"/>
      <c r="H21" s="65"/>
      <c r="I21" s="65"/>
      <c r="J21" s="65"/>
      <c r="K21" s="65"/>
      <c r="L21" s="65"/>
      <c r="M21" s="65"/>
      <c r="N21" s="65"/>
      <c r="O21" s="65"/>
      <c r="P21" s="65"/>
      <c r="Q21" s="65"/>
      <c r="R21" s="65"/>
      <c r="S21" s="65"/>
      <c r="T21" s="65"/>
      <c r="U21" s="65"/>
      <c r="V21" s="65"/>
    </row>
    <row r="22" spans="1:22" x14ac:dyDescent="0.3">
      <c r="A22" s="65"/>
      <c r="B22" s="65"/>
      <c r="C22" s="65"/>
      <c r="D22" s="65"/>
      <c r="E22" s="65"/>
      <c r="F22" s="65"/>
      <c r="G22" s="65"/>
      <c r="H22" s="65"/>
      <c r="I22" s="65"/>
      <c r="J22" s="65"/>
      <c r="K22" s="65"/>
      <c r="L22" s="65"/>
      <c r="M22" s="65"/>
      <c r="N22" s="65"/>
      <c r="O22" s="65"/>
      <c r="P22" s="65"/>
      <c r="Q22" s="65"/>
      <c r="R22" s="65"/>
      <c r="S22" s="65"/>
      <c r="T22" s="65"/>
      <c r="U22" s="65"/>
      <c r="V22" s="65"/>
    </row>
    <row r="23" spans="1:22" x14ac:dyDescent="0.3">
      <c r="A23" s="65"/>
      <c r="B23" s="65"/>
      <c r="C23" s="65"/>
      <c r="D23" s="65"/>
      <c r="E23" s="65"/>
      <c r="F23" s="65"/>
      <c r="G23" s="65"/>
      <c r="H23" s="65"/>
      <c r="I23" s="65"/>
      <c r="J23" s="65"/>
      <c r="K23" s="65"/>
      <c r="L23" s="65"/>
      <c r="M23" s="65"/>
      <c r="N23" s="65"/>
      <c r="O23" s="65"/>
      <c r="P23" s="65"/>
      <c r="Q23" s="65"/>
      <c r="R23" s="65"/>
      <c r="S23" s="65"/>
      <c r="T23" s="65"/>
      <c r="U23" s="65"/>
      <c r="V23" s="65"/>
    </row>
    <row r="24" spans="1:22" x14ac:dyDescent="0.3">
      <c r="A24" s="65"/>
      <c r="B24" s="65"/>
      <c r="C24" s="65"/>
      <c r="D24" s="65"/>
      <c r="E24" s="65"/>
      <c r="F24" s="65"/>
      <c r="G24" s="65"/>
      <c r="H24" s="65"/>
      <c r="I24" s="65"/>
      <c r="J24" s="65"/>
      <c r="K24" s="65"/>
      <c r="L24" s="65"/>
      <c r="M24" s="65"/>
      <c r="N24" s="65"/>
      <c r="O24" s="65"/>
      <c r="P24" s="65"/>
      <c r="Q24" s="65"/>
      <c r="R24" s="65"/>
      <c r="S24" s="65"/>
      <c r="T24" s="65"/>
      <c r="U24" s="65"/>
      <c r="V24" s="65"/>
    </row>
    <row r="25" spans="1:22" x14ac:dyDescent="0.3">
      <c r="A25" s="65"/>
      <c r="B25" s="65"/>
      <c r="C25" s="65"/>
      <c r="D25" s="65"/>
      <c r="E25" s="65"/>
      <c r="F25" s="65"/>
      <c r="G25" s="65"/>
      <c r="H25" s="65"/>
      <c r="I25" s="65"/>
      <c r="J25" s="65"/>
      <c r="K25" s="65"/>
      <c r="L25" s="65"/>
      <c r="M25" s="65"/>
      <c r="N25" s="65"/>
      <c r="O25" s="65"/>
      <c r="P25" s="65"/>
      <c r="Q25" s="65"/>
      <c r="R25" s="65"/>
      <c r="S25" s="65"/>
      <c r="T25" s="65"/>
      <c r="U25" s="65"/>
      <c r="V25" s="65"/>
    </row>
    <row r="26" spans="1:22" x14ac:dyDescent="0.3">
      <c r="A26" s="65"/>
      <c r="B26" s="65"/>
      <c r="C26" s="65"/>
      <c r="D26" s="65"/>
      <c r="E26" s="65"/>
      <c r="F26" s="65"/>
      <c r="G26" s="65"/>
      <c r="H26" s="65"/>
      <c r="I26" s="65"/>
      <c r="J26" s="65"/>
      <c r="K26" s="65"/>
      <c r="L26" s="65"/>
      <c r="M26" s="65"/>
      <c r="N26" s="65"/>
      <c r="O26" s="65"/>
      <c r="P26" s="65"/>
      <c r="Q26" s="65"/>
      <c r="R26" s="65"/>
      <c r="S26" s="65"/>
      <c r="T26" s="65"/>
      <c r="U26" s="65"/>
      <c r="V26" s="65"/>
    </row>
    <row r="27" spans="1:22" x14ac:dyDescent="0.3">
      <c r="A27" s="65"/>
      <c r="B27" s="65"/>
      <c r="C27" s="65"/>
      <c r="D27" s="65"/>
      <c r="E27" s="65"/>
      <c r="F27" s="65"/>
      <c r="G27" s="65"/>
      <c r="H27" s="65"/>
      <c r="I27" s="65"/>
      <c r="J27" s="65"/>
      <c r="K27" s="65"/>
      <c r="L27" s="65"/>
      <c r="M27" s="65"/>
      <c r="N27" s="65"/>
      <c r="O27" s="65"/>
      <c r="P27" s="65"/>
      <c r="Q27" s="65"/>
      <c r="R27" s="65"/>
      <c r="S27" s="65"/>
      <c r="T27" s="65"/>
      <c r="U27" s="65"/>
      <c r="V27" s="65"/>
    </row>
    <row r="28" spans="1:22" x14ac:dyDescent="0.3">
      <c r="A28" s="65"/>
      <c r="B28" s="65"/>
      <c r="C28" s="65"/>
      <c r="D28" s="65"/>
      <c r="E28" s="65"/>
      <c r="F28" s="65"/>
      <c r="G28" s="65"/>
      <c r="H28" s="65"/>
      <c r="I28" s="65"/>
      <c r="J28" s="65"/>
      <c r="K28" s="65"/>
      <c r="L28" s="65"/>
      <c r="M28" s="65"/>
      <c r="N28" s="65"/>
      <c r="O28" s="65"/>
      <c r="P28" s="65"/>
      <c r="Q28" s="65"/>
      <c r="R28" s="65"/>
      <c r="S28" s="65"/>
      <c r="T28" s="65"/>
      <c r="U28" s="65"/>
      <c r="V28" s="65"/>
    </row>
    <row r="29" spans="1:22" x14ac:dyDescent="0.3">
      <c r="A29" s="65"/>
      <c r="B29" s="65"/>
      <c r="C29" s="65"/>
      <c r="D29" s="65"/>
      <c r="E29" s="65"/>
      <c r="F29" s="65"/>
      <c r="G29" s="65"/>
      <c r="H29" s="65"/>
      <c r="I29" s="65"/>
      <c r="J29" s="65"/>
      <c r="K29" s="65"/>
      <c r="L29" s="65"/>
      <c r="M29" s="65"/>
      <c r="N29" s="65"/>
      <c r="O29" s="65"/>
      <c r="P29" s="65"/>
      <c r="Q29" s="65"/>
      <c r="R29" s="65"/>
      <c r="S29" s="65"/>
      <c r="T29" s="65"/>
      <c r="U29" s="65"/>
      <c r="V29" s="65"/>
    </row>
    <row r="30" spans="1:22" x14ac:dyDescent="0.3">
      <c r="A30" s="65"/>
      <c r="B30" s="65"/>
      <c r="C30" s="65"/>
      <c r="D30" s="65"/>
      <c r="E30" s="65"/>
      <c r="F30" s="65"/>
      <c r="G30" s="65"/>
      <c r="H30" s="65"/>
      <c r="I30" s="65"/>
      <c r="J30" s="65"/>
      <c r="K30" s="65"/>
      <c r="L30" s="65"/>
      <c r="M30" s="65"/>
      <c r="N30" s="65"/>
      <c r="O30" s="65"/>
      <c r="P30" s="65"/>
      <c r="Q30" s="65"/>
      <c r="R30" s="65"/>
      <c r="S30" s="65"/>
      <c r="T30" s="65"/>
      <c r="U30" s="65"/>
      <c r="V30" s="65"/>
    </row>
    <row r="31" spans="1:22" x14ac:dyDescent="0.3">
      <c r="A31" s="65"/>
      <c r="B31" s="65"/>
      <c r="C31" s="65"/>
      <c r="D31" s="65"/>
      <c r="E31" s="65"/>
      <c r="F31" s="65"/>
      <c r="G31" s="65"/>
      <c r="H31" s="65"/>
      <c r="I31" s="65"/>
      <c r="J31" s="65"/>
      <c r="K31" s="65"/>
      <c r="L31" s="65"/>
      <c r="M31" s="65"/>
      <c r="N31" s="65"/>
      <c r="O31" s="65"/>
      <c r="P31" s="65"/>
      <c r="Q31" s="65"/>
      <c r="R31" s="65"/>
      <c r="S31" s="65"/>
      <c r="T31" s="65"/>
      <c r="U31" s="65"/>
      <c r="V31" s="65"/>
    </row>
    <row r="32" spans="1:22" x14ac:dyDescent="0.3">
      <c r="A32" s="65"/>
      <c r="B32" s="65"/>
      <c r="C32" s="65"/>
      <c r="D32" s="65"/>
      <c r="E32" s="65"/>
      <c r="F32" s="65"/>
      <c r="G32" s="65"/>
      <c r="H32" s="65"/>
      <c r="I32" s="65"/>
      <c r="J32" s="65"/>
      <c r="K32" s="65"/>
      <c r="L32" s="65"/>
      <c r="M32" s="65"/>
      <c r="N32" s="65"/>
      <c r="O32" s="65"/>
      <c r="P32" s="65"/>
      <c r="Q32" s="65"/>
      <c r="R32" s="65"/>
      <c r="S32" s="65"/>
      <c r="T32" s="65"/>
      <c r="U32" s="65"/>
      <c r="V32" s="65"/>
    </row>
    <row r="33" spans="1:22" x14ac:dyDescent="0.3">
      <c r="A33" s="65"/>
      <c r="B33" s="65"/>
      <c r="C33" s="65"/>
      <c r="D33" s="65"/>
      <c r="E33" s="65"/>
      <c r="F33" s="65"/>
      <c r="G33" s="65"/>
      <c r="H33" s="65"/>
      <c r="I33" s="65"/>
      <c r="J33" s="65"/>
      <c r="K33" s="65"/>
      <c r="L33" s="65"/>
      <c r="M33" s="65"/>
      <c r="N33" s="65"/>
      <c r="O33" s="65"/>
      <c r="P33" s="65"/>
      <c r="Q33" s="65"/>
      <c r="R33" s="65"/>
      <c r="S33" s="65"/>
      <c r="T33" s="65"/>
      <c r="U33" s="65"/>
      <c r="V33" s="65"/>
    </row>
    <row r="34" spans="1:22" x14ac:dyDescent="0.3">
      <c r="A34" s="65"/>
      <c r="B34" s="65"/>
      <c r="C34" s="65"/>
      <c r="D34" s="65"/>
      <c r="E34" s="65"/>
      <c r="F34" s="65"/>
      <c r="G34" s="65"/>
      <c r="H34" s="65"/>
      <c r="I34" s="65"/>
      <c r="J34" s="65"/>
      <c r="K34" s="65"/>
      <c r="L34" s="65"/>
      <c r="M34" s="65"/>
      <c r="N34" s="65"/>
      <c r="O34" s="65"/>
      <c r="P34" s="65"/>
      <c r="Q34" s="65"/>
      <c r="R34" s="65"/>
      <c r="S34" s="65"/>
      <c r="T34" s="65"/>
      <c r="U34" s="65"/>
      <c r="V34" s="65"/>
    </row>
    <row r="35" spans="1:22" x14ac:dyDescent="0.3">
      <c r="A35" s="65"/>
      <c r="B35" s="65"/>
      <c r="C35" s="65"/>
      <c r="D35" s="65"/>
      <c r="E35" s="65"/>
      <c r="F35" s="65"/>
      <c r="G35" s="65"/>
      <c r="H35" s="65"/>
      <c r="I35" s="65"/>
      <c r="J35" s="65"/>
      <c r="K35" s="65"/>
      <c r="L35" s="65"/>
      <c r="M35" s="65"/>
      <c r="N35" s="65"/>
      <c r="O35" s="65"/>
      <c r="P35" s="65"/>
      <c r="Q35" s="65"/>
      <c r="R35" s="65"/>
      <c r="S35" s="65"/>
      <c r="T35" s="65"/>
      <c r="U35" s="65"/>
      <c r="V35" s="65"/>
    </row>
    <row r="36" spans="1:22" x14ac:dyDescent="0.3">
      <c r="A36" s="65"/>
      <c r="B36" s="65"/>
      <c r="C36" s="65"/>
      <c r="D36" s="65"/>
      <c r="E36" s="65"/>
      <c r="F36" s="65"/>
      <c r="G36" s="65"/>
      <c r="H36" s="65"/>
      <c r="I36" s="65"/>
      <c r="J36" s="65"/>
      <c r="K36" s="65"/>
      <c r="L36" s="65"/>
      <c r="M36" s="65"/>
      <c r="N36" s="65"/>
      <c r="O36" s="65"/>
      <c r="P36" s="65"/>
      <c r="Q36" s="65"/>
      <c r="R36" s="65"/>
      <c r="S36" s="65"/>
      <c r="T36" s="65"/>
      <c r="U36" s="65"/>
      <c r="V36" s="65"/>
    </row>
    <row r="37" spans="1:22" x14ac:dyDescent="0.3">
      <c r="A37" s="65"/>
      <c r="B37" s="65"/>
      <c r="C37" s="65"/>
      <c r="D37" s="65"/>
      <c r="E37" s="65"/>
      <c r="F37" s="65"/>
      <c r="G37" s="65"/>
      <c r="H37" s="65"/>
      <c r="I37" s="65"/>
      <c r="J37" s="65"/>
      <c r="K37" s="65"/>
      <c r="L37" s="65"/>
      <c r="M37" s="65"/>
      <c r="N37" s="65"/>
      <c r="O37" s="65"/>
      <c r="P37" s="65"/>
      <c r="Q37" s="65"/>
      <c r="R37" s="65"/>
      <c r="S37" s="65"/>
      <c r="T37" s="65"/>
      <c r="U37" s="65"/>
      <c r="V37" s="65"/>
    </row>
    <row r="38" spans="1:22" x14ac:dyDescent="0.3">
      <c r="A38" s="65"/>
      <c r="B38" s="65"/>
      <c r="C38" s="65"/>
      <c r="D38" s="65"/>
      <c r="E38" s="65"/>
      <c r="F38" s="65"/>
      <c r="G38" s="65"/>
      <c r="H38" s="65"/>
      <c r="I38" s="65"/>
      <c r="J38" s="65"/>
      <c r="K38" s="65"/>
      <c r="L38" s="65"/>
      <c r="M38" s="65"/>
      <c r="N38" s="65"/>
      <c r="O38" s="65"/>
      <c r="P38" s="65"/>
      <c r="Q38" s="65"/>
      <c r="R38" s="65"/>
      <c r="S38" s="65"/>
      <c r="T38" s="65"/>
      <c r="U38" s="65"/>
      <c r="V38" s="65"/>
    </row>
    <row r="39" spans="1:22" x14ac:dyDescent="0.3">
      <c r="A39" s="65"/>
      <c r="B39" s="65"/>
      <c r="C39" s="65"/>
      <c r="D39" s="65"/>
      <c r="E39" s="65"/>
      <c r="F39" s="65"/>
      <c r="G39" s="65"/>
      <c r="H39" s="65"/>
      <c r="I39" s="65"/>
      <c r="J39" s="65"/>
      <c r="K39" s="65"/>
      <c r="L39" s="65"/>
      <c r="M39" s="65"/>
      <c r="N39" s="65"/>
      <c r="O39" s="65"/>
      <c r="P39" s="65"/>
      <c r="Q39" s="65"/>
      <c r="R39" s="65"/>
      <c r="S39" s="65"/>
      <c r="T39" s="65"/>
      <c r="U39" s="65"/>
      <c r="V39" s="65"/>
    </row>
    <row r="40" spans="1:22" x14ac:dyDescent="0.3">
      <c r="A40" s="65"/>
      <c r="B40" s="65"/>
      <c r="C40" s="65"/>
      <c r="D40" s="65"/>
      <c r="E40" s="65"/>
      <c r="F40" s="65"/>
      <c r="G40" s="65"/>
      <c r="H40" s="65"/>
      <c r="I40" s="65"/>
      <c r="J40" s="65"/>
      <c r="K40" s="65"/>
      <c r="L40" s="65"/>
      <c r="M40" s="65"/>
      <c r="N40" s="65"/>
      <c r="O40" s="65"/>
      <c r="P40" s="65"/>
      <c r="Q40" s="65"/>
      <c r="R40" s="65"/>
      <c r="S40" s="65"/>
      <c r="T40" s="65"/>
      <c r="U40" s="65"/>
      <c r="V40" s="65"/>
    </row>
    <row r="41" spans="1:22" x14ac:dyDescent="0.3">
      <c r="A41" s="65"/>
      <c r="B41" s="65"/>
      <c r="C41" s="65"/>
      <c r="D41" s="65"/>
      <c r="E41" s="65"/>
      <c r="F41" s="65"/>
      <c r="G41" s="65"/>
      <c r="H41" s="65"/>
      <c r="I41" s="65"/>
      <c r="J41" s="65"/>
      <c r="K41" s="65"/>
      <c r="L41" s="65"/>
      <c r="M41" s="65"/>
      <c r="N41" s="65"/>
      <c r="O41" s="65"/>
      <c r="P41" s="65"/>
      <c r="Q41" s="65"/>
      <c r="R41" s="65"/>
      <c r="S41" s="65"/>
      <c r="T41" s="65"/>
      <c r="U41" s="65"/>
      <c r="V41" s="65"/>
    </row>
    <row r="42" spans="1:22" x14ac:dyDescent="0.3">
      <c r="A42" s="65"/>
      <c r="B42" s="65"/>
      <c r="C42" s="65"/>
      <c r="D42" s="65"/>
      <c r="E42" s="65"/>
      <c r="F42" s="65"/>
      <c r="G42" s="65"/>
      <c r="H42" s="65"/>
      <c r="I42" s="65"/>
      <c r="J42" s="65"/>
      <c r="K42" s="65"/>
      <c r="L42" s="65"/>
      <c r="M42" s="65"/>
      <c r="N42" s="65"/>
      <c r="O42" s="65"/>
      <c r="P42" s="65"/>
      <c r="Q42" s="65"/>
      <c r="R42" s="65"/>
      <c r="S42" s="65"/>
      <c r="T42" s="65"/>
      <c r="U42" s="65"/>
      <c r="V42" s="65"/>
    </row>
    <row r="43" spans="1:22" x14ac:dyDescent="0.3">
      <c r="A43" s="65"/>
      <c r="B43" s="65"/>
      <c r="C43" s="65"/>
      <c r="D43" s="65"/>
      <c r="E43" s="65"/>
      <c r="F43" s="65"/>
      <c r="G43" s="65"/>
      <c r="H43" s="65"/>
      <c r="I43" s="65"/>
      <c r="J43" s="65"/>
      <c r="K43" s="65"/>
      <c r="L43" s="65"/>
      <c r="M43" s="65"/>
      <c r="N43" s="65"/>
      <c r="O43" s="65"/>
      <c r="P43" s="65"/>
      <c r="Q43" s="65"/>
      <c r="R43" s="65"/>
      <c r="S43" s="65"/>
      <c r="T43" s="65"/>
      <c r="U43" s="65"/>
      <c r="V43" s="65"/>
    </row>
    <row r="44" spans="1:22" x14ac:dyDescent="0.3">
      <c r="A44" s="65"/>
      <c r="B44" s="65"/>
      <c r="C44" s="65"/>
      <c r="D44" s="65"/>
      <c r="E44" s="65"/>
      <c r="F44" s="65"/>
      <c r="G44" s="65"/>
      <c r="H44" s="65"/>
      <c r="I44" s="65"/>
      <c r="J44" s="65"/>
      <c r="K44" s="65"/>
      <c r="L44" s="65"/>
      <c r="M44" s="65"/>
      <c r="N44" s="65"/>
      <c r="O44" s="65"/>
      <c r="P44" s="65"/>
      <c r="Q44" s="65"/>
      <c r="R44" s="65"/>
      <c r="S44" s="65"/>
      <c r="T44" s="65"/>
      <c r="U44" s="65"/>
      <c r="V44" s="65"/>
    </row>
    <row r="45" spans="1:22" x14ac:dyDescent="0.3">
      <c r="A45" s="65"/>
      <c r="B45" s="65"/>
      <c r="C45" s="65"/>
      <c r="D45" s="65"/>
      <c r="E45" s="65"/>
      <c r="F45" s="65"/>
      <c r="G45" s="65"/>
      <c r="H45" s="65"/>
      <c r="I45" s="65"/>
      <c r="J45" s="65"/>
      <c r="K45" s="65"/>
      <c r="L45" s="65"/>
      <c r="M45" s="65"/>
      <c r="N45" s="65"/>
      <c r="O45" s="65"/>
      <c r="P45" s="65"/>
      <c r="Q45" s="65"/>
      <c r="R45" s="65"/>
      <c r="S45" s="65"/>
      <c r="T45" s="65"/>
      <c r="U45" s="65"/>
      <c r="V45" s="65"/>
    </row>
    <row r="46" spans="1:22" x14ac:dyDescent="0.3">
      <c r="A46" s="65"/>
      <c r="B46" s="65"/>
      <c r="C46" s="65"/>
      <c r="D46" s="65"/>
      <c r="E46" s="65"/>
      <c r="F46" s="65"/>
      <c r="G46" s="65"/>
      <c r="H46" s="65"/>
      <c r="I46" s="65"/>
      <c r="J46" s="65"/>
      <c r="K46" s="65"/>
      <c r="L46" s="65"/>
      <c r="M46" s="65"/>
      <c r="N46" s="65"/>
      <c r="O46" s="65"/>
      <c r="P46" s="65"/>
      <c r="Q46" s="65"/>
      <c r="R46" s="65"/>
      <c r="S46" s="65"/>
      <c r="T46" s="65"/>
      <c r="U46" s="65"/>
      <c r="V46" s="65"/>
    </row>
    <row r="47" spans="1:22" x14ac:dyDescent="0.3">
      <c r="A47" s="65"/>
      <c r="B47" s="65"/>
      <c r="C47" s="65"/>
      <c r="D47" s="65"/>
      <c r="E47" s="65"/>
      <c r="F47" s="65"/>
      <c r="G47" s="65"/>
      <c r="H47" s="65"/>
      <c r="I47" s="65"/>
      <c r="J47" s="65"/>
      <c r="K47" s="65"/>
      <c r="L47" s="65"/>
      <c r="M47" s="65"/>
      <c r="N47" s="65"/>
      <c r="O47" s="65"/>
      <c r="P47" s="65"/>
      <c r="Q47" s="65"/>
      <c r="R47" s="65"/>
      <c r="S47" s="65"/>
      <c r="T47" s="65"/>
      <c r="U47" s="65"/>
      <c r="V47" s="65"/>
    </row>
    <row r="48" spans="1:22" x14ac:dyDescent="0.3">
      <c r="A48" s="65"/>
      <c r="B48" s="65"/>
      <c r="C48" s="65"/>
      <c r="D48" s="65"/>
      <c r="E48" s="65"/>
      <c r="F48" s="65"/>
      <c r="G48" s="65"/>
      <c r="H48" s="65"/>
      <c r="I48" s="65"/>
      <c r="J48" s="65"/>
      <c r="K48" s="65"/>
      <c r="L48" s="65"/>
      <c r="M48" s="65"/>
      <c r="N48" s="65"/>
      <c r="O48" s="65"/>
      <c r="P48" s="65"/>
      <c r="Q48" s="65"/>
      <c r="R48" s="65"/>
      <c r="S48" s="65"/>
      <c r="T48" s="65"/>
      <c r="U48" s="65"/>
      <c r="V48" s="65"/>
    </row>
    <row r="49" spans="1:22" x14ac:dyDescent="0.3">
      <c r="A49" s="65"/>
      <c r="B49" s="65"/>
      <c r="C49" s="65"/>
      <c r="D49" s="65"/>
      <c r="E49" s="65"/>
      <c r="F49" s="65"/>
      <c r="G49" s="65"/>
      <c r="H49" s="65"/>
      <c r="I49" s="65"/>
      <c r="J49" s="65"/>
      <c r="K49" s="65"/>
      <c r="L49" s="65"/>
      <c r="M49" s="65"/>
      <c r="N49" s="65"/>
      <c r="O49" s="65"/>
      <c r="P49" s="65"/>
      <c r="Q49" s="65"/>
      <c r="R49" s="65"/>
      <c r="S49" s="65"/>
      <c r="T49" s="65"/>
      <c r="U49" s="65"/>
      <c r="V49" s="65"/>
    </row>
    <row r="50" spans="1:22" x14ac:dyDescent="0.3">
      <c r="A50" s="65"/>
      <c r="B50" s="65"/>
      <c r="C50" s="65"/>
      <c r="D50" s="65"/>
      <c r="E50" s="65"/>
      <c r="F50" s="65"/>
      <c r="G50" s="65"/>
      <c r="H50" s="65"/>
      <c r="I50" s="65"/>
      <c r="J50" s="65"/>
      <c r="K50" s="65"/>
      <c r="L50" s="65"/>
      <c r="M50" s="65"/>
      <c r="N50" s="65"/>
      <c r="O50" s="65"/>
      <c r="P50" s="65"/>
      <c r="Q50" s="65"/>
      <c r="R50" s="65"/>
      <c r="S50" s="65"/>
      <c r="T50" s="65"/>
      <c r="U50" s="65"/>
      <c r="V50" s="65"/>
    </row>
    <row r="51" spans="1:22" x14ac:dyDescent="0.3">
      <c r="A51" s="65"/>
      <c r="B51" s="65"/>
      <c r="C51" s="65"/>
      <c r="D51" s="65"/>
      <c r="E51" s="65"/>
      <c r="F51" s="65"/>
      <c r="G51" s="65"/>
      <c r="H51" s="65"/>
      <c r="I51" s="65"/>
      <c r="J51" s="65"/>
      <c r="K51" s="65"/>
      <c r="L51" s="65"/>
      <c r="M51" s="65"/>
      <c r="N51" s="65"/>
      <c r="O51" s="65"/>
      <c r="P51" s="65"/>
      <c r="Q51" s="65"/>
      <c r="R51" s="65"/>
      <c r="S51" s="65"/>
      <c r="T51" s="65"/>
      <c r="U51" s="65"/>
      <c r="V51" s="65"/>
    </row>
    <row r="52" spans="1:22" x14ac:dyDescent="0.3">
      <c r="A52" s="65"/>
      <c r="B52" s="65"/>
      <c r="C52" s="65"/>
      <c r="D52" s="65"/>
      <c r="E52" s="65"/>
      <c r="F52" s="65"/>
      <c r="G52" s="65"/>
      <c r="H52" s="65"/>
      <c r="I52" s="65"/>
      <c r="J52" s="65"/>
      <c r="K52" s="65"/>
      <c r="L52" s="65"/>
      <c r="M52" s="65"/>
      <c r="N52" s="65"/>
      <c r="O52" s="65"/>
      <c r="P52" s="65"/>
      <c r="Q52" s="65"/>
      <c r="R52" s="65"/>
      <c r="S52" s="65"/>
      <c r="T52" s="65"/>
      <c r="U52" s="65"/>
      <c r="V52" s="65"/>
    </row>
    <row r="53" spans="1:22" x14ac:dyDescent="0.3">
      <c r="A53" s="65"/>
      <c r="B53" s="65"/>
      <c r="C53" s="65"/>
      <c r="D53" s="65"/>
      <c r="E53" s="65"/>
      <c r="F53" s="65"/>
      <c r="G53" s="65"/>
      <c r="H53" s="65"/>
      <c r="I53" s="65"/>
      <c r="J53" s="65"/>
      <c r="K53" s="65"/>
      <c r="L53" s="65"/>
      <c r="M53" s="65"/>
      <c r="N53" s="65"/>
      <c r="O53" s="65"/>
      <c r="P53" s="65"/>
      <c r="Q53" s="65"/>
      <c r="R53" s="65"/>
      <c r="S53" s="65"/>
      <c r="T53" s="65"/>
      <c r="U53" s="65"/>
      <c r="V53" s="65"/>
    </row>
    <row r="54" spans="1:22" x14ac:dyDescent="0.3">
      <c r="A54" s="65"/>
      <c r="B54" s="65"/>
      <c r="C54" s="65"/>
      <c r="D54" s="65"/>
      <c r="E54" s="65"/>
      <c r="F54" s="65"/>
      <c r="G54" s="65"/>
      <c r="H54" s="65"/>
      <c r="I54" s="65"/>
      <c r="J54" s="65"/>
      <c r="K54" s="65"/>
      <c r="L54" s="65"/>
      <c r="M54" s="65"/>
      <c r="N54" s="65"/>
      <c r="O54" s="65"/>
      <c r="P54" s="65"/>
      <c r="Q54" s="65"/>
      <c r="R54" s="65"/>
      <c r="S54" s="65"/>
      <c r="T54" s="65"/>
      <c r="U54" s="65"/>
      <c r="V54" s="65"/>
    </row>
    <row r="55" spans="1:22" x14ac:dyDescent="0.3">
      <c r="A55" s="65"/>
      <c r="B55" s="65"/>
      <c r="C55" s="65"/>
      <c r="D55" s="65"/>
      <c r="E55" s="65"/>
      <c r="F55" s="65"/>
      <c r="G55" s="65"/>
      <c r="H55" s="65"/>
      <c r="I55" s="65"/>
      <c r="J55" s="65"/>
      <c r="K55" s="65"/>
      <c r="L55" s="65"/>
      <c r="M55" s="65"/>
      <c r="N55" s="65"/>
      <c r="O55" s="65"/>
      <c r="P55" s="65"/>
      <c r="Q55" s="65"/>
      <c r="R55" s="65"/>
      <c r="S55" s="65"/>
      <c r="T55" s="65"/>
      <c r="U55" s="65"/>
      <c r="V55" s="65"/>
    </row>
    <row r="56" spans="1:22" x14ac:dyDescent="0.3">
      <c r="A56" s="65"/>
      <c r="B56" s="65"/>
      <c r="C56" s="65"/>
      <c r="D56" s="65"/>
      <c r="E56" s="65"/>
      <c r="F56" s="65"/>
      <c r="G56" s="65"/>
      <c r="H56" s="65"/>
      <c r="I56" s="65"/>
      <c r="J56" s="65"/>
      <c r="K56" s="65"/>
      <c r="L56" s="65"/>
      <c r="M56" s="65"/>
      <c r="N56" s="65"/>
      <c r="O56" s="65"/>
      <c r="P56" s="65"/>
      <c r="Q56" s="65"/>
      <c r="R56" s="65"/>
      <c r="S56" s="65"/>
      <c r="T56" s="65"/>
      <c r="U56" s="65"/>
      <c r="V56" s="65"/>
    </row>
    <row r="57" spans="1:22" x14ac:dyDescent="0.3">
      <c r="A57" s="65"/>
      <c r="B57" s="65"/>
      <c r="C57" s="65"/>
      <c r="D57" s="65"/>
      <c r="E57" s="65"/>
      <c r="F57" s="65"/>
      <c r="G57" s="65"/>
      <c r="H57" s="65"/>
      <c r="I57" s="65"/>
      <c r="J57" s="65"/>
      <c r="K57" s="65"/>
      <c r="L57" s="65"/>
      <c r="M57" s="65"/>
      <c r="N57" s="65"/>
      <c r="O57" s="65"/>
      <c r="P57" s="65"/>
      <c r="Q57" s="65"/>
      <c r="R57" s="65"/>
      <c r="S57" s="65"/>
      <c r="T57" s="65"/>
      <c r="U57" s="65"/>
      <c r="V57" s="65"/>
    </row>
    <row r="58" spans="1:22" x14ac:dyDescent="0.3">
      <c r="A58" s="65"/>
      <c r="B58" s="65"/>
      <c r="C58" s="65"/>
      <c r="D58" s="65"/>
      <c r="E58" s="65"/>
      <c r="F58" s="65"/>
      <c r="G58" s="65"/>
      <c r="H58" s="65"/>
      <c r="I58" s="65"/>
      <c r="J58" s="65"/>
      <c r="K58" s="65"/>
      <c r="L58" s="65"/>
      <c r="M58" s="65"/>
      <c r="N58" s="65"/>
      <c r="O58" s="65"/>
      <c r="P58" s="65"/>
      <c r="Q58" s="65"/>
      <c r="R58" s="65"/>
      <c r="S58" s="65"/>
      <c r="T58" s="65"/>
      <c r="U58" s="65"/>
      <c r="V58" s="65"/>
    </row>
    <row r="59" spans="1:22" x14ac:dyDescent="0.3">
      <c r="A59" s="65"/>
      <c r="B59" s="65"/>
      <c r="C59" s="65"/>
      <c r="D59" s="65"/>
      <c r="E59" s="65"/>
      <c r="F59" s="65"/>
      <c r="G59" s="65"/>
      <c r="H59" s="65"/>
      <c r="I59" s="65"/>
      <c r="J59" s="65"/>
      <c r="K59" s="65"/>
      <c r="L59" s="65"/>
      <c r="M59" s="65"/>
      <c r="N59" s="65"/>
      <c r="O59" s="65"/>
      <c r="P59" s="65"/>
      <c r="Q59" s="65"/>
      <c r="R59" s="65"/>
      <c r="S59" s="65"/>
      <c r="T59" s="65"/>
      <c r="U59" s="65"/>
      <c r="V59" s="65"/>
    </row>
    <row r="60" spans="1:22" x14ac:dyDescent="0.3">
      <c r="A60" s="65"/>
      <c r="B60" s="65"/>
      <c r="C60" s="65"/>
      <c r="D60" s="65"/>
      <c r="E60" s="65"/>
      <c r="F60" s="65"/>
      <c r="G60" s="65"/>
      <c r="H60" s="65"/>
      <c r="I60" s="65"/>
      <c r="J60" s="65"/>
      <c r="K60" s="65"/>
      <c r="L60" s="65"/>
      <c r="M60" s="65"/>
      <c r="N60" s="65"/>
      <c r="O60" s="65"/>
      <c r="P60" s="65"/>
      <c r="Q60" s="65"/>
      <c r="R60" s="65"/>
      <c r="S60" s="65"/>
      <c r="T60" s="65"/>
      <c r="U60" s="65"/>
      <c r="V60" s="65"/>
    </row>
    <row r="61" spans="1:22" x14ac:dyDescent="0.3">
      <c r="A61" s="65"/>
      <c r="B61" s="65"/>
      <c r="C61" s="65"/>
      <c r="D61" s="65"/>
      <c r="E61" s="65"/>
      <c r="F61" s="65"/>
      <c r="G61" s="65"/>
      <c r="H61" s="65"/>
      <c r="I61" s="65"/>
      <c r="J61" s="65"/>
      <c r="K61" s="65"/>
      <c r="L61" s="65"/>
      <c r="M61" s="65"/>
      <c r="N61" s="65"/>
      <c r="O61" s="65"/>
      <c r="P61" s="65"/>
      <c r="Q61" s="65"/>
      <c r="R61" s="65"/>
      <c r="S61" s="65"/>
      <c r="T61" s="65"/>
      <c r="U61" s="65"/>
      <c r="V61" s="65"/>
    </row>
    <row r="62" spans="1:22" x14ac:dyDescent="0.3">
      <c r="A62" s="65"/>
      <c r="B62" s="65"/>
      <c r="C62" s="65"/>
      <c r="D62" s="65"/>
      <c r="E62" s="65"/>
      <c r="F62" s="65"/>
      <c r="G62" s="65"/>
      <c r="H62" s="65"/>
      <c r="I62" s="65"/>
      <c r="J62" s="65"/>
      <c r="K62" s="65"/>
      <c r="L62" s="65"/>
      <c r="M62" s="65"/>
      <c r="N62" s="65"/>
      <c r="O62" s="65"/>
      <c r="P62" s="65"/>
      <c r="Q62" s="65"/>
      <c r="R62" s="65"/>
      <c r="S62" s="65"/>
      <c r="T62" s="65"/>
      <c r="U62" s="65"/>
      <c r="V62" s="65"/>
    </row>
    <row r="63" spans="1:22" x14ac:dyDescent="0.3">
      <c r="A63" s="65"/>
      <c r="B63" s="65"/>
      <c r="C63" s="65"/>
      <c r="D63" s="65"/>
      <c r="E63" s="65"/>
      <c r="F63" s="65"/>
      <c r="G63" s="65"/>
      <c r="H63" s="65"/>
      <c r="I63" s="65"/>
      <c r="J63" s="65"/>
      <c r="K63" s="65"/>
      <c r="L63" s="65"/>
      <c r="M63" s="65"/>
      <c r="N63" s="65"/>
      <c r="O63" s="65"/>
      <c r="P63" s="65"/>
      <c r="Q63" s="65"/>
      <c r="R63" s="65"/>
      <c r="S63" s="65"/>
      <c r="T63" s="65"/>
      <c r="U63" s="65"/>
      <c r="V63" s="65"/>
    </row>
    <row r="64" spans="1:22" x14ac:dyDescent="0.3">
      <c r="A64" s="65"/>
      <c r="B64" s="65"/>
      <c r="C64" s="65"/>
      <c r="D64" s="65"/>
      <c r="E64" s="65"/>
      <c r="F64" s="65"/>
      <c r="G64" s="65"/>
      <c r="H64" s="65"/>
      <c r="I64" s="65"/>
      <c r="J64" s="65"/>
      <c r="K64" s="65"/>
      <c r="L64" s="65"/>
      <c r="M64" s="65"/>
      <c r="N64" s="65"/>
      <c r="O64" s="65"/>
      <c r="P64" s="65"/>
      <c r="Q64" s="65"/>
      <c r="R64" s="65"/>
      <c r="S64" s="65"/>
      <c r="T64" s="65"/>
      <c r="U64" s="65"/>
      <c r="V64" s="65"/>
    </row>
    <row r="65" spans="1:22" x14ac:dyDescent="0.3">
      <c r="A65" s="65"/>
      <c r="B65" s="65"/>
      <c r="C65" s="65"/>
      <c r="D65" s="65"/>
      <c r="E65" s="65"/>
      <c r="F65" s="65"/>
      <c r="G65" s="65"/>
      <c r="H65" s="65"/>
      <c r="I65" s="65"/>
      <c r="J65" s="65"/>
      <c r="K65" s="65"/>
      <c r="L65" s="65"/>
      <c r="M65" s="65"/>
      <c r="N65" s="65"/>
      <c r="O65" s="65"/>
      <c r="P65" s="65"/>
      <c r="Q65" s="65"/>
      <c r="R65" s="65"/>
      <c r="S65" s="65"/>
      <c r="T65" s="65"/>
      <c r="U65" s="65"/>
      <c r="V65" s="65"/>
    </row>
    <row r="66" spans="1:22" x14ac:dyDescent="0.3">
      <c r="A66" s="65"/>
      <c r="B66" s="65"/>
      <c r="C66" s="65"/>
      <c r="D66" s="65"/>
      <c r="E66" s="65"/>
      <c r="F66" s="65"/>
      <c r="G66" s="65"/>
      <c r="H66" s="65"/>
      <c r="I66" s="65"/>
      <c r="J66" s="65"/>
      <c r="K66" s="65"/>
      <c r="L66" s="65"/>
      <c r="M66" s="65"/>
      <c r="N66" s="65"/>
      <c r="O66" s="65"/>
      <c r="P66" s="65"/>
      <c r="Q66" s="65"/>
      <c r="R66" s="65"/>
      <c r="S66" s="65"/>
      <c r="T66" s="65"/>
      <c r="U66" s="65"/>
      <c r="V66" s="65"/>
    </row>
    <row r="67" spans="1:22" x14ac:dyDescent="0.3">
      <c r="A67" s="65"/>
      <c r="B67" s="65"/>
      <c r="C67" s="65"/>
      <c r="D67" s="65"/>
      <c r="E67" s="65"/>
      <c r="F67" s="65"/>
      <c r="G67" s="65"/>
      <c r="H67" s="65"/>
      <c r="I67" s="65"/>
      <c r="J67" s="65"/>
      <c r="K67" s="65"/>
      <c r="L67" s="65"/>
      <c r="M67" s="65"/>
      <c r="N67" s="65"/>
      <c r="O67" s="65"/>
      <c r="P67" s="65"/>
      <c r="Q67" s="65"/>
      <c r="R67" s="65"/>
      <c r="S67" s="65"/>
      <c r="T67" s="65"/>
      <c r="U67" s="65"/>
      <c r="V67" s="65"/>
    </row>
    <row r="68" spans="1:22" x14ac:dyDescent="0.3">
      <c r="A68" s="65"/>
      <c r="B68" s="65"/>
      <c r="C68" s="65"/>
      <c r="D68" s="65"/>
      <c r="E68" s="65"/>
      <c r="F68" s="65"/>
      <c r="G68" s="65"/>
      <c r="H68" s="65"/>
      <c r="I68" s="65"/>
      <c r="J68" s="65"/>
      <c r="K68" s="65"/>
      <c r="L68" s="65"/>
      <c r="M68" s="65"/>
      <c r="N68" s="65"/>
      <c r="O68" s="65"/>
      <c r="P68" s="65"/>
      <c r="Q68" s="65"/>
      <c r="R68" s="65"/>
      <c r="S68" s="65"/>
      <c r="T68" s="65"/>
      <c r="U68" s="65"/>
      <c r="V68" s="65"/>
    </row>
    <row r="69" spans="1:22" x14ac:dyDescent="0.3">
      <c r="A69" s="65"/>
      <c r="B69" s="65"/>
      <c r="C69" s="65"/>
      <c r="D69" s="65"/>
      <c r="E69" s="65"/>
      <c r="F69" s="65"/>
      <c r="G69" s="65"/>
      <c r="H69" s="65"/>
      <c r="I69" s="65"/>
      <c r="J69" s="65"/>
      <c r="K69" s="65"/>
      <c r="L69" s="65"/>
      <c r="M69" s="65"/>
      <c r="N69" s="65"/>
      <c r="O69" s="65"/>
      <c r="P69" s="65"/>
      <c r="Q69" s="65"/>
      <c r="R69" s="65"/>
      <c r="S69" s="65"/>
      <c r="T69" s="65"/>
      <c r="U69" s="65"/>
      <c r="V69" s="65"/>
    </row>
    <row r="70" spans="1:22" x14ac:dyDescent="0.3">
      <c r="A70" s="65"/>
      <c r="B70" s="65"/>
      <c r="C70" s="65"/>
      <c r="D70" s="65"/>
      <c r="E70" s="65"/>
      <c r="F70" s="65"/>
      <c r="G70" s="65"/>
      <c r="H70" s="65"/>
      <c r="I70" s="65"/>
      <c r="J70" s="65"/>
      <c r="K70" s="65"/>
      <c r="L70" s="65"/>
      <c r="M70" s="65"/>
      <c r="N70" s="65"/>
      <c r="O70" s="65"/>
      <c r="P70" s="65"/>
      <c r="Q70" s="65"/>
      <c r="R70" s="65"/>
      <c r="S70" s="65"/>
      <c r="T70" s="65"/>
      <c r="U70" s="65"/>
      <c r="V70" s="65"/>
    </row>
    <row r="71" spans="1:22" x14ac:dyDescent="0.3">
      <c r="A71" s="65"/>
      <c r="B71" s="65"/>
      <c r="C71" s="65"/>
      <c r="D71" s="65"/>
      <c r="E71" s="65"/>
      <c r="F71" s="65"/>
      <c r="G71" s="65"/>
      <c r="H71" s="65"/>
      <c r="I71" s="65"/>
      <c r="J71" s="65"/>
      <c r="K71" s="65"/>
      <c r="L71" s="65"/>
      <c r="M71" s="65"/>
      <c r="N71" s="65"/>
      <c r="O71" s="65"/>
      <c r="P71" s="65"/>
      <c r="Q71" s="65"/>
      <c r="R71" s="65"/>
      <c r="S71" s="65"/>
      <c r="T71" s="65"/>
      <c r="U71" s="65"/>
      <c r="V71" s="65"/>
    </row>
    <row r="72" spans="1:22" x14ac:dyDescent="0.3">
      <c r="A72" s="65"/>
      <c r="B72" s="65"/>
      <c r="C72" s="65"/>
      <c r="D72" s="65"/>
      <c r="E72" s="65"/>
      <c r="F72" s="65"/>
      <c r="G72" s="65"/>
      <c r="H72" s="65"/>
      <c r="I72" s="65"/>
      <c r="J72" s="65"/>
      <c r="K72" s="65"/>
      <c r="L72" s="65"/>
      <c r="M72" s="65"/>
      <c r="N72" s="65"/>
      <c r="O72" s="65"/>
      <c r="P72" s="65"/>
      <c r="Q72" s="65"/>
      <c r="R72" s="65"/>
      <c r="S72" s="65"/>
      <c r="T72" s="65"/>
      <c r="U72" s="65"/>
      <c r="V72" s="65"/>
    </row>
    <row r="73" spans="1:22" x14ac:dyDescent="0.3">
      <c r="A73" s="65"/>
      <c r="B73" s="65"/>
      <c r="C73" s="65"/>
      <c r="D73" s="65"/>
      <c r="E73" s="65"/>
      <c r="F73" s="65"/>
      <c r="G73" s="65"/>
      <c r="H73" s="65"/>
      <c r="I73" s="65"/>
      <c r="J73" s="65"/>
      <c r="K73" s="65"/>
      <c r="L73" s="65"/>
      <c r="M73" s="65"/>
      <c r="N73" s="65"/>
      <c r="O73" s="65"/>
      <c r="P73" s="65"/>
      <c r="Q73" s="65"/>
      <c r="R73" s="65"/>
      <c r="S73" s="65"/>
      <c r="T73" s="65"/>
      <c r="U73" s="65"/>
      <c r="V73" s="65"/>
    </row>
    <row r="74" spans="1:22" x14ac:dyDescent="0.3">
      <c r="A74" s="65"/>
      <c r="B74" s="65"/>
      <c r="C74" s="65"/>
      <c r="D74" s="65"/>
      <c r="E74" s="65"/>
      <c r="F74" s="65"/>
      <c r="G74" s="65"/>
      <c r="H74" s="65"/>
      <c r="I74" s="65"/>
      <c r="J74" s="65"/>
      <c r="K74" s="65"/>
      <c r="L74" s="65"/>
      <c r="M74" s="65"/>
      <c r="N74" s="65"/>
      <c r="O74" s="65"/>
      <c r="P74" s="65"/>
      <c r="Q74" s="65"/>
      <c r="R74" s="65"/>
      <c r="S74" s="65"/>
      <c r="T74" s="65"/>
      <c r="U74" s="65"/>
      <c r="V74" s="65"/>
    </row>
    <row r="75" spans="1:22" x14ac:dyDescent="0.3">
      <c r="A75" s="65"/>
      <c r="B75" s="65"/>
      <c r="C75" s="65"/>
      <c r="D75" s="65"/>
      <c r="E75" s="65"/>
      <c r="F75" s="65"/>
      <c r="G75" s="65"/>
      <c r="H75" s="65"/>
      <c r="I75" s="65"/>
      <c r="J75" s="65"/>
      <c r="K75" s="65"/>
      <c r="L75" s="65"/>
      <c r="M75" s="65"/>
      <c r="N75" s="65"/>
      <c r="O75" s="65"/>
      <c r="P75" s="65"/>
      <c r="Q75" s="65"/>
      <c r="R75" s="65"/>
      <c r="S75" s="65"/>
      <c r="T75" s="65"/>
      <c r="U75" s="65"/>
      <c r="V75" s="65"/>
    </row>
    <row r="76" spans="1:22" x14ac:dyDescent="0.3">
      <c r="A76" s="65"/>
      <c r="B76" s="65"/>
      <c r="C76" s="65"/>
      <c r="D76" s="65"/>
      <c r="E76" s="65"/>
      <c r="F76" s="65"/>
      <c r="G76" s="65"/>
      <c r="H76" s="65"/>
      <c r="I76" s="65"/>
      <c r="J76" s="65"/>
      <c r="K76" s="65"/>
      <c r="L76" s="65"/>
      <c r="M76" s="65"/>
      <c r="N76" s="65"/>
      <c r="O76" s="65"/>
      <c r="P76" s="65"/>
      <c r="Q76" s="65"/>
      <c r="R76" s="65"/>
      <c r="S76" s="65"/>
      <c r="T76" s="65"/>
      <c r="U76" s="65"/>
      <c r="V76" s="65"/>
    </row>
    <row r="77" spans="1:22" x14ac:dyDescent="0.3">
      <c r="A77" s="65"/>
      <c r="B77" s="65"/>
      <c r="C77" s="65"/>
      <c r="D77" s="65"/>
      <c r="E77" s="65"/>
      <c r="F77" s="65"/>
      <c r="G77" s="65"/>
      <c r="H77" s="65"/>
      <c r="I77" s="65"/>
      <c r="J77" s="65"/>
      <c r="K77" s="65"/>
      <c r="L77" s="65"/>
      <c r="M77" s="65"/>
      <c r="N77" s="65"/>
      <c r="O77" s="65"/>
      <c r="P77" s="65"/>
      <c r="Q77" s="65"/>
      <c r="R77" s="65"/>
      <c r="S77" s="65"/>
      <c r="T77" s="65"/>
      <c r="U77" s="65"/>
      <c r="V77" s="65"/>
    </row>
    <row r="78" spans="1:22" x14ac:dyDescent="0.3">
      <c r="A78" s="65"/>
      <c r="B78" s="65"/>
      <c r="C78" s="65"/>
      <c r="D78" s="65"/>
      <c r="E78" s="65"/>
      <c r="F78" s="65"/>
      <c r="G78" s="65"/>
      <c r="H78" s="65"/>
      <c r="I78" s="65"/>
      <c r="J78" s="65"/>
      <c r="K78" s="65"/>
      <c r="L78" s="65"/>
      <c r="M78" s="65"/>
      <c r="N78" s="65"/>
      <c r="O78" s="65"/>
      <c r="P78" s="65"/>
      <c r="Q78" s="65"/>
      <c r="R78" s="65"/>
      <c r="S78" s="65"/>
      <c r="T78" s="65"/>
      <c r="U78" s="65"/>
      <c r="V78" s="65"/>
    </row>
    <row r="79" spans="1:22" x14ac:dyDescent="0.3">
      <c r="A79" s="65"/>
      <c r="B79" s="65"/>
      <c r="C79" s="65"/>
      <c r="D79" s="65"/>
      <c r="E79" s="65"/>
      <c r="F79" s="65"/>
      <c r="G79" s="65"/>
      <c r="H79" s="65"/>
      <c r="I79" s="65"/>
      <c r="J79" s="65"/>
      <c r="K79" s="65"/>
      <c r="L79" s="65"/>
      <c r="M79" s="65"/>
      <c r="N79" s="65"/>
      <c r="O79" s="65"/>
      <c r="P79" s="65"/>
      <c r="Q79" s="65"/>
      <c r="R79" s="65"/>
      <c r="S79" s="65"/>
      <c r="T79" s="65"/>
      <c r="U79" s="65"/>
      <c r="V79" s="65"/>
    </row>
    <row r="80" spans="1:22" x14ac:dyDescent="0.3">
      <c r="A80" s="65"/>
      <c r="B80" s="65"/>
      <c r="C80" s="65"/>
      <c r="D80" s="65"/>
      <c r="E80" s="65"/>
      <c r="F80" s="65"/>
      <c r="G80" s="65"/>
      <c r="H80" s="65"/>
      <c r="I80" s="65"/>
      <c r="J80" s="65"/>
      <c r="K80" s="65"/>
      <c r="L80" s="65"/>
      <c r="M80" s="65"/>
      <c r="N80" s="65"/>
      <c r="O80" s="65"/>
      <c r="P80" s="65"/>
      <c r="Q80" s="65"/>
      <c r="R80" s="65"/>
      <c r="S80" s="65"/>
      <c r="T80" s="65"/>
      <c r="U80" s="65"/>
      <c r="V80" s="65"/>
    </row>
    <row r="81" spans="1:22" x14ac:dyDescent="0.3">
      <c r="A81" s="65"/>
      <c r="B81" s="65"/>
      <c r="C81" s="65"/>
      <c r="D81" s="65"/>
      <c r="E81" s="65"/>
      <c r="F81" s="65"/>
      <c r="G81" s="65"/>
      <c r="H81" s="65"/>
      <c r="I81" s="65"/>
      <c r="J81" s="65"/>
      <c r="K81" s="65"/>
      <c r="L81" s="65"/>
      <c r="M81" s="65"/>
      <c r="N81" s="65"/>
      <c r="O81" s="65"/>
      <c r="P81" s="65"/>
      <c r="Q81" s="65"/>
      <c r="R81" s="65"/>
      <c r="S81" s="65"/>
      <c r="T81" s="65"/>
      <c r="U81" s="65"/>
      <c r="V81" s="65"/>
    </row>
    <row r="82" spans="1:22" x14ac:dyDescent="0.3">
      <c r="A82" s="65"/>
      <c r="B82" s="65"/>
      <c r="C82" s="65"/>
      <c r="D82" s="65"/>
      <c r="E82" s="65"/>
      <c r="F82" s="65"/>
      <c r="G82" s="65"/>
      <c r="H82" s="65"/>
      <c r="I82" s="65"/>
      <c r="J82" s="65"/>
      <c r="K82" s="65"/>
      <c r="L82" s="65"/>
      <c r="M82" s="65"/>
      <c r="N82" s="65"/>
      <c r="O82" s="65"/>
      <c r="P82" s="65"/>
      <c r="Q82" s="65"/>
      <c r="R82" s="65"/>
      <c r="S82" s="65"/>
      <c r="T82" s="65"/>
      <c r="U82" s="65"/>
      <c r="V82" s="65"/>
    </row>
    <row r="83" spans="1:22" x14ac:dyDescent="0.3">
      <c r="A83" s="65"/>
      <c r="B83" s="65"/>
      <c r="C83" s="65"/>
      <c r="D83" s="65"/>
      <c r="E83" s="65"/>
      <c r="F83" s="65"/>
      <c r="G83" s="65"/>
      <c r="H83" s="65"/>
      <c r="I83" s="65"/>
      <c r="J83" s="65"/>
      <c r="K83" s="65"/>
      <c r="L83" s="65"/>
      <c r="M83" s="65"/>
      <c r="N83" s="65"/>
      <c r="O83" s="65"/>
      <c r="P83" s="65"/>
      <c r="Q83" s="65"/>
      <c r="R83" s="65"/>
      <c r="S83" s="65"/>
      <c r="T83" s="65"/>
      <c r="U83" s="65"/>
      <c r="V83" s="65"/>
    </row>
    <row r="84" spans="1:22" x14ac:dyDescent="0.3">
      <c r="A84" s="65"/>
      <c r="B84" s="65"/>
      <c r="C84" s="65"/>
      <c r="D84" s="65"/>
      <c r="E84" s="65"/>
      <c r="F84" s="65"/>
      <c r="G84" s="65"/>
      <c r="H84" s="65"/>
      <c r="I84" s="65"/>
      <c r="J84" s="65"/>
      <c r="K84" s="65"/>
      <c r="L84" s="65"/>
      <c r="M84" s="65"/>
      <c r="N84" s="65"/>
      <c r="O84" s="65"/>
      <c r="P84" s="65"/>
      <c r="Q84" s="65"/>
      <c r="R84" s="65"/>
      <c r="S84" s="65"/>
      <c r="T84" s="65"/>
      <c r="U84" s="65"/>
      <c r="V84" s="65"/>
    </row>
    <row r="85" spans="1:22" x14ac:dyDescent="0.3">
      <c r="A85" s="65"/>
      <c r="B85" s="65"/>
      <c r="C85" s="65"/>
      <c r="D85" s="65"/>
      <c r="E85" s="65"/>
      <c r="F85" s="65"/>
      <c r="G85" s="65"/>
      <c r="H85" s="65"/>
      <c r="I85" s="65"/>
      <c r="J85" s="65"/>
      <c r="K85" s="65"/>
      <c r="L85" s="65"/>
      <c r="M85" s="65"/>
      <c r="N85" s="65"/>
      <c r="O85" s="65"/>
      <c r="P85" s="65"/>
      <c r="Q85" s="65"/>
      <c r="R85" s="65"/>
      <c r="S85" s="65"/>
      <c r="T85" s="65"/>
      <c r="U85" s="65"/>
      <c r="V85" s="65"/>
    </row>
    <row r="86" spans="1:22" x14ac:dyDescent="0.3">
      <c r="A86" s="65"/>
      <c r="B86" s="65"/>
      <c r="C86" s="65"/>
      <c r="D86" s="65"/>
      <c r="E86" s="65"/>
      <c r="F86" s="65"/>
      <c r="G86" s="65"/>
      <c r="H86" s="65"/>
      <c r="I86" s="65"/>
      <c r="J86" s="65"/>
      <c r="K86" s="65"/>
      <c r="L86" s="65"/>
      <c r="M86" s="65"/>
      <c r="N86" s="65"/>
      <c r="O86" s="65"/>
      <c r="P86" s="65"/>
      <c r="Q86" s="65"/>
      <c r="R86" s="65"/>
      <c r="S86" s="65"/>
      <c r="T86" s="65"/>
      <c r="U86" s="65"/>
      <c r="V86" s="65"/>
    </row>
    <row r="87" spans="1:22" x14ac:dyDescent="0.3">
      <c r="A87" s="65"/>
      <c r="B87" s="65"/>
      <c r="C87" s="65"/>
      <c r="D87" s="65"/>
      <c r="E87" s="65"/>
      <c r="F87" s="65"/>
      <c r="G87" s="65"/>
      <c r="H87" s="65"/>
      <c r="I87" s="65"/>
      <c r="J87" s="65"/>
      <c r="K87" s="65"/>
      <c r="L87" s="65"/>
      <c r="M87" s="65"/>
      <c r="N87" s="65"/>
      <c r="O87" s="65"/>
      <c r="P87" s="65"/>
      <c r="Q87" s="65"/>
      <c r="R87" s="65"/>
      <c r="S87" s="65"/>
      <c r="T87" s="65"/>
      <c r="U87" s="65"/>
      <c r="V87" s="65"/>
    </row>
    <row r="88" spans="1:22" x14ac:dyDescent="0.3">
      <c r="A88" s="65"/>
      <c r="B88" s="65"/>
      <c r="C88" s="65"/>
      <c r="D88" s="65"/>
      <c r="E88" s="65"/>
      <c r="F88" s="65"/>
      <c r="G88" s="65"/>
      <c r="H88" s="65"/>
      <c r="I88" s="65"/>
      <c r="J88" s="65"/>
      <c r="K88" s="65"/>
      <c r="L88" s="65"/>
      <c r="M88" s="65"/>
      <c r="N88" s="65"/>
      <c r="O88" s="65"/>
      <c r="P88" s="65"/>
      <c r="Q88" s="65"/>
      <c r="R88" s="65"/>
      <c r="S88" s="65"/>
      <c r="T88" s="65"/>
      <c r="U88" s="65"/>
      <c r="V88" s="65"/>
    </row>
    <row r="89" spans="1:22" x14ac:dyDescent="0.3">
      <c r="A89" s="65"/>
      <c r="B89" s="65"/>
      <c r="C89" s="65"/>
      <c r="D89" s="65"/>
      <c r="E89" s="65"/>
      <c r="F89" s="65"/>
      <c r="G89" s="65"/>
      <c r="H89" s="65"/>
      <c r="I89" s="65"/>
      <c r="J89" s="65"/>
      <c r="K89" s="65"/>
      <c r="L89" s="65"/>
      <c r="M89" s="65"/>
      <c r="N89" s="65"/>
      <c r="O89" s="65"/>
      <c r="P89" s="65"/>
      <c r="Q89" s="65"/>
      <c r="R89" s="65"/>
      <c r="S89" s="65"/>
      <c r="T89" s="65"/>
      <c r="U89" s="65"/>
      <c r="V89" s="65"/>
    </row>
    <row r="90" spans="1:22" x14ac:dyDescent="0.3">
      <c r="A90" s="65"/>
      <c r="B90" s="65"/>
      <c r="C90" s="65"/>
      <c r="D90" s="65"/>
      <c r="E90" s="65"/>
      <c r="F90" s="65"/>
      <c r="G90" s="65"/>
      <c r="H90" s="65"/>
      <c r="I90" s="65"/>
      <c r="J90" s="65"/>
      <c r="K90" s="65"/>
      <c r="L90" s="65"/>
      <c r="M90" s="65"/>
      <c r="N90" s="65"/>
      <c r="O90" s="65"/>
      <c r="P90" s="65"/>
      <c r="Q90" s="65"/>
      <c r="R90" s="65"/>
      <c r="S90" s="65"/>
      <c r="T90" s="65"/>
      <c r="U90" s="65"/>
      <c r="V90" s="65"/>
    </row>
    <row r="91" spans="1:22" x14ac:dyDescent="0.3">
      <c r="A91" s="65"/>
      <c r="B91" s="65"/>
      <c r="C91" s="65"/>
      <c r="D91" s="65"/>
      <c r="E91" s="65"/>
      <c r="F91" s="65"/>
      <c r="G91" s="65"/>
      <c r="H91" s="65"/>
      <c r="I91" s="65"/>
      <c r="J91" s="65"/>
      <c r="K91" s="65"/>
      <c r="L91" s="65"/>
      <c r="M91" s="65"/>
      <c r="N91" s="65"/>
      <c r="O91" s="65"/>
      <c r="P91" s="65"/>
      <c r="Q91" s="65"/>
      <c r="R91" s="65"/>
      <c r="S91" s="65"/>
      <c r="T91" s="65"/>
      <c r="U91" s="65"/>
      <c r="V91" s="65"/>
    </row>
    <row r="92" spans="1:22" x14ac:dyDescent="0.3">
      <c r="A92" s="65"/>
      <c r="B92" s="65"/>
      <c r="C92" s="65"/>
      <c r="D92" s="65"/>
      <c r="E92" s="65"/>
      <c r="F92" s="65"/>
      <c r="G92" s="65"/>
      <c r="H92" s="65"/>
      <c r="I92" s="65"/>
      <c r="J92" s="65"/>
      <c r="K92" s="65"/>
      <c r="L92" s="65"/>
      <c r="M92" s="65"/>
      <c r="N92" s="65"/>
      <c r="O92" s="65"/>
      <c r="P92" s="65"/>
      <c r="Q92" s="65"/>
      <c r="R92" s="65"/>
      <c r="S92" s="65"/>
      <c r="T92" s="65"/>
      <c r="U92" s="65"/>
      <c r="V92" s="65"/>
    </row>
    <row r="93" spans="1:22" x14ac:dyDescent="0.3">
      <c r="A93" s="65"/>
      <c r="B93" s="65"/>
      <c r="C93" s="65"/>
      <c r="D93" s="65"/>
      <c r="E93" s="65"/>
      <c r="F93" s="65"/>
      <c r="G93" s="65"/>
      <c r="H93" s="65"/>
      <c r="I93" s="65"/>
      <c r="J93" s="65"/>
      <c r="K93" s="65"/>
      <c r="L93" s="65"/>
      <c r="M93" s="65"/>
      <c r="N93" s="65"/>
      <c r="O93" s="65"/>
      <c r="P93" s="65"/>
      <c r="Q93" s="65"/>
      <c r="R93" s="65"/>
      <c r="S93" s="65"/>
      <c r="T93" s="65"/>
      <c r="U93" s="65"/>
      <c r="V93" s="65"/>
    </row>
    <row r="94" spans="1:22" x14ac:dyDescent="0.3">
      <c r="A94" s="65"/>
      <c r="B94" s="65"/>
      <c r="C94" s="65"/>
      <c r="D94" s="65"/>
      <c r="E94" s="65"/>
      <c r="F94" s="65"/>
      <c r="G94" s="65"/>
      <c r="H94" s="65"/>
      <c r="I94" s="65"/>
      <c r="J94" s="65"/>
      <c r="K94" s="65"/>
      <c r="L94" s="65"/>
      <c r="M94" s="65"/>
      <c r="N94" s="65"/>
      <c r="O94" s="65"/>
      <c r="P94" s="65"/>
      <c r="Q94" s="65"/>
      <c r="R94" s="65"/>
      <c r="S94" s="65"/>
      <c r="T94" s="65"/>
      <c r="U94" s="65"/>
      <c r="V94" s="65"/>
    </row>
    <row r="95" spans="1:22" x14ac:dyDescent="0.3">
      <c r="A95" s="65"/>
      <c r="B95" s="65"/>
      <c r="C95" s="65"/>
      <c r="D95" s="65"/>
      <c r="E95" s="65"/>
      <c r="F95" s="65"/>
      <c r="G95" s="65"/>
      <c r="H95" s="65"/>
      <c r="I95" s="65"/>
      <c r="J95" s="65"/>
      <c r="K95" s="65"/>
      <c r="L95" s="65"/>
      <c r="M95" s="65"/>
      <c r="N95" s="65"/>
      <c r="O95" s="65"/>
      <c r="P95" s="65"/>
      <c r="Q95" s="65"/>
      <c r="R95" s="65"/>
      <c r="S95" s="65"/>
      <c r="T95" s="65"/>
      <c r="U95" s="65"/>
      <c r="V95" s="65"/>
    </row>
    <row r="96" spans="1:22" x14ac:dyDescent="0.3">
      <c r="A96" s="65"/>
      <c r="B96" s="65"/>
      <c r="C96" s="65"/>
      <c r="D96" s="65"/>
      <c r="E96" s="65"/>
      <c r="F96" s="65"/>
      <c r="G96" s="65"/>
      <c r="H96" s="65"/>
      <c r="I96" s="65"/>
      <c r="J96" s="65"/>
      <c r="K96" s="65"/>
      <c r="L96" s="65"/>
      <c r="M96" s="65"/>
      <c r="N96" s="65"/>
      <c r="O96" s="65"/>
      <c r="P96" s="65"/>
      <c r="Q96" s="65"/>
      <c r="R96" s="65"/>
      <c r="S96" s="65"/>
      <c r="T96" s="65"/>
      <c r="U96" s="65"/>
      <c r="V96" s="65"/>
    </row>
    <row r="97" spans="1:22" x14ac:dyDescent="0.3">
      <c r="A97" s="65"/>
      <c r="B97" s="65"/>
      <c r="C97" s="65"/>
      <c r="D97" s="65"/>
      <c r="E97" s="65"/>
      <c r="F97" s="65"/>
      <c r="G97" s="65"/>
      <c r="H97" s="65"/>
      <c r="I97" s="65"/>
      <c r="J97" s="65"/>
      <c r="K97" s="65"/>
      <c r="L97" s="65"/>
      <c r="M97" s="65"/>
      <c r="N97" s="65"/>
      <c r="O97" s="65"/>
      <c r="P97" s="65"/>
      <c r="Q97" s="65"/>
      <c r="R97" s="65"/>
      <c r="S97" s="65"/>
      <c r="T97" s="65"/>
      <c r="U97" s="65"/>
      <c r="V97" s="65"/>
    </row>
    <row r="98" spans="1:22" x14ac:dyDescent="0.3">
      <c r="A98" s="65"/>
      <c r="B98" s="65"/>
      <c r="C98" s="65"/>
      <c r="D98" s="65"/>
      <c r="E98" s="65"/>
      <c r="F98" s="65"/>
      <c r="G98" s="65"/>
      <c r="H98" s="65"/>
      <c r="I98" s="65"/>
      <c r="J98" s="65"/>
      <c r="K98" s="65"/>
      <c r="L98" s="65"/>
      <c r="M98" s="65"/>
      <c r="N98" s="65"/>
      <c r="O98" s="65"/>
      <c r="P98" s="65"/>
      <c r="Q98" s="65"/>
      <c r="R98" s="65"/>
      <c r="S98" s="65"/>
      <c r="T98" s="65"/>
      <c r="U98" s="65"/>
      <c r="V98" s="65"/>
    </row>
    <row r="99" spans="1:22" x14ac:dyDescent="0.3">
      <c r="A99" s="65"/>
      <c r="B99" s="65"/>
      <c r="C99" s="65"/>
      <c r="D99" s="65"/>
      <c r="E99" s="65"/>
      <c r="F99" s="65"/>
      <c r="G99" s="65"/>
      <c r="H99" s="65"/>
      <c r="I99" s="65"/>
      <c r="J99" s="65"/>
      <c r="K99" s="65"/>
      <c r="L99" s="65"/>
      <c r="M99" s="65"/>
      <c r="N99" s="65"/>
      <c r="O99" s="65"/>
      <c r="P99" s="65"/>
      <c r="Q99" s="65"/>
      <c r="R99" s="65"/>
      <c r="S99" s="65"/>
      <c r="T99" s="65"/>
      <c r="U99" s="65"/>
      <c r="V99" s="65"/>
    </row>
    <row r="100" spans="1:22" x14ac:dyDescent="0.3">
      <c r="A100" s="65"/>
      <c r="B100" s="65"/>
      <c r="C100" s="65"/>
      <c r="D100" s="65"/>
      <c r="E100" s="65"/>
      <c r="F100" s="65"/>
      <c r="G100" s="65"/>
      <c r="H100" s="65"/>
      <c r="I100" s="65"/>
      <c r="J100" s="65"/>
      <c r="K100" s="65"/>
      <c r="L100" s="65"/>
      <c r="M100" s="65"/>
      <c r="N100" s="65"/>
      <c r="O100" s="65"/>
      <c r="P100" s="65"/>
      <c r="Q100" s="65"/>
      <c r="R100" s="65"/>
      <c r="S100" s="65"/>
      <c r="T100" s="65"/>
      <c r="U100" s="65"/>
      <c r="V100" s="65"/>
    </row>
    <row r="101" spans="1:22" x14ac:dyDescent="0.3">
      <c r="A101" s="65"/>
      <c r="B101" s="65"/>
      <c r="C101" s="65"/>
      <c r="D101" s="65"/>
      <c r="E101" s="65"/>
      <c r="F101" s="65"/>
      <c r="G101" s="65"/>
      <c r="H101" s="65"/>
      <c r="I101" s="65"/>
      <c r="J101" s="65"/>
      <c r="K101" s="65"/>
      <c r="L101" s="65"/>
      <c r="M101" s="65"/>
      <c r="N101" s="65"/>
      <c r="O101" s="65"/>
      <c r="P101" s="65"/>
      <c r="Q101" s="65"/>
      <c r="R101" s="65"/>
      <c r="S101" s="65"/>
      <c r="T101" s="65"/>
      <c r="U101" s="65"/>
      <c r="V101" s="65"/>
    </row>
    <row r="102" spans="1:22" x14ac:dyDescent="0.3">
      <c r="A102" s="65"/>
      <c r="B102" s="65"/>
      <c r="C102" s="65"/>
      <c r="D102" s="65"/>
      <c r="E102" s="65"/>
      <c r="F102" s="65"/>
      <c r="G102" s="65"/>
      <c r="H102" s="65"/>
      <c r="I102" s="65"/>
      <c r="J102" s="65"/>
      <c r="K102" s="65"/>
      <c r="L102" s="65"/>
      <c r="M102" s="65"/>
      <c r="N102" s="65"/>
      <c r="O102" s="65"/>
      <c r="P102" s="65"/>
      <c r="Q102" s="65"/>
      <c r="R102" s="65"/>
      <c r="S102" s="65"/>
      <c r="T102" s="65"/>
      <c r="U102" s="65"/>
      <c r="V102" s="65"/>
    </row>
    <row r="103" spans="1:22" x14ac:dyDescent="0.3">
      <c r="A103" s="65"/>
      <c r="B103" s="65"/>
      <c r="C103" s="65"/>
      <c r="D103" s="65"/>
      <c r="E103" s="65"/>
      <c r="F103" s="65"/>
      <c r="G103" s="65"/>
      <c r="H103" s="65"/>
      <c r="I103" s="65"/>
      <c r="J103" s="65"/>
      <c r="K103" s="65"/>
      <c r="L103" s="65"/>
      <c r="M103" s="65"/>
      <c r="N103" s="65"/>
      <c r="O103" s="65"/>
      <c r="P103" s="65"/>
      <c r="Q103" s="65"/>
      <c r="R103" s="65"/>
      <c r="S103" s="65"/>
      <c r="T103" s="65"/>
      <c r="U103" s="65"/>
      <c r="V103" s="65"/>
    </row>
    <row r="104" spans="1:22" x14ac:dyDescent="0.3">
      <c r="A104" s="65"/>
      <c r="B104" s="65"/>
      <c r="C104" s="65"/>
      <c r="D104" s="65"/>
      <c r="E104" s="65"/>
      <c r="F104" s="65"/>
      <c r="G104" s="65"/>
      <c r="H104" s="65"/>
      <c r="I104" s="65"/>
      <c r="J104" s="65"/>
      <c r="K104" s="65"/>
      <c r="L104" s="65"/>
      <c r="M104" s="65"/>
      <c r="N104" s="65"/>
      <c r="O104" s="65"/>
      <c r="P104" s="65"/>
      <c r="Q104" s="65"/>
      <c r="R104" s="65"/>
      <c r="S104" s="65"/>
      <c r="T104" s="65"/>
      <c r="U104" s="65"/>
      <c r="V104" s="65"/>
    </row>
    <row r="105" spans="1:22" x14ac:dyDescent="0.3">
      <c r="A105" s="65"/>
      <c r="B105" s="65"/>
      <c r="C105" s="65"/>
      <c r="D105" s="65"/>
      <c r="E105" s="65"/>
      <c r="F105" s="65"/>
      <c r="G105" s="65"/>
      <c r="H105" s="65"/>
      <c r="I105" s="65"/>
      <c r="J105" s="65"/>
      <c r="K105" s="65"/>
      <c r="L105" s="65"/>
      <c r="M105" s="65"/>
      <c r="N105" s="65"/>
      <c r="O105" s="65"/>
      <c r="P105" s="65"/>
      <c r="Q105" s="65"/>
      <c r="R105" s="65"/>
      <c r="S105" s="65"/>
      <c r="T105" s="65"/>
      <c r="U105" s="65"/>
      <c r="V105" s="65"/>
    </row>
    <row r="106" spans="1:22" x14ac:dyDescent="0.3">
      <c r="A106" s="65"/>
      <c r="B106" s="65"/>
      <c r="C106" s="65"/>
      <c r="D106" s="65"/>
      <c r="E106" s="65"/>
      <c r="F106" s="65"/>
      <c r="G106" s="65"/>
      <c r="H106" s="65"/>
      <c r="I106" s="65"/>
      <c r="J106" s="65"/>
      <c r="K106" s="65"/>
      <c r="L106" s="65"/>
      <c r="M106" s="65"/>
      <c r="N106" s="65"/>
      <c r="O106" s="65"/>
      <c r="P106" s="65"/>
      <c r="Q106" s="65"/>
      <c r="R106" s="65"/>
      <c r="S106" s="65"/>
      <c r="T106" s="65"/>
      <c r="U106" s="65"/>
      <c r="V106" s="65"/>
    </row>
    <row r="107" spans="1:22" x14ac:dyDescent="0.3">
      <c r="A107" s="65"/>
      <c r="B107" s="65"/>
      <c r="C107" s="65"/>
      <c r="D107" s="65"/>
      <c r="E107" s="65"/>
      <c r="F107" s="65"/>
      <c r="G107" s="65"/>
      <c r="H107" s="65"/>
      <c r="I107" s="65"/>
      <c r="J107" s="65"/>
      <c r="K107" s="65"/>
      <c r="L107" s="65"/>
      <c r="M107" s="65"/>
      <c r="N107" s="65"/>
      <c r="O107" s="65"/>
      <c r="P107" s="65"/>
      <c r="Q107" s="65"/>
      <c r="R107" s="65"/>
      <c r="S107" s="65"/>
      <c r="T107" s="65"/>
      <c r="U107" s="65"/>
      <c r="V107" s="65"/>
    </row>
    <row r="108" spans="1:22" x14ac:dyDescent="0.3">
      <c r="A108" s="65"/>
      <c r="B108" s="65"/>
      <c r="C108" s="65"/>
      <c r="D108" s="65"/>
      <c r="E108" s="65"/>
      <c r="F108" s="65"/>
      <c r="G108" s="65"/>
      <c r="H108" s="65"/>
      <c r="I108" s="65"/>
      <c r="J108" s="65"/>
      <c r="K108" s="65"/>
      <c r="L108" s="65"/>
      <c r="M108" s="65"/>
      <c r="N108" s="65"/>
      <c r="O108" s="65"/>
      <c r="P108" s="65"/>
      <c r="Q108" s="65"/>
      <c r="R108" s="65"/>
      <c r="S108" s="65"/>
      <c r="T108" s="65"/>
      <c r="U108" s="65"/>
      <c r="V108" s="65"/>
    </row>
    <row r="109" spans="1:22" x14ac:dyDescent="0.3">
      <c r="A109" s="65"/>
      <c r="B109" s="65"/>
      <c r="C109" s="65"/>
      <c r="D109" s="65"/>
      <c r="E109" s="65"/>
      <c r="F109" s="65"/>
      <c r="G109" s="65"/>
      <c r="H109" s="65"/>
      <c r="I109" s="65"/>
      <c r="J109" s="65"/>
      <c r="K109" s="65"/>
      <c r="L109" s="65"/>
      <c r="M109" s="65"/>
      <c r="N109" s="65"/>
      <c r="O109" s="65"/>
      <c r="P109" s="65"/>
      <c r="Q109" s="65"/>
      <c r="R109" s="65"/>
      <c r="S109" s="65"/>
      <c r="T109" s="65"/>
      <c r="U109" s="65"/>
      <c r="V109" s="65"/>
    </row>
    <row r="110" spans="1:22" x14ac:dyDescent="0.3">
      <c r="A110" s="65"/>
      <c r="B110" s="65"/>
      <c r="C110" s="65"/>
      <c r="D110" s="65"/>
      <c r="E110" s="65"/>
      <c r="F110" s="65"/>
      <c r="G110" s="65"/>
      <c r="H110" s="65"/>
      <c r="I110" s="65"/>
      <c r="J110" s="65"/>
      <c r="K110" s="65"/>
      <c r="L110" s="65"/>
      <c r="M110" s="65"/>
      <c r="N110" s="65"/>
      <c r="O110" s="65"/>
      <c r="P110" s="65"/>
      <c r="Q110" s="65"/>
      <c r="R110" s="65"/>
      <c r="S110" s="65"/>
      <c r="T110" s="65"/>
      <c r="U110" s="65"/>
      <c r="V110" s="65"/>
    </row>
    <row r="111" spans="1:22" x14ac:dyDescent="0.3">
      <c r="A111" s="65"/>
      <c r="B111" s="65"/>
      <c r="C111" s="65"/>
      <c r="D111" s="65"/>
      <c r="E111" s="65"/>
      <c r="F111" s="65"/>
      <c r="G111" s="65"/>
      <c r="H111" s="65"/>
      <c r="I111" s="65"/>
      <c r="J111" s="65"/>
      <c r="K111" s="65"/>
      <c r="L111" s="65"/>
      <c r="M111" s="65"/>
      <c r="N111" s="65"/>
      <c r="O111" s="65"/>
      <c r="P111" s="65"/>
      <c r="Q111" s="65"/>
      <c r="R111" s="65"/>
      <c r="S111" s="65"/>
      <c r="T111" s="65"/>
      <c r="U111" s="65"/>
      <c r="V111" s="65"/>
    </row>
    <row r="112" spans="1:22" x14ac:dyDescent="0.3">
      <c r="A112" s="65"/>
      <c r="B112" s="65"/>
      <c r="C112" s="65"/>
      <c r="D112" s="65"/>
      <c r="E112" s="65"/>
      <c r="F112" s="65"/>
      <c r="G112" s="65"/>
      <c r="H112" s="65"/>
      <c r="I112" s="65"/>
      <c r="J112" s="65"/>
      <c r="K112" s="65"/>
      <c r="L112" s="65"/>
      <c r="M112" s="65"/>
      <c r="N112" s="65"/>
      <c r="O112" s="65"/>
      <c r="P112" s="65"/>
      <c r="Q112" s="65"/>
      <c r="R112" s="65"/>
      <c r="S112" s="65"/>
      <c r="T112" s="65"/>
      <c r="U112" s="65"/>
      <c r="V112" s="65"/>
    </row>
    <row r="113" spans="1:22" x14ac:dyDescent="0.3">
      <c r="A113" s="65"/>
      <c r="B113" s="65"/>
      <c r="C113" s="65"/>
      <c r="D113" s="65"/>
      <c r="E113" s="65"/>
      <c r="F113" s="65"/>
      <c r="G113" s="65"/>
      <c r="H113" s="65"/>
      <c r="I113" s="65"/>
      <c r="J113" s="65"/>
      <c r="K113" s="65"/>
      <c r="L113" s="65"/>
      <c r="M113" s="65"/>
      <c r="N113" s="65"/>
      <c r="O113" s="65"/>
      <c r="P113" s="65"/>
      <c r="Q113" s="65"/>
      <c r="R113" s="65"/>
      <c r="S113" s="65"/>
      <c r="T113" s="65"/>
      <c r="U113" s="65"/>
      <c r="V113" s="65"/>
    </row>
    <row r="114" spans="1:22" x14ac:dyDescent="0.3">
      <c r="A114" s="65"/>
      <c r="B114" s="65"/>
      <c r="C114" s="65"/>
      <c r="D114" s="65"/>
      <c r="E114" s="65"/>
      <c r="F114" s="65"/>
      <c r="G114" s="65"/>
      <c r="H114" s="65"/>
      <c r="I114" s="65"/>
      <c r="J114" s="65"/>
      <c r="K114" s="65"/>
      <c r="L114" s="65"/>
      <c r="M114" s="65"/>
      <c r="N114" s="65"/>
      <c r="O114" s="65"/>
      <c r="P114" s="65"/>
      <c r="Q114" s="65"/>
      <c r="R114" s="65"/>
      <c r="S114" s="65"/>
      <c r="T114" s="65"/>
      <c r="U114" s="65"/>
      <c r="V114" s="65"/>
    </row>
    <row r="115" spans="1:22" x14ac:dyDescent="0.3">
      <c r="A115" s="65"/>
      <c r="B115" s="65"/>
      <c r="C115" s="65"/>
      <c r="D115" s="65"/>
      <c r="E115" s="65"/>
      <c r="F115" s="65"/>
      <c r="G115" s="65"/>
      <c r="H115" s="65"/>
      <c r="I115" s="65"/>
      <c r="J115" s="65"/>
      <c r="K115" s="65"/>
      <c r="L115" s="65"/>
      <c r="M115" s="65"/>
      <c r="N115" s="65"/>
      <c r="O115" s="65"/>
      <c r="P115" s="65"/>
      <c r="Q115" s="65"/>
      <c r="R115" s="65"/>
      <c r="S115" s="65"/>
      <c r="T115" s="65"/>
      <c r="U115" s="65"/>
      <c r="V115" s="65"/>
    </row>
    <row r="116" spans="1:22" x14ac:dyDescent="0.3">
      <c r="A116" s="65"/>
      <c r="B116" s="65"/>
      <c r="C116" s="65"/>
      <c r="D116" s="65"/>
      <c r="E116" s="65"/>
      <c r="F116" s="65"/>
      <c r="G116" s="65"/>
      <c r="H116" s="65"/>
      <c r="I116" s="65"/>
      <c r="J116" s="65"/>
      <c r="K116" s="65"/>
      <c r="L116" s="65"/>
      <c r="M116" s="65"/>
      <c r="N116" s="65"/>
      <c r="O116" s="65"/>
      <c r="P116" s="65"/>
      <c r="Q116" s="65"/>
      <c r="R116" s="65"/>
      <c r="S116" s="65"/>
      <c r="T116" s="65"/>
      <c r="U116" s="65"/>
      <c r="V116" s="65"/>
    </row>
    <row r="117" spans="1:22" x14ac:dyDescent="0.3">
      <c r="A117" s="65"/>
      <c r="B117" s="65"/>
      <c r="C117" s="65"/>
      <c r="D117" s="65"/>
      <c r="E117" s="65"/>
      <c r="F117" s="65"/>
      <c r="G117" s="65"/>
      <c r="H117" s="65"/>
      <c r="I117" s="65"/>
      <c r="J117" s="65"/>
      <c r="K117" s="65"/>
      <c r="L117" s="65"/>
      <c r="M117" s="65"/>
      <c r="N117" s="65"/>
      <c r="O117" s="65"/>
      <c r="P117" s="65"/>
      <c r="Q117" s="65"/>
      <c r="R117" s="65"/>
      <c r="S117" s="65"/>
      <c r="T117" s="65"/>
      <c r="U117" s="65"/>
      <c r="V117" s="65"/>
    </row>
    <row r="118" spans="1:22" x14ac:dyDescent="0.3">
      <c r="A118" s="65"/>
      <c r="B118" s="65"/>
      <c r="C118" s="65"/>
      <c r="D118" s="65"/>
      <c r="E118" s="65"/>
      <c r="F118" s="65"/>
      <c r="G118" s="65"/>
      <c r="H118" s="65"/>
      <c r="I118" s="65"/>
      <c r="J118" s="65"/>
      <c r="K118" s="65"/>
      <c r="L118" s="65"/>
      <c r="M118" s="65"/>
      <c r="N118" s="65"/>
      <c r="O118" s="65"/>
      <c r="P118" s="65"/>
      <c r="Q118" s="65"/>
      <c r="R118" s="65"/>
      <c r="S118" s="65"/>
      <c r="T118" s="65"/>
      <c r="U118" s="65"/>
      <c r="V118" s="65"/>
    </row>
    <row r="119" spans="1:22" x14ac:dyDescent="0.3">
      <c r="A119" s="65"/>
      <c r="B119" s="65"/>
      <c r="C119" s="65"/>
      <c r="D119" s="65"/>
      <c r="E119" s="65"/>
      <c r="F119" s="65"/>
      <c r="G119" s="65"/>
      <c r="H119" s="65"/>
      <c r="I119" s="65"/>
      <c r="J119" s="65"/>
      <c r="K119" s="65"/>
      <c r="L119" s="65"/>
      <c r="M119" s="65"/>
      <c r="N119" s="65"/>
      <c r="O119" s="65"/>
      <c r="P119" s="65"/>
      <c r="Q119" s="65"/>
      <c r="R119" s="65"/>
      <c r="S119" s="65"/>
      <c r="T119" s="65"/>
      <c r="U119" s="65"/>
      <c r="V119" s="65"/>
    </row>
    <row r="120" spans="1:22" x14ac:dyDescent="0.3">
      <c r="A120" s="65"/>
      <c r="B120" s="65"/>
      <c r="C120" s="65"/>
      <c r="D120" s="65"/>
      <c r="E120" s="65"/>
      <c r="F120" s="65"/>
      <c r="G120" s="65"/>
      <c r="H120" s="65"/>
      <c r="I120" s="65"/>
      <c r="J120" s="65"/>
      <c r="K120" s="65"/>
      <c r="L120" s="65"/>
      <c r="M120" s="65"/>
      <c r="N120" s="65"/>
      <c r="O120" s="65"/>
      <c r="P120" s="65"/>
      <c r="Q120" s="65"/>
      <c r="R120" s="65"/>
      <c r="S120" s="65"/>
      <c r="T120" s="65"/>
      <c r="U120" s="65"/>
      <c r="V120" s="65"/>
    </row>
    <row r="121" spans="1:22" x14ac:dyDescent="0.3">
      <c r="A121" s="65"/>
      <c r="B121" s="65"/>
      <c r="C121" s="65"/>
      <c r="D121" s="65"/>
      <c r="E121" s="65"/>
      <c r="F121" s="65"/>
      <c r="G121" s="65"/>
      <c r="H121" s="65"/>
      <c r="I121" s="65"/>
      <c r="J121" s="65"/>
      <c r="K121" s="65"/>
      <c r="L121" s="65"/>
      <c r="M121" s="65"/>
      <c r="N121" s="65"/>
      <c r="O121" s="65"/>
      <c r="P121" s="65"/>
      <c r="Q121" s="65"/>
      <c r="R121" s="65"/>
      <c r="S121" s="65"/>
      <c r="T121" s="65"/>
      <c r="U121" s="65"/>
      <c r="V121" s="65"/>
    </row>
    <row r="122" spans="1:22" x14ac:dyDescent="0.3">
      <c r="A122" s="65"/>
      <c r="B122" s="65"/>
      <c r="C122" s="65"/>
      <c r="D122" s="65"/>
      <c r="E122" s="65"/>
      <c r="F122" s="65"/>
      <c r="G122" s="65"/>
      <c r="H122" s="65"/>
      <c r="I122" s="65"/>
      <c r="J122" s="65"/>
      <c r="K122" s="65"/>
      <c r="L122" s="65"/>
      <c r="M122" s="65"/>
      <c r="N122" s="65"/>
      <c r="O122" s="65"/>
      <c r="P122" s="65"/>
      <c r="Q122" s="65"/>
      <c r="R122" s="65"/>
      <c r="S122" s="65"/>
      <c r="T122" s="65"/>
      <c r="U122" s="65"/>
      <c r="V122" s="65"/>
    </row>
    <row r="123" spans="1:22" x14ac:dyDescent="0.3">
      <c r="A123" s="65"/>
      <c r="B123" s="65"/>
      <c r="C123" s="65"/>
      <c r="D123" s="65"/>
      <c r="E123" s="65"/>
      <c r="F123" s="65"/>
      <c r="G123" s="65"/>
      <c r="H123" s="65"/>
      <c r="I123" s="65"/>
      <c r="J123" s="65"/>
      <c r="K123" s="65"/>
      <c r="L123" s="65"/>
      <c r="M123" s="65"/>
      <c r="N123" s="65"/>
      <c r="O123" s="65"/>
      <c r="P123" s="65"/>
      <c r="Q123" s="65"/>
      <c r="R123" s="65"/>
      <c r="S123" s="65"/>
      <c r="T123" s="65"/>
      <c r="U123" s="65"/>
      <c r="V123" s="65"/>
    </row>
    <row r="124" spans="1:22" x14ac:dyDescent="0.3">
      <c r="A124" s="65"/>
      <c r="B124" s="65"/>
      <c r="C124" s="65"/>
      <c r="D124" s="65"/>
      <c r="E124" s="65"/>
      <c r="F124" s="65"/>
      <c r="G124" s="65"/>
      <c r="H124" s="65"/>
      <c r="I124" s="65"/>
      <c r="J124" s="65"/>
      <c r="K124" s="65"/>
      <c r="L124" s="65"/>
      <c r="M124" s="65"/>
      <c r="N124" s="65"/>
      <c r="O124" s="65"/>
      <c r="P124" s="65"/>
      <c r="Q124" s="65"/>
      <c r="R124" s="65"/>
      <c r="S124" s="65"/>
      <c r="T124" s="65"/>
      <c r="U124" s="65"/>
      <c r="V124" s="65"/>
    </row>
    <row r="125" spans="1:22" x14ac:dyDescent="0.3">
      <c r="A125" s="65"/>
      <c r="B125" s="65"/>
      <c r="C125" s="65"/>
      <c r="D125" s="65"/>
      <c r="E125" s="65"/>
      <c r="F125" s="65"/>
      <c r="G125" s="65"/>
      <c r="H125" s="65"/>
      <c r="I125" s="65"/>
      <c r="J125" s="65"/>
      <c r="K125" s="65"/>
      <c r="L125" s="65"/>
      <c r="M125" s="65"/>
      <c r="N125" s="65"/>
      <c r="O125" s="65"/>
      <c r="P125" s="65"/>
      <c r="Q125" s="65"/>
      <c r="R125" s="65"/>
      <c r="S125" s="65"/>
      <c r="T125" s="65"/>
      <c r="U125" s="65"/>
      <c r="V125" s="65"/>
    </row>
    <row r="126" spans="1:22" x14ac:dyDescent="0.3">
      <c r="A126" s="65"/>
      <c r="B126" s="65"/>
      <c r="C126" s="65"/>
      <c r="D126" s="65"/>
      <c r="E126" s="65"/>
      <c r="F126" s="65"/>
      <c r="G126" s="65"/>
      <c r="H126" s="65"/>
      <c r="I126" s="65"/>
      <c r="J126" s="65"/>
      <c r="K126" s="65"/>
      <c r="L126" s="65"/>
      <c r="M126" s="65"/>
      <c r="N126" s="65"/>
      <c r="O126" s="65"/>
      <c r="P126" s="65"/>
      <c r="Q126" s="65"/>
      <c r="R126" s="65"/>
      <c r="S126" s="65"/>
      <c r="T126" s="65"/>
      <c r="U126" s="65"/>
      <c r="V126" s="65"/>
    </row>
    <row r="127" spans="1:22" x14ac:dyDescent="0.3">
      <c r="A127" s="65"/>
      <c r="B127" s="65"/>
      <c r="C127" s="65"/>
      <c r="D127" s="65"/>
      <c r="E127" s="65"/>
      <c r="F127" s="65"/>
      <c r="G127" s="65"/>
      <c r="H127" s="65"/>
      <c r="I127" s="65"/>
      <c r="J127" s="65"/>
      <c r="K127" s="65"/>
      <c r="L127" s="65"/>
      <c r="M127" s="65"/>
      <c r="N127" s="65"/>
      <c r="O127" s="65"/>
      <c r="P127" s="65"/>
      <c r="Q127" s="65"/>
      <c r="R127" s="65"/>
      <c r="S127" s="65"/>
      <c r="T127" s="65"/>
      <c r="U127" s="65"/>
      <c r="V127" s="65"/>
    </row>
    <row r="128" spans="1:22" x14ac:dyDescent="0.3">
      <c r="A128" s="65"/>
      <c r="B128" s="65"/>
      <c r="C128" s="65"/>
      <c r="D128" s="65"/>
      <c r="E128" s="65"/>
      <c r="F128" s="65"/>
      <c r="G128" s="65"/>
      <c r="H128" s="65"/>
      <c r="I128" s="65"/>
      <c r="J128" s="65"/>
      <c r="K128" s="65"/>
      <c r="L128" s="65"/>
      <c r="M128" s="65"/>
      <c r="N128" s="65"/>
      <c r="O128" s="65"/>
      <c r="P128" s="65"/>
      <c r="Q128" s="65"/>
      <c r="R128" s="65"/>
      <c r="S128" s="65"/>
      <c r="T128" s="65"/>
      <c r="U128" s="65"/>
      <c r="V128" s="65"/>
    </row>
    <row r="129" spans="1:22" x14ac:dyDescent="0.3">
      <c r="A129" s="65"/>
      <c r="B129" s="65"/>
      <c r="C129" s="65"/>
      <c r="D129" s="65"/>
      <c r="E129" s="65"/>
      <c r="F129" s="65"/>
      <c r="G129" s="65"/>
      <c r="H129" s="65"/>
      <c r="I129" s="65"/>
      <c r="J129" s="65"/>
      <c r="K129" s="65"/>
      <c r="L129" s="65"/>
      <c r="M129" s="65"/>
      <c r="N129" s="65"/>
      <c r="O129" s="65"/>
      <c r="P129" s="65"/>
      <c r="Q129" s="65"/>
      <c r="R129" s="65"/>
      <c r="S129" s="65"/>
      <c r="T129" s="65"/>
      <c r="U129" s="65"/>
      <c r="V129" s="65"/>
    </row>
    <row r="130" spans="1:22" x14ac:dyDescent="0.3">
      <c r="A130" s="65"/>
      <c r="B130" s="65"/>
      <c r="C130" s="65"/>
      <c r="D130" s="65"/>
      <c r="E130" s="65"/>
      <c r="F130" s="65"/>
      <c r="G130" s="65"/>
      <c r="H130" s="65"/>
      <c r="I130" s="65"/>
      <c r="J130" s="65"/>
      <c r="K130" s="65"/>
      <c r="L130" s="65"/>
      <c r="M130" s="65"/>
      <c r="N130" s="65"/>
      <c r="O130" s="65"/>
      <c r="P130" s="65"/>
      <c r="Q130" s="65"/>
      <c r="R130" s="65"/>
      <c r="S130" s="65"/>
      <c r="T130" s="65"/>
      <c r="U130" s="65"/>
      <c r="V130" s="65"/>
    </row>
    <row r="131" spans="1:22" x14ac:dyDescent="0.3">
      <c r="A131" s="65"/>
      <c r="B131" s="65"/>
      <c r="C131" s="65"/>
      <c r="D131" s="65"/>
      <c r="E131" s="65"/>
      <c r="F131" s="65"/>
      <c r="G131" s="65"/>
      <c r="H131" s="65"/>
      <c r="I131" s="65"/>
      <c r="J131" s="65"/>
      <c r="K131" s="65"/>
      <c r="L131" s="65"/>
      <c r="M131" s="65"/>
      <c r="N131" s="65"/>
      <c r="O131" s="65"/>
      <c r="P131" s="65"/>
      <c r="Q131" s="65"/>
      <c r="R131" s="65"/>
      <c r="S131" s="65"/>
      <c r="T131" s="65"/>
      <c r="U131" s="65"/>
      <c r="V131" s="65"/>
    </row>
    <row r="132" spans="1:22" x14ac:dyDescent="0.3">
      <c r="A132" s="65"/>
      <c r="B132" s="65"/>
      <c r="C132" s="65"/>
      <c r="D132" s="65"/>
      <c r="E132" s="65"/>
      <c r="F132" s="65"/>
      <c r="G132" s="65"/>
      <c r="H132" s="65"/>
      <c r="I132" s="65"/>
      <c r="J132" s="65"/>
      <c r="K132" s="65"/>
      <c r="L132" s="65"/>
      <c r="M132" s="65"/>
      <c r="N132" s="65"/>
      <c r="O132" s="65"/>
      <c r="P132" s="65"/>
      <c r="Q132" s="65"/>
      <c r="R132" s="65"/>
      <c r="S132" s="65"/>
      <c r="T132" s="65"/>
      <c r="U132" s="65"/>
      <c r="V132" s="65"/>
    </row>
    <row r="133" spans="1:22" x14ac:dyDescent="0.3">
      <c r="A133" s="65"/>
      <c r="B133" s="65"/>
      <c r="C133" s="65"/>
      <c r="D133" s="65"/>
      <c r="E133" s="65"/>
      <c r="F133" s="65"/>
      <c r="G133" s="65"/>
      <c r="H133" s="65"/>
      <c r="I133" s="65"/>
      <c r="J133" s="65"/>
      <c r="K133" s="65"/>
      <c r="L133" s="65"/>
      <c r="M133" s="65"/>
      <c r="N133" s="65"/>
      <c r="O133" s="65"/>
      <c r="P133" s="65"/>
      <c r="Q133" s="65"/>
      <c r="R133" s="65"/>
      <c r="S133" s="65"/>
      <c r="T133" s="65"/>
      <c r="U133" s="65"/>
      <c r="V133" s="65"/>
    </row>
    <row r="134" spans="1:22" x14ac:dyDescent="0.3">
      <c r="A134" s="65"/>
      <c r="B134" s="65"/>
      <c r="C134" s="65"/>
      <c r="D134" s="65"/>
      <c r="E134" s="65"/>
      <c r="F134" s="65"/>
      <c r="G134" s="65"/>
      <c r="H134" s="65"/>
      <c r="I134" s="65"/>
      <c r="J134" s="65"/>
      <c r="K134" s="65"/>
      <c r="L134" s="65"/>
      <c r="M134" s="65"/>
      <c r="N134" s="65"/>
      <c r="O134" s="65"/>
      <c r="P134" s="65"/>
      <c r="Q134" s="65"/>
      <c r="R134" s="65"/>
      <c r="S134" s="65"/>
      <c r="T134" s="65"/>
      <c r="U134" s="65"/>
      <c r="V134" s="65"/>
    </row>
    <row r="135" spans="1:22" x14ac:dyDescent="0.3">
      <c r="A135" s="65"/>
      <c r="B135" s="65"/>
      <c r="C135" s="65"/>
      <c r="D135" s="65"/>
      <c r="E135" s="65"/>
      <c r="F135" s="65"/>
      <c r="G135" s="65"/>
      <c r="H135" s="65"/>
      <c r="I135" s="65"/>
      <c r="J135" s="65"/>
      <c r="K135" s="65"/>
      <c r="L135" s="65"/>
      <c r="M135" s="65"/>
      <c r="N135" s="65"/>
      <c r="O135" s="65"/>
      <c r="P135" s="65"/>
      <c r="Q135" s="65"/>
      <c r="R135" s="65"/>
      <c r="S135" s="65"/>
      <c r="T135" s="65"/>
      <c r="U135" s="65"/>
      <c r="V135" s="65"/>
    </row>
    <row r="136" spans="1:22" x14ac:dyDescent="0.3">
      <c r="A136" s="65"/>
      <c r="B136" s="65"/>
      <c r="C136" s="65"/>
      <c r="D136" s="65"/>
      <c r="E136" s="65"/>
      <c r="F136" s="65"/>
      <c r="G136" s="65"/>
      <c r="H136" s="65"/>
      <c r="I136" s="65"/>
      <c r="J136" s="65"/>
      <c r="K136" s="65"/>
      <c r="L136" s="65"/>
      <c r="M136" s="65"/>
      <c r="N136" s="65"/>
      <c r="O136" s="65"/>
      <c r="P136" s="65"/>
      <c r="Q136" s="65"/>
      <c r="R136" s="65"/>
      <c r="S136" s="65"/>
      <c r="T136" s="65"/>
      <c r="U136" s="65"/>
      <c r="V136" s="65"/>
    </row>
    <row r="137" spans="1:22" x14ac:dyDescent="0.3">
      <c r="A137" s="65"/>
      <c r="B137" s="65"/>
      <c r="C137" s="65"/>
      <c r="D137" s="65"/>
      <c r="E137" s="65"/>
      <c r="F137" s="65"/>
      <c r="G137" s="65"/>
      <c r="H137" s="65"/>
      <c r="I137" s="65"/>
      <c r="J137" s="65"/>
      <c r="K137" s="65"/>
      <c r="L137" s="65"/>
      <c r="M137" s="65"/>
      <c r="N137" s="65"/>
      <c r="O137" s="65"/>
      <c r="P137" s="65"/>
      <c r="Q137" s="65"/>
      <c r="R137" s="65"/>
      <c r="S137" s="65"/>
      <c r="T137" s="65"/>
      <c r="U137" s="65"/>
      <c r="V137" s="65"/>
    </row>
    <row r="138" spans="1:22" x14ac:dyDescent="0.3">
      <c r="A138" s="65"/>
      <c r="B138" s="65"/>
      <c r="C138" s="65"/>
      <c r="D138" s="65"/>
      <c r="E138" s="65"/>
      <c r="F138" s="65"/>
      <c r="G138" s="65"/>
      <c r="H138" s="65"/>
      <c r="I138" s="65"/>
      <c r="J138" s="65"/>
      <c r="K138" s="65"/>
      <c r="L138" s="65"/>
      <c r="M138" s="65"/>
      <c r="N138" s="65"/>
      <c r="O138" s="65"/>
      <c r="P138" s="65"/>
      <c r="Q138" s="65"/>
      <c r="R138" s="65"/>
      <c r="S138" s="65"/>
      <c r="T138" s="65"/>
      <c r="U138" s="65"/>
      <c r="V138" s="65"/>
    </row>
    <row r="139" spans="1:22" x14ac:dyDescent="0.3">
      <c r="A139" s="65"/>
      <c r="B139" s="65"/>
      <c r="C139" s="65"/>
      <c r="D139" s="65"/>
      <c r="E139" s="65"/>
      <c r="F139" s="65"/>
      <c r="G139" s="65"/>
      <c r="H139" s="65"/>
      <c r="I139" s="65"/>
      <c r="J139" s="65"/>
      <c r="K139" s="65"/>
      <c r="L139" s="65"/>
      <c r="M139" s="65"/>
      <c r="N139" s="65"/>
      <c r="O139" s="65"/>
      <c r="P139" s="65"/>
      <c r="Q139" s="65"/>
      <c r="R139" s="65"/>
      <c r="S139" s="65"/>
      <c r="T139" s="65"/>
      <c r="U139" s="65"/>
      <c r="V139" s="65"/>
    </row>
    <row r="140" spans="1:22" x14ac:dyDescent="0.3">
      <c r="A140" s="65"/>
      <c r="B140" s="65"/>
      <c r="C140" s="65"/>
      <c r="D140" s="65"/>
      <c r="E140" s="65"/>
      <c r="F140" s="65"/>
      <c r="G140" s="65"/>
      <c r="H140" s="65"/>
      <c r="I140" s="65"/>
      <c r="J140" s="65"/>
      <c r="K140" s="65"/>
      <c r="L140" s="65"/>
      <c r="M140" s="65"/>
      <c r="N140" s="65"/>
      <c r="O140" s="65"/>
      <c r="P140" s="65"/>
      <c r="Q140" s="65"/>
      <c r="R140" s="65"/>
      <c r="S140" s="65"/>
      <c r="T140" s="65"/>
      <c r="U140" s="65"/>
      <c r="V140" s="65"/>
    </row>
    <row r="141" spans="1:22" x14ac:dyDescent="0.3">
      <c r="A141" s="65"/>
      <c r="B141" s="65"/>
      <c r="C141" s="65"/>
      <c r="D141" s="65"/>
      <c r="E141" s="65"/>
      <c r="F141" s="65"/>
      <c r="G141" s="65"/>
      <c r="H141" s="65"/>
      <c r="I141" s="65"/>
      <c r="J141" s="65"/>
      <c r="K141" s="65"/>
      <c r="L141" s="65"/>
      <c r="M141" s="65"/>
      <c r="N141" s="65"/>
      <c r="O141" s="65"/>
      <c r="P141" s="65"/>
      <c r="Q141" s="65"/>
      <c r="R141" s="65"/>
      <c r="S141" s="65"/>
      <c r="T141" s="65"/>
      <c r="U141" s="65"/>
      <c r="V141" s="65"/>
    </row>
    <row r="142" spans="1:22" x14ac:dyDescent="0.3">
      <c r="A142" s="65"/>
      <c r="B142" s="65"/>
      <c r="C142" s="65"/>
      <c r="D142" s="65"/>
      <c r="E142" s="65"/>
      <c r="F142" s="65"/>
      <c r="G142" s="65"/>
      <c r="H142" s="65"/>
      <c r="I142" s="65"/>
      <c r="J142" s="65"/>
      <c r="K142" s="65"/>
      <c r="L142" s="65"/>
      <c r="M142" s="65"/>
      <c r="N142" s="65"/>
      <c r="O142" s="65"/>
      <c r="P142" s="65"/>
      <c r="Q142" s="65"/>
      <c r="R142" s="65"/>
      <c r="S142" s="65"/>
      <c r="T142" s="65"/>
      <c r="U142" s="65"/>
      <c r="V142" s="65"/>
    </row>
    <row r="143" spans="1:22" x14ac:dyDescent="0.3">
      <c r="A143" s="65"/>
      <c r="B143" s="65"/>
      <c r="C143" s="65"/>
      <c r="D143" s="65"/>
      <c r="E143" s="65"/>
      <c r="F143" s="65"/>
      <c r="G143" s="65"/>
      <c r="H143" s="65"/>
      <c r="I143" s="65"/>
      <c r="J143" s="65"/>
      <c r="K143" s="65"/>
      <c r="L143" s="65"/>
      <c r="M143" s="65"/>
      <c r="N143" s="65"/>
      <c r="O143" s="65"/>
      <c r="P143" s="65"/>
      <c r="Q143" s="65"/>
      <c r="R143" s="65"/>
      <c r="S143" s="65"/>
      <c r="T143" s="65"/>
      <c r="U143" s="65"/>
      <c r="V143" s="65"/>
    </row>
    <row r="144" spans="1:22" x14ac:dyDescent="0.3">
      <c r="A144" s="65"/>
      <c r="B144" s="65"/>
      <c r="C144" s="65"/>
      <c r="D144" s="65"/>
      <c r="E144" s="65"/>
      <c r="F144" s="65"/>
      <c r="G144" s="65"/>
      <c r="H144" s="65"/>
      <c r="I144" s="65"/>
      <c r="J144" s="65"/>
      <c r="K144" s="65"/>
      <c r="L144" s="65"/>
      <c r="M144" s="65"/>
      <c r="N144" s="65"/>
      <c r="O144" s="65"/>
      <c r="P144" s="65"/>
      <c r="Q144" s="65"/>
      <c r="R144" s="65"/>
      <c r="S144" s="65"/>
      <c r="T144" s="65"/>
      <c r="U144" s="65"/>
      <c r="V144" s="65"/>
    </row>
    <row r="145" spans="1:22" x14ac:dyDescent="0.3">
      <c r="A145" s="65"/>
      <c r="B145" s="65"/>
      <c r="C145" s="65"/>
      <c r="D145" s="65"/>
      <c r="E145" s="65"/>
      <c r="F145" s="65"/>
      <c r="G145" s="65"/>
      <c r="H145" s="65"/>
      <c r="I145" s="65"/>
      <c r="J145" s="65"/>
      <c r="K145" s="65"/>
      <c r="L145" s="65"/>
      <c r="M145" s="65"/>
      <c r="N145" s="65"/>
      <c r="O145" s="65"/>
      <c r="P145" s="65"/>
      <c r="Q145" s="65"/>
      <c r="R145" s="65"/>
      <c r="S145" s="65"/>
      <c r="T145" s="65"/>
      <c r="U145" s="65"/>
      <c r="V145" s="65"/>
    </row>
    <row r="146" spans="1:22" x14ac:dyDescent="0.3">
      <c r="A146" s="65"/>
      <c r="B146" s="65"/>
      <c r="C146" s="65"/>
      <c r="D146" s="65"/>
      <c r="E146" s="65"/>
      <c r="F146" s="65"/>
      <c r="G146" s="65"/>
      <c r="H146" s="65"/>
      <c r="I146" s="65"/>
      <c r="J146" s="65"/>
      <c r="K146" s="65"/>
      <c r="L146" s="65"/>
      <c r="M146" s="65"/>
      <c r="N146" s="65"/>
      <c r="O146" s="65"/>
      <c r="P146" s="65"/>
      <c r="Q146" s="65"/>
      <c r="R146" s="65"/>
      <c r="S146" s="65"/>
      <c r="T146" s="65"/>
      <c r="U146" s="65"/>
      <c r="V146" s="65"/>
    </row>
    <row r="147" spans="1:22" x14ac:dyDescent="0.3">
      <c r="A147" s="65"/>
      <c r="B147" s="65"/>
      <c r="C147" s="65"/>
      <c r="D147" s="65"/>
      <c r="E147" s="65"/>
      <c r="F147" s="65"/>
      <c r="G147" s="65"/>
      <c r="H147" s="65"/>
      <c r="I147" s="65"/>
      <c r="J147" s="65"/>
      <c r="K147" s="65"/>
      <c r="L147" s="65"/>
      <c r="M147" s="65"/>
      <c r="N147" s="65"/>
      <c r="O147" s="65"/>
      <c r="P147" s="65"/>
      <c r="Q147" s="65"/>
      <c r="R147" s="65"/>
      <c r="S147" s="65"/>
      <c r="T147" s="65"/>
      <c r="U147" s="65"/>
      <c r="V147" s="65"/>
    </row>
    <row r="148" spans="1:22" x14ac:dyDescent="0.3">
      <c r="A148" s="65"/>
      <c r="B148" s="65"/>
      <c r="C148" s="65"/>
      <c r="D148" s="65"/>
      <c r="E148" s="65"/>
      <c r="F148" s="65"/>
      <c r="G148" s="65"/>
      <c r="H148" s="65"/>
      <c r="I148" s="65"/>
      <c r="J148" s="65"/>
      <c r="K148" s="65"/>
      <c r="L148" s="65"/>
      <c r="M148" s="65"/>
      <c r="N148" s="65"/>
      <c r="O148" s="65"/>
      <c r="P148" s="65"/>
      <c r="Q148" s="65"/>
      <c r="R148" s="65"/>
      <c r="S148" s="65"/>
      <c r="T148" s="65"/>
      <c r="U148" s="65"/>
      <c r="V148" s="65"/>
    </row>
    <row r="149" spans="1:22" x14ac:dyDescent="0.3">
      <c r="A149" s="65"/>
      <c r="B149" s="65"/>
      <c r="C149" s="65"/>
      <c r="D149" s="65"/>
      <c r="E149" s="65"/>
      <c r="F149" s="65"/>
      <c r="G149" s="65"/>
      <c r="H149" s="65"/>
      <c r="I149" s="65"/>
      <c r="J149" s="65"/>
      <c r="K149" s="65"/>
      <c r="L149" s="65"/>
      <c r="M149" s="65"/>
      <c r="N149" s="65"/>
      <c r="O149" s="65"/>
      <c r="P149" s="65"/>
      <c r="Q149" s="65"/>
      <c r="R149" s="65"/>
      <c r="S149" s="65"/>
      <c r="T149" s="65"/>
      <c r="U149" s="65"/>
      <c r="V149" s="65"/>
    </row>
    <row r="150" spans="1:22" x14ac:dyDescent="0.3">
      <c r="A150" s="65"/>
      <c r="B150" s="65"/>
      <c r="C150" s="65"/>
      <c r="D150" s="65"/>
      <c r="M150" s="65"/>
      <c r="N150" s="65"/>
      <c r="O150" s="65"/>
      <c r="P150" s="65"/>
      <c r="Q150" s="65"/>
      <c r="R150" s="65"/>
      <c r="S150" s="65"/>
      <c r="T150" s="65"/>
      <c r="U150" s="65"/>
      <c r="V150" s="65"/>
    </row>
    <row r="151" spans="1:22" x14ac:dyDescent="0.3">
      <c r="A151" s="65"/>
      <c r="B151" s="65"/>
      <c r="C151" s="65"/>
      <c r="D151" s="65"/>
      <c r="M151" s="65"/>
      <c r="N151" s="65"/>
      <c r="O151" s="65"/>
      <c r="P151" s="65"/>
      <c r="Q151" s="65"/>
      <c r="R151" s="65"/>
      <c r="S151" s="65"/>
      <c r="T151" s="65"/>
      <c r="U151" s="65"/>
      <c r="V151" s="65"/>
    </row>
    <row r="152" spans="1:22" x14ac:dyDescent="0.3">
      <c r="A152" s="65"/>
      <c r="B152" s="65"/>
      <c r="C152" s="65"/>
      <c r="D152" s="65"/>
      <c r="M152" s="65"/>
      <c r="N152" s="65"/>
      <c r="O152" s="65"/>
      <c r="P152" s="65"/>
      <c r="Q152" s="65"/>
      <c r="R152" s="65"/>
      <c r="S152" s="65"/>
      <c r="T152" s="65"/>
      <c r="U152" s="65"/>
      <c r="V152" s="65"/>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zoomScale="110" zoomScaleNormal="110" workbookViewId="0">
      <selection activeCell="B53" sqref="B53"/>
    </sheetView>
  </sheetViews>
  <sheetFormatPr defaultRowHeight="14.4" x14ac:dyDescent="0.3"/>
  <cols>
    <col min="1" max="3" width="23.77734375" customWidth="1"/>
    <col min="4" max="5" width="16.77734375" customWidth="1"/>
    <col min="6" max="6" width="24.77734375" customWidth="1"/>
    <col min="7" max="9" width="16.77734375" customWidth="1"/>
    <col min="10" max="10" width="25.5546875" customWidth="1"/>
    <col min="11" max="11" width="23.44140625" bestFit="1" customWidth="1"/>
  </cols>
  <sheetData>
    <row r="1" spans="1:17" s="30" customFormat="1" ht="21" x14ac:dyDescent="0.4">
      <c r="A1" s="63" t="s">
        <v>3154</v>
      </c>
      <c r="B1" s="64"/>
      <c r="C1" s="64"/>
      <c r="D1" s="65"/>
      <c r="E1" s="65"/>
      <c r="F1" s="65"/>
      <c r="G1" s="65"/>
      <c r="H1" s="65"/>
      <c r="I1" s="65"/>
      <c r="J1" s="65"/>
      <c r="K1" s="21"/>
      <c r="L1" s="21"/>
      <c r="M1" s="21"/>
      <c r="N1" s="21"/>
      <c r="O1" s="21"/>
      <c r="P1" s="21"/>
      <c r="Q1" s="21"/>
    </row>
    <row r="2" spans="1:17" x14ac:dyDescent="0.3">
      <c r="A2" s="156" t="s">
        <v>3156</v>
      </c>
      <c r="B2" s="156"/>
      <c r="C2" s="156"/>
      <c r="D2" s="156"/>
      <c r="E2" s="156"/>
      <c r="F2" s="156"/>
      <c r="G2" s="156"/>
      <c r="H2" s="156"/>
      <c r="I2" s="156"/>
      <c r="J2" s="156"/>
      <c r="K2" s="7"/>
      <c r="L2" s="7"/>
      <c r="M2" s="7"/>
      <c r="N2" s="7"/>
      <c r="O2" s="7"/>
      <c r="P2" s="7"/>
      <c r="Q2" s="7"/>
    </row>
    <row r="3" spans="1:17" x14ac:dyDescent="0.3">
      <c r="A3" s="157" t="s">
        <v>3171</v>
      </c>
      <c r="B3" s="157"/>
      <c r="C3" s="157"/>
      <c r="D3" s="157"/>
      <c r="E3" s="157"/>
      <c r="F3" s="157"/>
      <c r="G3" s="157"/>
      <c r="H3" s="157"/>
      <c r="I3" s="157"/>
      <c r="J3" s="157"/>
      <c r="K3" s="7"/>
      <c r="L3" s="7"/>
      <c r="M3" s="7"/>
      <c r="N3" s="7"/>
      <c r="O3" s="7"/>
      <c r="P3" s="7"/>
      <c r="Q3" s="7"/>
    </row>
    <row r="4" spans="1:17" ht="15" customHeight="1" x14ac:dyDescent="0.4">
      <c r="A4" s="47"/>
      <c r="B4" s="47"/>
      <c r="C4" s="47"/>
      <c r="D4" s="47"/>
      <c r="E4" s="47"/>
      <c r="F4" s="59"/>
      <c r="G4" s="58"/>
      <c r="H4" s="5"/>
      <c r="I4" s="5"/>
      <c r="J4" s="7"/>
      <c r="K4" s="7"/>
      <c r="L4" s="7"/>
      <c r="M4" s="7"/>
      <c r="N4" s="7"/>
      <c r="O4" s="7"/>
      <c r="P4" s="7"/>
      <c r="Q4" s="7"/>
    </row>
    <row r="5" spans="1:17" ht="21" x14ac:dyDescent="0.4">
      <c r="A5" s="158" t="s">
        <v>232</v>
      </c>
      <c r="B5" s="158"/>
      <c r="C5" s="158"/>
      <c r="D5" s="158"/>
      <c r="E5" s="158"/>
      <c r="F5" s="158"/>
      <c r="G5" s="158"/>
      <c r="H5" s="158"/>
      <c r="I5" s="158"/>
      <c r="J5" s="7"/>
      <c r="K5" s="7"/>
      <c r="L5" s="7"/>
      <c r="M5" s="7"/>
      <c r="N5" s="7"/>
      <c r="O5" s="7"/>
      <c r="P5" s="7"/>
      <c r="Q5" s="7"/>
    </row>
    <row r="6" spans="1:17" ht="29.1" customHeight="1" x14ac:dyDescent="0.4">
      <c r="A6" s="51" t="s">
        <v>234</v>
      </c>
      <c r="B6" s="52"/>
      <c r="C6" s="49"/>
      <c r="D6" s="54" t="s">
        <v>233</v>
      </c>
      <c r="E6" s="49"/>
      <c r="F6" s="49"/>
      <c r="G6" s="49"/>
      <c r="H6" s="49"/>
      <c r="I6" s="55" t="s">
        <v>3176</v>
      </c>
      <c r="J6" s="7"/>
      <c r="K6" s="7"/>
      <c r="L6" s="7"/>
      <c r="M6" s="7"/>
      <c r="N6" s="7"/>
      <c r="O6" s="7"/>
      <c r="P6" s="7"/>
      <c r="Q6" s="7"/>
    </row>
    <row r="7" spans="1:17" x14ac:dyDescent="0.3">
      <c r="A7" s="48" t="s">
        <v>25</v>
      </c>
      <c r="B7" s="48" t="s">
        <v>35</v>
      </c>
      <c r="C7" s="48" t="s">
        <v>31</v>
      </c>
      <c r="D7" s="53" t="s">
        <v>24</v>
      </c>
      <c r="E7" s="53" t="s">
        <v>36</v>
      </c>
      <c r="F7" s="53" t="s">
        <v>44</v>
      </c>
      <c r="G7" s="53" t="s">
        <v>196</v>
      </c>
      <c r="H7" s="53" t="s">
        <v>45</v>
      </c>
      <c r="I7" s="50" t="s">
        <v>46</v>
      </c>
      <c r="J7" s="50" t="s">
        <v>3177</v>
      </c>
      <c r="K7" s="50" t="s">
        <v>109</v>
      </c>
      <c r="L7" s="7"/>
      <c r="M7" s="7"/>
      <c r="N7" s="7"/>
      <c r="O7" s="7"/>
      <c r="P7" s="7"/>
      <c r="Q7" s="7"/>
    </row>
    <row r="8" spans="1:17" x14ac:dyDescent="0.3">
      <c r="A8" s="7" t="str">
        <f>IF(Notes!BY4="","",Notes!BY4)</f>
        <v>processor</v>
      </c>
      <c r="B8" s="7" t="str">
        <f>IF(Notes!BZ4="","",Notes!BZ4)</f>
        <v>cand_HEFA_FOG</v>
      </c>
      <c r="C8" s="7" t="str">
        <f>IF(Notes!CA4="","",Notes!CA4)</f>
        <v>makeSAF</v>
      </c>
      <c r="D8" s="7">
        <f>IF(Notes!CB4="","",Notes!CB4)</f>
        <v>1142151.7654722061</v>
      </c>
      <c r="E8" s="7" t="str">
        <f>IF(Notes!CC4="","",Notes!CC4)</f>
        <v>tons</v>
      </c>
      <c r="F8" s="7">
        <f>IF(Notes!CD4="","",Notes!CD4)</f>
        <v>571075.88273610303</v>
      </c>
      <c r="G8" s="7">
        <f>IF(Notes!CE4="","",Notes!CE4)</f>
        <v>114215.17654722062</v>
      </c>
      <c r="H8" s="7">
        <f>IF(Notes!CF4="","",Notes!CF4)</f>
        <v>32231836.200000003</v>
      </c>
      <c r="I8" s="7"/>
      <c r="J8" s="7"/>
      <c r="K8" s="7"/>
      <c r="L8" s="7"/>
      <c r="M8" s="7"/>
      <c r="N8" s="7"/>
      <c r="O8" s="7"/>
      <c r="P8" s="7"/>
      <c r="Q8" s="7"/>
    </row>
    <row r="9" spans="1:17" x14ac:dyDescent="0.3">
      <c r="A9" s="7" t="str">
        <f>IF(Notes!BY5="","",Notes!BY5)</f>
        <v>processor</v>
      </c>
      <c r="B9" s="7" t="str">
        <f>IF(Notes!BZ5="","",Notes!BZ5)</f>
        <v>blend_3192</v>
      </c>
      <c r="C9" s="7" t="str">
        <f>IF(Notes!CA5="","",Notes!CA5)</f>
        <v>blendSAF</v>
      </c>
      <c r="D9" s="7" t="str">
        <f>IF(Notes!CB5="","",Notes!CB5)</f>
        <v/>
      </c>
      <c r="E9" s="7" t="str">
        <f>IF(Notes!CC5="","",Notes!CC5)</f>
        <v/>
      </c>
      <c r="F9" s="7" t="str">
        <f>IF(Notes!CD5="","",Notes!CD5)</f>
        <v/>
      </c>
      <c r="G9" s="7" t="str">
        <f>IF(Notes!CE5="","",Notes!CE5)</f>
        <v/>
      </c>
      <c r="H9" s="7" t="str">
        <f>IF(Notes!CF5="","",Notes!CF5)</f>
        <v/>
      </c>
      <c r="I9" s="7"/>
      <c r="J9" s="7"/>
      <c r="K9" s="7"/>
      <c r="L9" s="7"/>
      <c r="M9" s="7"/>
      <c r="N9" s="7"/>
      <c r="O9" s="7"/>
      <c r="P9" s="7"/>
      <c r="Q9" s="7"/>
    </row>
    <row r="10" spans="1:17" x14ac:dyDescent="0.3">
      <c r="A10" s="7" t="str">
        <f>IF(Notes!BY6="","",Notes!BY6)</f>
        <v>processor</v>
      </c>
      <c r="B10" s="7" t="str">
        <f>IF(Notes!BZ6="","",Notes!BZ6)</f>
        <v>blend_3809</v>
      </c>
      <c r="C10" s="7" t="str">
        <f>IF(Notes!CA6="","",Notes!CA6)</f>
        <v>blendSAF</v>
      </c>
      <c r="D10" s="7" t="str">
        <f>IF(Notes!CB6="","",Notes!CB6)</f>
        <v/>
      </c>
      <c r="E10" s="7" t="str">
        <f>IF(Notes!CC6="","",Notes!CC6)</f>
        <v/>
      </c>
      <c r="F10" s="7" t="str">
        <f>IF(Notes!CD6="","",Notes!CD6)</f>
        <v/>
      </c>
      <c r="G10" s="7" t="str">
        <f>IF(Notes!CE6="","",Notes!CE6)</f>
        <v/>
      </c>
      <c r="H10" s="7" t="str">
        <f>IF(Notes!CF6="","",Notes!CF6)</f>
        <v/>
      </c>
      <c r="I10" s="7"/>
      <c r="J10" s="7"/>
      <c r="K10" s="7"/>
      <c r="L10" s="7"/>
      <c r="M10" s="7"/>
      <c r="N10" s="7"/>
      <c r="O10" s="7"/>
      <c r="P10" s="7"/>
      <c r="Q10" s="7"/>
    </row>
    <row r="11" spans="1:17" x14ac:dyDescent="0.3">
      <c r="A11" s="7" t="str">
        <f>IF(Notes!BY7="","",Notes!BY7)</f>
        <v>processor</v>
      </c>
      <c r="B11" s="7" t="str">
        <f>IF(Notes!BZ7="","",Notes!BZ7)</f>
        <v>blend_3810</v>
      </c>
      <c r="C11" s="7" t="str">
        <f>IF(Notes!CA7="","",Notes!CA7)</f>
        <v>blendSAF</v>
      </c>
      <c r="D11" s="7" t="str">
        <f>IF(Notes!CB7="","",Notes!CB7)</f>
        <v/>
      </c>
      <c r="E11" s="7" t="str">
        <f>IF(Notes!CC7="","",Notes!CC7)</f>
        <v/>
      </c>
      <c r="F11" s="7" t="str">
        <f>IF(Notes!CD7="","",Notes!CD7)</f>
        <v/>
      </c>
      <c r="G11" s="7" t="str">
        <f>IF(Notes!CE7="","",Notes!CE7)</f>
        <v/>
      </c>
      <c r="H11" s="7" t="str">
        <f>IF(Notes!CF7="","",Notes!CF7)</f>
        <v/>
      </c>
      <c r="I11" s="7"/>
      <c r="J11" s="7"/>
      <c r="K11" s="7"/>
      <c r="L11" s="7"/>
      <c r="M11" s="7"/>
      <c r="N11" s="7"/>
      <c r="O11" s="7"/>
      <c r="P11" s="7"/>
      <c r="Q11" s="7"/>
    </row>
    <row r="12" spans="1:17" x14ac:dyDescent="0.3">
      <c r="A12" s="7" t="str">
        <f>IF(Notes!BY8="","",Notes!BY8)</f>
        <v>processor</v>
      </c>
      <c r="B12" s="7" t="str">
        <f>IF(Notes!BZ8="","",Notes!BZ8)</f>
        <v>blend_3813</v>
      </c>
      <c r="C12" s="7" t="str">
        <f>IF(Notes!CA8="","",Notes!CA8)</f>
        <v>blendSAF</v>
      </c>
      <c r="D12" s="7" t="str">
        <f>IF(Notes!CB8="","",Notes!CB8)</f>
        <v/>
      </c>
      <c r="E12" s="7" t="str">
        <f>IF(Notes!CC8="","",Notes!CC8)</f>
        <v/>
      </c>
      <c r="F12" s="7" t="str">
        <f>IF(Notes!CD8="","",Notes!CD8)</f>
        <v/>
      </c>
      <c r="G12" s="7" t="str">
        <f>IF(Notes!CE8="","",Notes!CE8)</f>
        <v/>
      </c>
      <c r="H12" s="7" t="str">
        <f>IF(Notes!CF8="","",Notes!CF8)</f>
        <v/>
      </c>
      <c r="I12" s="7"/>
      <c r="J12" s="7"/>
      <c r="K12" s="7"/>
      <c r="L12" s="7"/>
      <c r="M12" s="7"/>
      <c r="N12" s="7"/>
      <c r="O12" s="7"/>
      <c r="P12" s="7"/>
      <c r="Q12" s="7"/>
    </row>
    <row r="13" spans="1:17" x14ac:dyDescent="0.3">
      <c r="A13" s="7" t="str">
        <f>IF(Notes!BY9="","",Notes!BY9)</f>
        <v>processor</v>
      </c>
      <c r="B13" s="7" t="str">
        <f>IF(Notes!BZ9="","",Notes!BZ9)</f>
        <v>blend_4143</v>
      </c>
      <c r="C13" s="7" t="str">
        <f>IF(Notes!CA9="","",Notes!CA9)</f>
        <v>blendSAF</v>
      </c>
      <c r="D13" s="7" t="str">
        <f>IF(Notes!CB9="","",Notes!CB9)</f>
        <v/>
      </c>
      <c r="E13" s="7" t="str">
        <f>IF(Notes!CC9="","",Notes!CC9)</f>
        <v/>
      </c>
      <c r="F13" s="7" t="str">
        <f>IF(Notes!CD9="","",Notes!CD9)</f>
        <v/>
      </c>
      <c r="G13" s="7" t="str">
        <f>IF(Notes!CE9="","",Notes!CE9)</f>
        <v/>
      </c>
      <c r="H13" s="7" t="str">
        <f>IF(Notes!CF9="","",Notes!CF9)</f>
        <v/>
      </c>
      <c r="I13" s="7"/>
      <c r="J13" s="7"/>
      <c r="K13" s="7"/>
      <c r="L13" s="7"/>
      <c r="M13" s="7"/>
      <c r="N13" s="7"/>
      <c r="O13" s="7"/>
      <c r="P13" s="7"/>
      <c r="Q13" s="7"/>
    </row>
    <row r="14" spans="1:17" x14ac:dyDescent="0.3">
      <c r="A14" s="7" t="str">
        <f>IF(Notes!BY10="","",Notes!BY10)</f>
        <v>processor</v>
      </c>
      <c r="B14" s="7" t="str">
        <f>IF(Notes!BZ10="","",Notes!BZ10)</f>
        <v>blend_4155</v>
      </c>
      <c r="C14" s="7" t="str">
        <f>IF(Notes!CA10="","",Notes!CA10)</f>
        <v>blendSAF</v>
      </c>
      <c r="D14" s="7" t="str">
        <f>IF(Notes!CB10="","",Notes!CB10)</f>
        <v/>
      </c>
      <c r="E14" s="7" t="str">
        <f>IF(Notes!CC10="","",Notes!CC10)</f>
        <v/>
      </c>
      <c r="F14" s="7" t="str">
        <f>IF(Notes!CD10="","",Notes!CD10)</f>
        <v/>
      </c>
      <c r="G14" s="7" t="str">
        <f>IF(Notes!CE10="","",Notes!CE10)</f>
        <v/>
      </c>
      <c r="H14" s="7" t="str">
        <f>IF(Notes!CF10="","",Notes!CF10)</f>
        <v/>
      </c>
      <c r="I14" s="7"/>
      <c r="J14" s="7"/>
      <c r="K14" s="7"/>
      <c r="L14" s="7"/>
      <c r="M14" s="7"/>
      <c r="N14" s="7"/>
      <c r="O14" s="7"/>
      <c r="P14" s="7"/>
      <c r="Q14" s="7"/>
    </row>
    <row r="15" spans="1:17" x14ac:dyDescent="0.3">
      <c r="A15" s="7" t="str">
        <f>IF(Notes!BY11="","",Notes!BY11)</f>
        <v>processor</v>
      </c>
      <c r="B15" s="7" t="str">
        <f>IF(Notes!BZ11="","",Notes!BZ11)</f>
        <v>blend_4156</v>
      </c>
      <c r="C15" s="7" t="str">
        <f>IF(Notes!CA11="","",Notes!CA11)</f>
        <v>blendSAF</v>
      </c>
      <c r="D15" s="7" t="str">
        <f>IF(Notes!CB11="","",Notes!CB11)</f>
        <v/>
      </c>
      <c r="E15" s="7" t="str">
        <f>IF(Notes!CC11="","",Notes!CC11)</f>
        <v/>
      </c>
      <c r="F15" s="7" t="str">
        <f>IF(Notes!CD11="","",Notes!CD11)</f>
        <v/>
      </c>
      <c r="G15" s="7" t="str">
        <f>IF(Notes!CE11="","",Notes!CE11)</f>
        <v/>
      </c>
      <c r="H15" s="7" t="str">
        <f>IF(Notes!CF11="","",Notes!CF11)</f>
        <v/>
      </c>
      <c r="I15" s="7"/>
      <c r="J15" s="7"/>
      <c r="K15" s="7"/>
      <c r="L15" s="7"/>
      <c r="M15" s="7"/>
      <c r="N15" s="7"/>
      <c r="O15" s="7"/>
      <c r="P15" s="7"/>
      <c r="Q15" s="7"/>
    </row>
    <row r="16" spans="1:17" x14ac:dyDescent="0.3">
      <c r="A16" s="7" t="str">
        <f>IF(Notes!BY12="","",Notes!BY12)</f>
        <v>processor</v>
      </c>
      <c r="B16" s="7" t="str">
        <f>IF(Notes!BZ12="","",Notes!BZ12)</f>
        <v>blend_4364</v>
      </c>
      <c r="C16" s="7" t="str">
        <f>IF(Notes!CA12="","",Notes!CA12)</f>
        <v>blendSAF</v>
      </c>
      <c r="D16" s="7" t="str">
        <f>IF(Notes!CB12="","",Notes!CB12)</f>
        <v/>
      </c>
      <c r="E16" s="7" t="str">
        <f>IF(Notes!CC12="","",Notes!CC12)</f>
        <v/>
      </c>
      <c r="F16" s="7" t="str">
        <f>IF(Notes!CD12="","",Notes!CD12)</f>
        <v/>
      </c>
      <c r="G16" s="7" t="str">
        <f>IF(Notes!CE12="","",Notes!CE12)</f>
        <v/>
      </c>
      <c r="H16" s="7" t="str">
        <f>IF(Notes!CF12="","",Notes!CF12)</f>
        <v/>
      </c>
      <c r="I16" s="7"/>
      <c r="J16" s="7"/>
      <c r="K16" s="7"/>
      <c r="L16" s="7"/>
      <c r="M16" s="7"/>
      <c r="N16" s="7"/>
      <c r="O16" s="7"/>
      <c r="P16" s="7"/>
      <c r="Q16" s="7"/>
    </row>
    <row r="17" spans="1:17" x14ac:dyDescent="0.3">
      <c r="A17" s="7" t="str">
        <f>IF(Notes!BY13="","",Notes!BY13)</f>
        <v>processor</v>
      </c>
      <c r="B17" s="7" t="str">
        <f>IF(Notes!BZ13="","",Notes!BZ13)</f>
        <v>blend_3121</v>
      </c>
      <c r="C17" s="7" t="str">
        <f>IF(Notes!CA13="","",Notes!CA13)</f>
        <v>blendSAF</v>
      </c>
      <c r="D17" s="7" t="str">
        <f>IF(Notes!CB13="","",Notes!CB13)</f>
        <v/>
      </c>
      <c r="E17" s="7" t="str">
        <f>IF(Notes!CC13="","",Notes!CC13)</f>
        <v/>
      </c>
      <c r="F17" s="7" t="str">
        <f>IF(Notes!CD13="","",Notes!CD13)</f>
        <v/>
      </c>
      <c r="G17" s="7" t="str">
        <f>IF(Notes!CE13="","",Notes!CE13)</f>
        <v/>
      </c>
      <c r="H17" s="7" t="str">
        <f>IF(Notes!CF13="","",Notes!CF13)</f>
        <v/>
      </c>
      <c r="I17" s="7"/>
      <c r="J17" s="7"/>
      <c r="K17" s="7"/>
      <c r="L17" s="7"/>
      <c r="M17" s="7"/>
      <c r="N17" s="7"/>
      <c r="O17" s="7"/>
      <c r="P17" s="7"/>
      <c r="Q17" s="7"/>
    </row>
    <row r="18" spans="1:17" x14ac:dyDescent="0.3">
      <c r="A18" s="7" t="str">
        <f>IF(Notes!BY14="","",Notes!BY14)</f>
        <v>processor</v>
      </c>
      <c r="B18" s="7" t="str">
        <f>IF(Notes!BZ14="","",Notes!BZ14)</f>
        <v>blend_3266</v>
      </c>
      <c r="C18" s="7" t="str">
        <f>IF(Notes!CA14="","",Notes!CA14)</f>
        <v>blendSAF</v>
      </c>
      <c r="D18" s="7" t="str">
        <f>IF(Notes!CB14="","",Notes!CB14)</f>
        <v/>
      </c>
      <c r="E18" s="7" t="str">
        <f>IF(Notes!CC14="","",Notes!CC14)</f>
        <v/>
      </c>
      <c r="F18" s="7" t="str">
        <f>IF(Notes!CD14="","",Notes!CD14)</f>
        <v/>
      </c>
      <c r="G18" s="7" t="str">
        <f>IF(Notes!CE14="","",Notes!CE14)</f>
        <v/>
      </c>
      <c r="H18" s="7" t="str">
        <f>IF(Notes!CF14="","",Notes!CF14)</f>
        <v/>
      </c>
      <c r="I18" s="7"/>
      <c r="J18" s="7"/>
      <c r="K18" s="7"/>
      <c r="L18" s="7"/>
      <c r="M18" s="7"/>
      <c r="N18" s="7"/>
      <c r="O18" s="7"/>
      <c r="P18" s="7"/>
      <c r="Q18" s="7"/>
    </row>
    <row r="19" spans="1:17" x14ac:dyDescent="0.3">
      <c r="A19" s="7" t="str">
        <f>IF(Notes!BY15="","",Notes!BY15)</f>
        <v>processor</v>
      </c>
      <c r="B19" s="7" t="str">
        <f>IF(Notes!BZ15="","",Notes!BZ15)</f>
        <v>blend_3520</v>
      </c>
      <c r="C19" s="7" t="str">
        <f>IF(Notes!CA15="","",Notes!CA15)</f>
        <v>blendSAF</v>
      </c>
      <c r="D19" s="7" t="str">
        <f>IF(Notes!CB15="","",Notes!CB15)</f>
        <v/>
      </c>
      <c r="E19" s="7" t="str">
        <f>IF(Notes!CC15="","",Notes!CC15)</f>
        <v/>
      </c>
      <c r="F19" s="7" t="str">
        <f>IF(Notes!CD15="","",Notes!CD15)</f>
        <v/>
      </c>
      <c r="G19" s="7" t="str">
        <f>IF(Notes!CE15="","",Notes!CE15)</f>
        <v/>
      </c>
      <c r="H19" s="7" t="str">
        <f>IF(Notes!CF15="","",Notes!CF15)</f>
        <v/>
      </c>
      <c r="I19" s="7"/>
      <c r="J19" s="7"/>
      <c r="K19" s="7"/>
      <c r="L19" s="7"/>
      <c r="M19" s="7"/>
      <c r="N19" s="7"/>
      <c r="O19" s="7"/>
      <c r="P19" s="7"/>
      <c r="Q19" s="7"/>
    </row>
    <row r="20" spans="1:17" x14ac:dyDescent="0.3">
      <c r="A20" s="7" t="str">
        <f>IF(Notes!BY16="","",Notes!BY16)</f>
        <v>processor</v>
      </c>
      <c r="B20" s="7" t="str">
        <f>IF(Notes!BZ16="","",Notes!BZ16)</f>
        <v>blend_3526</v>
      </c>
      <c r="C20" s="7" t="str">
        <f>IF(Notes!CA16="","",Notes!CA16)</f>
        <v>blendSAF</v>
      </c>
      <c r="D20" s="7" t="str">
        <f>IF(Notes!CB16="","",Notes!CB16)</f>
        <v/>
      </c>
      <c r="E20" s="7" t="str">
        <f>IF(Notes!CC16="","",Notes!CC16)</f>
        <v/>
      </c>
      <c r="F20" s="7" t="str">
        <f>IF(Notes!CD16="","",Notes!CD16)</f>
        <v/>
      </c>
      <c r="G20" s="7" t="str">
        <f>IF(Notes!CE16="","",Notes!CE16)</f>
        <v/>
      </c>
      <c r="H20" s="7" t="str">
        <f>IF(Notes!CF16="","",Notes!CF16)</f>
        <v/>
      </c>
      <c r="I20" s="7"/>
      <c r="J20" s="7"/>
      <c r="K20" s="7"/>
      <c r="L20" s="7"/>
      <c r="M20" s="7"/>
      <c r="N20" s="7"/>
      <c r="O20" s="7"/>
      <c r="P20" s="7"/>
      <c r="Q20" s="7"/>
    </row>
    <row r="21" spans="1:17" x14ac:dyDescent="0.3">
      <c r="A21" s="7" t="str">
        <f>IF(Notes!BY17="","",Notes!BY17)</f>
        <v>processor</v>
      </c>
      <c r="B21" s="7" t="str">
        <f>IF(Notes!BZ17="","",Notes!BZ17)</f>
        <v>blend_3797</v>
      </c>
      <c r="C21" s="7" t="str">
        <f>IF(Notes!CA17="","",Notes!CA17)</f>
        <v>blendSAF</v>
      </c>
      <c r="D21" s="7" t="str">
        <f>IF(Notes!CB17="","",Notes!CB17)</f>
        <v/>
      </c>
      <c r="E21" s="7" t="str">
        <f>IF(Notes!CC17="","",Notes!CC17)</f>
        <v/>
      </c>
      <c r="F21" s="7" t="str">
        <f>IF(Notes!CD17="","",Notes!CD17)</f>
        <v/>
      </c>
      <c r="G21" s="7" t="str">
        <f>IF(Notes!CE17="","",Notes!CE17)</f>
        <v/>
      </c>
      <c r="H21" s="7" t="str">
        <f>IF(Notes!CF17="","",Notes!CF17)</f>
        <v/>
      </c>
      <c r="I21" s="7"/>
      <c r="J21" s="7"/>
      <c r="K21" s="7"/>
      <c r="L21" s="7"/>
      <c r="M21" s="7"/>
      <c r="N21" s="7"/>
      <c r="O21" s="7"/>
      <c r="P21" s="7"/>
      <c r="Q21" s="7"/>
    </row>
    <row r="22" spans="1:17" x14ac:dyDescent="0.3">
      <c r="A22" s="7" t="str">
        <f>IF(Notes!BY18="","",Notes!BY18)</f>
        <v>processor</v>
      </c>
      <c r="B22" s="7" t="str">
        <f>IF(Notes!BZ18="","",Notes!BZ18)</f>
        <v>blend_3832</v>
      </c>
      <c r="C22" s="7" t="str">
        <f>IF(Notes!CA18="","",Notes!CA18)</f>
        <v>blendSAF</v>
      </c>
      <c r="D22" s="7" t="str">
        <f>IF(Notes!CB18="","",Notes!CB18)</f>
        <v/>
      </c>
      <c r="E22" s="7" t="str">
        <f>IF(Notes!CC18="","",Notes!CC18)</f>
        <v/>
      </c>
      <c r="F22" s="7" t="str">
        <f>IF(Notes!CD18="","",Notes!CD18)</f>
        <v/>
      </c>
      <c r="G22" s="7" t="str">
        <f>IF(Notes!CE18="","",Notes!CE18)</f>
        <v/>
      </c>
      <c r="H22" s="7" t="str">
        <f>IF(Notes!CF18="","",Notes!CF18)</f>
        <v/>
      </c>
      <c r="I22" s="7"/>
      <c r="J22" s="7"/>
      <c r="K22" s="7"/>
      <c r="L22" s="7"/>
      <c r="M22" s="7"/>
      <c r="N22" s="7"/>
      <c r="O22" s="7"/>
      <c r="P22" s="7"/>
      <c r="Q22" s="7"/>
    </row>
    <row r="23" spans="1:17" x14ac:dyDescent="0.3">
      <c r="A23" s="7" t="str">
        <f>IF(Notes!BY19="","",Notes!BY19)</f>
        <v>processor</v>
      </c>
      <c r="B23" s="7" t="str">
        <f>IF(Notes!BZ19="","",Notes!BZ19)</f>
        <v>blend_3916</v>
      </c>
      <c r="C23" s="7" t="str">
        <f>IF(Notes!CA19="","",Notes!CA19)</f>
        <v>blendSAF</v>
      </c>
      <c r="D23" s="7" t="str">
        <f>IF(Notes!CB19="","",Notes!CB19)</f>
        <v/>
      </c>
      <c r="E23" s="7" t="str">
        <f>IF(Notes!CC19="","",Notes!CC19)</f>
        <v/>
      </c>
      <c r="F23" s="7" t="str">
        <f>IF(Notes!CD19="","",Notes!CD19)</f>
        <v/>
      </c>
      <c r="G23" s="7" t="str">
        <f>IF(Notes!CE19="","",Notes!CE19)</f>
        <v/>
      </c>
      <c r="H23" s="7" t="str">
        <f>IF(Notes!CF19="","",Notes!CF19)</f>
        <v/>
      </c>
      <c r="I23" s="7"/>
      <c r="J23" s="7"/>
      <c r="K23" s="7"/>
      <c r="L23" s="7"/>
      <c r="M23" s="7"/>
      <c r="N23" s="7"/>
      <c r="O23" s="7"/>
      <c r="P23" s="7"/>
      <c r="Q23" s="7"/>
    </row>
    <row r="24" spans="1:17" x14ac:dyDescent="0.3">
      <c r="A24" s="7" t="str">
        <f>IF(Notes!BY20="","",Notes!BY20)</f>
        <v>processor</v>
      </c>
      <c r="B24" s="7" t="str">
        <f>IF(Notes!BZ20="","",Notes!BZ20)</f>
        <v>blend_3939</v>
      </c>
      <c r="C24" s="7" t="str">
        <f>IF(Notes!CA20="","",Notes!CA20)</f>
        <v>blendSAF</v>
      </c>
      <c r="D24" s="7" t="str">
        <f>IF(Notes!CB20="","",Notes!CB20)</f>
        <v/>
      </c>
      <c r="E24" s="7" t="str">
        <f>IF(Notes!CC20="","",Notes!CC20)</f>
        <v/>
      </c>
      <c r="F24" s="7" t="str">
        <f>IF(Notes!CD20="","",Notes!CD20)</f>
        <v/>
      </c>
      <c r="G24" s="7" t="str">
        <f>IF(Notes!CE20="","",Notes!CE20)</f>
        <v/>
      </c>
      <c r="H24" s="7" t="str">
        <f>IF(Notes!CF20="","",Notes!CF20)</f>
        <v/>
      </c>
      <c r="I24" s="7"/>
      <c r="J24" s="7"/>
      <c r="K24" s="7"/>
      <c r="L24" s="7"/>
      <c r="M24" s="7"/>
      <c r="N24" s="7"/>
      <c r="O24" s="7"/>
      <c r="P24" s="7"/>
      <c r="Q24" s="7"/>
    </row>
    <row r="25" spans="1:17" x14ac:dyDescent="0.3">
      <c r="A25" s="7" t="str">
        <f>IF(Notes!BY21="","",Notes!BY21)</f>
        <v>processor</v>
      </c>
      <c r="B25" s="7" t="str">
        <f>IF(Notes!BZ21="","",Notes!BZ21)</f>
        <v>blend_4187</v>
      </c>
      <c r="C25" s="7" t="str">
        <f>IF(Notes!CA21="","",Notes!CA21)</f>
        <v>blendSAF</v>
      </c>
      <c r="D25" s="7" t="str">
        <f>IF(Notes!CB21="","",Notes!CB21)</f>
        <v/>
      </c>
      <c r="E25" s="7" t="str">
        <f>IF(Notes!CC21="","",Notes!CC21)</f>
        <v/>
      </c>
      <c r="F25" s="7" t="str">
        <f>IF(Notes!CD21="","",Notes!CD21)</f>
        <v/>
      </c>
      <c r="G25" s="7" t="str">
        <f>IF(Notes!CE21="","",Notes!CE21)</f>
        <v/>
      </c>
      <c r="H25" s="7" t="str">
        <f>IF(Notes!CF21="","",Notes!CF21)</f>
        <v/>
      </c>
      <c r="I25" s="7"/>
      <c r="J25" s="7"/>
      <c r="K25" s="7"/>
      <c r="L25" s="7"/>
      <c r="M25" s="7"/>
      <c r="N25" s="7"/>
      <c r="O25" s="7"/>
      <c r="P25" s="7"/>
      <c r="Q25" s="7"/>
    </row>
    <row r="26" spans="1:17" x14ac:dyDescent="0.3">
      <c r="A26" s="7" t="str">
        <f>IF(Notes!BY22="","",Notes!BY22)</f>
        <v>processor</v>
      </c>
      <c r="B26" s="7" t="str">
        <f>IF(Notes!BZ22="","",Notes!BZ22)</f>
        <v>blend_4226</v>
      </c>
      <c r="C26" s="7" t="str">
        <f>IF(Notes!CA22="","",Notes!CA22)</f>
        <v>blendSAF</v>
      </c>
      <c r="D26" s="7" t="str">
        <f>IF(Notes!CB22="","",Notes!CB22)</f>
        <v/>
      </c>
      <c r="E26" s="7" t="str">
        <f>IF(Notes!CC22="","",Notes!CC22)</f>
        <v/>
      </c>
      <c r="F26" s="7" t="str">
        <f>IF(Notes!CD22="","",Notes!CD22)</f>
        <v/>
      </c>
      <c r="G26" s="7" t="str">
        <f>IF(Notes!CE22="","",Notes!CE22)</f>
        <v/>
      </c>
      <c r="H26" s="7" t="str">
        <f>IF(Notes!CF22="","",Notes!CF22)</f>
        <v/>
      </c>
      <c r="I26" s="7"/>
      <c r="J26" s="7"/>
      <c r="K26" s="7"/>
      <c r="L26" s="7"/>
      <c r="M26" s="7"/>
      <c r="N26" s="7"/>
      <c r="O26" s="7"/>
      <c r="P26" s="7"/>
      <c r="Q26" s="7"/>
    </row>
    <row r="27" spans="1:17" x14ac:dyDescent="0.3">
      <c r="A27" s="7" t="str">
        <f>IF(Notes!BY23="","",Notes!BY23)</f>
        <v>processor</v>
      </c>
      <c r="B27" s="7" t="str">
        <f>IF(Notes!BZ23="","",Notes!BZ23)</f>
        <v>blend_4369</v>
      </c>
      <c r="C27" s="7" t="str">
        <f>IF(Notes!CA23="","",Notes!CA23)</f>
        <v>blendSAF</v>
      </c>
      <c r="D27" s="7" t="str">
        <f>IF(Notes!CB23="","",Notes!CB23)</f>
        <v/>
      </c>
      <c r="E27" s="7" t="str">
        <f>IF(Notes!CC23="","",Notes!CC23)</f>
        <v/>
      </c>
      <c r="F27" s="7" t="str">
        <f>IF(Notes!CD23="","",Notes!CD23)</f>
        <v/>
      </c>
      <c r="G27" s="7" t="str">
        <f>IF(Notes!CE23="","",Notes!CE23)</f>
        <v/>
      </c>
      <c r="H27" s="7" t="str">
        <f>IF(Notes!CF23="","",Notes!CF23)</f>
        <v/>
      </c>
      <c r="I27" s="7"/>
      <c r="J27" s="7"/>
      <c r="K27" s="7"/>
      <c r="L27" s="7"/>
      <c r="M27" s="7"/>
      <c r="N27" s="7"/>
      <c r="O27" s="7"/>
      <c r="P27" s="7"/>
      <c r="Q27" s="7"/>
    </row>
    <row r="28" spans="1:17" x14ac:dyDescent="0.3">
      <c r="A28" s="7" t="str">
        <f>IF(Notes!BY24="","",Notes!BY24)</f>
        <v>processor</v>
      </c>
      <c r="B28" s="7" t="str">
        <f>IF(Notes!BZ24="","",Notes!BZ24)</f>
        <v>blend_4462</v>
      </c>
      <c r="C28" s="7" t="str">
        <f>IF(Notes!CA24="","",Notes!CA24)</f>
        <v>blendSAF</v>
      </c>
      <c r="D28" s="7" t="str">
        <f>IF(Notes!CB24="","",Notes!CB24)</f>
        <v/>
      </c>
      <c r="E28" s="7" t="str">
        <f>IF(Notes!CC24="","",Notes!CC24)</f>
        <v/>
      </c>
      <c r="F28" s="7" t="str">
        <f>IF(Notes!CD24="","",Notes!CD24)</f>
        <v/>
      </c>
      <c r="G28" s="7" t="str">
        <f>IF(Notes!CE24="","",Notes!CE24)</f>
        <v/>
      </c>
      <c r="H28" s="7" t="str">
        <f>IF(Notes!CF24="","",Notes!CF24)</f>
        <v/>
      </c>
      <c r="I28" s="7"/>
      <c r="J28" s="7"/>
      <c r="K28" s="7"/>
      <c r="L28" s="7"/>
      <c r="M28" s="7"/>
      <c r="N28" s="7"/>
      <c r="O28" s="7"/>
      <c r="P28" s="7"/>
      <c r="Q28" s="7"/>
    </row>
    <row r="29" spans="1:17" x14ac:dyDescent="0.3">
      <c r="A29" s="7" t="str">
        <f>IF(Notes!BY25="","",Notes!BY25)</f>
        <v>processor</v>
      </c>
      <c r="B29" s="7" t="str">
        <f>IF(Notes!BZ25="","",Notes!BZ25)</f>
        <v>blend_4526</v>
      </c>
      <c r="C29" s="7" t="str">
        <f>IF(Notes!CA25="","",Notes!CA25)</f>
        <v>blendSAF</v>
      </c>
      <c r="D29" s="7" t="str">
        <f>IF(Notes!CB25="","",Notes!CB25)</f>
        <v/>
      </c>
      <c r="E29" s="7" t="str">
        <f>IF(Notes!CC25="","",Notes!CC25)</f>
        <v/>
      </c>
      <c r="F29" s="7" t="str">
        <f>IF(Notes!CD25="","",Notes!CD25)</f>
        <v/>
      </c>
      <c r="G29" s="7" t="str">
        <f>IF(Notes!CE25="","",Notes!CE25)</f>
        <v/>
      </c>
      <c r="H29" s="7" t="str">
        <f>IF(Notes!CF25="","",Notes!CF25)</f>
        <v/>
      </c>
      <c r="I29" s="7"/>
      <c r="J29" s="7"/>
      <c r="K29" s="7"/>
      <c r="L29" s="7"/>
      <c r="M29" s="7"/>
      <c r="N29" s="7"/>
      <c r="O29" s="7"/>
      <c r="P29" s="7"/>
      <c r="Q29" s="7"/>
    </row>
    <row r="30" spans="1:17" x14ac:dyDescent="0.3">
      <c r="A30" s="7" t="str">
        <f>IF(Notes!BY26="","",Notes!BY26)</f>
        <v>processor</v>
      </c>
      <c r="B30" s="7" t="str">
        <f>IF(Notes!BZ26="","",Notes!BZ26)</f>
        <v>blend_4571</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
      <c r="A31" s="7" t="str">
        <f>IF(Notes!BY27="","",Notes!BY27)</f>
        <v>processor</v>
      </c>
      <c r="B31" s="7" t="str">
        <f>IF(Notes!BZ27="","",Notes!BZ27)</f>
        <v>blend_3138</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
      <c r="A32" s="7" t="str">
        <f>IF(Notes!BY28="","",Notes!BY28)</f>
        <v>processor</v>
      </c>
      <c r="B32" s="7" t="str">
        <f>IF(Notes!BZ28="","",Notes!BZ28)</f>
        <v>blend_3193</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
      <c r="A33" s="7" t="str">
        <f>IF(Notes!BY29="","",Notes!BY29)</f>
        <v>processor</v>
      </c>
      <c r="B33" s="7" t="str">
        <f>IF(Notes!BZ29="","",Notes!BZ29)</f>
        <v>blend_3194</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
      <c r="A34" s="7" t="str">
        <f>IF(Notes!BY30="","",Notes!BY30)</f>
        <v>processor</v>
      </c>
      <c r="B34" s="7" t="str">
        <f>IF(Notes!BZ30="","",Notes!BZ30)</f>
        <v>blend_3195</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
      <c r="A35" s="7" t="str">
        <f>IF(Notes!BY31="","",Notes!BY31)</f>
        <v>processor</v>
      </c>
      <c r="B35" s="7" t="str">
        <f>IF(Notes!BZ31="","",Notes!BZ31)</f>
        <v>blend_3265</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
      <c r="A36" s="7" t="str">
        <f>IF(Notes!BY32="","",Notes!BY32)</f>
        <v>processor</v>
      </c>
      <c r="B36" s="7" t="str">
        <f>IF(Notes!BZ32="","",Notes!BZ32)</f>
        <v>blend_3267</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
      <c r="A37" s="7" t="str">
        <f>IF(Notes!BY33="","",Notes!BY33)</f>
        <v>processor</v>
      </c>
      <c r="B37" s="7" t="str">
        <f>IF(Notes!BZ33="","",Notes!BZ33)</f>
        <v>blend_3509</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
      <c r="A38" s="7" t="str">
        <f>IF(Notes!BY34="","",Notes!BY34)</f>
        <v>processor</v>
      </c>
      <c r="B38" s="7" t="str">
        <f>IF(Notes!BZ34="","",Notes!BZ34)</f>
        <v>blend_3532</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
      <c r="A39" s="7" t="str">
        <f>IF(Notes!BY35="","",Notes!BY35)</f>
        <v>processor</v>
      </c>
      <c r="B39" s="7" t="str">
        <f>IF(Notes!BZ35="","",Notes!BZ35)</f>
        <v>blend_3533</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
      <c r="A40" s="7" t="str">
        <f>IF(Notes!BY36="","",Notes!BY36)</f>
        <v>processor</v>
      </c>
      <c r="B40" s="7" t="str">
        <f>IF(Notes!BZ36="","",Notes!BZ36)</f>
        <v>blend_3858</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
      <c r="A41" s="7" t="str">
        <f>IF(Notes!BY37="","",Notes!BY37)</f>
        <v>processor</v>
      </c>
      <c r="B41" s="7" t="str">
        <f>IF(Notes!BZ37="","",Notes!BZ37)</f>
        <v>blend_3934</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
      <c r="A42" s="7" t="str">
        <f>IF(Notes!BY38="","",Notes!BY38)</f>
        <v>processor</v>
      </c>
      <c r="B42" s="7" t="str">
        <f>IF(Notes!BZ38="","",Notes!BZ38)</f>
        <v>blend_4141</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
      <c r="A43" s="7" t="str">
        <f>IF(Notes!BY39="","",Notes!BY39)</f>
        <v>processor</v>
      </c>
      <c r="B43" s="7" t="str">
        <f>IF(Notes!BZ39="","",Notes!BZ39)</f>
        <v>blend_4145</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
      <c r="A44" s="7" t="str">
        <f>IF(Notes!BY40="","",Notes!BY40)</f>
        <v>processor</v>
      </c>
      <c r="B44" s="7" t="str">
        <f>IF(Notes!BZ40="","",Notes!BZ40)</f>
        <v>blend_4154</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
      <c r="A45" s="7" t="str">
        <f>IF(Notes!BY41="","",Notes!BY41)</f>
        <v>processor</v>
      </c>
      <c r="B45" s="7" t="str">
        <f>IF(Notes!BZ41="","",Notes!BZ41)</f>
        <v>blend_4261</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
      <c r="A46" s="7" t="str">
        <f>IF(Notes!BY42="","",Notes!BY42)</f>
        <v>processor</v>
      </c>
      <c r="B46" s="7" t="str">
        <f>IF(Notes!BZ42="","",Notes!BZ42)</f>
        <v>blend_4262</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
      <c r="A47" s="7" t="str">
        <f>IF(Notes!BY43="","",Notes!BY43)</f>
        <v>processor</v>
      </c>
      <c r="B47" s="7" t="str">
        <f>IF(Notes!BZ43="","",Notes!BZ43)</f>
        <v>blend_4294</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
      <c r="A48" s="7" t="str">
        <f>IF(Notes!BY44="","",Notes!BY44)</f>
        <v>processor</v>
      </c>
      <c r="B48" s="7" t="str">
        <f>IF(Notes!BZ44="","",Notes!BZ44)</f>
        <v>blend_4295</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
      <c r="A49" s="7" t="str">
        <f>IF(Notes!BY45="","",Notes!BY45)</f>
        <v>processor</v>
      </c>
      <c r="B49" s="7" t="str">
        <f>IF(Notes!BZ45="","",Notes!BZ45)</f>
        <v>blend_4308</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
      <c r="A50" s="7" t="str">
        <f>IF(Notes!BY46="","",Notes!BY46)</f>
        <v>processor</v>
      </c>
      <c r="B50" s="7" t="str">
        <f>IF(Notes!BZ46="","",Notes!BZ46)</f>
        <v>blend_4380</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
      <c r="A51" s="7" t="str">
        <f>IF(Notes!BY47="","",Notes!BY47)</f>
        <v>processor</v>
      </c>
      <c r="B51" s="7" t="str">
        <f>IF(Notes!BZ47="","",Notes!BZ47)</f>
        <v>blend_4461</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
      <c r="A52" s="7" t="str">
        <f>IF(Notes!BY48="","",Notes!BY48)</f>
        <v>processor</v>
      </c>
      <c r="B52" s="7" t="str">
        <f>IF(Notes!BZ48="","",Notes!BZ48)</f>
        <v>blend_4463</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
      <c r="A53" s="7" t="str">
        <f>IF(Notes!BY49="","",Notes!BY49)</f>
        <v>ultimate_destination</v>
      </c>
      <c r="B53" s="7" t="str">
        <f>IF(Notes!BZ49="","",Notes!BZ49)</f>
        <v>airport_sea</v>
      </c>
      <c r="C53" s="7" t="str">
        <f>IF(Notes!CA49="","",Notes!CA49)</f>
        <v>fuel_blend</v>
      </c>
      <c r="D53" s="7">
        <f>IF(Notes!CB49="","",Notes!CB49)</f>
        <v>692000000</v>
      </c>
      <c r="E53" s="7" t="str">
        <f>IF(Notes!CC49="","",Notes!CC49)</f>
        <v>gallons</v>
      </c>
      <c r="F53" s="7" t="str">
        <f>IF(Notes!CD49="","",Notes!CD49)</f>
        <v/>
      </c>
      <c r="G53" s="7" t="str">
        <f>IF(Notes!CE49="","",Notes!CE49)</f>
        <v/>
      </c>
      <c r="H53" s="7" t="str">
        <f>IF(Notes!CF49="","",Notes!CF49)</f>
        <v/>
      </c>
      <c r="I53" s="7"/>
      <c r="J53" s="7"/>
      <c r="K53" s="7"/>
      <c r="L53" s="7"/>
      <c r="M53" s="7"/>
      <c r="N53" s="7"/>
      <c r="O53" s="7"/>
      <c r="P53" s="7"/>
      <c r="Q53" s="7"/>
    </row>
    <row r="54" spans="1:17" x14ac:dyDescent="0.3">
      <c r="A54" s="7" t="str">
        <f>IF(Notes!BY50="","",Notes!BY50)</f>
        <v>processor</v>
      </c>
      <c r="B54" s="7" t="str">
        <f>IF(Notes!BZ50="","",Notes!BZ50)</f>
        <v>refinery_87</v>
      </c>
      <c r="C54" s="7" t="str">
        <f>IF(Notes!CA50="","",Notes!CA50)</f>
        <v>makeSAF_Existing</v>
      </c>
      <c r="D54" s="7">
        <f>IF(Notes!CB50="","",Notes!CB50)</f>
        <v>1808015.6183272291</v>
      </c>
      <c r="E54" s="7" t="str">
        <f>IF(Notes!CC50="","",Notes!CC50)</f>
        <v>tons</v>
      </c>
      <c r="F54" s="7" t="str">
        <f>IF(Notes!CD50="","",Notes!CD50)</f>
        <v/>
      </c>
      <c r="G54" s="7" t="str">
        <f>IF(Notes!CE50="","",Notes!CE50)</f>
        <v/>
      </c>
      <c r="H54" s="7" t="str">
        <f>IF(Notes!CF50="","",Notes!CF50)</f>
        <v/>
      </c>
      <c r="I54" s="7"/>
      <c r="J54" s="7"/>
      <c r="K54" s="7"/>
      <c r="L54" s="7"/>
      <c r="M54" s="7"/>
      <c r="N54" s="7"/>
      <c r="O54" s="7"/>
      <c r="P54" s="7"/>
      <c r="Q54" s="7"/>
    </row>
    <row r="55" spans="1:17" x14ac:dyDescent="0.3">
      <c r="A55" s="7" t="str">
        <f>IF(Notes!BY51="","",Notes!BY51)</f>
        <v>processor</v>
      </c>
      <c r="B55" s="7" t="str">
        <f>IF(Notes!BZ51="","",Notes!BZ51)</f>
        <v>refinery_89</v>
      </c>
      <c r="C55" s="7" t="str">
        <f>IF(Notes!CA51="","",Notes!CA51)</f>
        <v>makeSAF_Existing</v>
      </c>
      <c r="D55" s="7">
        <f>IF(Notes!CB51="","",Notes!CB51)</f>
        <v>4700840.607650795</v>
      </c>
      <c r="E55" s="7" t="str">
        <f>IF(Notes!CC51="","",Notes!CC51)</f>
        <v>tons</v>
      </c>
      <c r="F55" s="7" t="str">
        <f>IF(Notes!CD51="","",Notes!CD51)</f>
        <v/>
      </c>
      <c r="G55" s="7" t="str">
        <f>IF(Notes!CE51="","",Notes!CE51)</f>
        <v/>
      </c>
      <c r="H55" s="7" t="str">
        <f>IF(Notes!CF51="","",Notes!CF51)</f>
        <v/>
      </c>
      <c r="I55" s="7"/>
      <c r="J55" s="7"/>
      <c r="K55" s="7"/>
      <c r="L55" s="7"/>
      <c r="M55" s="7"/>
      <c r="N55" s="7"/>
      <c r="O55" s="7"/>
      <c r="P55" s="7"/>
      <c r="Q55" s="7"/>
    </row>
    <row r="56" spans="1:17" x14ac:dyDescent="0.3">
      <c r="A56" s="7" t="str">
        <f>IF(Notes!BY52="","",Notes!BY52)</f>
        <v/>
      </c>
      <c r="B56" s="7" t="str">
        <f>IF(Notes!BZ52="","",Notes!BZ52)</f>
        <v/>
      </c>
      <c r="C56" s="7" t="str">
        <f>IF(Notes!CA52="","",Notes!CA52)</f>
        <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
      <c r="A57" s="7" t="str">
        <f>IF(Notes!BY53="","",Notes!BY53)</f>
        <v/>
      </c>
      <c r="B57" s="7" t="str">
        <f>IF(Notes!BZ53="","",Notes!BZ53)</f>
        <v/>
      </c>
      <c r="C57" s="7" t="str">
        <f>IF(Notes!CA53="","",Notes!CA53)</f>
        <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
      <c r="A58" s="7" t="str">
        <f>IF(Notes!BY54="","",Notes!BY54)</f>
        <v/>
      </c>
      <c r="B58" s="7" t="str">
        <f>IF(Notes!BZ54="","",Notes!BZ54)</f>
        <v/>
      </c>
      <c r="C58" s="7" t="str">
        <f>IF(Notes!CA54="","",Notes!CA54)</f>
        <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
      <c r="A59" s="7" t="str">
        <f>IF(Notes!BY55="","",Notes!BY55)</f>
        <v/>
      </c>
      <c r="B59" s="7" t="str">
        <f>IF(Notes!BZ55="","",Notes!BZ55)</f>
        <v/>
      </c>
      <c r="C59" s="7" t="str">
        <f>IF(Notes!CA55="","",Notes!CA55)</f>
        <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
      <c r="A60" s="7" t="str">
        <f>IF(Notes!BY56="","",Notes!BY56)</f>
        <v/>
      </c>
      <c r="B60" s="7" t="str">
        <f>IF(Notes!BZ56="","",Notes!BZ56)</f>
        <v/>
      </c>
      <c r="C60" s="7" t="str">
        <f>IF(Notes!CA56="","",Notes!CA56)</f>
        <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
      <c r="A61" s="7" t="str">
        <f>IF(Notes!BY57="","",Notes!BY57)</f>
        <v/>
      </c>
      <c r="B61" s="7" t="str">
        <f>IF(Notes!BZ57="","",Notes!BZ57)</f>
        <v/>
      </c>
      <c r="C61" s="7" t="str">
        <f>IF(Notes!CA57="","",Notes!CA57)</f>
        <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
      <c r="A62" s="7" t="str">
        <f>IF(Notes!BY58="","",Notes!BY58)</f>
        <v/>
      </c>
      <c r="B62" s="7" t="str">
        <f>IF(Notes!BZ58="","",Notes!BZ58)</f>
        <v/>
      </c>
      <c r="C62" s="7" t="str">
        <f>IF(Notes!CA58="","",Notes!CA58)</f>
        <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
      <c r="A63" s="7" t="str">
        <f>IF(Notes!BY59="","",Notes!BY59)</f>
        <v/>
      </c>
      <c r="B63" s="7" t="str">
        <f>IF(Notes!BZ59="","",Notes!BZ59)</f>
        <v/>
      </c>
      <c r="C63" s="7" t="str">
        <f>IF(Notes!CA59="","",Notes!CA59)</f>
        <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
      <c r="A64" s="7" t="str">
        <f>IF(Notes!BY60="","",Notes!BY60)</f>
        <v/>
      </c>
      <c r="B64" s="7" t="str">
        <f>IF(Notes!BZ60="","",Notes!BZ60)</f>
        <v/>
      </c>
      <c r="C64" s="7" t="str">
        <f>IF(Notes!CA60="","",Notes!CA60)</f>
        <v/>
      </c>
      <c r="D64" s="7" t="str">
        <f>IF(Notes!CB60="","",Notes!CB60)</f>
        <v/>
      </c>
      <c r="E64" s="7" t="str">
        <f>IF(Notes!CC60="","",Notes!CC60)</f>
        <v/>
      </c>
      <c r="F64" s="7" t="str">
        <f>IF(Notes!CD60="","",Notes!CD60)</f>
        <v/>
      </c>
      <c r="G64" s="7" t="str">
        <f>IF(Notes!CE60="","",Notes!CE60)</f>
        <v/>
      </c>
      <c r="H64" s="7" t="str">
        <f>IF(Notes!CF60="","",Notes!CF60)</f>
        <v/>
      </c>
      <c r="I64" s="7"/>
      <c r="J64" s="7"/>
      <c r="K64" s="7"/>
      <c r="L64" s="7"/>
      <c r="M64" s="7"/>
      <c r="N64" s="7"/>
      <c r="O64" s="7"/>
      <c r="P64" s="7"/>
      <c r="Q64" s="7"/>
    </row>
    <row r="65" spans="1:17" x14ac:dyDescent="0.3">
      <c r="A65" s="7" t="str">
        <f>IF(Notes!BY61="","",Notes!BY61)</f>
        <v/>
      </c>
      <c r="B65" s="7" t="str">
        <f>IF(Notes!BZ61="","",Notes!BZ61)</f>
        <v/>
      </c>
      <c r="C65" s="7" t="str">
        <f>IF(Notes!CA61="","",Notes!CA61)</f>
        <v/>
      </c>
      <c r="D65" s="7" t="str">
        <f>IF(Notes!CB61="","",Notes!CB61)</f>
        <v/>
      </c>
      <c r="E65" s="7" t="str">
        <f>IF(Notes!CC61="","",Notes!CC61)</f>
        <v/>
      </c>
      <c r="F65" s="7" t="str">
        <f>IF(Notes!CD61="","",Notes!CD61)</f>
        <v/>
      </c>
      <c r="G65" s="7" t="str">
        <f>IF(Notes!CE61="","",Notes!CE61)</f>
        <v/>
      </c>
      <c r="H65" s="7" t="str">
        <f>IF(Notes!CF61="","",Notes!CF61)</f>
        <v/>
      </c>
      <c r="I65" s="7"/>
      <c r="J65" s="7"/>
      <c r="K65" s="7"/>
      <c r="L65" s="7"/>
      <c r="M65" s="7"/>
      <c r="N65" s="7"/>
      <c r="O65" s="7"/>
      <c r="P65" s="7"/>
      <c r="Q65" s="7"/>
    </row>
    <row r="66" spans="1:17" x14ac:dyDescent="0.3">
      <c r="A66" s="7" t="str">
        <f>IF(Notes!BY62="","",Notes!BY62)</f>
        <v/>
      </c>
      <c r="B66" s="7" t="str">
        <f>IF(Notes!BZ62="","",Notes!BZ62)</f>
        <v/>
      </c>
      <c r="C66" s="7" t="str">
        <f>IF(Notes!CA62="","",Notes!CA62)</f>
        <v/>
      </c>
      <c r="D66" s="7" t="str">
        <f>IF(Notes!CB62="","",Notes!CB62)</f>
        <v/>
      </c>
      <c r="E66" s="7" t="str">
        <f>IF(Notes!CC62="","",Notes!CC62)</f>
        <v/>
      </c>
      <c r="F66" s="7" t="str">
        <f>IF(Notes!CD62="","",Notes!CD62)</f>
        <v/>
      </c>
      <c r="G66" s="7" t="str">
        <f>IF(Notes!CE62="","",Notes!CE62)</f>
        <v/>
      </c>
      <c r="H66" s="7" t="str">
        <f>IF(Notes!CF62="","",Notes!CF62)</f>
        <v/>
      </c>
      <c r="I66" s="7"/>
      <c r="J66" s="7"/>
      <c r="K66" s="7"/>
      <c r="L66" s="7"/>
      <c r="M66" s="7"/>
      <c r="N66" s="7"/>
      <c r="O66" s="7"/>
      <c r="P66" s="7"/>
      <c r="Q66" s="7"/>
    </row>
    <row r="67" spans="1:17" x14ac:dyDescent="0.3">
      <c r="A67" s="7" t="str">
        <f>IF(Notes!BY63="","",Notes!BY63)</f>
        <v/>
      </c>
      <c r="B67" s="7" t="str">
        <f>IF(Notes!BZ63="","",Notes!BZ63)</f>
        <v/>
      </c>
      <c r="C67" s="7" t="str">
        <f>IF(Notes!CA63="","",Notes!CA63)</f>
        <v/>
      </c>
      <c r="D67" s="7" t="str">
        <f>IF(Notes!CB63="","",Notes!CB63)</f>
        <v/>
      </c>
      <c r="E67" s="7" t="str">
        <f>IF(Notes!CC63="","",Notes!CC63)</f>
        <v/>
      </c>
      <c r="F67" s="7" t="str">
        <f>IF(Notes!CD63="","",Notes!CD63)</f>
        <v/>
      </c>
      <c r="G67" s="7" t="str">
        <f>IF(Notes!CE63="","",Notes!CE63)</f>
        <v/>
      </c>
      <c r="H67" s="7" t="str">
        <f>IF(Notes!CF63="","",Notes!CF63)</f>
        <v/>
      </c>
      <c r="I67" s="7"/>
      <c r="J67" s="7"/>
      <c r="K67" s="7"/>
      <c r="L67" s="7"/>
      <c r="M67" s="7"/>
      <c r="N67" s="7"/>
      <c r="O67" s="7"/>
      <c r="P67" s="7"/>
      <c r="Q67" s="7"/>
    </row>
    <row r="68" spans="1:17" x14ac:dyDescent="0.3">
      <c r="A68" s="7" t="str">
        <f>IF(Notes!BY64="","",Notes!BY64)</f>
        <v/>
      </c>
      <c r="B68" s="7" t="str">
        <f>IF(Notes!BZ64="","",Notes!BZ64)</f>
        <v/>
      </c>
      <c r="C68" s="7" t="str">
        <f>IF(Notes!CA64="","",Notes!CA64)</f>
        <v/>
      </c>
      <c r="D68" s="7" t="str">
        <f>IF(Notes!CB64="","",Notes!CB64)</f>
        <v/>
      </c>
      <c r="E68" s="7" t="str">
        <f>IF(Notes!CC64="","",Notes!CC64)</f>
        <v/>
      </c>
      <c r="F68" s="7" t="str">
        <f>IF(Notes!CD64="","",Notes!CD64)</f>
        <v/>
      </c>
      <c r="G68" s="7" t="str">
        <f>IF(Notes!CE64="","",Notes!CE64)</f>
        <v/>
      </c>
      <c r="H68" s="7" t="str">
        <f>IF(Notes!CF64="","",Notes!CF64)</f>
        <v/>
      </c>
      <c r="I68" s="7"/>
      <c r="J68" s="7"/>
      <c r="K68" s="7"/>
      <c r="L68" s="7"/>
      <c r="M68" s="7"/>
      <c r="N68" s="7"/>
      <c r="O68" s="7"/>
      <c r="P68" s="7"/>
      <c r="Q68" s="7"/>
    </row>
    <row r="69" spans="1:17" x14ac:dyDescent="0.3">
      <c r="A69" s="7" t="str">
        <f>IF(Notes!BY65="","",Notes!BY65)</f>
        <v/>
      </c>
      <c r="B69" s="7" t="str">
        <f>IF(Notes!BZ65="","",Notes!BZ65)</f>
        <v/>
      </c>
      <c r="C69" s="7" t="str">
        <f>IF(Notes!CA65="","",Notes!CA65)</f>
        <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
      <c r="A70" s="7" t="str">
        <f>IF(Notes!BY66="","",Notes!BY66)</f>
        <v/>
      </c>
      <c r="B70" s="7" t="str">
        <f>IF(Notes!BZ66="","",Notes!BZ66)</f>
        <v/>
      </c>
      <c r="C70" s="7" t="str">
        <f>IF(Notes!CA66="","",Notes!CA66)</f>
        <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
      <c r="A71" s="7" t="str">
        <f>IF(Notes!BY67="","",Notes!BY67)</f>
        <v/>
      </c>
      <c r="B71" s="7" t="str">
        <f>IF(Notes!BZ67="","",Notes!BZ67)</f>
        <v/>
      </c>
      <c r="C71" s="7" t="str">
        <f>IF(Notes!CA67="","",Notes!CA67)</f>
        <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
      <c r="A72" s="7" t="str">
        <f>IF(Notes!BY68="","",Notes!BY68)</f>
        <v/>
      </c>
      <c r="B72" s="7" t="str">
        <f>IF(Notes!BZ68="","",Notes!BZ68)</f>
        <v/>
      </c>
      <c r="C72" s="7" t="str">
        <f>IF(Notes!CA68="","",Notes!CA68)</f>
        <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
      <c r="A73" s="7" t="str">
        <f>IF(Notes!BY69="","",Notes!BY69)</f>
        <v/>
      </c>
      <c r="B73" s="7" t="str">
        <f>IF(Notes!BZ69="","",Notes!BZ69)</f>
        <v/>
      </c>
      <c r="C73" s="7" t="str">
        <f>IF(Notes!CA69="","",Notes!CA69)</f>
        <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
      <c r="A74" s="7" t="str">
        <f>IF(Notes!BY70="","",Notes!BY70)</f>
        <v/>
      </c>
      <c r="B74" s="7" t="str">
        <f>IF(Notes!BZ70="","",Notes!BZ70)</f>
        <v/>
      </c>
      <c r="C74" s="7" t="str">
        <f>IF(Notes!CA70="","",Notes!CA70)</f>
        <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
      <c r="A75" s="7" t="str">
        <f>IF(Notes!BY71="","",Notes!BY71)</f>
        <v/>
      </c>
      <c r="B75" s="7" t="str">
        <f>IF(Notes!BZ71="","",Notes!BZ71)</f>
        <v/>
      </c>
      <c r="C75" s="7" t="str">
        <f>IF(Notes!CA71="","",Notes!CA71)</f>
        <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
      <c r="A76" s="7" t="str">
        <f>IF(Notes!BY72="","",Notes!BY72)</f>
        <v/>
      </c>
      <c r="B76" s="7" t="str">
        <f>IF(Notes!BZ72="","",Notes!BZ72)</f>
        <v/>
      </c>
      <c r="C76" s="7" t="str">
        <f>IF(Notes!CA72="","",Notes!CA72)</f>
        <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
      <c r="A77" s="7" t="str">
        <f>IF(Notes!BY73="","",Notes!BY73)</f>
        <v/>
      </c>
      <c r="B77" s="7" t="str">
        <f>IF(Notes!BZ73="","",Notes!BZ73)</f>
        <v/>
      </c>
      <c r="C77" s="7" t="str">
        <f>IF(Notes!CA73="","",Notes!CA73)</f>
        <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
      <c r="A78" s="7" t="str">
        <f>IF(Notes!BY74="","",Notes!BY74)</f>
        <v/>
      </c>
      <c r="B78" s="7" t="str">
        <f>IF(Notes!BZ74="","",Notes!BZ74)</f>
        <v/>
      </c>
      <c r="C78" s="7" t="str">
        <f>IF(Notes!CA74="","",Notes!CA74)</f>
        <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
      <c r="A79" s="7" t="str">
        <f>IF(Notes!BY75="","",Notes!BY75)</f>
        <v/>
      </c>
      <c r="B79" s="7" t="str">
        <f>IF(Notes!BZ75="","",Notes!BZ75)</f>
        <v/>
      </c>
      <c r="C79" s="7" t="str">
        <f>IF(Notes!CA75="","",Notes!CA75)</f>
        <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
      <c r="A80" s="7" t="str">
        <f>IF(Notes!BY76="","",Notes!BY76)</f>
        <v/>
      </c>
      <c r="B80" s="7" t="str">
        <f>IF(Notes!BZ76="","",Notes!BZ76)</f>
        <v/>
      </c>
      <c r="C80" s="7" t="str">
        <f>IF(Notes!CA76="","",Notes!CA76)</f>
        <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
      <c r="A81" s="7" t="str">
        <f>IF(Notes!BY77="","",Notes!BY77)</f>
        <v/>
      </c>
      <c r="B81" s="7" t="str">
        <f>IF(Notes!BZ77="","",Notes!BZ77)</f>
        <v/>
      </c>
      <c r="C81" s="7" t="str">
        <f>IF(Notes!CA77="","",Notes!CA77)</f>
        <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
      <c r="A82" s="7" t="str">
        <f>IF(Notes!BY78="","",Notes!BY78)</f>
        <v/>
      </c>
      <c r="B82" s="7" t="str">
        <f>IF(Notes!BZ78="","",Notes!BZ78)</f>
        <v/>
      </c>
      <c r="C82" s="7" t="str">
        <f>IF(Notes!CA78="","",Notes!CA78)</f>
        <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
      <c r="A83" s="7" t="str">
        <f>IF(Notes!BY79="","",Notes!BY79)</f>
        <v/>
      </c>
      <c r="B83" s="7" t="str">
        <f>IF(Notes!BZ79="","",Notes!BZ79)</f>
        <v/>
      </c>
      <c r="C83" s="7" t="str">
        <f>IF(Notes!CA79="","",Notes!CA79)</f>
        <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
      <c r="A84" s="7" t="str">
        <f>IF(Notes!BY80="","",Notes!BY80)</f>
        <v/>
      </c>
      <c r="B84" s="7" t="str">
        <f>IF(Notes!BZ80="","",Notes!BZ80)</f>
        <v/>
      </c>
      <c r="C84" s="7" t="str">
        <f>IF(Notes!CA80="","",Notes!CA80)</f>
        <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
      <c r="A85" s="7" t="str">
        <f>IF(Notes!BY81="","",Notes!BY81)</f>
        <v/>
      </c>
      <c r="B85" s="7" t="str">
        <f>IF(Notes!BZ81="","",Notes!BZ81)</f>
        <v/>
      </c>
      <c r="C85" s="7" t="str">
        <f>IF(Notes!CA81="","",Notes!CA81)</f>
        <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
      <c r="A86" s="7" t="str">
        <f>IF(Notes!BY82="","",Notes!BY82)</f>
        <v/>
      </c>
      <c r="B86" s="7" t="str">
        <f>IF(Notes!BZ82="","",Notes!BZ82)</f>
        <v/>
      </c>
      <c r="C86" s="7" t="str">
        <f>IF(Notes!CA82="","",Notes!CA82)</f>
        <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
      <c r="A87" s="7" t="str">
        <f>IF(Notes!BY83="","",Notes!BY83)</f>
        <v/>
      </c>
      <c r="B87" s="7" t="str">
        <f>IF(Notes!BZ83="","",Notes!BZ83)</f>
        <v/>
      </c>
      <c r="C87" s="7" t="str">
        <f>IF(Notes!CA83="","",Notes!CA83)</f>
        <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
      <c r="A88" s="7" t="str">
        <f>IF(Notes!BY84="","",Notes!BY84)</f>
        <v/>
      </c>
      <c r="B88" s="7" t="str">
        <f>IF(Notes!BZ84="","",Notes!BZ84)</f>
        <v/>
      </c>
      <c r="C88" s="7" t="str">
        <f>IF(Notes!CA84="","",Notes!CA84)</f>
        <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
      <c r="A89" s="7" t="str">
        <f>IF(Notes!BY85="","",Notes!BY85)</f>
        <v/>
      </c>
      <c r="B89" s="7" t="str">
        <f>IF(Notes!BZ85="","",Notes!BZ85)</f>
        <v/>
      </c>
      <c r="C89" s="7" t="str">
        <f>IF(Notes!CA85="","",Notes!CA85)</f>
        <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
      <c r="A90" s="7" t="str">
        <f>IF(Notes!BY86="","",Notes!BY86)</f>
        <v/>
      </c>
      <c r="B90" s="7" t="str">
        <f>IF(Notes!BZ86="","",Notes!BZ86)</f>
        <v/>
      </c>
      <c r="C90" s="7" t="str">
        <f>IF(Notes!CA86="","",Notes!CA86)</f>
        <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
      <c r="A91" s="7" t="str">
        <f>IF(Notes!BY87="","",Notes!BY87)</f>
        <v/>
      </c>
      <c r="B91" s="7" t="str">
        <f>IF(Notes!BZ87="","",Notes!BZ87)</f>
        <v/>
      </c>
      <c r="C91" s="7" t="str">
        <f>IF(Notes!CA87="","",Notes!CA87)</f>
        <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
      <c r="A92" s="7" t="str">
        <f>IF(Notes!BY88="","",Notes!BY88)</f>
        <v/>
      </c>
      <c r="B92" s="7" t="str">
        <f>IF(Notes!BZ88="","",Notes!BZ88)</f>
        <v/>
      </c>
      <c r="C92" s="7" t="str">
        <f>IF(Notes!CA88="","",Notes!CA88)</f>
        <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
      <c r="A93" s="7" t="str">
        <f>IF(Notes!BY89="","",Notes!BY89)</f>
        <v/>
      </c>
      <c r="B93" s="7" t="str">
        <f>IF(Notes!BZ89="","",Notes!BZ89)</f>
        <v/>
      </c>
      <c r="C93" s="7" t="str">
        <f>IF(Notes!CA89="","",Notes!CA89)</f>
        <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
      <c r="A94" s="7" t="str">
        <f>IF(Notes!BY90="","",Notes!BY90)</f>
        <v/>
      </c>
      <c r="B94" s="7" t="str">
        <f>IF(Notes!BZ90="","",Notes!BZ90)</f>
        <v/>
      </c>
      <c r="C94" s="7" t="str">
        <f>IF(Notes!CA90="","",Notes!CA90)</f>
        <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
      <c r="A95" s="7" t="str">
        <f>IF(Notes!BY91="","",Notes!BY91)</f>
        <v/>
      </c>
      <c r="B95" s="7" t="str">
        <f>IF(Notes!BZ91="","",Notes!BZ91)</f>
        <v/>
      </c>
      <c r="C95" s="7" t="str">
        <f>IF(Notes!CA91="","",Notes!CA91)</f>
        <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
      <c r="A96" s="7" t="str">
        <f>IF(Notes!BY92="","",Notes!BY92)</f>
        <v/>
      </c>
      <c r="B96" s="7" t="str">
        <f>IF(Notes!BZ92="","",Notes!BZ92)</f>
        <v/>
      </c>
      <c r="C96" s="7" t="str">
        <f>IF(Notes!CA92="","",Notes!CA92)</f>
        <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
      <c r="A97" s="7" t="str">
        <f>IF(Notes!BY93="","",Notes!BY93)</f>
        <v/>
      </c>
      <c r="B97" s="7" t="str">
        <f>IF(Notes!BZ93="","",Notes!BZ93)</f>
        <v/>
      </c>
      <c r="C97" s="7" t="str">
        <f>IF(Notes!CA93="","",Notes!CA93)</f>
        <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
      <c r="A98" s="7" t="str">
        <f>IF(Notes!BY94="","",Notes!BY94)</f>
        <v/>
      </c>
      <c r="B98" s="7" t="str">
        <f>IF(Notes!BZ94="","",Notes!BZ94)</f>
        <v/>
      </c>
      <c r="C98" s="7" t="str">
        <f>IF(Notes!CA94="","",Notes!CA94)</f>
        <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
      <c r="A99" s="7" t="str">
        <f>IF(Notes!BY95="","",Notes!BY95)</f>
        <v/>
      </c>
      <c r="B99" s="7" t="str">
        <f>IF(Notes!BZ95="","",Notes!BZ95)</f>
        <v/>
      </c>
      <c r="C99" s="7" t="str">
        <f>IF(Notes!CA95="","",Notes!CA95)</f>
        <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
      <c r="A100" s="7" t="str">
        <f>IF(Notes!BY96="","",Notes!BY96)</f>
        <v/>
      </c>
      <c r="B100" s="7" t="str">
        <f>IF(Notes!BZ96="","",Notes!BZ96)</f>
        <v/>
      </c>
      <c r="C100" s="7" t="str">
        <f>IF(Notes!CA96="","",Notes!CA96)</f>
        <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
      <c r="A101" s="7" t="str">
        <f>IF(Notes!BY97="","",Notes!BY97)</f>
        <v/>
      </c>
      <c r="B101" s="7" t="str">
        <f>IF(Notes!BZ97="","",Notes!BZ97)</f>
        <v/>
      </c>
      <c r="C101" s="7" t="str">
        <f>IF(Notes!CA97="","",Notes!CA97)</f>
        <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
      <c r="A102" s="7" t="str">
        <f>IF(Notes!BY98="","",Notes!BY98)</f>
        <v/>
      </c>
      <c r="B102" s="7" t="str">
        <f>IF(Notes!BZ98="","",Notes!BZ98)</f>
        <v/>
      </c>
      <c r="C102" s="7" t="str">
        <f>IF(Notes!CA98="","",Notes!CA98)</f>
        <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
      <c r="A103" s="7" t="str">
        <f>IF(Notes!BY99="","",Notes!BY99)</f>
        <v/>
      </c>
      <c r="B103" s="7" t="str">
        <f>IF(Notes!BZ99="","",Notes!BZ99)</f>
        <v/>
      </c>
      <c r="C103" s="7" t="str">
        <f>IF(Notes!CA99="","",Notes!CA99)</f>
        <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
      <c r="A104" s="7" t="str">
        <f>IF(Notes!BY100="","",Notes!BY100)</f>
        <v/>
      </c>
      <c r="B104" s="7" t="str">
        <f>IF(Notes!BZ100="","",Notes!BZ100)</f>
        <v/>
      </c>
      <c r="C104" s="7" t="str">
        <f>IF(Notes!CA100="","",Notes!CA100)</f>
        <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
      <c r="A105" s="7" t="str">
        <f>IF(Notes!BY101="","",Notes!BY101)</f>
        <v/>
      </c>
      <c r="B105" s="7" t="str">
        <f>IF(Notes!BZ101="","",Notes!BZ101)</f>
        <v/>
      </c>
      <c r="C105" s="7" t="str">
        <f>IF(Notes!CA101="","",Notes!CA101)</f>
        <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
      <c r="A106" s="7" t="str">
        <f>IF(Notes!BY102="","",Notes!BY102)</f>
        <v/>
      </c>
      <c r="B106" s="7" t="str">
        <f>IF(Notes!BZ102="","",Notes!BZ102)</f>
        <v/>
      </c>
      <c r="C106" s="7" t="str">
        <f>IF(Notes!CA102="","",Notes!CA102)</f>
        <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
      <c r="A107" s="7" t="str">
        <f>IF(Notes!BY103="","",Notes!BY103)</f>
        <v/>
      </c>
      <c r="B107" s="7" t="str">
        <f>IF(Notes!BZ103="","",Notes!BZ103)</f>
        <v/>
      </c>
      <c r="C107" s="7" t="str">
        <f>IF(Notes!CA103="","",Notes!CA103)</f>
        <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
      <c r="A108" s="7" t="str">
        <f>IF(Notes!BY104="","",Notes!BY104)</f>
        <v/>
      </c>
      <c r="B108" s="7" t="str">
        <f>IF(Notes!BZ104="","",Notes!BZ104)</f>
        <v/>
      </c>
      <c r="C108" s="7" t="str">
        <f>IF(Notes!CA104="","",Notes!CA104)</f>
        <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
      <c r="A109" s="7" t="str">
        <f>IF(Notes!BY105="","",Notes!BY105)</f>
        <v/>
      </c>
      <c r="B109" s="7" t="str">
        <f>IF(Notes!BZ105="","",Notes!BZ105)</f>
        <v/>
      </c>
      <c r="C109" s="7" t="str">
        <f>IF(Notes!CA105="","",Notes!CA105)</f>
        <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
      <c r="A110" s="7" t="str">
        <f>IF(Notes!BY106="","",Notes!BY106)</f>
        <v/>
      </c>
      <c r="B110" s="7" t="str">
        <f>IF(Notes!BZ106="","",Notes!BZ106)</f>
        <v/>
      </c>
      <c r="C110" s="7" t="str">
        <f>IF(Notes!CA106="","",Notes!CA106)</f>
        <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
      <c r="A111" s="7" t="str">
        <f>IF(Notes!BY107="","",Notes!BY107)</f>
        <v/>
      </c>
      <c r="B111" s="7" t="str">
        <f>IF(Notes!BZ107="","",Notes!BZ107)</f>
        <v/>
      </c>
      <c r="C111" s="7" t="str">
        <f>IF(Notes!CA107="","",Notes!CA107)</f>
        <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
      <c r="A112" s="7" t="str">
        <f>IF(Notes!BY108="","",Notes!BY108)</f>
        <v/>
      </c>
      <c r="B112" s="7" t="str">
        <f>IF(Notes!BZ108="","",Notes!BZ108)</f>
        <v/>
      </c>
      <c r="C112" s="7" t="str">
        <f>IF(Notes!CA108="","",Notes!CA108)</f>
        <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
      <c r="A113" s="7" t="str">
        <f>IF(Notes!BY109="","",Notes!BY109)</f>
        <v/>
      </c>
      <c r="B113" s="7" t="str">
        <f>IF(Notes!BZ109="","",Notes!BZ109)</f>
        <v/>
      </c>
      <c r="C113" s="7" t="str">
        <f>IF(Notes!CA109="","",Notes!CA109)</f>
        <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
      <c r="A114" s="7" t="str">
        <f>IF(Notes!BY110="","",Notes!BY110)</f>
        <v/>
      </c>
      <c r="B114" s="7" t="str">
        <f>IF(Notes!BZ110="","",Notes!BZ110)</f>
        <v/>
      </c>
      <c r="C114" s="7" t="str">
        <f>IF(Notes!CA110="","",Notes!CA110)</f>
        <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
      <c r="A115" s="7" t="str">
        <f>IF(Notes!BY111="","",Notes!BY111)</f>
        <v/>
      </c>
      <c r="B115" s="7" t="str">
        <f>IF(Notes!BZ111="","",Notes!BZ111)</f>
        <v/>
      </c>
      <c r="C115" s="7" t="str">
        <f>IF(Notes!CA111="","",Notes!CA111)</f>
        <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
      <c r="A116" s="7" t="str">
        <f>IF(Notes!BY112="","",Notes!BY112)</f>
        <v/>
      </c>
      <c r="B116" s="7" t="str">
        <f>IF(Notes!BZ112="","",Notes!BZ112)</f>
        <v/>
      </c>
      <c r="C116" s="7" t="str">
        <f>IF(Notes!CA112="","",Notes!CA112)</f>
        <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
      <c r="A117" s="7" t="str">
        <f>IF(Notes!BY113="","",Notes!BY113)</f>
        <v/>
      </c>
      <c r="B117" s="7" t="str">
        <f>IF(Notes!BZ113="","",Notes!BZ113)</f>
        <v/>
      </c>
      <c r="C117" s="7" t="str">
        <f>IF(Notes!CA113="","",Notes!CA113)</f>
        <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
      <c r="A118" s="7" t="str">
        <f>IF(Notes!BY114="","",Notes!BY114)</f>
        <v/>
      </c>
      <c r="B118" s="7" t="str">
        <f>IF(Notes!BZ114="","",Notes!BZ114)</f>
        <v/>
      </c>
      <c r="C118" s="7" t="str">
        <f>IF(Notes!CA114="","",Notes!CA114)</f>
        <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
      <c r="A119" s="7" t="str">
        <f>IF(Notes!BY115="","",Notes!BY115)</f>
        <v/>
      </c>
      <c r="B119" s="7" t="str">
        <f>IF(Notes!BZ115="","",Notes!BZ115)</f>
        <v/>
      </c>
      <c r="C119" s="7" t="str">
        <f>IF(Notes!CA115="","",Notes!CA115)</f>
        <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
      <c r="A120" s="7" t="str">
        <f>IF(Notes!BY116="","",Notes!BY116)</f>
        <v/>
      </c>
      <c r="B120" s="7" t="str">
        <f>IF(Notes!BZ116="","",Notes!BZ116)</f>
        <v/>
      </c>
      <c r="C120" s="7" t="str">
        <f>IF(Notes!CA116="","",Notes!CA116)</f>
        <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
      <c r="A121" s="7" t="str">
        <f>IF(Notes!BY117="","",Notes!BY117)</f>
        <v/>
      </c>
      <c r="B121" s="7" t="str">
        <f>IF(Notes!BZ117="","",Notes!BZ117)</f>
        <v/>
      </c>
      <c r="C121" s="7" t="str">
        <f>IF(Notes!CA117="","",Notes!CA117)</f>
        <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
      <c r="A122" s="7" t="str">
        <f>IF(Notes!BY118="","",Notes!BY118)</f>
        <v/>
      </c>
      <c r="B122" s="7" t="str">
        <f>IF(Notes!BZ118="","",Notes!BZ118)</f>
        <v/>
      </c>
      <c r="C122" s="7" t="str">
        <f>IF(Notes!CA118="","",Notes!CA118)</f>
        <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
      <c r="A123" s="7" t="str">
        <f>IF(Notes!BY119="","",Notes!BY119)</f>
        <v/>
      </c>
      <c r="B123" s="7" t="str">
        <f>IF(Notes!BZ119="","",Notes!BZ119)</f>
        <v/>
      </c>
      <c r="C123" s="7" t="str">
        <f>IF(Notes!CA119="","",Notes!CA119)</f>
        <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
      <c r="A124" s="7" t="str">
        <f>IF(Notes!BY120="","",Notes!BY120)</f>
        <v/>
      </c>
      <c r="B124" s="7" t="str">
        <f>IF(Notes!BZ120="","",Notes!BZ120)</f>
        <v/>
      </c>
      <c r="C124" s="7" t="str">
        <f>IF(Notes!CA120="","",Notes!CA120)</f>
        <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
      <c r="A125" s="7" t="str">
        <f>IF(Notes!BY121="","",Notes!BY121)</f>
        <v/>
      </c>
      <c r="B125" s="7" t="str">
        <f>IF(Notes!BZ121="","",Notes!BZ121)</f>
        <v/>
      </c>
      <c r="C125" s="7" t="str">
        <f>IF(Notes!CA121="","",Notes!CA121)</f>
        <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
      <c r="A126" s="7" t="str">
        <f>IF(Notes!BY122="","",Notes!BY122)</f>
        <v/>
      </c>
      <c r="B126" s="7" t="str">
        <f>IF(Notes!BZ122="","",Notes!BZ122)</f>
        <v/>
      </c>
      <c r="C126" s="7" t="str">
        <f>IF(Notes!CA122="","",Notes!CA122)</f>
        <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
      <c r="A127" s="7" t="str">
        <f>IF(Notes!BY123="","",Notes!BY123)</f>
        <v/>
      </c>
      <c r="B127" s="7" t="str">
        <f>IF(Notes!BZ123="","",Notes!BZ123)</f>
        <v/>
      </c>
      <c r="C127" s="7" t="str">
        <f>IF(Notes!CA123="","",Notes!CA123)</f>
        <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
      <c r="A128" s="7" t="str">
        <f>IF(Notes!BY124="","",Notes!BY124)</f>
        <v/>
      </c>
      <c r="B128" s="7" t="str">
        <f>IF(Notes!BZ124="","",Notes!BZ124)</f>
        <v/>
      </c>
      <c r="C128" s="7" t="str">
        <f>IF(Notes!CA124="","",Notes!CA124)</f>
        <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
      <c r="A129" s="7" t="str">
        <f>IF(Notes!BY125="","",Notes!BY125)</f>
        <v/>
      </c>
      <c r="B129" s="7" t="str">
        <f>IF(Notes!BZ125="","",Notes!BZ125)</f>
        <v/>
      </c>
      <c r="C129" s="7" t="str">
        <f>IF(Notes!CA125="","",Notes!CA125)</f>
        <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
      <c r="A130" s="7" t="str">
        <f>IF(Notes!BY126="","",Notes!BY126)</f>
        <v/>
      </c>
      <c r="B130" s="7" t="str">
        <f>IF(Notes!BZ126="","",Notes!BZ126)</f>
        <v/>
      </c>
      <c r="C130" s="7" t="str">
        <f>IF(Notes!CA126="","",Notes!CA126)</f>
        <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
      <c r="A131" s="7" t="str">
        <f>IF(Notes!BY127="","",Notes!BY127)</f>
        <v/>
      </c>
      <c r="B131" s="7" t="str">
        <f>IF(Notes!BZ127="","",Notes!BZ127)</f>
        <v/>
      </c>
      <c r="C131" s="7" t="str">
        <f>IF(Notes!CA127="","",Notes!CA127)</f>
        <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
      <c r="A132" s="7" t="str">
        <f>IF(Notes!BY128="","",Notes!BY128)</f>
        <v/>
      </c>
      <c r="B132" s="7" t="str">
        <f>IF(Notes!BZ128="","",Notes!BZ128)</f>
        <v/>
      </c>
      <c r="C132" s="7" t="str">
        <f>IF(Notes!CA128="","",Notes!CA128)</f>
        <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
      <c r="A133" s="7" t="str">
        <f>IF(Notes!BY129="","",Notes!BY129)</f>
        <v/>
      </c>
      <c r="B133" s="7" t="str">
        <f>IF(Notes!BZ129="","",Notes!BZ129)</f>
        <v/>
      </c>
      <c r="C133" s="7" t="str">
        <f>IF(Notes!CA129="","",Notes!CA129)</f>
        <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
      <c r="A134" s="7" t="str">
        <f>IF(Notes!BY130="","",Notes!BY130)</f>
        <v/>
      </c>
      <c r="B134" s="7" t="str">
        <f>IF(Notes!BZ130="","",Notes!BZ130)</f>
        <v/>
      </c>
      <c r="C134" s="7" t="str">
        <f>IF(Notes!CA130="","",Notes!CA130)</f>
        <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
      <c r="A135" s="7" t="str">
        <f>IF(Notes!BY131="","",Notes!BY131)</f>
        <v/>
      </c>
      <c r="B135" s="7" t="str">
        <f>IF(Notes!BZ131="","",Notes!BZ131)</f>
        <v/>
      </c>
      <c r="C135" s="7" t="str">
        <f>IF(Notes!CA131="","",Notes!CA131)</f>
        <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
      <c r="A136" s="7" t="str">
        <f>IF(Notes!BY132="","",Notes!BY132)</f>
        <v/>
      </c>
      <c r="B136" s="7" t="str">
        <f>IF(Notes!BZ132="","",Notes!BZ132)</f>
        <v/>
      </c>
      <c r="C136" s="7" t="str">
        <f>IF(Notes!CA132="","",Notes!CA132)</f>
        <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
      <c r="A137" s="7" t="str">
        <f>IF(Notes!BY133="","",Notes!BY133)</f>
        <v/>
      </c>
      <c r="B137" s="7" t="str">
        <f>IF(Notes!BZ133="","",Notes!BZ133)</f>
        <v/>
      </c>
      <c r="C137" s="7" t="str">
        <f>IF(Notes!CA133="","",Notes!CA133)</f>
        <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
      <c r="A138" s="7" t="str">
        <f>IF(Notes!BY134="","",Notes!BY134)</f>
        <v/>
      </c>
      <c r="B138" s="7" t="str">
        <f>IF(Notes!BZ134="","",Notes!BZ134)</f>
        <v/>
      </c>
      <c r="C138" s="7" t="str">
        <f>IF(Notes!CA134="","",Notes!CA134)</f>
        <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
      <c r="A139" s="7" t="str">
        <f>IF(Notes!BY135="","",Notes!BY135)</f>
        <v/>
      </c>
      <c r="B139" s="7" t="str">
        <f>IF(Notes!BZ135="","",Notes!BZ135)</f>
        <v/>
      </c>
      <c r="C139" s="7" t="str">
        <f>IF(Notes!CA135="","",Notes!CA135)</f>
        <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
      <c r="A140" s="7" t="str">
        <f>IF(Notes!BY136="","",Notes!BY136)</f>
        <v/>
      </c>
      <c r="B140" s="7" t="str">
        <f>IF(Notes!BZ136="","",Notes!BZ136)</f>
        <v/>
      </c>
      <c r="C140" s="7" t="str">
        <f>IF(Notes!CA136="","",Notes!CA136)</f>
        <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
      <c r="A141" s="7" t="str">
        <f>IF(Notes!BY137="","",Notes!BY137)</f>
        <v/>
      </c>
      <c r="B141" s="7" t="str">
        <f>IF(Notes!BZ137="","",Notes!BZ137)</f>
        <v/>
      </c>
      <c r="C141" s="7" t="str">
        <f>IF(Notes!CA137="","",Notes!CA137)</f>
        <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
      <c r="A142" s="7" t="str">
        <f>IF(Notes!BY138="","",Notes!BY138)</f>
        <v/>
      </c>
      <c r="B142" s="7" t="str">
        <f>IF(Notes!BZ138="","",Notes!BZ138)</f>
        <v/>
      </c>
      <c r="C142" s="7" t="str">
        <f>IF(Notes!CA138="","",Notes!CA138)</f>
        <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
      <c r="A143" s="7" t="str">
        <f>IF(Notes!BY139="","",Notes!BY139)</f>
        <v/>
      </c>
      <c r="B143" s="7" t="str">
        <f>IF(Notes!BZ139="","",Notes!BZ139)</f>
        <v/>
      </c>
      <c r="C143" s="7" t="str">
        <f>IF(Notes!CA139="","",Notes!CA139)</f>
        <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
      <c r="A144" s="7" t="str">
        <f>IF(Notes!BY140="","",Notes!BY140)</f>
        <v/>
      </c>
      <c r="B144" s="7" t="str">
        <f>IF(Notes!BZ140="","",Notes!BZ140)</f>
        <v/>
      </c>
      <c r="C144" s="7" t="str">
        <f>IF(Notes!CA140="","",Notes!CA140)</f>
        <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
      <c r="A145" s="7" t="str">
        <f>IF(Notes!BY141="","",Notes!BY141)</f>
        <v/>
      </c>
      <c r="B145" s="7" t="str">
        <f>IF(Notes!BZ141="","",Notes!BZ141)</f>
        <v/>
      </c>
      <c r="C145" s="7" t="str">
        <f>IF(Notes!CA141="","",Notes!CA141)</f>
        <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
      <c r="A146" s="7" t="str">
        <f>IF(Notes!BY142="","",Notes!BY142)</f>
        <v/>
      </c>
      <c r="B146" s="7" t="str">
        <f>IF(Notes!BZ142="","",Notes!BZ142)</f>
        <v/>
      </c>
      <c r="C146" s="7" t="str">
        <f>IF(Notes!CA142="","",Notes!CA142)</f>
        <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
      <c r="A147" s="7" t="str">
        <f>IF(Notes!BY143="","",Notes!BY143)</f>
        <v/>
      </c>
      <c r="B147" s="7" t="str">
        <f>IF(Notes!BZ143="","",Notes!BZ143)</f>
        <v/>
      </c>
      <c r="C147" s="7" t="str">
        <f>IF(Notes!CA143="","",Notes!CA143)</f>
        <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
      <c r="A148" s="7" t="str">
        <f>IF(Notes!BY144="","",Notes!BY144)</f>
        <v/>
      </c>
      <c r="B148" s="7" t="str">
        <f>IF(Notes!BZ144="","",Notes!BZ144)</f>
        <v/>
      </c>
      <c r="C148" s="7" t="str">
        <f>IF(Notes!CA144="","",Notes!CA144)</f>
        <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
      <c r="A149" s="7" t="str">
        <f>IF(Notes!BY145="","",Notes!BY145)</f>
        <v/>
      </c>
      <c r="B149" s="7" t="str">
        <f>IF(Notes!BZ145="","",Notes!BZ145)</f>
        <v/>
      </c>
      <c r="C149" s="7" t="str">
        <f>IF(Notes!CA145="","",Notes!CA145)</f>
        <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
      <c r="A150" s="7" t="str">
        <f>IF(Notes!BY146="","",Notes!BY146)</f>
        <v/>
      </c>
      <c r="B150" s="7" t="str">
        <f>IF(Notes!BZ146="","",Notes!BZ146)</f>
        <v/>
      </c>
      <c r="C150" s="7" t="str">
        <f>IF(Notes!CA146="","",Notes!CA146)</f>
        <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
      <c r="A151" s="7" t="str">
        <f>IF(Notes!BY147="","",Notes!BY147)</f>
        <v/>
      </c>
      <c r="B151" s="7" t="str">
        <f>IF(Notes!BZ147="","",Notes!BZ147)</f>
        <v/>
      </c>
      <c r="C151" s="7" t="str">
        <f>IF(Notes!CA147="","",Notes!CA147)</f>
        <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
      <c r="A152" s="7" t="str">
        <f>IF(Notes!BY148="","",Notes!BY148)</f>
        <v/>
      </c>
      <c r="B152" s="7" t="str">
        <f>IF(Notes!BZ148="","",Notes!BZ148)</f>
        <v/>
      </c>
      <c r="C152" s="7" t="str">
        <f>IF(Notes!CA148="","",Notes!CA148)</f>
        <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
      <c r="A153" s="7" t="str">
        <f>IF(Notes!BY149="","",Notes!BY149)</f>
        <v/>
      </c>
      <c r="B153" s="7" t="str">
        <f>IF(Notes!BZ149="","",Notes!BZ149)</f>
        <v/>
      </c>
      <c r="C153" s="7" t="str">
        <f>IF(Notes!CA149="","",Notes!CA149)</f>
        <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
      <c r="A154" s="7" t="str">
        <f>IF(Notes!BY150="","",Notes!BY150)</f>
        <v/>
      </c>
      <c r="B154" s="7" t="str">
        <f>IF(Notes!BZ150="","",Notes!BZ150)</f>
        <v/>
      </c>
      <c r="C154" s="7" t="str">
        <f>IF(Notes!CA150="","",Notes!CA150)</f>
        <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
      <c r="A155" s="7" t="str">
        <f>IF(Notes!BY151="","",Notes!BY151)</f>
        <v/>
      </c>
      <c r="B155" s="7" t="str">
        <f>IF(Notes!BZ151="","",Notes!BZ151)</f>
        <v/>
      </c>
      <c r="C155" s="7" t="str">
        <f>IF(Notes!CA151="","",Notes!CA151)</f>
        <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
      <c r="A156" s="7" t="str">
        <f>IF(Notes!BY152="","",Notes!BY152)</f>
        <v/>
      </c>
      <c r="B156" s="7" t="str">
        <f>IF(Notes!BZ152="","",Notes!BZ152)</f>
        <v/>
      </c>
      <c r="C156" s="7" t="str">
        <f>IF(Notes!CA152="","",Notes!CA152)</f>
        <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
      <c r="A157" s="7" t="str">
        <f>IF(Notes!BY153="","",Notes!BY153)</f>
        <v/>
      </c>
      <c r="B157" s="7" t="str">
        <f>IF(Notes!BZ153="","",Notes!BZ153)</f>
        <v/>
      </c>
      <c r="C157" s="7" t="str">
        <f>IF(Notes!CA153="","",Notes!CA153)</f>
        <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
      <c r="A158" s="7" t="str">
        <f>IF(Notes!BY154="","",Notes!BY154)</f>
        <v/>
      </c>
      <c r="B158" s="7" t="str">
        <f>IF(Notes!BZ154="","",Notes!BZ154)</f>
        <v/>
      </c>
      <c r="C158" s="7" t="str">
        <f>IF(Notes!CA154="","",Notes!CA154)</f>
        <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
      <c r="A159" s="7" t="str">
        <f>IF(Notes!BY155="","",Notes!BY155)</f>
        <v/>
      </c>
      <c r="B159" s="7" t="str">
        <f>IF(Notes!BZ155="","",Notes!BZ155)</f>
        <v/>
      </c>
      <c r="C159" s="7" t="str">
        <f>IF(Notes!CA155="","",Notes!CA155)</f>
        <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
      <c r="A160" s="7" t="str">
        <f>IF(Notes!BY156="","",Notes!BY156)</f>
        <v/>
      </c>
      <c r="B160" s="7" t="str">
        <f>IF(Notes!BZ156="","",Notes!BZ156)</f>
        <v/>
      </c>
      <c r="C160" s="7" t="str">
        <f>IF(Notes!CA156="","",Notes!CA156)</f>
        <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
      <c r="A161" s="7" t="str">
        <f>IF(Notes!BY157="","",Notes!BY157)</f>
        <v/>
      </c>
      <c r="B161" s="7" t="str">
        <f>IF(Notes!BZ157="","",Notes!BZ157)</f>
        <v/>
      </c>
      <c r="C161" s="7" t="str">
        <f>IF(Notes!CA157="","",Notes!CA157)</f>
        <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
      <c r="A162" s="7" t="str">
        <f>IF(Notes!BY158="","",Notes!BY158)</f>
        <v/>
      </c>
      <c r="B162" s="7" t="str">
        <f>IF(Notes!BZ158="","",Notes!BZ158)</f>
        <v/>
      </c>
      <c r="C162" s="7" t="str">
        <f>IF(Notes!CA158="","",Notes!CA158)</f>
        <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
      <c r="A163" s="7" t="str">
        <f>IF(Notes!BY159="","",Notes!BY159)</f>
        <v/>
      </c>
      <c r="B163" s="7" t="str">
        <f>IF(Notes!BZ159="","",Notes!BZ159)</f>
        <v/>
      </c>
      <c r="C163" s="7" t="str">
        <f>IF(Notes!CA159="","",Notes!CA159)</f>
        <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
      <c r="A164" s="7" t="str">
        <f>IF(Notes!BY160="","",Notes!BY160)</f>
        <v/>
      </c>
      <c r="B164" s="7" t="str">
        <f>IF(Notes!BZ160="","",Notes!BZ160)</f>
        <v/>
      </c>
      <c r="C164" s="7" t="str">
        <f>IF(Notes!CA160="","",Notes!CA160)</f>
        <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
      <c r="A165" s="7" t="str">
        <f>IF(Notes!BY161="","",Notes!BY161)</f>
        <v/>
      </c>
      <c r="B165" s="7" t="str">
        <f>IF(Notes!BZ161="","",Notes!BZ161)</f>
        <v/>
      </c>
      <c r="C165" s="7" t="str">
        <f>IF(Notes!CA161="","",Notes!CA161)</f>
        <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
      <c r="A166" s="7" t="str">
        <f>IF(Notes!BY162="","",Notes!BY162)</f>
        <v/>
      </c>
      <c r="B166" s="7" t="str">
        <f>IF(Notes!BZ162="","",Notes!BZ162)</f>
        <v/>
      </c>
      <c r="C166" s="7" t="str">
        <f>IF(Notes!CA162="","",Notes!CA162)</f>
        <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
      <c r="A167" s="7" t="str">
        <f>IF(Notes!BY163="","",Notes!BY163)</f>
        <v/>
      </c>
      <c r="B167" s="7" t="str">
        <f>IF(Notes!BZ163="","",Notes!BZ163)</f>
        <v/>
      </c>
      <c r="C167" s="7" t="str">
        <f>IF(Notes!CA163="","",Notes!CA163)</f>
        <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
      <c r="A168" s="7" t="str">
        <f>IF(Notes!BY164="","",Notes!BY164)</f>
        <v/>
      </c>
      <c r="B168" s="7" t="str">
        <f>IF(Notes!BZ164="","",Notes!BZ164)</f>
        <v/>
      </c>
      <c r="C168" s="7" t="str">
        <f>IF(Notes!CA164="","",Notes!CA164)</f>
        <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
      <c r="A169" s="7" t="str">
        <f>IF(Notes!BY165="","",Notes!BY165)</f>
        <v/>
      </c>
      <c r="B169" s="7" t="str">
        <f>IF(Notes!BZ165="","",Notes!BZ165)</f>
        <v/>
      </c>
      <c r="C169" s="7" t="str">
        <f>IF(Notes!CA165="","",Notes!CA165)</f>
        <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
      <c r="A170" s="7" t="str">
        <f>IF(Notes!BY166="","",Notes!BY166)</f>
        <v/>
      </c>
      <c r="B170" s="7" t="str">
        <f>IF(Notes!BZ166="","",Notes!BZ166)</f>
        <v/>
      </c>
      <c r="C170" s="7" t="str">
        <f>IF(Notes!CA166="","",Notes!CA166)</f>
        <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
      <c r="A171" s="7" t="str">
        <f>IF(Notes!BY167="","",Notes!BY167)</f>
        <v/>
      </c>
      <c r="B171" s="7" t="str">
        <f>IF(Notes!BZ167="","",Notes!BZ167)</f>
        <v/>
      </c>
      <c r="C171" s="7" t="str">
        <f>IF(Notes!CA167="","",Notes!CA167)</f>
        <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
      <c r="A172" s="7" t="str">
        <f>IF(Notes!BY168="","",Notes!BY168)</f>
        <v/>
      </c>
      <c r="B172" s="7" t="str">
        <f>IF(Notes!BZ168="","",Notes!BZ168)</f>
        <v/>
      </c>
      <c r="C172" s="7" t="str">
        <f>IF(Notes!CA168="","",Notes!CA168)</f>
        <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
      <c r="A173" s="7" t="str">
        <f>IF(Notes!BY169="","",Notes!BY169)</f>
        <v/>
      </c>
      <c r="B173" s="7" t="str">
        <f>IF(Notes!BZ169="","",Notes!BZ169)</f>
        <v/>
      </c>
      <c r="C173" s="7" t="str">
        <f>IF(Notes!CA169="","",Notes!CA169)</f>
        <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
      <c r="A174" s="7" t="str">
        <f>IF(Notes!BY170="","",Notes!BY170)</f>
        <v/>
      </c>
      <c r="B174" s="7" t="str">
        <f>IF(Notes!BZ170="","",Notes!BZ170)</f>
        <v/>
      </c>
      <c r="C174" s="7" t="str">
        <f>IF(Notes!CA170="","",Notes!CA170)</f>
        <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
      <c r="A175" s="7" t="str">
        <f>IF(Notes!BY171="","",Notes!BY171)</f>
        <v/>
      </c>
      <c r="B175" s="7" t="str">
        <f>IF(Notes!BZ171="","",Notes!BZ171)</f>
        <v/>
      </c>
      <c r="C175" s="7" t="str">
        <f>IF(Notes!CA171="","",Notes!CA171)</f>
        <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
      <c r="A176" s="7" t="str">
        <f>IF(Notes!BY172="","",Notes!BY172)</f>
        <v/>
      </c>
      <c r="B176" s="7" t="str">
        <f>IF(Notes!BZ172="","",Notes!BZ172)</f>
        <v/>
      </c>
      <c r="C176" s="7" t="str">
        <f>IF(Notes!CA172="","",Notes!CA172)</f>
        <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
      <c r="A177" s="7" t="str">
        <f>IF(Notes!BY173="","",Notes!BY173)</f>
        <v/>
      </c>
      <c r="B177" s="7" t="str">
        <f>IF(Notes!BZ173="","",Notes!BZ173)</f>
        <v/>
      </c>
      <c r="C177" s="7" t="str">
        <f>IF(Notes!CA173="","",Notes!CA173)</f>
        <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
      <c r="A178" s="7" t="str">
        <f>IF(Notes!BY174="","",Notes!BY174)</f>
        <v/>
      </c>
      <c r="B178" s="7" t="str">
        <f>IF(Notes!BZ174="","",Notes!BZ174)</f>
        <v/>
      </c>
      <c r="C178" s="7" t="str">
        <f>IF(Notes!CA174="","",Notes!CA174)</f>
        <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
      <c r="A179" s="7" t="str">
        <f>IF(Notes!BY175="","",Notes!BY175)</f>
        <v/>
      </c>
      <c r="B179" s="7" t="str">
        <f>IF(Notes!BZ175="","",Notes!BZ175)</f>
        <v/>
      </c>
      <c r="C179" s="7" t="str">
        <f>IF(Notes!CA175="","",Notes!CA175)</f>
        <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
      <c r="A180" s="7" t="str">
        <f>IF(Notes!BY176="","",Notes!BY176)</f>
        <v/>
      </c>
      <c r="B180" s="7" t="str">
        <f>IF(Notes!BZ176="","",Notes!BZ176)</f>
        <v/>
      </c>
      <c r="C180" s="7" t="str">
        <f>IF(Notes!CA176="","",Notes!CA176)</f>
        <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
      <c r="A181" s="7" t="str">
        <f>IF(Notes!BY177="","",Notes!BY177)</f>
        <v/>
      </c>
      <c r="B181" s="7" t="str">
        <f>IF(Notes!BZ177="","",Notes!BZ177)</f>
        <v/>
      </c>
      <c r="C181" s="7" t="str">
        <f>IF(Notes!CA177="","",Notes!CA177)</f>
        <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
      <c r="A182" s="7" t="str">
        <f>IF(Notes!BY178="","",Notes!BY178)</f>
        <v/>
      </c>
      <c r="B182" s="7" t="str">
        <f>IF(Notes!BZ178="","",Notes!BZ178)</f>
        <v/>
      </c>
      <c r="C182" s="7" t="str">
        <f>IF(Notes!CA178="","",Notes!CA178)</f>
        <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
      <c r="A183" s="7" t="str">
        <f>IF(Notes!BY179="","",Notes!BY179)</f>
        <v/>
      </c>
      <c r="B183" s="7" t="str">
        <f>IF(Notes!BZ179="","",Notes!BZ179)</f>
        <v/>
      </c>
      <c r="C183" s="7" t="str">
        <f>IF(Notes!CA179="","",Notes!CA179)</f>
        <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
      <c r="A184" s="7" t="str">
        <f>IF(Notes!BY180="","",Notes!BY180)</f>
        <v/>
      </c>
      <c r="B184" s="7" t="str">
        <f>IF(Notes!BZ180="","",Notes!BZ180)</f>
        <v/>
      </c>
      <c r="C184" s="7" t="str">
        <f>IF(Notes!CA180="","",Notes!CA180)</f>
        <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
      <c r="A185" s="7" t="str">
        <f>IF(Notes!BY181="","",Notes!BY181)</f>
        <v/>
      </c>
      <c r="B185" s="7" t="str">
        <f>IF(Notes!BZ181="","",Notes!BZ181)</f>
        <v/>
      </c>
      <c r="C185" s="7" t="str">
        <f>IF(Notes!CA181="","",Notes!CA181)</f>
        <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
      <c r="A186" s="7" t="str">
        <f>IF(Notes!BY182="","",Notes!BY182)</f>
        <v/>
      </c>
      <c r="B186" s="7" t="str">
        <f>IF(Notes!BZ182="","",Notes!BZ182)</f>
        <v/>
      </c>
      <c r="C186" s="7" t="str">
        <f>IF(Notes!CA182="","",Notes!CA182)</f>
        <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
      <c r="A187" s="7" t="str">
        <f>IF(Notes!BY183="","",Notes!BY183)</f>
        <v/>
      </c>
      <c r="B187" s="7" t="str">
        <f>IF(Notes!BZ183="","",Notes!BZ183)</f>
        <v/>
      </c>
      <c r="C187" s="7" t="str">
        <f>IF(Notes!CA183="","",Notes!CA183)</f>
        <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
      <c r="A188" s="7" t="str">
        <f>IF(Notes!BY184="","",Notes!BY184)</f>
        <v/>
      </c>
      <c r="B188" s="7" t="str">
        <f>IF(Notes!BZ184="","",Notes!BZ184)</f>
        <v/>
      </c>
      <c r="C188" s="7" t="str">
        <f>IF(Notes!CA184="","",Notes!CA184)</f>
        <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
      <c r="A189" s="7" t="str">
        <f>IF(Notes!BY185="","",Notes!BY185)</f>
        <v/>
      </c>
      <c r="B189" s="7" t="str">
        <f>IF(Notes!BZ185="","",Notes!BZ185)</f>
        <v/>
      </c>
      <c r="C189" s="7" t="str">
        <f>IF(Notes!CA185="","",Notes!CA185)</f>
        <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
      <c r="A190" s="7" t="str">
        <f>IF(Notes!BY186="","",Notes!BY186)</f>
        <v/>
      </c>
      <c r="B190" s="7" t="str">
        <f>IF(Notes!BZ186="","",Notes!BZ186)</f>
        <v/>
      </c>
      <c r="C190" s="7" t="str">
        <f>IF(Notes!CA186="","",Notes!CA186)</f>
        <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
      <c r="A191" s="7" t="str">
        <f>IF(Notes!BY187="","",Notes!BY187)</f>
        <v/>
      </c>
      <c r="B191" s="7" t="str">
        <f>IF(Notes!BZ187="","",Notes!BZ187)</f>
        <v/>
      </c>
      <c r="C191" s="7" t="str">
        <f>IF(Notes!CA187="","",Notes!CA187)</f>
        <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
      <c r="A192" s="7" t="str">
        <f>IF(Notes!BY188="","",Notes!BY188)</f>
        <v/>
      </c>
      <c r="B192" s="7" t="str">
        <f>IF(Notes!BZ188="","",Notes!BZ188)</f>
        <v/>
      </c>
      <c r="C192" s="7" t="str">
        <f>IF(Notes!CA188="","",Notes!CA188)</f>
        <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
      <c r="A193" s="7" t="str">
        <f>IF(Notes!BY189="","",Notes!BY189)</f>
        <v/>
      </c>
      <c r="B193" s="7" t="str">
        <f>IF(Notes!BZ189="","",Notes!BZ189)</f>
        <v/>
      </c>
      <c r="C193" s="7" t="str">
        <f>IF(Notes!CA189="","",Notes!CA189)</f>
        <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
      <c r="A194" s="7" t="str">
        <f>IF(Notes!BY190="","",Notes!BY190)</f>
        <v/>
      </c>
      <c r="B194" s="7" t="str">
        <f>IF(Notes!BZ190="","",Notes!BZ190)</f>
        <v/>
      </c>
      <c r="C194" s="7" t="str">
        <f>IF(Notes!CA190="","",Notes!CA190)</f>
        <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
      <c r="A195" s="7" t="str">
        <f>IF(Notes!BY191="","",Notes!BY191)</f>
        <v/>
      </c>
      <c r="B195" s="7" t="str">
        <f>IF(Notes!BZ191="","",Notes!BZ191)</f>
        <v/>
      </c>
      <c r="C195" s="7" t="str">
        <f>IF(Notes!CA191="","",Notes!CA191)</f>
        <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
      <c r="A196" s="7" t="str">
        <f>IF(Notes!BY192="","",Notes!BY192)</f>
        <v/>
      </c>
      <c r="B196" s="7" t="str">
        <f>IF(Notes!BZ192="","",Notes!BZ192)</f>
        <v/>
      </c>
      <c r="C196" s="7" t="str">
        <f>IF(Notes!CA192="","",Notes!CA192)</f>
        <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
      <c r="A197" s="7" t="str">
        <f>IF(Notes!BY193="","",Notes!BY193)</f>
        <v/>
      </c>
      <c r="B197" s="7" t="str">
        <f>IF(Notes!BZ193="","",Notes!BZ193)</f>
        <v/>
      </c>
      <c r="C197" s="7" t="str">
        <f>IF(Notes!CA193="","",Notes!CA193)</f>
        <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
      <c r="A198" s="7" t="str">
        <f>IF(Notes!BY194="","",Notes!BY194)</f>
        <v/>
      </c>
      <c r="B198" s="7" t="str">
        <f>IF(Notes!BZ194="","",Notes!BZ194)</f>
        <v/>
      </c>
      <c r="C198" s="7" t="str">
        <f>IF(Notes!CA194="","",Notes!CA194)</f>
        <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
      <c r="A199" s="7" t="str">
        <f>IF(Notes!BY195="","",Notes!BY195)</f>
        <v/>
      </c>
      <c r="B199" s="7" t="str">
        <f>IF(Notes!BZ195="","",Notes!BZ195)</f>
        <v/>
      </c>
      <c r="C199" s="7" t="str">
        <f>IF(Notes!CA195="","",Notes!CA195)</f>
        <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
      <c r="A200" s="7" t="str">
        <f>IF(Notes!BY196="","",Notes!BY196)</f>
        <v/>
      </c>
      <c r="B200" s="7" t="str">
        <f>IF(Notes!BZ196="","",Notes!BZ196)</f>
        <v/>
      </c>
      <c r="C200" s="7" t="str">
        <f>IF(Notes!CA196="","",Notes!CA196)</f>
        <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
      <c r="A201" s="7" t="str">
        <f>IF(Notes!BY197="","",Notes!BY197)</f>
        <v/>
      </c>
      <c r="B201" s="7" t="str">
        <f>IF(Notes!BZ197="","",Notes!BZ197)</f>
        <v/>
      </c>
      <c r="C201" s="7" t="str">
        <f>IF(Notes!CA197="","",Notes!CA197)</f>
        <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
      <c r="A202" s="7" t="str">
        <f>IF(Notes!BY198="","",Notes!BY198)</f>
        <v/>
      </c>
      <c r="B202" s="7" t="str">
        <f>IF(Notes!BZ198="","",Notes!BZ198)</f>
        <v/>
      </c>
      <c r="C202" s="7" t="str">
        <f>IF(Notes!CA198="","",Notes!CA198)</f>
        <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
      <c r="A203" s="7" t="str">
        <f>IF(Notes!BY199="","",Notes!BY199)</f>
        <v/>
      </c>
      <c r="B203" s="7" t="str">
        <f>IF(Notes!BZ199="","",Notes!BZ199)</f>
        <v/>
      </c>
      <c r="C203" s="7" t="str">
        <f>IF(Notes!CA199="","",Notes!CA199)</f>
        <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
      <c r="A204" s="7" t="str">
        <f>IF(Notes!BY200="","",Notes!BY200)</f>
        <v/>
      </c>
      <c r="B204" s="7" t="str">
        <f>IF(Notes!BZ200="","",Notes!BZ200)</f>
        <v/>
      </c>
      <c r="C204" s="7" t="str">
        <f>IF(Notes!CA200="","",Notes!CA200)</f>
        <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
      <c r="A205" s="7" t="str">
        <f>IF(Notes!BY201="","",Notes!BY201)</f>
        <v/>
      </c>
      <c r="B205" s="7" t="str">
        <f>IF(Notes!BZ201="","",Notes!BZ201)</f>
        <v/>
      </c>
      <c r="C205" s="7" t="str">
        <f>IF(Notes!CA201="","",Notes!CA201)</f>
        <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
      <c r="A206" s="7" t="str">
        <f>IF(Notes!BY202="","",Notes!BY202)</f>
        <v/>
      </c>
      <c r="B206" s="7" t="str">
        <f>IF(Notes!BZ202="","",Notes!BZ202)</f>
        <v/>
      </c>
      <c r="C206" s="7" t="str">
        <f>IF(Notes!CA202="","",Notes!CA202)</f>
        <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
      <c r="A207" s="7" t="str">
        <f>IF(Notes!BY203="","",Notes!BY203)</f>
        <v/>
      </c>
      <c r="B207" s="7" t="str">
        <f>IF(Notes!BZ203="","",Notes!BZ203)</f>
        <v/>
      </c>
      <c r="C207" s="7" t="str">
        <f>IF(Notes!CA203="","",Notes!CA203)</f>
        <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
      <c r="A208" s="7" t="str">
        <f>IF(Notes!BY204="","",Notes!BY204)</f>
        <v/>
      </c>
      <c r="B208" s="7" t="str">
        <f>IF(Notes!BZ204="","",Notes!BZ204)</f>
        <v/>
      </c>
      <c r="C208" s="7" t="str">
        <f>IF(Notes!CA204="","",Notes!CA204)</f>
        <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
      <c r="A209" s="7" t="str">
        <f>IF(Notes!BY205="","",Notes!BY205)</f>
        <v/>
      </c>
      <c r="B209" s="7" t="str">
        <f>IF(Notes!BZ205="","",Notes!BZ205)</f>
        <v/>
      </c>
      <c r="C209" s="7" t="str">
        <f>IF(Notes!CA205="","",Notes!CA205)</f>
        <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
      <c r="A210" s="7" t="str">
        <f>IF(Notes!BY206="","",Notes!BY206)</f>
        <v/>
      </c>
      <c r="B210" s="7" t="str">
        <f>IF(Notes!BZ206="","",Notes!BZ206)</f>
        <v/>
      </c>
      <c r="C210" s="7" t="str">
        <f>IF(Notes!CA206="","",Notes!CA206)</f>
        <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
      <c r="A211" s="7" t="str">
        <f>IF(Notes!BY207="","",Notes!BY207)</f>
        <v/>
      </c>
      <c r="B211" s="7" t="str">
        <f>IF(Notes!BZ207="","",Notes!BZ207)</f>
        <v/>
      </c>
      <c r="C211" s="7" t="str">
        <f>IF(Notes!CA207="","",Notes!CA207)</f>
        <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
      <c r="A212" s="7" t="str">
        <f>IF(Notes!BY208="","",Notes!BY208)</f>
        <v/>
      </c>
      <c r="B212" s="7" t="str">
        <f>IF(Notes!BZ208="","",Notes!BZ208)</f>
        <v/>
      </c>
      <c r="C212" s="7" t="str">
        <f>IF(Notes!CA208="","",Notes!CA208)</f>
        <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
      <c r="A213" s="7" t="str">
        <f>IF(Notes!BY209="","",Notes!BY209)</f>
        <v/>
      </c>
      <c r="B213" s="7" t="str">
        <f>IF(Notes!BZ209="","",Notes!BZ209)</f>
        <v/>
      </c>
      <c r="C213" s="7" t="str">
        <f>IF(Notes!CA209="","",Notes!CA209)</f>
        <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
      <c r="A214" s="7" t="str">
        <f>IF(Notes!BY210="","",Notes!BY210)</f>
        <v/>
      </c>
      <c r="B214" s="7" t="str">
        <f>IF(Notes!BZ210="","",Notes!BZ210)</f>
        <v/>
      </c>
      <c r="C214" s="7" t="str">
        <f>IF(Notes!CA210="","",Notes!CA210)</f>
        <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
      <c r="A215" s="7" t="str">
        <f>IF(Notes!BY211="","",Notes!BY211)</f>
        <v/>
      </c>
      <c r="B215" s="7" t="str">
        <f>IF(Notes!BZ211="","",Notes!BZ211)</f>
        <v/>
      </c>
      <c r="C215" s="7" t="str">
        <f>IF(Notes!CA211="","",Notes!CA211)</f>
        <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
      <c r="A216" s="7" t="str">
        <f>IF(Notes!BY212="","",Notes!BY212)</f>
        <v/>
      </c>
      <c r="B216" s="7" t="str">
        <f>IF(Notes!BZ212="","",Notes!BZ212)</f>
        <v/>
      </c>
      <c r="C216" s="7" t="str">
        <f>IF(Notes!CA212="","",Notes!CA212)</f>
        <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
      <c r="A217" s="7" t="str">
        <f>IF(Notes!BY213="","",Notes!BY213)</f>
        <v/>
      </c>
      <c r="B217" s="7" t="str">
        <f>IF(Notes!BZ213="","",Notes!BZ213)</f>
        <v/>
      </c>
      <c r="C217" s="7" t="str">
        <f>IF(Notes!CA213="","",Notes!CA213)</f>
        <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
      <c r="A218" s="7" t="str">
        <f>IF(Notes!BY214="","",Notes!BY214)</f>
        <v/>
      </c>
      <c r="B218" s="7" t="str">
        <f>IF(Notes!BZ214="","",Notes!BZ214)</f>
        <v/>
      </c>
      <c r="C218" s="7" t="str">
        <f>IF(Notes!CA214="","",Notes!CA214)</f>
        <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
      <c r="A219" s="7" t="str">
        <f>IF(Notes!BY215="","",Notes!BY215)</f>
        <v/>
      </c>
      <c r="B219" s="7" t="str">
        <f>IF(Notes!BZ215="","",Notes!BZ215)</f>
        <v/>
      </c>
      <c r="C219" s="7" t="str">
        <f>IF(Notes!CA215="","",Notes!CA215)</f>
        <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
      <c r="A220" s="7" t="str">
        <f>IF(Notes!BY216="","",Notes!BY216)</f>
        <v/>
      </c>
      <c r="B220" s="7" t="str">
        <f>IF(Notes!BZ216="","",Notes!BZ216)</f>
        <v/>
      </c>
      <c r="C220" s="7" t="str">
        <f>IF(Notes!CA216="","",Notes!CA216)</f>
        <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
      <c r="A221" s="7" t="str">
        <f>IF(Notes!BY217="","",Notes!BY217)</f>
        <v/>
      </c>
      <c r="B221" s="7" t="str">
        <f>IF(Notes!BZ217="","",Notes!BZ217)</f>
        <v/>
      </c>
      <c r="C221" s="7" t="str">
        <f>IF(Notes!CA217="","",Notes!CA217)</f>
        <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
      <c r="A222" s="7" t="str">
        <f>IF(Notes!BY218="","",Notes!BY218)</f>
        <v/>
      </c>
      <c r="B222" s="7" t="str">
        <f>IF(Notes!BZ218="","",Notes!BZ218)</f>
        <v/>
      </c>
      <c r="C222" s="7" t="str">
        <f>IF(Notes!CA218="","",Notes!CA218)</f>
        <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
      <c r="A223" s="7" t="str">
        <f>IF(Notes!BY219="","",Notes!BY219)</f>
        <v/>
      </c>
      <c r="B223" s="7" t="str">
        <f>IF(Notes!BZ219="","",Notes!BZ219)</f>
        <v/>
      </c>
      <c r="C223" s="7" t="str">
        <f>IF(Notes!CA219="","",Notes!CA219)</f>
        <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
      <c r="A224" s="7" t="str">
        <f>IF(Notes!BY220="","",Notes!BY220)</f>
        <v/>
      </c>
      <c r="B224" s="7" t="str">
        <f>IF(Notes!BZ220="","",Notes!BZ220)</f>
        <v/>
      </c>
      <c r="C224" s="7" t="str">
        <f>IF(Notes!CA220="","",Notes!CA220)</f>
        <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
      <c r="A225" s="7" t="str">
        <f>IF(Notes!BY221="","",Notes!BY221)</f>
        <v/>
      </c>
      <c r="B225" s="7" t="str">
        <f>IF(Notes!BZ221="","",Notes!BZ221)</f>
        <v/>
      </c>
      <c r="C225" s="7" t="str">
        <f>IF(Notes!CA221="","",Notes!CA221)</f>
        <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
      <c r="A226" s="7" t="str">
        <f>IF(Notes!BY222="","",Notes!BY222)</f>
        <v/>
      </c>
      <c r="B226" s="7" t="str">
        <f>IF(Notes!BZ222="","",Notes!BZ222)</f>
        <v/>
      </c>
      <c r="C226" s="7" t="str">
        <f>IF(Notes!CA222="","",Notes!CA222)</f>
        <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
      <c r="A227" s="7" t="str">
        <f>IF(Notes!BY223="","",Notes!BY223)</f>
        <v/>
      </c>
      <c r="B227" s="7" t="str">
        <f>IF(Notes!BZ223="","",Notes!BZ223)</f>
        <v/>
      </c>
      <c r="C227" s="7" t="str">
        <f>IF(Notes!CA223="","",Notes!CA223)</f>
        <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
      <c r="A228" s="7" t="str">
        <f>IF(Notes!BY224="","",Notes!BY224)</f>
        <v/>
      </c>
      <c r="B228" s="7" t="str">
        <f>IF(Notes!BZ224="","",Notes!BZ224)</f>
        <v/>
      </c>
      <c r="C228" s="7" t="str">
        <f>IF(Notes!CA224="","",Notes!CA224)</f>
        <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
      <c r="A229" s="7" t="str">
        <f>IF(Notes!BY225="","",Notes!BY225)</f>
        <v/>
      </c>
      <c r="B229" s="7" t="str">
        <f>IF(Notes!BZ225="","",Notes!BZ225)</f>
        <v/>
      </c>
      <c r="C229" s="7" t="str">
        <f>IF(Notes!CA225="","",Notes!CA225)</f>
        <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
      <c r="A230" s="7" t="str">
        <f>IF(Notes!BY226="","",Notes!BY226)</f>
        <v/>
      </c>
      <c r="B230" s="7" t="str">
        <f>IF(Notes!BZ226="","",Notes!BZ226)</f>
        <v/>
      </c>
      <c r="C230" s="7" t="str">
        <f>IF(Notes!CA226="","",Notes!CA226)</f>
        <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
      <c r="A231" s="7" t="str">
        <f>IF(Notes!BY227="","",Notes!BY227)</f>
        <v/>
      </c>
      <c r="B231" s="7" t="str">
        <f>IF(Notes!BZ227="","",Notes!BZ227)</f>
        <v/>
      </c>
      <c r="C231" s="7" t="str">
        <f>IF(Notes!CA227="","",Notes!CA227)</f>
        <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
      <c r="A232" s="7" t="str">
        <f>IF(Notes!BY228="","",Notes!BY228)</f>
        <v/>
      </c>
      <c r="B232" s="7" t="str">
        <f>IF(Notes!BZ228="","",Notes!BZ228)</f>
        <v/>
      </c>
      <c r="C232" s="7" t="str">
        <f>IF(Notes!CA228="","",Notes!CA228)</f>
        <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
      <c r="A233" s="7" t="str">
        <f>IF(Notes!BY229="","",Notes!BY229)</f>
        <v/>
      </c>
      <c r="B233" s="7" t="str">
        <f>IF(Notes!BZ229="","",Notes!BZ229)</f>
        <v/>
      </c>
      <c r="C233" s="7" t="str">
        <f>IF(Notes!CA229="","",Notes!CA229)</f>
        <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
      <c r="A234" s="7" t="str">
        <f>IF(Notes!BY230="","",Notes!BY230)</f>
        <v/>
      </c>
      <c r="B234" s="7" t="str">
        <f>IF(Notes!BZ230="","",Notes!BZ230)</f>
        <v/>
      </c>
      <c r="C234" s="7" t="str">
        <f>IF(Notes!CA230="","",Notes!CA230)</f>
        <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
      <c r="A235" s="7" t="str">
        <f>IF(Notes!BY231="","",Notes!BY231)</f>
        <v/>
      </c>
      <c r="B235" s="7" t="str">
        <f>IF(Notes!BZ231="","",Notes!BZ231)</f>
        <v/>
      </c>
      <c r="C235" s="7" t="str">
        <f>IF(Notes!CA231="","",Notes!CA231)</f>
        <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
      <c r="A236" s="7" t="str">
        <f>IF(Notes!BY232="","",Notes!BY232)</f>
        <v/>
      </c>
      <c r="B236" s="7" t="str">
        <f>IF(Notes!BZ232="","",Notes!BZ232)</f>
        <v/>
      </c>
      <c r="C236" s="7" t="str">
        <f>IF(Notes!CA232="","",Notes!CA232)</f>
        <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
      <c r="A237" s="7" t="str">
        <f>IF(Notes!BY233="","",Notes!BY233)</f>
        <v/>
      </c>
      <c r="B237" s="7" t="str">
        <f>IF(Notes!BZ233="","",Notes!BZ233)</f>
        <v/>
      </c>
      <c r="C237" s="7" t="str">
        <f>IF(Notes!CA233="","",Notes!CA233)</f>
        <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
      <c r="A238" s="7" t="str">
        <f>IF(Notes!BY234="","",Notes!BY234)</f>
        <v/>
      </c>
      <c r="B238" s="7" t="str">
        <f>IF(Notes!BZ234="","",Notes!BZ234)</f>
        <v/>
      </c>
      <c r="C238" s="7" t="str">
        <f>IF(Notes!CA234="","",Notes!CA234)</f>
        <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
      <c r="A239" s="7" t="str">
        <f>IF(Notes!BY235="","",Notes!BY235)</f>
        <v/>
      </c>
      <c r="B239" s="7" t="str">
        <f>IF(Notes!BZ235="","",Notes!BZ235)</f>
        <v/>
      </c>
      <c r="C239" s="7" t="str">
        <f>IF(Notes!CA235="","",Notes!CA235)</f>
        <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
      <c r="A240" s="7" t="str">
        <f>IF(Notes!BY236="","",Notes!BY236)</f>
        <v/>
      </c>
      <c r="B240" s="7" t="str">
        <f>IF(Notes!BZ236="","",Notes!BZ236)</f>
        <v/>
      </c>
      <c r="C240" s="7" t="str">
        <f>IF(Notes!CA236="","",Notes!CA236)</f>
        <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
      <c r="A241" s="7" t="str">
        <f>IF(Notes!BY237="","",Notes!BY237)</f>
        <v/>
      </c>
      <c r="B241" s="7" t="str">
        <f>IF(Notes!BZ237="","",Notes!BZ237)</f>
        <v/>
      </c>
      <c r="C241" s="7" t="str">
        <f>IF(Notes!CA237="","",Notes!CA237)</f>
        <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
      <c r="A242" s="7" t="str">
        <f>IF(Notes!BY238="","",Notes!BY238)</f>
        <v/>
      </c>
      <c r="B242" s="7" t="str">
        <f>IF(Notes!BZ238="","",Notes!BZ238)</f>
        <v/>
      </c>
      <c r="C242" s="7" t="str">
        <f>IF(Notes!CA238="","",Notes!CA238)</f>
        <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
      <c r="A243" s="7" t="str">
        <f>IF(Notes!BY239="","",Notes!BY239)</f>
        <v/>
      </c>
      <c r="B243" s="7" t="str">
        <f>IF(Notes!BZ239="","",Notes!BZ239)</f>
        <v/>
      </c>
      <c r="C243" s="7" t="str">
        <f>IF(Notes!CA239="","",Notes!CA239)</f>
        <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
      <c r="A244" s="7" t="str">
        <f>IF(Notes!BY240="","",Notes!BY240)</f>
        <v/>
      </c>
      <c r="B244" s="7" t="str">
        <f>IF(Notes!BZ240="","",Notes!BZ240)</f>
        <v/>
      </c>
      <c r="C244" s="7" t="str">
        <f>IF(Notes!CA240="","",Notes!CA240)</f>
        <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
      <c r="A245" s="7" t="str">
        <f>IF(Notes!BY241="","",Notes!BY241)</f>
        <v/>
      </c>
      <c r="B245" s="7" t="str">
        <f>IF(Notes!BZ241="","",Notes!BZ241)</f>
        <v/>
      </c>
      <c r="C245" s="7" t="str">
        <f>IF(Notes!CA241="","",Notes!CA241)</f>
        <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
      <c r="A246" s="7" t="str">
        <f>IF(Notes!BY242="","",Notes!BY242)</f>
        <v/>
      </c>
      <c r="B246" s="7" t="str">
        <f>IF(Notes!BZ242="","",Notes!BZ242)</f>
        <v/>
      </c>
      <c r="C246" s="7" t="str">
        <f>IF(Notes!CA242="","",Notes!CA242)</f>
        <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
      <c r="A247" s="7" t="str">
        <f>IF(Notes!BY243="","",Notes!BY243)</f>
        <v/>
      </c>
      <c r="B247" s="7" t="str">
        <f>IF(Notes!BZ243="","",Notes!BZ243)</f>
        <v/>
      </c>
      <c r="C247" s="7" t="str">
        <f>IF(Notes!CA243="","",Notes!CA243)</f>
        <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
      <c r="A248" s="7" t="str">
        <f>IF(Notes!BY244="","",Notes!BY244)</f>
        <v/>
      </c>
      <c r="B248" s="7" t="str">
        <f>IF(Notes!BZ244="","",Notes!BZ244)</f>
        <v/>
      </c>
      <c r="C248" s="7" t="str">
        <f>IF(Notes!CA244="","",Notes!CA244)</f>
        <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
      <c r="A249" s="7" t="str">
        <f>IF(Notes!BY245="","",Notes!BY245)</f>
        <v/>
      </c>
      <c r="B249" s="7" t="str">
        <f>IF(Notes!BZ245="","",Notes!BZ245)</f>
        <v/>
      </c>
      <c r="C249" s="7" t="str">
        <f>IF(Notes!CA245="","",Notes!CA245)</f>
        <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
      <c r="A250" s="7" t="str">
        <f>IF(Notes!BY246="","",Notes!BY246)</f>
        <v/>
      </c>
      <c r="B250" s="7" t="str">
        <f>IF(Notes!BZ246="","",Notes!BZ246)</f>
        <v/>
      </c>
      <c r="C250" s="7" t="str">
        <f>IF(Notes!CA246="","",Notes!CA246)</f>
        <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
      <c r="A251" s="7" t="str">
        <f>IF(Notes!BY247="","",Notes!BY247)</f>
        <v/>
      </c>
      <c r="B251" s="7" t="str">
        <f>IF(Notes!BZ247="","",Notes!BZ247)</f>
        <v/>
      </c>
      <c r="C251" s="7" t="str">
        <f>IF(Notes!CA247="","",Notes!CA247)</f>
        <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
      <c r="A252" s="7" t="str">
        <f>IF(Notes!BY248="","",Notes!BY248)</f>
        <v/>
      </c>
      <c r="B252" s="7" t="str">
        <f>IF(Notes!BZ248="","",Notes!BZ248)</f>
        <v/>
      </c>
      <c r="C252" s="7" t="str">
        <f>IF(Notes!CA248="","",Notes!CA248)</f>
        <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
      <c r="A253" s="7" t="str">
        <f>IF(Notes!BY249="","",Notes!BY249)</f>
        <v/>
      </c>
      <c r="B253" s="7" t="str">
        <f>IF(Notes!BZ249="","",Notes!BZ249)</f>
        <v/>
      </c>
      <c r="C253" s="7" t="str">
        <f>IF(Notes!CA249="","",Notes!CA249)</f>
        <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
      <c r="A254" s="7" t="str">
        <f>IF(Notes!BY250="","",Notes!BY250)</f>
        <v/>
      </c>
      <c r="B254" s="7" t="str">
        <f>IF(Notes!BZ250="","",Notes!BZ250)</f>
        <v/>
      </c>
      <c r="C254" s="7" t="str">
        <f>IF(Notes!CA250="","",Notes!CA250)</f>
        <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
      <c r="A255" s="7" t="str">
        <f>IF(Notes!BY251="","",Notes!BY251)</f>
        <v/>
      </c>
      <c r="B255" s="7" t="str">
        <f>IF(Notes!BZ251="","",Notes!BZ251)</f>
        <v/>
      </c>
      <c r="C255" s="7" t="str">
        <f>IF(Notes!CA251="","",Notes!CA251)</f>
        <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
      <c r="A256" s="7" t="str">
        <f>IF(Notes!BY252="","",Notes!BY252)</f>
        <v/>
      </c>
      <c r="B256" s="7" t="str">
        <f>IF(Notes!BZ252="","",Notes!BZ252)</f>
        <v/>
      </c>
      <c r="C256" s="7" t="str">
        <f>IF(Notes!CA252="","",Notes!CA252)</f>
        <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
      <c r="A257" s="7" t="str">
        <f>IF(Notes!BY253="","",Notes!BY253)</f>
        <v/>
      </c>
      <c r="B257" s="7" t="str">
        <f>IF(Notes!BZ253="","",Notes!BZ253)</f>
        <v/>
      </c>
      <c r="C257" s="7" t="str">
        <f>IF(Notes!CA253="","",Notes!CA253)</f>
        <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
      <c r="A258" s="7" t="str">
        <f>IF(Notes!BY254="","",Notes!BY254)</f>
        <v/>
      </c>
      <c r="B258" s="7" t="str">
        <f>IF(Notes!BZ254="","",Notes!BZ254)</f>
        <v/>
      </c>
      <c r="C258" s="7" t="str">
        <f>IF(Notes!CA254="","",Notes!CA254)</f>
        <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
      <c r="A259" s="7" t="str">
        <f>IF(Notes!BY255="","",Notes!BY255)</f>
        <v/>
      </c>
      <c r="B259" s="7" t="str">
        <f>IF(Notes!BZ255="","",Notes!BZ255)</f>
        <v/>
      </c>
      <c r="C259" s="7" t="str">
        <f>IF(Notes!CA255="","",Notes!CA255)</f>
        <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
      <c r="A260" s="7" t="str">
        <f>IF(Notes!BY256="","",Notes!BY256)</f>
        <v/>
      </c>
      <c r="B260" s="7" t="str">
        <f>IF(Notes!BZ256="","",Notes!BZ256)</f>
        <v/>
      </c>
      <c r="C260" s="7" t="str">
        <f>IF(Notes!CA256="","",Notes!CA256)</f>
        <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
      <c r="A261" s="7" t="str">
        <f>IF(Notes!BY257="","",Notes!BY257)</f>
        <v/>
      </c>
      <c r="B261" s="7" t="str">
        <f>IF(Notes!BZ257="","",Notes!BZ257)</f>
        <v/>
      </c>
      <c r="C261" s="7" t="str">
        <f>IF(Notes!CA257="","",Notes!CA257)</f>
        <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
      <c r="A262" s="7" t="str">
        <f>IF(Notes!BY258="","",Notes!BY258)</f>
        <v/>
      </c>
      <c r="B262" s="7" t="str">
        <f>IF(Notes!BZ258="","",Notes!BZ258)</f>
        <v/>
      </c>
      <c r="C262" s="7" t="str">
        <f>IF(Notes!CA258="","",Notes!CA258)</f>
        <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
      <c r="A263" s="7" t="str">
        <f>IF(Notes!BY259="","",Notes!BY259)</f>
        <v/>
      </c>
      <c r="B263" s="7" t="str">
        <f>IF(Notes!BZ259="","",Notes!BZ259)</f>
        <v/>
      </c>
      <c r="C263" s="7" t="str">
        <f>IF(Notes!CA259="","",Notes!CA259)</f>
        <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
      <c r="A264" s="7" t="str">
        <f>IF(Notes!BY260="","",Notes!BY260)</f>
        <v/>
      </c>
      <c r="B264" s="7" t="str">
        <f>IF(Notes!BZ260="","",Notes!BZ260)</f>
        <v/>
      </c>
      <c r="C264" s="7" t="str">
        <f>IF(Notes!CA260="","",Notes!CA260)</f>
        <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
      <c r="A265" s="7" t="str">
        <f>IF(Notes!BY261="","",Notes!BY261)</f>
        <v/>
      </c>
      <c r="B265" s="7" t="str">
        <f>IF(Notes!BZ261="","",Notes!BZ261)</f>
        <v/>
      </c>
      <c r="C265" s="7" t="str">
        <f>IF(Notes!CA261="","",Notes!CA261)</f>
        <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
      <c r="A266" s="7" t="str">
        <f>IF(Notes!BY262="","",Notes!BY262)</f>
        <v/>
      </c>
      <c r="B266" s="7" t="str">
        <f>IF(Notes!BZ262="","",Notes!BZ262)</f>
        <v/>
      </c>
      <c r="C266" s="7" t="str">
        <f>IF(Notes!CA262="","",Notes!CA262)</f>
        <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
      <c r="A267" s="7" t="str">
        <f>IF(Notes!BY263="","",Notes!BY263)</f>
        <v/>
      </c>
      <c r="B267" s="7" t="str">
        <f>IF(Notes!BZ263="","",Notes!BZ263)</f>
        <v/>
      </c>
      <c r="C267" s="7" t="str">
        <f>IF(Notes!CA263="","",Notes!CA263)</f>
        <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
      <c r="A268" s="7" t="str">
        <f>IF(Notes!BY264="","",Notes!BY264)</f>
        <v/>
      </c>
      <c r="B268" s="7" t="str">
        <f>IF(Notes!BZ264="","",Notes!BZ264)</f>
        <v/>
      </c>
      <c r="C268" s="7" t="str">
        <f>IF(Notes!CA264="","",Notes!CA264)</f>
        <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
      <c r="A269" s="7" t="str">
        <f>IF(Notes!BY265="","",Notes!BY265)</f>
        <v/>
      </c>
      <c r="B269" s="7" t="str">
        <f>IF(Notes!BZ265="","",Notes!BZ265)</f>
        <v/>
      </c>
      <c r="C269" s="7" t="str">
        <f>IF(Notes!CA265="","",Notes!CA265)</f>
        <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
      <c r="A270" s="7" t="str">
        <f>IF(Notes!BY266="","",Notes!BY266)</f>
        <v/>
      </c>
      <c r="B270" s="7" t="str">
        <f>IF(Notes!BZ266="","",Notes!BZ266)</f>
        <v/>
      </c>
      <c r="C270" s="7" t="str">
        <f>IF(Notes!CA266="","",Notes!CA266)</f>
        <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
      <c r="A271" s="7" t="str">
        <f>IF(Notes!BY267="","",Notes!BY267)</f>
        <v/>
      </c>
      <c r="B271" s="7" t="str">
        <f>IF(Notes!BZ267="","",Notes!BZ267)</f>
        <v/>
      </c>
      <c r="C271" s="7" t="str">
        <f>IF(Notes!CA267="","",Notes!CA267)</f>
        <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
      <c r="A272" s="7" t="str">
        <f>IF(Notes!BY268="","",Notes!BY268)</f>
        <v/>
      </c>
      <c r="B272" s="7" t="str">
        <f>IF(Notes!BZ268="","",Notes!BZ268)</f>
        <v/>
      </c>
      <c r="C272" s="7" t="str">
        <f>IF(Notes!CA268="","",Notes!CA268)</f>
        <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
      <c r="A273" s="7" t="str">
        <f>IF(Notes!BY269="","",Notes!BY269)</f>
        <v/>
      </c>
      <c r="B273" s="7" t="str">
        <f>IF(Notes!BZ269="","",Notes!BZ269)</f>
        <v/>
      </c>
      <c r="C273" s="7" t="str">
        <f>IF(Notes!CA269="","",Notes!CA269)</f>
        <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
      <c r="A274" s="7" t="str">
        <f>IF(Notes!BY270="","",Notes!BY270)</f>
        <v/>
      </c>
      <c r="B274" s="7" t="str">
        <f>IF(Notes!BZ270="","",Notes!BZ270)</f>
        <v/>
      </c>
      <c r="C274" s="7" t="str">
        <f>IF(Notes!CA270="","",Notes!CA270)</f>
        <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
      <c r="A275" s="7" t="str">
        <f>IF(Notes!BY271="","",Notes!BY271)</f>
        <v/>
      </c>
      <c r="B275" s="7" t="str">
        <f>IF(Notes!BZ271="","",Notes!BZ271)</f>
        <v/>
      </c>
      <c r="C275" s="7" t="str">
        <f>IF(Notes!CA271="","",Notes!CA271)</f>
        <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
      <c r="A276" s="7" t="str">
        <f>IF(Notes!BY272="","",Notes!BY272)</f>
        <v/>
      </c>
      <c r="B276" s="7" t="str">
        <f>IF(Notes!BZ272="","",Notes!BZ272)</f>
        <v/>
      </c>
      <c r="C276" s="7" t="str">
        <f>IF(Notes!CA272="","",Notes!CA272)</f>
        <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
      <c r="A277" s="7" t="str">
        <f>IF(Notes!BY273="","",Notes!BY273)</f>
        <v/>
      </c>
      <c r="B277" s="7" t="str">
        <f>IF(Notes!BZ273="","",Notes!BZ273)</f>
        <v/>
      </c>
      <c r="C277" s="7" t="str">
        <f>IF(Notes!CA273="","",Notes!CA273)</f>
        <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
      <c r="A278" s="7" t="str">
        <f>IF(Notes!BY274="","",Notes!BY274)</f>
        <v/>
      </c>
      <c r="B278" s="7" t="str">
        <f>IF(Notes!BZ274="","",Notes!BZ274)</f>
        <v/>
      </c>
      <c r="C278" s="7" t="str">
        <f>IF(Notes!CA274="","",Notes!CA274)</f>
        <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
      <c r="A279" s="7" t="str">
        <f>IF(Notes!BY275="","",Notes!BY275)</f>
        <v/>
      </c>
      <c r="B279" s="7" t="str">
        <f>IF(Notes!BZ275="","",Notes!BZ275)</f>
        <v/>
      </c>
      <c r="C279" s="7" t="str">
        <f>IF(Notes!CA275="","",Notes!CA275)</f>
        <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
      <c r="A280" s="7" t="str">
        <f>IF(Notes!BY276="","",Notes!BY276)</f>
        <v/>
      </c>
      <c r="B280" s="7" t="str">
        <f>IF(Notes!BZ276="","",Notes!BZ276)</f>
        <v/>
      </c>
      <c r="C280" s="7" t="str">
        <f>IF(Notes!CA276="","",Notes!CA276)</f>
        <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
      <c r="A281" s="7" t="str">
        <f>IF(Notes!BY277="","",Notes!BY277)</f>
        <v/>
      </c>
      <c r="B281" s="7" t="str">
        <f>IF(Notes!BZ277="","",Notes!BZ277)</f>
        <v/>
      </c>
      <c r="C281" s="7" t="str">
        <f>IF(Notes!CA277="","",Notes!CA277)</f>
        <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
      <c r="A282" s="7" t="str">
        <f>IF(Notes!BY278="","",Notes!BY278)</f>
        <v/>
      </c>
      <c r="B282" s="7" t="str">
        <f>IF(Notes!BZ278="","",Notes!BZ278)</f>
        <v/>
      </c>
      <c r="C282" s="7" t="str">
        <f>IF(Notes!CA278="","",Notes!CA278)</f>
        <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
      <c r="A283" s="7" t="str">
        <f>IF(Notes!BY279="","",Notes!BY279)</f>
        <v/>
      </c>
      <c r="B283" s="7" t="str">
        <f>IF(Notes!BZ279="","",Notes!BZ279)</f>
        <v/>
      </c>
      <c r="C283" s="7" t="str">
        <f>IF(Notes!CA279="","",Notes!CA279)</f>
        <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
      <c r="A284" s="7" t="str">
        <f>IF(Notes!BY280="","",Notes!BY280)</f>
        <v/>
      </c>
      <c r="B284" s="7" t="str">
        <f>IF(Notes!BZ280="","",Notes!BZ280)</f>
        <v/>
      </c>
      <c r="C284" s="7" t="str">
        <f>IF(Notes!CA280="","",Notes!CA280)</f>
        <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
      <c r="A285" s="7" t="str">
        <f>IF(Notes!BY281="","",Notes!BY281)</f>
        <v/>
      </c>
      <c r="B285" s="7" t="str">
        <f>IF(Notes!BZ281="","",Notes!BZ281)</f>
        <v/>
      </c>
      <c r="C285" s="7" t="str">
        <f>IF(Notes!CA281="","",Notes!CA281)</f>
        <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
      <c r="A286" s="7" t="str">
        <f>IF(Notes!BY282="","",Notes!BY282)</f>
        <v/>
      </c>
      <c r="B286" s="7" t="str">
        <f>IF(Notes!BZ282="","",Notes!BZ282)</f>
        <v/>
      </c>
      <c r="C286" s="7" t="str">
        <f>IF(Notes!CA282="","",Notes!CA282)</f>
        <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
      <c r="A287" s="7" t="str">
        <f>IF(Notes!BY283="","",Notes!BY283)</f>
        <v/>
      </c>
      <c r="B287" s="7" t="str">
        <f>IF(Notes!BZ283="","",Notes!BZ283)</f>
        <v/>
      </c>
      <c r="C287" s="7" t="str">
        <f>IF(Notes!CA283="","",Notes!CA283)</f>
        <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
      <c r="A288" s="7" t="str">
        <f>IF(Notes!BY284="","",Notes!BY284)</f>
        <v/>
      </c>
      <c r="B288" s="7" t="str">
        <f>IF(Notes!BZ284="","",Notes!BZ284)</f>
        <v/>
      </c>
      <c r="C288" s="7" t="str">
        <f>IF(Notes!CA284="","",Notes!CA284)</f>
        <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
      <c r="A289" s="7" t="str">
        <f>IF(Notes!BY285="","",Notes!BY285)</f>
        <v/>
      </c>
      <c r="B289" s="7" t="str">
        <f>IF(Notes!BZ285="","",Notes!BZ285)</f>
        <v/>
      </c>
      <c r="C289" s="7" t="str">
        <f>IF(Notes!CA285="","",Notes!CA285)</f>
        <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
      <c r="A290" s="7" t="str">
        <f>IF(Notes!BY286="","",Notes!BY286)</f>
        <v/>
      </c>
      <c r="B290" s="7" t="str">
        <f>IF(Notes!BZ286="","",Notes!BZ286)</f>
        <v/>
      </c>
      <c r="C290" s="7" t="str">
        <f>IF(Notes!CA286="","",Notes!CA286)</f>
        <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
      <c r="A291" s="7" t="str">
        <f>IF(Notes!BY287="","",Notes!BY287)</f>
        <v/>
      </c>
      <c r="B291" s="7" t="str">
        <f>IF(Notes!BZ287="","",Notes!BZ287)</f>
        <v/>
      </c>
      <c r="C291" s="7" t="str">
        <f>IF(Notes!CA287="","",Notes!CA287)</f>
        <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
      <c r="A292" s="7" t="str">
        <f>IF(Notes!BY288="","",Notes!BY288)</f>
        <v/>
      </c>
      <c r="B292" s="7" t="str">
        <f>IF(Notes!BZ288="","",Notes!BZ288)</f>
        <v/>
      </c>
      <c r="C292" s="7" t="str">
        <f>IF(Notes!CA288="","",Notes!CA288)</f>
        <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
      <c r="A293" s="7" t="str">
        <f>IF(Notes!BY289="","",Notes!BY289)</f>
        <v/>
      </c>
      <c r="B293" s="7" t="str">
        <f>IF(Notes!BZ289="","",Notes!BZ289)</f>
        <v/>
      </c>
      <c r="C293" s="7" t="str">
        <f>IF(Notes!CA289="","",Notes!CA289)</f>
        <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
      <c r="A294" s="7" t="str">
        <f>IF(Notes!BY290="","",Notes!BY290)</f>
        <v/>
      </c>
      <c r="B294" s="7" t="str">
        <f>IF(Notes!BZ290="","",Notes!BZ290)</f>
        <v/>
      </c>
      <c r="C294" s="7" t="str">
        <f>IF(Notes!CA290="","",Notes!CA290)</f>
        <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
      <c r="A295" s="7" t="str">
        <f>IF(Notes!BY291="","",Notes!BY291)</f>
        <v/>
      </c>
      <c r="B295" s="7" t="str">
        <f>IF(Notes!BZ291="","",Notes!BZ291)</f>
        <v/>
      </c>
      <c r="C295" s="7" t="str">
        <f>IF(Notes!CA291="","",Notes!CA291)</f>
        <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
      <c r="A296" s="7" t="str">
        <f>IF(Notes!BY292="","",Notes!BY292)</f>
        <v/>
      </c>
      <c r="B296" s="7" t="str">
        <f>IF(Notes!BZ292="","",Notes!BZ292)</f>
        <v/>
      </c>
      <c r="C296" s="7" t="str">
        <f>IF(Notes!CA292="","",Notes!CA292)</f>
        <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
      <c r="A297" s="7" t="str">
        <f>IF(Notes!BY293="","",Notes!BY293)</f>
        <v/>
      </c>
      <c r="B297" s="7" t="str">
        <f>IF(Notes!BZ293="","",Notes!BZ293)</f>
        <v/>
      </c>
      <c r="C297" s="7" t="str">
        <f>IF(Notes!CA293="","",Notes!CA293)</f>
        <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
      <c r="A298" s="7" t="str">
        <f>IF(Notes!BY294="","",Notes!BY294)</f>
        <v/>
      </c>
      <c r="B298" s="7" t="str">
        <f>IF(Notes!BZ294="","",Notes!BZ294)</f>
        <v/>
      </c>
      <c r="C298" s="7" t="str">
        <f>IF(Notes!CA294="","",Notes!CA294)</f>
        <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
      <c r="A299" s="7" t="str">
        <f>IF(Notes!BY295="","",Notes!BY295)</f>
        <v/>
      </c>
      <c r="B299" s="7" t="str">
        <f>IF(Notes!BZ295="","",Notes!BZ295)</f>
        <v/>
      </c>
      <c r="C299" s="7" t="str">
        <f>IF(Notes!CA295="","",Notes!CA295)</f>
        <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
      <c r="A300" s="7" t="str">
        <f>IF(Notes!BY296="","",Notes!BY296)</f>
        <v/>
      </c>
      <c r="B300" s="7" t="str">
        <f>IF(Notes!BZ296="","",Notes!BZ296)</f>
        <v/>
      </c>
      <c r="C300" s="7" t="str">
        <f>IF(Notes!CA296="","",Notes!CA296)</f>
        <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
      <c r="A301" s="7" t="str">
        <f>IF(Notes!BY297="","",Notes!BY297)</f>
        <v/>
      </c>
      <c r="B301" s="7" t="str">
        <f>IF(Notes!BZ297="","",Notes!BZ297)</f>
        <v/>
      </c>
      <c r="C301" s="7" t="str">
        <f>IF(Notes!CA297="","",Notes!CA297)</f>
        <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
      <c r="A302" s="7" t="str">
        <f>IF(Notes!BY298="","",Notes!BY298)</f>
        <v/>
      </c>
      <c r="B302" s="7" t="str">
        <f>IF(Notes!BZ298="","",Notes!BZ298)</f>
        <v/>
      </c>
      <c r="C302" s="7" t="str">
        <f>IF(Notes!CA298="","",Notes!CA298)</f>
        <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
      <c r="A303" s="7" t="str">
        <f>IF(Notes!BY299="","",Notes!BY299)</f>
        <v/>
      </c>
      <c r="B303" s="7" t="str">
        <f>IF(Notes!BZ299="","",Notes!BZ299)</f>
        <v/>
      </c>
      <c r="C303" s="7" t="str">
        <f>IF(Notes!CA299="","",Notes!CA299)</f>
        <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
      <c r="A304" s="7" t="str">
        <f>IF(Notes!BY300="","",Notes!BY300)</f>
        <v/>
      </c>
      <c r="B304" s="7" t="str">
        <f>IF(Notes!BZ300="","",Notes!BZ300)</f>
        <v/>
      </c>
      <c r="C304" s="7" t="str">
        <f>IF(Notes!CA300="","",Notes!CA300)</f>
        <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
      <c r="A305" s="7" t="str">
        <f>IF(Notes!BY301="","",Notes!BY301)</f>
        <v/>
      </c>
      <c r="B305" s="7" t="str">
        <f>IF(Notes!BZ301="","",Notes!BZ301)</f>
        <v/>
      </c>
      <c r="C305" s="7" t="str">
        <f>IF(Notes!CA301="","",Notes!CA301)</f>
        <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
      <c r="A306" s="7" t="str">
        <f>IF(Notes!BY302="","",Notes!BY302)</f>
        <v/>
      </c>
      <c r="B306" s="7" t="str">
        <f>IF(Notes!BZ302="","",Notes!BZ302)</f>
        <v/>
      </c>
      <c r="C306" s="7" t="str">
        <f>IF(Notes!CA302="","",Notes!CA302)</f>
        <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
      <c r="A307" s="7" t="str">
        <f>IF(Notes!BY303="","",Notes!BY303)</f>
        <v/>
      </c>
      <c r="B307" s="7" t="str">
        <f>IF(Notes!BZ303="","",Notes!BZ303)</f>
        <v/>
      </c>
      <c r="C307" s="7" t="str">
        <f>IF(Notes!CA303="","",Notes!CA303)</f>
        <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
      <c r="A308" s="7" t="str">
        <f>IF(Notes!BY304="","",Notes!BY304)</f>
        <v/>
      </c>
      <c r="B308" s="7" t="str">
        <f>IF(Notes!BZ304="","",Notes!BZ304)</f>
        <v/>
      </c>
      <c r="C308" s="7" t="str">
        <f>IF(Notes!CA304="","",Notes!CA304)</f>
        <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
      <c r="A309" s="7" t="str">
        <f>IF(Notes!BY305="","",Notes!BY305)</f>
        <v/>
      </c>
      <c r="B309" s="7" t="str">
        <f>IF(Notes!BZ305="","",Notes!BZ305)</f>
        <v/>
      </c>
      <c r="C309" s="7" t="str">
        <f>IF(Notes!CA305="","",Notes!CA305)</f>
        <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
      <c r="A310" s="7" t="str">
        <f>IF(Notes!BY306="","",Notes!BY306)</f>
        <v/>
      </c>
      <c r="B310" s="7" t="str">
        <f>IF(Notes!BZ306="","",Notes!BZ306)</f>
        <v/>
      </c>
      <c r="C310" s="7" t="str">
        <f>IF(Notes!CA306="","",Notes!CA306)</f>
        <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
      <c r="A311" s="7" t="str">
        <f>IF(Notes!BY307="","",Notes!BY307)</f>
        <v/>
      </c>
      <c r="B311" s="7" t="str">
        <f>IF(Notes!BZ307="","",Notes!BZ307)</f>
        <v/>
      </c>
      <c r="C311" s="7" t="str">
        <f>IF(Notes!CA307="","",Notes!CA307)</f>
        <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
      <c r="A312" s="7" t="str">
        <f>IF(Notes!BY308="","",Notes!BY308)</f>
        <v/>
      </c>
      <c r="B312" s="7" t="str">
        <f>IF(Notes!BZ308="","",Notes!BZ308)</f>
        <v/>
      </c>
      <c r="C312" s="7" t="str">
        <f>IF(Notes!CA308="","",Notes!CA308)</f>
        <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
      <c r="A313" s="7" t="str">
        <f>IF(Notes!BY309="","",Notes!BY309)</f>
        <v/>
      </c>
      <c r="B313" s="7" t="str">
        <f>IF(Notes!BZ309="","",Notes!BZ309)</f>
        <v/>
      </c>
      <c r="C313" s="7" t="str">
        <f>IF(Notes!CA309="","",Notes!CA309)</f>
        <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
      <c r="A314" s="7" t="str">
        <f>IF(Notes!BY310="","",Notes!BY310)</f>
        <v/>
      </c>
      <c r="B314" s="7" t="str">
        <f>IF(Notes!BZ310="","",Notes!BZ310)</f>
        <v/>
      </c>
      <c r="C314" s="7" t="str">
        <f>IF(Notes!CA310="","",Notes!CA310)</f>
        <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
      <c r="A315" s="7" t="str">
        <f>IF(Notes!BY311="","",Notes!BY311)</f>
        <v/>
      </c>
      <c r="B315" s="7" t="str">
        <f>IF(Notes!BZ311="","",Notes!BZ311)</f>
        <v/>
      </c>
      <c r="C315" s="7" t="str">
        <f>IF(Notes!CA311="","",Notes!CA311)</f>
        <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
      <c r="A316" s="7" t="str">
        <f>IF(Notes!BY312="","",Notes!BY312)</f>
        <v/>
      </c>
      <c r="B316" s="7" t="str">
        <f>IF(Notes!BZ312="","",Notes!BZ312)</f>
        <v/>
      </c>
      <c r="C316" s="7" t="str">
        <f>IF(Notes!CA312="","",Notes!CA312)</f>
        <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
      <c r="A317" s="7" t="str">
        <f>IF(Notes!BY313="","",Notes!BY313)</f>
        <v/>
      </c>
      <c r="B317" s="7" t="str">
        <f>IF(Notes!BZ313="","",Notes!BZ313)</f>
        <v/>
      </c>
      <c r="C317" s="7" t="str">
        <f>IF(Notes!CA313="","",Notes!CA313)</f>
        <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
      <c r="A318" s="7" t="str">
        <f>IF(Notes!BY314="","",Notes!BY314)</f>
        <v/>
      </c>
      <c r="B318" s="7" t="str">
        <f>IF(Notes!BZ314="","",Notes!BZ314)</f>
        <v/>
      </c>
      <c r="C318" s="7" t="str">
        <f>IF(Notes!CA314="","",Notes!CA314)</f>
        <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
      <c r="A319" s="7" t="str">
        <f>IF(Notes!BY315="","",Notes!BY315)</f>
        <v/>
      </c>
      <c r="B319" s="7" t="str">
        <f>IF(Notes!BZ315="","",Notes!BZ315)</f>
        <v/>
      </c>
      <c r="C319" s="7" t="str">
        <f>IF(Notes!CA315="","",Notes!CA315)</f>
        <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
      <c r="A320" s="7" t="str">
        <f>IF(Notes!BY316="","",Notes!BY316)</f>
        <v/>
      </c>
      <c r="B320" s="7" t="str">
        <f>IF(Notes!BZ316="","",Notes!BZ316)</f>
        <v/>
      </c>
      <c r="C320" s="7" t="str">
        <f>IF(Notes!CA316="","",Notes!CA316)</f>
        <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
      <c r="A321" s="7" t="str">
        <f>IF(Notes!BY317="","",Notes!BY317)</f>
        <v/>
      </c>
      <c r="B321" s="7" t="str">
        <f>IF(Notes!BZ317="","",Notes!BZ317)</f>
        <v/>
      </c>
      <c r="C321" s="7" t="str">
        <f>IF(Notes!CA317="","",Notes!CA317)</f>
        <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
      <c r="A322" s="7" t="str">
        <f>IF(Notes!BY318="","",Notes!BY318)</f>
        <v/>
      </c>
      <c r="B322" s="7" t="str">
        <f>IF(Notes!BZ318="","",Notes!BZ318)</f>
        <v/>
      </c>
      <c r="C322" s="7" t="str">
        <f>IF(Notes!CA318="","",Notes!CA318)</f>
        <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
      <c r="A323" s="7" t="str">
        <f>IF(Notes!BY319="","",Notes!BY319)</f>
        <v/>
      </c>
      <c r="B323" s="7" t="str">
        <f>IF(Notes!BZ319="","",Notes!BZ319)</f>
        <v/>
      </c>
      <c r="C323" s="7" t="str">
        <f>IF(Notes!CA319="","",Notes!CA319)</f>
        <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
      <c r="A324" s="7" t="str">
        <f>IF(Notes!BY320="","",Notes!BY320)</f>
        <v/>
      </c>
      <c r="B324" s="7" t="str">
        <f>IF(Notes!BZ320="","",Notes!BZ320)</f>
        <v/>
      </c>
      <c r="C324" s="7" t="str">
        <f>IF(Notes!CA320="","",Notes!CA320)</f>
        <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
      <c r="A325" s="7" t="str">
        <f>IF(Notes!BY321="","",Notes!BY321)</f>
        <v/>
      </c>
      <c r="B325" s="7" t="str">
        <f>IF(Notes!BZ321="","",Notes!BZ321)</f>
        <v/>
      </c>
      <c r="C325" s="7" t="str">
        <f>IF(Notes!CA321="","",Notes!CA321)</f>
        <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
      <c r="A326" s="7" t="str">
        <f>IF(Notes!BY322="","",Notes!BY322)</f>
        <v/>
      </c>
      <c r="B326" s="7" t="str">
        <f>IF(Notes!BZ322="","",Notes!BZ322)</f>
        <v/>
      </c>
      <c r="C326" s="7" t="str">
        <f>IF(Notes!CA322="","",Notes!CA322)</f>
        <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
      <c r="A327" s="7" t="str">
        <f>IF(Notes!BY323="","",Notes!BY323)</f>
        <v/>
      </c>
      <c r="B327" s="7" t="str">
        <f>IF(Notes!BZ323="","",Notes!BZ323)</f>
        <v/>
      </c>
      <c r="C327" s="7" t="str">
        <f>IF(Notes!CA323="","",Notes!CA323)</f>
        <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
      <c r="A328" s="7" t="str">
        <f>IF(Notes!BY324="","",Notes!BY324)</f>
        <v/>
      </c>
      <c r="B328" s="7" t="str">
        <f>IF(Notes!BZ324="","",Notes!BZ324)</f>
        <v/>
      </c>
      <c r="C328" s="7" t="str">
        <f>IF(Notes!CA324="","",Notes!CA324)</f>
        <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
      <c r="A329" s="7" t="str">
        <f>IF(Notes!BY325="","",Notes!BY325)</f>
        <v/>
      </c>
      <c r="B329" s="7" t="str">
        <f>IF(Notes!BZ325="","",Notes!BZ325)</f>
        <v/>
      </c>
      <c r="C329" s="7" t="str">
        <f>IF(Notes!CA325="","",Notes!CA325)</f>
        <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
      <c r="A330" s="7" t="str">
        <f>IF(Notes!BY326="","",Notes!BY326)</f>
        <v/>
      </c>
      <c r="B330" s="7" t="str">
        <f>IF(Notes!BZ326="","",Notes!BZ326)</f>
        <v/>
      </c>
      <c r="C330" s="7" t="str">
        <f>IF(Notes!CA326="","",Notes!CA326)</f>
        <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
      <c r="A331" s="7" t="str">
        <f>IF(Notes!BY327="","",Notes!BY327)</f>
        <v/>
      </c>
      <c r="B331" s="7" t="str">
        <f>IF(Notes!BZ327="","",Notes!BZ327)</f>
        <v/>
      </c>
      <c r="C331" s="7" t="str">
        <f>IF(Notes!CA327="","",Notes!CA327)</f>
        <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
      <c r="A332" s="7" t="str">
        <f>IF(Notes!BY328="","",Notes!BY328)</f>
        <v/>
      </c>
      <c r="B332" s="7" t="str">
        <f>IF(Notes!BZ328="","",Notes!BZ328)</f>
        <v/>
      </c>
      <c r="C332" s="7" t="str">
        <f>IF(Notes!CA328="","",Notes!CA328)</f>
        <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
      <c r="A333" s="7" t="str">
        <f>IF(Notes!BY329="","",Notes!BY329)</f>
        <v/>
      </c>
      <c r="B333" s="7" t="str">
        <f>IF(Notes!BZ329="","",Notes!BZ329)</f>
        <v/>
      </c>
      <c r="C333" s="7" t="str">
        <f>IF(Notes!CA329="","",Notes!CA329)</f>
        <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
      <c r="A334" s="7" t="str">
        <f>IF(Notes!BY330="","",Notes!BY330)</f>
        <v/>
      </c>
      <c r="B334" s="7" t="str">
        <f>IF(Notes!BZ330="","",Notes!BZ330)</f>
        <v/>
      </c>
      <c r="C334" s="7" t="str">
        <f>IF(Notes!CA330="","",Notes!CA330)</f>
        <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
      <c r="A335" s="7" t="str">
        <f>IF(Notes!BY331="","",Notes!BY331)</f>
        <v/>
      </c>
      <c r="B335" s="7" t="str">
        <f>IF(Notes!BZ331="","",Notes!BZ331)</f>
        <v/>
      </c>
      <c r="C335" s="7" t="str">
        <f>IF(Notes!CA331="","",Notes!CA331)</f>
        <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
      <c r="A336" s="7" t="str">
        <f>IF(Notes!BY332="","",Notes!BY332)</f>
        <v/>
      </c>
      <c r="B336" s="7" t="str">
        <f>IF(Notes!BZ332="","",Notes!BZ332)</f>
        <v/>
      </c>
      <c r="C336" s="7" t="str">
        <f>IF(Notes!CA332="","",Notes!CA332)</f>
        <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
      <c r="A337" s="7" t="str">
        <f>IF(Notes!BY333="","",Notes!BY333)</f>
        <v/>
      </c>
      <c r="B337" s="7" t="str">
        <f>IF(Notes!BZ333="","",Notes!BZ333)</f>
        <v/>
      </c>
      <c r="C337" s="7" t="str">
        <f>IF(Notes!CA333="","",Notes!CA333)</f>
        <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
      <c r="A338" s="7" t="str">
        <f>IF(Notes!BY334="","",Notes!BY334)</f>
        <v/>
      </c>
      <c r="B338" s="7" t="str">
        <f>IF(Notes!BZ334="","",Notes!BZ334)</f>
        <v/>
      </c>
      <c r="C338" s="7" t="str">
        <f>IF(Notes!CA334="","",Notes!CA334)</f>
        <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
      <c r="A339" s="7" t="str">
        <f>IF(Notes!BY335="","",Notes!BY335)</f>
        <v/>
      </c>
      <c r="B339" s="7" t="str">
        <f>IF(Notes!BZ335="","",Notes!BZ335)</f>
        <v/>
      </c>
      <c r="C339" s="7" t="str">
        <f>IF(Notes!CA335="","",Notes!CA335)</f>
        <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
      <c r="A340" s="7" t="str">
        <f>IF(Notes!BY336="","",Notes!BY336)</f>
        <v/>
      </c>
      <c r="B340" s="7" t="str">
        <f>IF(Notes!BZ336="","",Notes!BZ336)</f>
        <v/>
      </c>
      <c r="C340" s="7" t="str">
        <f>IF(Notes!CA336="","",Notes!CA336)</f>
        <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
      <c r="A341" s="7" t="str">
        <f>IF(Notes!BY337="","",Notes!BY337)</f>
        <v/>
      </c>
      <c r="B341" s="7" t="str">
        <f>IF(Notes!BZ337="","",Notes!BZ337)</f>
        <v/>
      </c>
      <c r="C341" s="7" t="str">
        <f>IF(Notes!CA337="","",Notes!CA337)</f>
        <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
      <c r="A342" s="7" t="str">
        <f>IF(Notes!BY338="","",Notes!BY338)</f>
        <v/>
      </c>
      <c r="B342" s="7" t="str">
        <f>IF(Notes!BZ338="","",Notes!BZ338)</f>
        <v/>
      </c>
      <c r="C342" s="7" t="str">
        <f>IF(Notes!CA338="","",Notes!CA338)</f>
        <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
      <c r="A343" s="7" t="str">
        <f>IF(Notes!BY339="","",Notes!BY339)</f>
        <v/>
      </c>
      <c r="B343" s="7" t="str">
        <f>IF(Notes!BZ339="","",Notes!BZ339)</f>
        <v/>
      </c>
      <c r="C343" s="7" t="str">
        <f>IF(Notes!CA339="","",Notes!CA339)</f>
        <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
      <c r="A344" s="7" t="str">
        <f>IF(Notes!BY340="","",Notes!BY340)</f>
        <v/>
      </c>
      <c r="B344" s="7" t="str">
        <f>IF(Notes!BZ340="","",Notes!BZ340)</f>
        <v/>
      </c>
      <c r="C344" s="7" t="str">
        <f>IF(Notes!CA340="","",Notes!CA340)</f>
        <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
      <c r="A345" s="7" t="str">
        <f>IF(Notes!BY341="","",Notes!BY341)</f>
        <v/>
      </c>
      <c r="B345" s="7" t="str">
        <f>IF(Notes!BZ341="","",Notes!BZ341)</f>
        <v/>
      </c>
      <c r="C345" s="7" t="str">
        <f>IF(Notes!CA341="","",Notes!CA341)</f>
        <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
      <c r="A346" s="7" t="str">
        <f>IF(Notes!BY342="","",Notes!BY342)</f>
        <v/>
      </c>
      <c r="B346" s="7" t="str">
        <f>IF(Notes!BZ342="","",Notes!BZ342)</f>
        <v/>
      </c>
      <c r="C346" s="7" t="str">
        <f>IF(Notes!CA342="","",Notes!CA342)</f>
        <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
      <c r="A347" s="7" t="str">
        <f>IF(Notes!BY343="","",Notes!BY343)</f>
        <v/>
      </c>
      <c r="B347" s="7" t="str">
        <f>IF(Notes!BZ343="","",Notes!BZ343)</f>
        <v/>
      </c>
      <c r="C347" s="7" t="str">
        <f>IF(Notes!CA343="","",Notes!CA343)</f>
        <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
      <c r="A348" s="7" t="str">
        <f>IF(Notes!BY344="","",Notes!BY344)</f>
        <v/>
      </c>
      <c r="B348" s="7" t="str">
        <f>IF(Notes!BZ344="","",Notes!BZ344)</f>
        <v/>
      </c>
      <c r="C348" s="7" t="str">
        <f>IF(Notes!CA344="","",Notes!CA344)</f>
        <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
      <c r="A349" s="7" t="str">
        <f>IF(Notes!BY345="","",Notes!BY345)</f>
        <v/>
      </c>
      <c r="B349" s="7" t="str">
        <f>IF(Notes!BZ345="","",Notes!BZ345)</f>
        <v/>
      </c>
      <c r="C349" s="7" t="str">
        <f>IF(Notes!CA345="","",Notes!CA345)</f>
        <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
      <c r="A350" s="7" t="str">
        <f>IF(Notes!BY346="","",Notes!BY346)</f>
        <v/>
      </c>
      <c r="B350" s="7" t="str">
        <f>IF(Notes!BZ346="","",Notes!BZ346)</f>
        <v/>
      </c>
      <c r="C350" s="7" t="str">
        <f>IF(Notes!CA346="","",Notes!CA346)</f>
        <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
      <c r="A351" s="7" t="str">
        <f>IF(Notes!BY347="","",Notes!BY347)</f>
        <v/>
      </c>
      <c r="B351" s="7" t="str">
        <f>IF(Notes!BZ347="","",Notes!BZ347)</f>
        <v/>
      </c>
      <c r="C351" s="7" t="str">
        <f>IF(Notes!CA347="","",Notes!CA347)</f>
        <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
      <c r="A352" s="7" t="str">
        <f>IF(Notes!BY348="","",Notes!BY348)</f>
        <v/>
      </c>
      <c r="B352" s="7" t="str">
        <f>IF(Notes!BZ348="","",Notes!BZ348)</f>
        <v/>
      </c>
      <c r="C352" s="7" t="str">
        <f>IF(Notes!CA348="","",Notes!CA348)</f>
        <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
      <c r="A353" s="7" t="str">
        <f>IF(Notes!BY349="","",Notes!BY349)</f>
        <v/>
      </c>
      <c r="B353" s="7" t="str">
        <f>IF(Notes!BZ349="","",Notes!BZ349)</f>
        <v/>
      </c>
      <c r="C353" s="7" t="str">
        <f>IF(Notes!CA349="","",Notes!CA349)</f>
        <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
      <c r="A354" s="7" t="str">
        <f>IF(Notes!BY350="","",Notes!BY350)</f>
        <v/>
      </c>
      <c r="B354" s="7" t="str">
        <f>IF(Notes!BZ350="","",Notes!BZ350)</f>
        <v/>
      </c>
      <c r="C354" s="7" t="str">
        <f>IF(Notes!CA350="","",Notes!CA350)</f>
        <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
      <c r="A355" s="7" t="str">
        <f>IF(Notes!BY351="","",Notes!BY351)</f>
        <v/>
      </c>
      <c r="B355" s="7" t="str">
        <f>IF(Notes!BZ351="","",Notes!BZ351)</f>
        <v/>
      </c>
      <c r="C355" s="7" t="str">
        <f>IF(Notes!CA351="","",Notes!CA351)</f>
        <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
      <c r="A356" s="7" t="str">
        <f>IF(Notes!BY352="","",Notes!BY352)</f>
        <v/>
      </c>
      <c r="B356" s="7" t="str">
        <f>IF(Notes!BZ352="","",Notes!BZ352)</f>
        <v/>
      </c>
      <c r="C356" s="7" t="str">
        <f>IF(Notes!CA352="","",Notes!CA352)</f>
        <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
      <c r="A357" s="7" t="str">
        <f>IF(Notes!BY353="","",Notes!BY353)</f>
        <v/>
      </c>
      <c r="B357" s="7" t="str">
        <f>IF(Notes!BZ353="","",Notes!BZ353)</f>
        <v/>
      </c>
      <c r="C357" s="7" t="str">
        <f>IF(Notes!CA353="","",Notes!CA353)</f>
        <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
      <c r="A358" s="7" t="str">
        <f>IF(Notes!BY354="","",Notes!BY354)</f>
        <v/>
      </c>
      <c r="B358" s="7" t="str">
        <f>IF(Notes!BZ354="","",Notes!BZ354)</f>
        <v/>
      </c>
      <c r="C358" s="7" t="str">
        <f>IF(Notes!CA354="","",Notes!CA354)</f>
        <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
      <c r="A359" s="7" t="str">
        <f>IF(Notes!BY355="","",Notes!BY355)</f>
        <v/>
      </c>
      <c r="B359" s="7" t="str">
        <f>IF(Notes!BZ355="","",Notes!BZ355)</f>
        <v/>
      </c>
      <c r="C359" s="7" t="str">
        <f>IF(Notes!CA355="","",Notes!CA355)</f>
        <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
      <c r="A360" s="7" t="str">
        <f>IF(Notes!BY356="","",Notes!BY356)</f>
        <v/>
      </c>
      <c r="B360" s="7" t="str">
        <f>IF(Notes!BZ356="","",Notes!BZ356)</f>
        <v/>
      </c>
      <c r="C360" s="7" t="str">
        <f>IF(Notes!CA356="","",Notes!CA356)</f>
        <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
      <c r="A361" s="7" t="str">
        <f>IF(Notes!BY357="","",Notes!BY357)</f>
        <v/>
      </c>
      <c r="B361" s="7" t="str">
        <f>IF(Notes!BZ357="","",Notes!BZ357)</f>
        <v/>
      </c>
      <c r="C361" s="7" t="str">
        <f>IF(Notes!CA357="","",Notes!CA357)</f>
        <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
      <c r="A362" s="7" t="str">
        <f>IF(Notes!BY358="","",Notes!BY358)</f>
        <v/>
      </c>
      <c r="B362" s="7" t="str">
        <f>IF(Notes!BZ358="","",Notes!BZ358)</f>
        <v/>
      </c>
      <c r="C362" s="7" t="str">
        <f>IF(Notes!CA358="","",Notes!CA358)</f>
        <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
      <c r="A363" s="7" t="str">
        <f>IF(Notes!BY359="","",Notes!BY359)</f>
        <v/>
      </c>
      <c r="B363" s="7" t="str">
        <f>IF(Notes!BZ359="","",Notes!BZ359)</f>
        <v/>
      </c>
      <c r="C363" s="7" t="str">
        <f>IF(Notes!CA359="","",Notes!CA359)</f>
        <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
      <c r="A364" s="7" t="str">
        <f>IF(Notes!BY360="","",Notes!BY360)</f>
        <v/>
      </c>
      <c r="B364" s="7" t="str">
        <f>IF(Notes!BZ360="","",Notes!BZ360)</f>
        <v/>
      </c>
      <c r="C364" s="7" t="str">
        <f>IF(Notes!CA360="","",Notes!CA360)</f>
        <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
      <c r="A365" s="7" t="str">
        <f>IF(Notes!BY361="","",Notes!BY361)</f>
        <v/>
      </c>
      <c r="B365" s="7" t="str">
        <f>IF(Notes!BZ361="","",Notes!BZ361)</f>
        <v/>
      </c>
      <c r="C365" s="7" t="str">
        <f>IF(Notes!CA361="","",Notes!CA361)</f>
        <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
      <c r="A366" s="7" t="str">
        <f>IF(Notes!BY362="","",Notes!BY362)</f>
        <v/>
      </c>
      <c r="B366" s="7" t="str">
        <f>IF(Notes!BZ362="","",Notes!BZ362)</f>
        <v/>
      </c>
      <c r="C366" s="7" t="str">
        <f>IF(Notes!CA362="","",Notes!CA362)</f>
        <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
      <c r="A367" s="7" t="str">
        <f>IF(Notes!BY363="","",Notes!BY363)</f>
        <v/>
      </c>
      <c r="B367" s="7" t="str">
        <f>IF(Notes!BZ363="","",Notes!BZ363)</f>
        <v/>
      </c>
      <c r="C367" s="7" t="str">
        <f>IF(Notes!CA363="","",Notes!CA363)</f>
        <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
      <c r="A368" s="7" t="str">
        <f>IF(Notes!BY364="","",Notes!BY364)</f>
        <v/>
      </c>
      <c r="B368" s="7" t="str">
        <f>IF(Notes!BZ364="","",Notes!BZ364)</f>
        <v/>
      </c>
      <c r="C368" s="7" t="str">
        <f>IF(Notes!CA364="","",Notes!CA364)</f>
        <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
      <c r="A369" s="7" t="str">
        <f>IF(Notes!BY365="","",Notes!BY365)</f>
        <v/>
      </c>
      <c r="B369" s="7" t="str">
        <f>IF(Notes!BZ365="","",Notes!BZ365)</f>
        <v/>
      </c>
      <c r="C369" s="7" t="str">
        <f>IF(Notes!CA365="","",Notes!CA365)</f>
        <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
      <c r="A370" s="7" t="str">
        <f>IF(Notes!BY366="","",Notes!BY366)</f>
        <v/>
      </c>
      <c r="B370" s="7" t="str">
        <f>IF(Notes!BZ366="","",Notes!BZ366)</f>
        <v/>
      </c>
      <c r="C370" s="7" t="str">
        <f>IF(Notes!CA366="","",Notes!CA366)</f>
        <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
      <c r="A371" s="7" t="str">
        <f>IF(Notes!BY367="","",Notes!BY367)</f>
        <v/>
      </c>
      <c r="B371" s="7" t="str">
        <f>IF(Notes!BZ367="","",Notes!BZ367)</f>
        <v/>
      </c>
      <c r="C371" s="7" t="str">
        <f>IF(Notes!CA367="","",Notes!CA367)</f>
        <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
      <c r="A372" s="7" t="str">
        <f>IF(Notes!BY368="","",Notes!BY368)</f>
        <v/>
      </c>
      <c r="B372" s="7" t="str">
        <f>IF(Notes!BZ368="","",Notes!BZ368)</f>
        <v/>
      </c>
      <c r="C372" s="7" t="str">
        <f>IF(Notes!CA368="","",Notes!CA368)</f>
        <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
      <c r="A373" s="7" t="str">
        <f>IF(Notes!BY369="","",Notes!BY369)</f>
        <v/>
      </c>
      <c r="B373" s="7" t="str">
        <f>IF(Notes!BZ369="","",Notes!BZ369)</f>
        <v/>
      </c>
      <c r="C373" s="7" t="str">
        <f>IF(Notes!CA369="","",Notes!CA369)</f>
        <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
      <c r="A374" s="7" t="str">
        <f>IF(Notes!BY370="","",Notes!BY370)</f>
        <v/>
      </c>
      <c r="B374" s="7" t="str">
        <f>IF(Notes!BZ370="","",Notes!BZ370)</f>
        <v/>
      </c>
      <c r="C374" s="7" t="str">
        <f>IF(Notes!CA370="","",Notes!CA370)</f>
        <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
      <c r="A375" s="7" t="str">
        <f>IF(Notes!BY371="","",Notes!BY371)</f>
        <v/>
      </c>
      <c r="B375" s="7" t="str">
        <f>IF(Notes!BZ371="","",Notes!BZ371)</f>
        <v/>
      </c>
      <c r="C375" s="7" t="str">
        <f>IF(Notes!CA371="","",Notes!CA371)</f>
        <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
      <c r="A376" s="7" t="str">
        <f>IF(Notes!BY372="","",Notes!BY372)</f>
        <v/>
      </c>
      <c r="B376" s="7" t="str">
        <f>IF(Notes!BZ372="","",Notes!BZ372)</f>
        <v/>
      </c>
      <c r="C376" s="7" t="str">
        <f>IF(Notes!CA372="","",Notes!CA372)</f>
        <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
      <c r="A377" s="7" t="str">
        <f>IF(Notes!BY373="","",Notes!BY373)</f>
        <v/>
      </c>
      <c r="B377" s="7" t="str">
        <f>IF(Notes!BZ373="","",Notes!BZ373)</f>
        <v/>
      </c>
      <c r="C377" s="7" t="str">
        <f>IF(Notes!CA373="","",Notes!CA373)</f>
        <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
      <c r="A378" s="7" t="str">
        <f>IF(Notes!BY374="","",Notes!BY374)</f>
        <v/>
      </c>
      <c r="B378" s="7" t="str">
        <f>IF(Notes!BZ374="","",Notes!BZ374)</f>
        <v/>
      </c>
      <c r="C378" s="7" t="str">
        <f>IF(Notes!CA374="","",Notes!CA374)</f>
        <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
      <c r="A379" s="7" t="str">
        <f>IF(Notes!BY375="","",Notes!BY375)</f>
        <v/>
      </c>
      <c r="B379" s="7" t="str">
        <f>IF(Notes!BZ375="","",Notes!BZ375)</f>
        <v/>
      </c>
      <c r="C379" s="7" t="str">
        <f>IF(Notes!CA375="","",Notes!CA375)</f>
        <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
      <c r="A380" s="7" t="str">
        <f>IF(Notes!BY376="","",Notes!BY376)</f>
        <v/>
      </c>
      <c r="B380" s="7" t="str">
        <f>IF(Notes!BZ376="","",Notes!BZ376)</f>
        <v/>
      </c>
      <c r="C380" s="7" t="str">
        <f>IF(Notes!CA376="","",Notes!CA376)</f>
        <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
      <c r="A381" s="7" t="str">
        <f>IF(Notes!BY377="","",Notes!BY377)</f>
        <v/>
      </c>
      <c r="B381" s="7" t="str">
        <f>IF(Notes!BZ377="","",Notes!BZ377)</f>
        <v/>
      </c>
      <c r="C381" s="7" t="str">
        <f>IF(Notes!CA377="","",Notes!CA377)</f>
        <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
      <c r="A382" s="7" t="str">
        <f>IF(Notes!BY378="","",Notes!BY378)</f>
        <v/>
      </c>
      <c r="B382" s="7" t="str">
        <f>IF(Notes!BZ378="","",Notes!BZ378)</f>
        <v/>
      </c>
      <c r="C382" s="7" t="str">
        <f>IF(Notes!CA378="","",Notes!CA378)</f>
        <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
      <c r="A383" s="7" t="str">
        <f>IF(Notes!BY379="","",Notes!BY379)</f>
        <v/>
      </c>
      <c r="B383" s="7" t="str">
        <f>IF(Notes!BZ379="","",Notes!BZ379)</f>
        <v/>
      </c>
      <c r="C383" s="7" t="str">
        <f>IF(Notes!CA379="","",Notes!CA379)</f>
        <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
      <c r="A384" s="7" t="str">
        <f>IF(Notes!BY380="","",Notes!BY380)</f>
        <v/>
      </c>
      <c r="B384" s="7" t="str">
        <f>IF(Notes!BZ380="","",Notes!BZ380)</f>
        <v/>
      </c>
      <c r="C384" s="7" t="str">
        <f>IF(Notes!CA380="","",Notes!CA380)</f>
        <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
      <c r="A385" s="7" t="str">
        <f>IF(Notes!BY381="","",Notes!BY381)</f>
        <v/>
      </c>
      <c r="B385" s="7" t="str">
        <f>IF(Notes!BZ381="","",Notes!BZ381)</f>
        <v/>
      </c>
      <c r="C385" s="7" t="str">
        <f>IF(Notes!CA381="","",Notes!CA381)</f>
        <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
      <c r="A386" s="7" t="str">
        <f>IF(Notes!BY382="","",Notes!BY382)</f>
        <v/>
      </c>
      <c r="B386" s="7" t="str">
        <f>IF(Notes!BZ382="","",Notes!BZ382)</f>
        <v/>
      </c>
      <c r="C386" s="7" t="str">
        <f>IF(Notes!CA382="","",Notes!CA382)</f>
        <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
      <c r="A387" s="7" t="str">
        <f>IF(Notes!BY383="","",Notes!BY383)</f>
        <v/>
      </c>
      <c r="B387" s="7" t="str">
        <f>IF(Notes!BZ383="","",Notes!BZ383)</f>
        <v/>
      </c>
      <c r="C387" s="7" t="str">
        <f>IF(Notes!CA383="","",Notes!CA383)</f>
        <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
      <c r="A388" s="7" t="str">
        <f>IF(Notes!BY384="","",Notes!BY384)</f>
        <v/>
      </c>
      <c r="B388" s="7" t="str">
        <f>IF(Notes!BZ384="","",Notes!BZ384)</f>
        <v/>
      </c>
      <c r="C388" s="7" t="str">
        <f>IF(Notes!CA384="","",Notes!CA384)</f>
        <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
      <c r="A389" s="7" t="str">
        <f>IF(Notes!BY385="","",Notes!BY385)</f>
        <v/>
      </c>
      <c r="B389" s="7" t="str">
        <f>IF(Notes!BZ385="","",Notes!BZ385)</f>
        <v/>
      </c>
      <c r="C389" s="7" t="str">
        <f>IF(Notes!CA385="","",Notes!CA385)</f>
        <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
      <c r="A390" s="7" t="str">
        <f>IF(Notes!BY386="","",Notes!BY386)</f>
        <v/>
      </c>
      <c r="B390" s="7" t="str">
        <f>IF(Notes!BZ386="","",Notes!BZ386)</f>
        <v/>
      </c>
      <c r="C390" s="7" t="str">
        <f>IF(Notes!CA386="","",Notes!CA386)</f>
        <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
      <c r="A391" s="7" t="str">
        <f>IF(Notes!BY387="","",Notes!BY387)</f>
        <v/>
      </c>
      <c r="B391" s="7" t="str">
        <f>IF(Notes!BZ387="","",Notes!BZ387)</f>
        <v/>
      </c>
      <c r="C391" s="7" t="str">
        <f>IF(Notes!CA387="","",Notes!CA387)</f>
        <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
      <c r="A392" s="7" t="str">
        <f>IF(Notes!BY388="","",Notes!BY388)</f>
        <v/>
      </c>
      <c r="B392" s="7" t="str">
        <f>IF(Notes!BZ388="","",Notes!BZ388)</f>
        <v/>
      </c>
      <c r="C392" s="7" t="str">
        <f>IF(Notes!CA388="","",Notes!CA388)</f>
        <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
      <c r="A393" s="7" t="str">
        <f>IF(Notes!BY389="","",Notes!BY389)</f>
        <v/>
      </c>
      <c r="B393" s="7" t="str">
        <f>IF(Notes!BZ389="","",Notes!BZ389)</f>
        <v/>
      </c>
      <c r="C393" s="7" t="str">
        <f>IF(Notes!CA389="","",Notes!CA389)</f>
        <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
      <c r="A394" s="7" t="str">
        <f>IF(Notes!BY390="","",Notes!BY390)</f>
        <v/>
      </c>
      <c r="B394" s="7" t="str">
        <f>IF(Notes!BZ390="","",Notes!BZ390)</f>
        <v/>
      </c>
      <c r="C394" s="7" t="str">
        <f>IF(Notes!CA390="","",Notes!CA390)</f>
        <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
      <c r="A395" s="7" t="str">
        <f>IF(Notes!BY391="","",Notes!BY391)</f>
        <v/>
      </c>
      <c r="B395" s="7" t="str">
        <f>IF(Notes!BZ391="","",Notes!BZ391)</f>
        <v/>
      </c>
      <c r="C395" s="7" t="str">
        <f>IF(Notes!CA391="","",Notes!CA391)</f>
        <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
      <c r="A396" s="7" t="str">
        <f>IF(Notes!BY392="","",Notes!BY392)</f>
        <v/>
      </c>
      <c r="B396" s="7" t="str">
        <f>IF(Notes!BZ392="","",Notes!BZ392)</f>
        <v/>
      </c>
      <c r="C396" s="7" t="str">
        <f>IF(Notes!CA392="","",Notes!CA392)</f>
        <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
      <c r="A397" s="7" t="str">
        <f>IF(Notes!BY393="","",Notes!BY393)</f>
        <v/>
      </c>
      <c r="B397" s="7" t="str">
        <f>IF(Notes!BZ393="","",Notes!BZ393)</f>
        <v/>
      </c>
      <c r="C397" s="7" t="str">
        <f>IF(Notes!CA393="","",Notes!CA393)</f>
        <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
      <c r="A398" s="7" t="str">
        <f>IF(Notes!BY394="","",Notes!BY394)</f>
        <v/>
      </c>
      <c r="B398" s="7" t="str">
        <f>IF(Notes!BZ394="","",Notes!BZ394)</f>
        <v/>
      </c>
      <c r="C398" s="7" t="str">
        <f>IF(Notes!CA394="","",Notes!CA394)</f>
        <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
      <c r="A399" s="7" t="str">
        <f>IF(Notes!BY395="","",Notes!BY395)</f>
        <v/>
      </c>
      <c r="B399" s="7" t="str">
        <f>IF(Notes!BZ395="","",Notes!BZ395)</f>
        <v/>
      </c>
      <c r="C399" s="7" t="str">
        <f>IF(Notes!CA395="","",Notes!CA395)</f>
        <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
      <c r="A400" s="7" t="str">
        <f>IF(Notes!BY396="","",Notes!BY396)</f>
        <v/>
      </c>
      <c r="B400" s="7" t="str">
        <f>IF(Notes!BZ396="","",Notes!BZ396)</f>
        <v/>
      </c>
      <c r="C400" s="7" t="str">
        <f>IF(Notes!CA396="","",Notes!CA396)</f>
        <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
      <c r="A401" s="7" t="str">
        <f>IF(Notes!BY397="","",Notes!BY397)</f>
        <v/>
      </c>
      <c r="B401" s="7" t="str">
        <f>IF(Notes!BZ397="","",Notes!BZ397)</f>
        <v/>
      </c>
      <c r="C401" s="7" t="str">
        <f>IF(Notes!CA397="","",Notes!CA397)</f>
        <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
      <c r="A402" s="7" t="str">
        <f>IF(Notes!BY398="","",Notes!BY398)</f>
        <v/>
      </c>
      <c r="B402" s="7" t="str">
        <f>IF(Notes!BZ398="","",Notes!BZ398)</f>
        <v/>
      </c>
      <c r="C402" s="7" t="str">
        <f>IF(Notes!CA398="","",Notes!CA398)</f>
        <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
      <c r="A403" s="7" t="str">
        <f>IF(Notes!BY399="","",Notes!BY399)</f>
        <v/>
      </c>
      <c r="B403" s="7" t="str">
        <f>IF(Notes!BZ399="","",Notes!BZ399)</f>
        <v/>
      </c>
      <c r="C403" s="7" t="str">
        <f>IF(Notes!CA399="","",Notes!CA399)</f>
        <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
      <c r="A404" s="7" t="str">
        <f>IF(Notes!BY400="","",Notes!BY400)</f>
        <v/>
      </c>
      <c r="B404" s="7" t="str">
        <f>IF(Notes!BZ400="","",Notes!BZ400)</f>
        <v/>
      </c>
      <c r="C404" s="7" t="str">
        <f>IF(Notes!CA400="","",Notes!CA400)</f>
        <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
      <c r="A405" s="7" t="str">
        <f>IF(Notes!BY401="","",Notes!BY401)</f>
        <v/>
      </c>
      <c r="B405" s="7" t="str">
        <f>IF(Notes!BZ401="","",Notes!BZ401)</f>
        <v/>
      </c>
      <c r="C405" s="7" t="str">
        <f>IF(Notes!CA401="","",Notes!CA401)</f>
        <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
      <c r="A406" s="7" t="str">
        <f>IF(Notes!BY402="","",Notes!BY402)</f>
        <v/>
      </c>
      <c r="B406" s="7" t="str">
        <f>IF(Notes!BZ402="","",Notes!BZ402)</f>
        <v/>
      </c>
      <c r="C406" s="7" t="str">
        <f>IF(Notes!CA402="","",Notes!CA402)</f>
        <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
      <c r="A407" s="7" t="str">
        <f>IF(Notes!BY403="","",Notes!BY403)</f>
        <v/>
      </c>
      <c r="B407" s="7" t="str">
        <f>IF(Notes!BZ403="","",Notes!BZ403)</f>
        <v/>
      </c>
      <c r="C407" s="7" t="str">
        <f>IF(Notes!CA403="","",Notes!CA403)</f>
        <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
      <c r="A408" s="7" t="str">
        <f>IF(Notes!BY404="","",Notes!BY404)</f>
        <v/>
      </c>
      <c r="B408" s="7" t="str">
        <f>IF(Notes!BZ404="","",Notes!BZ404)</f>
        <v/>
      </c>
      <c r="C408" s="7" t="str">
        <f>IF(Notes!CA404="","",Notes!CA404)</f>
        <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
      <c r="A409" s="7" t="str">
        <f>IF(Notes!BY405="","",Notes!BY405)</f>
        <v/>
      </c>
      <c r="B409" s="7" t="str">
        <f>IF(Notes!BZ405="","",Notes!BZ405)</f>
        <v/>
      </c>
      <c r="C409" s="7" t="str">
        <f>IF(Notes!CA405="","",Notes!CA405)</f>
        <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
      <c r="A410" s="7" t="str">
        <f>IF(Notes!BY406="","",Notes!BY406)</f>
        <v/>
      </c>
      <c r="B410" s="7" t="str">
        <f>IF(Notes!BZ406="","",Notes!BZ406)</f>
        <v/>
      </c>
      <c r="C410" s="7" t="str">
        <f>IF(Notes!CA406="","",Notes!CA406)</f>
        <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
      <c r="A411" s="7" t="str">
        <f>IF(Notes!BY407="","",Notes!BY407)</f>
        <v/>
      </c>
      <c r="B411" s="7" t="str">
        <f>IF(Notes!BZ407="","",Notes!BZ407)</f>
        <v/>
      </c>
      <c r="C411" s="7" t="str">
        <f>IF(Notes!CA407="","",Notes!CA407)</f>
        <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
      <c r="A412" s="7" t="str">
        <f>IF(Notes!BY408="","",Notes!BY408)</f>
        <v/>
      </c>
      <c r="B412" s="7" t="str">
        <f>IF(Notes!BZ408="","",Notes!BZ408)</f>
        <v/>
      </c>
      <c r="C412" s="7" t="str">
        <f>IF(Notes!CA408="","",Notes!CA408)</f>
        <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
      <c r="A413" s="7" t="str">
        <f>IF(Notes!BY409="","",Notes!BY409)</f>
        <v/>
      </c>
      <c r="B413" s="7" t="str">
        <f>IF(Notes!BZ409="","",Notes!BZ409)</f>
        <v/>
      </c>
      <c r="C413" s="7" t="str">
        <f>IF(Notes!CA409="","",Notes!CA409)</f>
        <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
      <c r="A414" s="7" t="str">
        <f>IF(Notes!BY410="","",Notes!BY410)</f>
        <v/>
      </c>
      <c r="B414" s="7" t="str">
        <f>IF(Notes!BZ410="","",Notes!BZ410)</f>
        <v/>
      </c>
      <c r="C414" s="7" t="str">
        <f>IF(Notes!CA410="","",Notes!CA410)</f>
        <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
      <c r="A415" s="7" t="str">
        <f>IF(Notes!BY411="","",Notes!BY411)</f>
        <v/>
      </c>
      <c r="B415" s="7" t="str">
        <f>IF(Notes!BZ411="","",Notes!BZ411)</f>
        <v/>
      </c>
      <c r="C415" s="7" t="str">
        <f>IF(Notes!CA411="","",Notes!CA411)</f>
        <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
      <c r="A416" s="7" t="str">
        <f>IF(Notes!BY412="","",Notes!BY412)</f>
        <v/>
      </c>
      <c r="B416" s="7" t="str">
        <f>IF(Notes!BZ412="","",Notes!BZ412)</f>
        <v/>
      </c>
      <c r="C416" s="7" t="str">
        <f>IF(Notes!CA412="","",Notes!CA412)</f>
        <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
      <c r="A417" s="7" t="str">
        <f>IF(Notes!BY413="","",Notes!BY413)</f>
        <v/>
      </c>
      <c r="B417" s="7" t="str">
        <f>IF(Notes!BZ413="","",Notes!BZ413)</f>
        <v/>
      </c>
      <c r="C417" s="7" t="str">
        <f>IF(Notes!CA413="","",Notes!CA413)</f>
        <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
      <c r="A418" s="7" t="str">
        <f>IF(Notes!BY414="","",Notes!BY414)</f>
        <v/>
      </c>
      <c r="B418" s="7" t="str">
        <f>IF(Notes!BZ414="","",Notes!BZ414)</f>
        <v/>
      </c>
      <c r="C418" s="7" t="str">
        <f>IF(Notes!CA414="","",Notes!CA414)</f>
        <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
      <c r="A419" s="7" t="str">
        <f>IF(Notes!BY415="","",Notes!BY415)</f>
        <v/>
      </c>
      <c r="B419" s="7" t="str">
        <f>IF(Notes!BZ415="","",Notes!BZ415)</f>
        <v/>
      </c>
      <c r="C419" s="7" t="str">
        <f>IF(Notes!CA415="","",Notes!CA415)</f>
        <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
      <c r="A420" s="7" t="str">
        <f>IF(Notes!BY416="","",Notes!BY416)</f>
        <v/>
      </c>
      <c r="B420" s="7" t="str">
        <f>IF(Notes!BZ416="","",Notes!BZ416)</f>
        <v/>
      </c>
      <c r="C420" s="7" t="str">
        <f>IF(Notes!CA416="","",Notes!CA416)</f>
        <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
      <c r="A421" s="7" t="str">
        <f>IF(Notes!BY417="","",Notes!BY417)</f>
        <v/>
      </c>
      <c r="B421" s="7" t="str">
        <f>IF(Notes!BZ417="","",Notes!BZ417)</f>
        <v/>
      </c>
      <c r="C421" s="7" t="str">
        <f>IF(Notes!CA417="","",Notes!CA417)</f>
        <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
      <c r="A422" s="7" t="str">
        <f>IF(Notes!BY418="","",Notes!BY418)</f>
        <v/>
      </c>
      <c r="B422" s="7" t="str">
        <f>IF(Notes!BZ418="","",Notes!BZ418)</f>
        <v/>
      </c>
      <c r="C422" s="7" t="str">
        <f>IF(Notes!CA418="","",Notes!CA418)</f>
        <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
      <c r="A423" s="7" t="str">
        <f>IF(Notes!BY419="","",Notes!BY419)</f>
        <v/>
      </c>
      <c r="B423" s="7" t="str">
        <f>IF(Notes!BZ419="","",Notes!BZ419)</f>
        <v/>
      </c>
      <c r="C423" s="7" t="str">
        <f>IF(Notes!CA419="","",Notes!CA419)</f>
        <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
      <c r="A424" s="7" t="str">
        <f>IF(Notes!BY420="","",Notes!BY420)</f>
        <v/>
      </c>
      <c r="B424" s="7" t="str">
        <f>IF(Notes!BZ420="","",Notes!BZ420)</f>
        <v/>
      </c>
      <c r="C424" s="7" t="str">
        <f>IF(Notes!CA420="","",Notes!CA420)</f>
        <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
      <c r="A425" s="7" t="str">
        <f>IF(Notes!BY421="","",Notes!BY421)</f>
        <v/>
      </c>
      <c r="B425" s="7" t="str">
        <f>IF(Notes!BZ421="","",Notes!BZ421)</f>
        <v/>
      </c>
      <c r="C425" s="7" t="str">
        <f>IF(Notes!CA421="","",Notes!CA421)</f>
        <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
      <c r="A426" s="7" t="str">
        <f>IF(Notes!BY422="","",Notes!BY422)</f>
        <v/>
      </c>
      <c r="B426" s="7" t="str">
        <f>IF(Notes!BZ422="","",Notes!BZ422)</f>
        <v/>
      </c>
      <c r="C426" s="7" t="str">
        <f>IF(Notes!CA422="","",Notes!CA422)</f>
        <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
      <c r="A427" s="7" t="str">
        <f>IF(Notes!BY423="","",Notes!BY423)</f>
        <v/>
      </c>
      <c r="B427" s="7" t="str">
        <f>IF(Notes!BZ423="","",Notes!BZ423)</f>
        <v/>
      </c>
      <c r="C427" s="7" t="str">
        <f>IF(Notes!CA423="","",Notes!CA423)</f>
        <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
      <c r="A428" s="7" t="str">
        <f>IF(Notes!BY424="","",Notes!BY424)</f>
        <v/>
      </c>
      <c r="B428" s="7" t="str">
        <f>IF(Notes!BZ424="","",Notes!BZ424)</f>
        <v/>
      </c>
      <c r="C428" s="7" t="str">
        <f>IF(Notes!CA424="","",Notes!CA424)</f>
        <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
      <c r="A429" s="7" t="str">
        <f>IF(Notes!BY425="","",Notes!BY425)</f>
        <v/>
      </c>
      <c r="B429" s="7" t="str">
        <f>IF(Notes!BZ425="","",Notes!BZ425)</f>
        <v/>
      </c>
      <c r="C429" s="7" t="str">
        <f>IF(Notes!CA425="","",Notes!CA425)</f>
        <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
      <c r="A430" s="7" t="str">
        <f>IF(Notes!BY426="","",Notes!BY426)</f>
        <v/>
      </c>
      <c r="B430" s="7" t="str">
        <f>IF(Notes!BZ426="","",Notes!BZ426)</f>
        <v/>
      </c>
      <c r="C430" s="7" t="str">
        <f>IF(Notes!CA426="","",Notes!CA426)</f>
        <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
      <c r="A431" s="7" t="str">
        <f>IF(Notes!BY427="","",Notes!BY427)</f>
        <v/>
      </c>
      <c r="B431" s="7" t="str">
        <f>IF(Notes!BZ427="","",Notes!BZ427)</f>
        <v/>
      </c>
      <c r="C431" s="7" t="str">
        <f>IF(Notes!CA427="","",Notes!CA427)</f>
        <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
      <c r="A432" s="7" t="str">
        <f>IF(Notes!BY428="","",Notes!BY428)</f>
        <v/>
      </c>
      <c r="B432" s="7" t="str">
        <f>IF(Notes!BZ428="","",Notes!BZ428)</f>
        <v/>
      </c>
      <c r="C432" s="7" t="str">
        <f>IF(Notes!CA428="","",Notes!CA428)</f>
        <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
      <c r="A433" s="7" t="str">
        <f>IF(Notes!BY429="","",Notes!BY429)</f>
        <v/>
      </c>
      <c r="B433" s="7" t="str">
        <f>IF(Notes!BZ429="","",Notes!BZ429)</f>
        <v/>
      </c>
      <c r="C433" s="7" t="str">
        <f>IF(Notes!CA429="","",Notes!CA429)</f>
        <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
      <c r="A434" s="7" t="str">
        <f>IF(Notes!BY430="","",Notes!BY430)</f>
        <v/>
      </c>
      <c r="B434" s="7" t="str">
        <f>IF(Notes!BZ430="","",Notes!BZ430)</f>
        <v/>
      </c>
      <c r="C434" s="7" t="str">
        <f>IF(Notes!CA430="","",Notes!CA430)</f>
        <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
      <c r="A435" s="7" t="str">
        <f>IF(Notes!BY431="","",Notes!BY431)</f>
        <v/>
      </c>
      <c r="B435" s="7" t="str">
        <f>IF(Notes!BZ431="","",Notes!BZ431)</f>
        <v/>
      </c>
      <c r="C435" s="7" t="str">
        <f>IF(Notes!CA431="","",Notes!CA431)</f>
        <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
      <c r="A436" s="7" t="str">
        <f>IF(Notes!BY432="","",Notes!BY432)</f>
        <v/>
      </c>
      <c r="B436" s="7" t="str">
        <f>IF(Notes!BZ432="","",Notes!BZ432)</f>
        <v/>
      </c>
      <c r="C436" s="7" t="str">
        <f>IF(Notes!CA432="","",Notes!CA432)</f>
        <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
      <c r="A437" s="7" t="str">
        <f>IF(Notes!BY433="","",Notes!BY433)</f>
        <v/>
      </c>
      <c r="B437" s="7" t="str">
        <f>IF(Notes!BZ433="","",Notes!BZ433)</f>
        <v/>
      </c>
      <c r="C437" s="7" t="str">
        <f>IF(Notes!CA433="","",Notes!CA433)</f>
        <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
      <c r="A438" s="7" t="str">
        <f>IF(Notes!BY434="","",Notes!BY434)</f>
        <v/>
      </c>
      <c r="B438" s="7" t="str">
        <f>IF(Notes!BZ434="","",Notes!BZ434)</f>
        <v/>
      </c>
      <c r="C438" s="7" t="str">
        <f>IF(Notes!CA434="","",Notes!CA434)</f>
        <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
      <c r="A439" s="7" t="str">
        <f>IF(Notes!BY435="","",Notes!BY435)</f>
        <v/>
      </c>
      <c r="B439" s="7" t="str">
        <f>IF(Notes!BZ435="","",Notes!BZ435)</f>
        <v/>
      </c>
      <c r="C439" s="7" t="str">
        <f>IF(Notes!CA435="","",Notes!CA435)</f>
        <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
      <c r="A440" s="7" t="str">
        <f>IF(Notes!BY436="","",Notes!BY436)</f>
        <v/>
      </c>
      <c r="B440" s="7" t="str">
        <f>IF(Notes!BZ436="","",Notes!BZ436)</f>
        <v/>
      </c>
      <c r="C440" s="7" t="str">
        <f>IF(Notes!CA436="","",Notes!CA436)</f>
        <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
      <c r="A441" s="7" t="str">
        <f>IF(Notes!BY437="","",Notes!BY437)</f>
        <v/>
      </c>
      <c r="B441" s="7" t="str">
        <f>IF(Notes!BZ437="","",Notes!BZ437)</f>
        <v/>
      </c>
      <c r="C441" s="7" t="str">
        <f>IF(Notes!CA437="","",Notes!CA437)</f>
        <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
      <c r="A442" s="7" t="str">
        <f>IF(Notes!BY438="","",Notes!BY438)</f>
        <v/>
      </c>
      <c r="B442" s="7" t="str">
        <f>IF(Notes!BZ438="","",Notes!BZ438)</f>
        <v/>
      </c>
      <c r="C442" s="7" t="str">
        <f>IF(Notes!CA438="","",Notes!CA438)</f>
        <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
      <c r="A443" s="7" t="str">
        <f>IF(Notes!BY439="","",Notes!BY439)</f>
        <v/>
      </c>
      <c r="B443" s="7" t="str">
        <f>IF(Notes!BZ439="","",Notes!BZ439)</f>
        <v/>
      </c>
      <c r="C443" s="7" t="str">
        <f>IF(Notes!CA439="","",Notes!CA439)</f>
        <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
      <c r="A444" s="7" t="str">
        <f>IF(Notes!BY440="","",Notes!BY440)</f>
        <v/>
      </c>
      <c r="B444" s="7" t="str">
        <f>IF(Notes!BZ440="","",Notes!BZ440)</f>
        <v/>
      </c>
      <c r="C444" s="7" t="str">
        <f>IF(Notes!CA440="","",Notes!CA440)</f>
        <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
      <c r="A445" s="7" t="str">
        <f>IF(Notes!BY441="","",Notes!BY441)</f>
        <v/>
      </c>
      <c r="B445" s="7" t="str">
        <f>IF(Notes!BZ441="","",Notes!BZ441)</f>
        <v/>
      </c>
      <c r="C445" s="7" t="str">
        <f>IF(Notes!CA441="","",Notes!CA441)</f>
        <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
      <c r="A446" s="7" t="str">
        <f>IF(Notes!BY442="","",Notes!BY442)</f>
        <v/>
      </c>
      <c r="B446" s="7" t="str">
        <f>IF(Notes!BZ442="","",Notes!BZ442)</f>
        <v/>
      </c>
      <c r="C446" s="7" t="str">
        <f>IF(Notes!CA442="","",Notes!CA442)</f>
        <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
      <c r="A447" s="7" t="str">
        <f>IF(Notes!BY443="","",Notes!BY443)</f>
        <v/>
      </c>
      <c r="B447" s="7" t="str">
        <f>IF(Notes!BZ443="","",Notes!BZ443)</f>
        <v/>
      </c>
      <c r="C447" s="7" t="str">
        <f>IF(Notes!CA443="","",Notes!CA443)</f>
        <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
      <c r="A448" s="7" t="str">
        <f>IF(Notes!BY444="","",Notes!BY444)</f>
        <v/>
      </c>
      <c r="B448" s="7" t="str">
        <f>IF(Notes!BZ444="","",Notes!BZ444)</f>
        <v/>
      </c>
      <c r="C448" s="7" t="str">
        <f>IF(Notes!CA444="","",Notes!CA444)</f>
        <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
      <c r="A449" s="7" t="str">
        <f>IF(Notes!BY445="","",Notes!BY445)</f>
        <v/>
      </c>
      <c r="B449" s="7" t="str">
        <f>IF(Notes!BZ445="","",Notes!BZ445)</f>
        <v/>
      </c>
      <c r="C449" s="7" t="str">
        <f>IF(Notes!CA445="","",Notes!CA445)</f>
        <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
      <c r="A450" s="7" t="str">
        <f>IF(Notes!BY446="","",Notes!BY446)</f>
        <v/>
      </c>
      <c r="B450" s="7" t="str">
        <f>IF(Notes!BZ446="","",Notes!BZ446)</f>
        <v/>
      </c>
      <c r="C450" s="7" t="str">
        <f>IF(Notes!CA446="","",Notes!CA446)</f>
        <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
      <c r="A451" s="7" t="str">
        <f>IF(Notes!BY447="","",Notes!BY447)</f>
        <v/>
      </c>
      <c r="B451" s="7" t="str">
        <f>IF(Notes!BZ447="","",Notes!BZ447)</f>
        <v/>
      </c>
      <c r="C451" s="7" t="str">
        <f>IF(Notes!CA447="","",Notes!CA447)</f>
        <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
      <c r="A452" s="7" t="str">
        <f>IF(Notes!BY448="","",Notes!BY448)</f>
        <v/>
      </c>
      <c r="B452" s="7" t="str">
        <f>IF(Notes!BZ448="","",Notes!BZ448)</f>
        <v/>
      </c>
      <c r="C452" s="7" t="str">
        <f>IF(Notes!CA448="","",Notes!CA448)</f>
        <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
      <c r="A453" s="7" t="str">
        <f>IF(Notes!BY449="","",Notes!BY449)</f>
        <v/>
      </c>
      <c r="B453" s="7" t="str">
        <f>IF(Notes!BZ449="","",Notes!BZ449)</f>
        <v/>
      </c>
      <c r="C453" s="7" t="str">
        <f>IF(Notes!CA449="","",Notes!CA449)</f>
        <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
      <c r="A454" s="7" t="str">
        <f>IF(Notes!BY450="","",Notes!BY450)</f>
        <v/>
      </c>
      <c r="B454" s="7" t="str">
        <f>IF(Notes!BZ450="","",Notes!BZ450)</f>
        <v/>
      </c>
      <c r="C454" s="7" t="str">
        <f>IF(Notes!CA450="","",Notes!CA450)</f>
        <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
      <c r="A455" s="7" t="str">
        <f>IF(Notes!BY451="","",Notes!BY451)</f>
        <v/>
      </c>
      <c r="B455" s="7" t="str">
        <f>IF(Notes!BZ451="","",Notes!BZ451)</f>
        <v/>
      </c>
      <c r="C455" s="7" t="str">
        <f>IF(Notes!CA451="","",Notes!CA451)</f>
        <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
      <c r="A456" s="7" t="str">
        <f>IF(Notes!BY452="","",Notes!BY452)</f>
        <v/>
      </c>
      <c r="B456" s="7" t="str">
        <f>IF(Notes!BZ452="","",Notes!BZ452)</f>
        <v/>
      </c>
      <c r="C456" s="7" t="str">
        <f>IF(Notes!CA452="","",Notes!CA452)</f>
        <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
      <c r="A457" s="7" t="str">
        <f>IF(Notes!BY453="","",Notes!BY453)</f>
        <v/>
      </c>
      <c r="B457" s="7" t="str">
        <f>IF(Notes!BZ453="","",Notes!BZ453)</f>
        <v/>
      </c>
      <c r="C457" s="7" t="str">
        <f>IF(Notes!CA453="","",Notes!CA453)</f>
        <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
      <c r="A458" s="7" t="str">
        <f>IF(Notes!BY454="","",Notes!BY454)</f>
        <v/>
      </c>
      <c r="B458" s="7" t="str">
        <f>IF(Notes!BZ454="","",Notes!BZ454)</f>
        <v/>
      </c>
      <c r="C458" s="7" t="str">
        <f>IF(Notes!CA454="","",Notes!CA454)</f>
        <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
      <c r="A459" s="7" t="str">
        <f>IF(Notes!BY455="","",Notes!BY455)</f>
        <v/>
      </c>
      <c r="B459" s="7" t="str">
        <f>IF(Notes!BZ455="","",Notes!BZ455)</f>
        <v/>
      </c>
      <c r="C459" s="7" t="str">
        <f>IF(Notes!CA455="","",Notes!CA455)</f>
        <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
      <c r="A460" s="7" t="str">
        <f>IF(Notes!BY456="","",Notes!BY456)</f>
        <v/>
      </c>
      <c r="B460" s="7" t="str">
        <f>IF(Notes!BZ456="","",Notes!BZ456)</f>
        <v/>
      </c>
      <c r="C460" s="7" t="str">
        <f>IF(Notes!CA456="","",Notes!CA456)</f>
        <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
      <c r="A461" s="7" t="str">
        <f>IF(Notes!BY457="","",Notes!BY457)</f>
        <v/>
      </c>
      <c r="B461" s="7" t="str">
        <f>IF(Notes!BZ457="","",Notes!BZ457)</f>
        <v/>
      </c>
      <c r="C461" s="7" t="str">
        <f>IF(Notes!CA457="","",Notes!CA457)</f>
        <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
      <c r="A462" s="7" t="str">
        <f>IF(Notes!BY458="","",Notes!BY458)</f>
        <v/>
      </c>
      <c r="B462" s="7" t="str">
        <f>IF(Notes!BZ458="","",Notes!BZ458)</f>
        <v/>
      </c>
      <c r="C462" s="7" t="str">
        <f>IF(Notes!CA458="","",Notes!CA458)</f>
        <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
      <c r="A463" s="7" t="str">
        <f>IF(Notes!BY459="","",Notes!BY459)</f>
        <v/>
      </c>
      <c r="B463" s="7" t="str">
        <f>IF(Notes!BZ459="","",Notes!BZ459)</f>
        <v/>
      </c>
      <c r="C463" s="7" t="str">
        <f>IF(Notes!CA459="","",Notes!CA459)</f>
        <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
      <c r="A464" s="7" t="str">
        <f>IF(Notes!BY460="","",Notes!BY460)</f>
        <v/>
      </c>
      <c r="B464" s="7" t="str">
        <f>IF(Notes!BZ460="","",Notes!BZ460)</f>
        <v/>
      </c>
      <c r="C464" s="7" t="str">
        <f>IF(Notes!CA460="","",Notes!CA460)</f>
        <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
      <c r="A465" s="7" t="str">
        <f>IF(Notes!BY461="","",Notes!BY461)</f>
        <v/>
      </c>
      <c r="B465" s="7" t="str">
        <f>IF(Notes!BZ461="","",Notes!BZ461)</f>
        <v/>
      </c>
      <c r="C465" s="7" t="str">
        <f>IF(Notes!CA461="","",Notes!CA461)</f>
        <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
      <c r="A466" s="7" t="str">
        <f>IF(Notes!BY462="","",Notes!BY462)</f>
        <v/>
      </c>
      <c r="B466" s="7" t="str">
        <f>IF(Notes!BZ462="","",Notes!BZ462)</f>
        <v/>
      </c>
      <c r="C466" s="7" t="str">
        <f>IF(Notes!CA462="","",Notes!CA462)</f>
        <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
      <c r="A467" s="7" t="str">
        <f>IF(Notes!BY463="","",Notes!BY463)</f>
        <v/>
      </c>
      <c r="B467" s="7" t="str">
        <f>IF(Notes!BZ463="","",Notes!BZ463)</f>
        <v/>
      </c>
      <c r="C467" s="7" t="str">
        <f>IF(Notes!CA463="","",Notes!CA463)</f>
        <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
      <c r="A468" s="7" t="str">
        <f>IF(Notes!BY464="","",Notes!BY464)</f>
        <v/>
      </c>
      <c r="B468" s="7" t="str">
        <f>IF(Notes!BZ464="","",Notes!BZ464)</f>
        <v/>
      </c>
      <c r="C468" s="7" t="str">
        <f>IF(Notes!CA464="","",Notes!CA464)</f>
        <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
      <c r="A469" s="7" t="str">
        <f>IF(Notes!BY465="","",Notes!BY465)</f>
        <v/>
      </c>
      <c r="B469" s="7" t="str">
        <f>IF(Notes!BZ465="","",Notes!BZ465)</f>
        <v/>
      </c>
      <c r="C469" s="7" t="str">
        <f>IF(Notes!CA465="","",Notes!CA465)</f>
        <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
      <c r="A470" s="7" t="str">
        <f>IF(Notes!BY466="","",Notes!BY466)</f>
        <v/>
      </c>
      <c r="B470" s="7" t="str">
        <f>IF(Notes!BZ466="","",Notes!BZ466)</f>
        <v/>
      </c>
      <c r="C470" s="7" t="str">
        <f>IF(Notes!CA466="","",Notes!CA466)</f>
        <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
      <c r="A471" s="7" t="str">
        <f>IF(Notes!BY467="","",Notes!BY467)</f>
        <v/>
      </c>
      <c r="B471" s="7" t="str">
        <f>IF(Notes!BZ467="","",Notes!BZ467)</f>
        <v/>
      </c>
      <c r="C471" s="7" t="str">
        <f>IF(Notes!CA467="","",Notes!CA467)</f>
        <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
      <c r="A472" s="7" t="str">
        <f>IF(Notes!BY468="","",Notes!BY468)</f>
        <v/>
      </c>
      <c r="B472" s="7" t="str">
        <f>IF(Notes!BZ468="","",Notes!BZ468)</f>
        <v/>
      </c>
      <c r="C472" s="7" t="str">
        <f>IF(Notes!CA468="","",Notes!CA468)</f>
        <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
      <c r="A473" s="7" t="str">
        <f>IF(Notes!BY469="","",Notes!BY469)</f>
        <v/>
      </c>
      <c r="B473" s="7" t="str">
        <f>IF(Notes!BZ469="","",Notes!BZ469)</f>
        <v/>
      </c>
      <c r="C473" s="7" t="str">
        <f>IF(Notes!CA469="","",Notes!CA469)</f>
        <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
      <c r="A474" s="7" t="str">
        <f>IF(Notes!BY470="","",Notes!BY470)</f>
        <v/>
      </c>
      <c r="B474" s="7" t="str">
        <f>IF(Notes!BZ470="","",Notes!BZ470)</f>
        <v/>
      </c>
      <c r="C474" s="7" t="str">
        <f>IF(Notes!CA470="","",Notes!CA470)</f>
        <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
      <c r="A475" s="7" t="str">
        <f>IF(Notes!BY471="","",Notes!BY471)</f>
        <v/>
      </c>
      <c r="B475" s="7" t="str">
        <f>IF(Notes!BZ471="","",Notes!BZ471)</f>
        <v/>
      </c>
      <c r="C475" s="7" t="str">
        <f>IF(Notes!CA471="","",Notes!CA471)</f>
        <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
      <c r="A476" s="7" t="str">
        <f>IF(Notes!BY472="","",Notes!BY472)</f>
        <v/>
      </c>
      <c r="B476" s="7" t="str">
        <f>IF(Notes!BZ472="","",Notes!BZ472)</f>
        <v/>
      </c>
      <c r="C476" s="7" t="str">
        <f>IF(Notes!CA472="","",Notes!CA472)</f>
        <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
      <c r="A477" s="7" t="str">
        <f>IF(Notes!BY473="","",Notes!BY473)</f>
        <v/>
      </c>
      <c r="B477" s="7" t="str">
        <f>IF(Notes!BZ473="","",Notes!BZ473)</f>
        <v/>
      </c>
      <c r="C477" s="7" t="str">
        <f>IF(Notes!CA473="","",Notes!CA473)</f>
        <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
      <c r="A478" s="7" t="str">
        <f>IF(Notes!BY474="","",Notes!BY474)</f>
        <v/>
      </c>
      <c r="B478" s="7" t="str">
        <f>IF(Notes!BZ474="","",Notes!BZ474)</f>
        <v/>
      </c>
      <c r="C478" s="7" t="str">
        <f>IF(Notes!CA474="","",Notes!CA474)</f>
        <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
      <c r="A479" s="7" t="str">
        <f>IF(Notes!BY475="","",Notes!BY475)</f>
        <v/>
      </c>
      <c r="B479" s="7" t="str">
        <f>IF(Notes!BZ475="","",Notes!BZ475)</f>
        <v/>
      </c>
      <c r="C479" s="7" t="str">
        <f>IF(Notes!CA475="","",Notes!CA475)</f>
        <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
      <c r="A480" s="7" t="str">
        <f>IF(Notes!BY476="","",Notes!BY476)</f>
        <v/>
      </c>
      <c r="B480" s="7" t="str">
        <f>IF(Notes!BZ476="","",Notes!BZ476)</f>
        <v/>
      </c>
      <c r="C480" s="7" t="str">
        <f>IF(Notes!CA476="","",Notes!CA476)</f>
        <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
      <c r="A481" s="7" t="str">
        <f>IF(Notes!BY477="","",Notes!BY477)</f>
        <v/>
      </c>
      <c r="B481" s="7" t="str">
        <f>IF(Notes!BZ477="","",Notes!BZ477)</f>
        <v/>
      </c>
      <c r="C481" s="7" t="str">
        <f>IF(Notes!CA477="","",Notes!CA477)</f>
        <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
      <c r="A482" s="7" t="str">
        <f>IF(Notes!BY478="","",Notes!BY478)</f>
        <v/>
      </c>
      <c r="B482" s="7" t="str">
        <f>IF(Notes!BZ478="","",Notes!BZ478)</f>
        <v/>
      </c>
      <c r="C482" s="7" t="str">
        <f>IF(Notes!CA478="","",Notes!CA478)</f>
        <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
      <c r="A483" s="7" t="str">
        <f>IF(Notes!BY479="","",Notes!BY479)</f>
        <v/>
      </c>
      <c r="B483" s="7" t="str">
        <f>IF(Notes!BZ479="","",Notes!BZ479)</f>
        <v/>
      </c>
      <c r="C483" s="7" t="str">
        <f>IF(Notes!CA479="","",Notes!CA479)</f>
        <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
      <c r="A484" s="7" t="str">
        <f>IF(Notes!BY480="","",Notes!BY480)</f>
        <v/>
      </c>
      <c r="B484" s="7" t="str">
        <f>IF(Notes!BZ480="","",Notes!BZ480)</f>
        <v/>
      </c>
      <c r="C484" s="7" t="str">
        <f>IF(Notes!CA480="","",Notes!CA480)</f>
        <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
      <c r="A485" s="7" t="str">
        <f>IF(Notes!BY481="","",Notes!BY481)</f>
        <v/>
      </c>
      <c r="B485" s="7" t="str">
        <f>IF(Notes!BZ481="","",Notes!BZ481)</f>
        <v/>
      </c>
      <c r="C485" s="7" t="str">
        <f>IF(Notes!CA481="","",Notes!CA481)</f>
        <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
      <c r="A486" s="7" t="str">
        <f>IF(Notes!BY482="","",Notes!BY482)</f>
        <v/>
      </c>
      <c r="B486" s="7" t="str">
        <f>IF(Notes!BZ482="","",Notes!BZ482)</f>
        <v/>
      </c>
      <c r="C486" s="7" t="str">
        <f>IF(Notes!CA482="","",Notes!CA482)</f>
        <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
      <c r="A487" s="7" t="str">
        <f>IF(Notes!BY483="","",Notes!BY483)</f>
        <v/>
      </c>
      <c r="B487" s="7" t="str">
        <f>IF(Notes!BZ483="","",Notes!BZ483)</f>
        <v/>
      </c>
      <c r="C487" s="7" t="str">
        <f>IF(Notes!CA483="","",Notes!CA483)</f>
        <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
      <c r="A488" s="7" t="str">
        <f>IF(Notes!BY484="","",Notes!BY484)</f>
        <v/>
      </c>
      <c r="B488" s="7" t="str">
        <f>IF(Notes!BZ484="","",Notes!BZ484)</f>
        <v/>
      </c>
      <c r="C488" s="7" t="str">
        <f>IF(Notes!CA484="","",Notes!CA484)</f>
        <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
      <c r="A489" s="7" t="str">
        <f>IF(Notes!BY485="","",Notes!BY485)</f>
        <v/>
      </c>
      <c r="B489" s="7" t="str">
        <f>IF(Notes!BZ485="","",Notes!BZ485)</f>
        <v/>
      </c>
      <c r="C489" s="7" t="str">
        <f>IF(Notes!CA485="","",Notes!CA485)</f>
        <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
      <c r="A490" s="7" t="str">
        <f>IF(Notes!BY486="","",Notes!BY486)</f>
        <v/>
      </c>
      <c r="B490" s="7" t="str">
        <f>IF(Notes!BZ486="","",Notes!BZ486)</f>
        <v/>
      </c>
      <c r="C490" s="7" t="str">
        <f>IF(Notes!CA486="","",Notes!CA486)</f>
        <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
      <c r="A491" s="7" t="str">
        <f>IF(Notes!BY487="","",Notes!BY487)</f>
        <v/>
      </c>
      <c r="B491" s="7" t="str">
        <f>IF(Notes!BZ487="","",Notes!BZ487)</f>
        <v/>
      </c>
      <c r="C491" s="7" t="str">
        <f>IF(Notes!CA487="","",Notes!CA487)</f>
        <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
      <c r="A492" s="7" t="str">
        <f>IF(Notes!BY488="","",Notes!BY488)</f>
        <v/>
      </c>
      <c r="B492" s="7" t="str">
        <f>IF(Notes!BZ488="","",Notes!BZ488)</f>
        <v/>
      </c>
      <c r="C492" s="7" t="str">
        <f>IF(Notes!CA488="","",Notes!CA488)</f>
        <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
      <c r="A493" s="7" t="str">
        <f>IF(Notes!BY489="","",Notes!BY489)</f>
        <v/>
      </c>
      <c r="B493" s="7" t="str">
        <f>IF(Notes!BZ489="","",Notes!BZ489)</f>
        <v/>
      </c>
      <c r="C493" s="7" t="str">
        <f>IF(Notes!CA489="","",Notes!CA489)</f>
        <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
      <c r="A494" s="7" t="str">
        <f>IF(Notes!BY490="","",Notes!BY490)</f>
        <v/>
      </c>
      <c r="B494" s="7" t="str">
        <f>IF(Notes!BZ490="","",Notes!BZ490)</f>
        <v/>
      </c>
      <c r="C494" s="7" t="str">
        <f>IF(Notes!CA490="","",Notes!CA490)</f>
        <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
      <c r="A495" s="7" t="str">
        <f>IF(Notes!BY491="","",Notes!BY491)</f>
        <v/>
      </c>
      <c r="B495" s="7" t="str">
        <f>IF(Notes!BZ491="","",Notes!BZ491)</f>
        <v/>
      </c>
      <c r="C495" s="7" t="str">
        <f>IF(Notes!CA491="","",Notes!CA491)</f>
        <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
      <c r="A496" s="7" t="str">
        <f>IF(Notes!BY492="","",Notes!BY492)</f>
        <v/>
      </c>
      <c r="B496" s="7" t="str">
        <f>IF(Notes!BZ492="","",Notes!BZ492)</f>
        <v/>
      </c>
      <c r="C496" s="7" t="str">
        <f>IF(Notes!CA492="","",Notes!CA492)</f>
        <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
      <c r="A497" s="7" t="str">
        <f>IF(Notes!BY493="","",Notes!BY493)</f>
        <v/>
      </c>
      <c r="B497" s="7" t="str">
        <f>IF(Notes!BZ493="","",Notes!BZ493)</f>
        <v/>
      </c>
      <c r="C497" s="7" t="str">
        <f>IF(Notes!CA493="","",Notes!CA493)</f>
        <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
      <c r="A498" s="7" t="str">
        <f>IF(Notes!BY494="","",Notes!BY494)</f>
        <v/>
      </c>
      <c r="B498" s="7" t="str">
        <f>IF(Notes!BZ494="","",Notes!BZ494)</f>
        <v/>
      </c>
      <c r="C498" s="7" t="str">
        <f>IF(Notes!CA494="","",Notes!CA494)</f>
        <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
      <c r="A499" s="7" t="str">
        <f>IF(Notes!BY495="","",Notes!BY495)</f>
        <v/>
      </c>
      <c r="B499" s="7" t="str">
        <f>IF(Notes!BZ495="","",Notes!BZ495)</f>
        <v/>
      </c>
      <c r="C499" s="7" t="str">
        <f>IF(Notes!CA495="","",Notes!CA495)</f>
        <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
      <c r="A500" s="7" t="str">
        <f>IF(Notes!BY496="","",Notes!BY496)</f>
        <v/>
      </c>
      <c r="B500" s="7" t="str">
        <f>IF(Notes!BZ496="","",Notes!BZ496)</f>
        <v/>
      </c>
      <c r="C500" s="7" t="str">
        <f>IF(Notes!CA496="","",Notes!CA496)</f>
        <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
      <c r="A501" s="7" t="str">
        <f>IF(Notes!BY497="","",Notes!BY497)</f>
        <v/>
      </c>
      <c r="B501" s="7" t="str">
        <f>IF(Notes!BZ497="","",Notes!BZ497)</f>
        <v/>
      </c>
      <c r="C501" s="7" t="str">
        <f>IF(Notes!CA497="","",Notes!CA497)</f>
        <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
      <c r="A502" s="7" t="str">
        <f>IF(Notes!BY498="","",Notes!BY498)</f>
        <v/>
      </c>
      <c r="B502" s="7" t="str">
        <f>IF(Notes!BZ498="","",Notes!BZ498)</f>
        <v/>
      </c>
      <c r="C502" s="7" t="str">
        <f>IF(Notes!CA498="","",Notes!CA498)</f>
        <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
      <c r="A503" s="7" t="str">
        <f>IF(Notes!BY499="","",Notes!BY499)</f>
        <v/>
      </c>
      <c r="B503" s="7" t="str">
        <f>IF(Notes!BZ499="","",Notes!BZ499)</f>
        <v/>
      </c>
      <c r="C503" s="7" t="str">
        <f>IF(Notes!CA499="","",Notes!CA499)</f>
        <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
      <c r="A504" s="7" t="str">
        <f>IF(Notes!BY500="","",Notes!BY500)</f>
        <v/>
      </c>
      <c r="B504" s="7" t="str">
        <f>IF(Notes!BZ500="","",Notes!BZ500)</f>
        <v/>
      </c>
      <c r="C504" s="7" t="str">
        <f>IF(Notes!CA500="","",Notes!CA500)</f>
        <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
      <c r="A505" s="7" t="str">
        <f>IF(Notes!BY501="","",Notes!BY501)</f>
        <v/>
      </c>
      <c r="B505" s="7" t="str">
        <f>IF(Notes!BZ501="","",Notes!BZ501)</f>
        <v/>
      </c>
      <c r="C505" s="7" t="str">
        <f>IF(Notes!CA501="","",Notes!CA501)</f>
        <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
      <c r="A506" s="7" t="str">
        <f>IF(Notes!BY502="","",Notes!BY502)</f>
        <v/>
      </c>
      <c r="B506" s="7" t="str">
        <f>IF(Notes!BZ502="","",Notes!BZ502)</f>
        <v/>
      </c>
      <c r="C506" s="7" t="str">
        <f>IF(Notes!CA502="","",Notes!CA502)</f>
        <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
      <c r="A507" s="7" t="str">
        <f>IF(Notes!BY503="","",Notes!BY503)</f>
        <v/>
      </c>
      <c r="B507" s="7" t="str">
        <f>IF(Notes!BZ503="","",Notes!BZ503)</f>
        <v/>
      </c>
      <c r="C507" s="7" t="str">
        <f>IF(Notes!CA503="","",Notes!CA503)</f>
        <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
      <c r="A508" s="7" t="str">
        <f>IF(Notes!BY504="","",Notes!BY504)</f>
        <v/>
      </c>
      <c r="B508" s="7" t="str">
        <f>IF(Notes!BZ504="","",Notes!BZ504)</f>
        <v/>
      </c>
      <c r="C508" s="7" t="str">
        <f>IF(Notes!CA504="","",Notes!CA504)</f>
        <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
      <c r="A509" s="7" t="str">
        <f>IF(Notes!BY505="","",Notes!BY505)</f>
        <v/>
      </c>
      <c r="B509" s="7" t="str">
        <f>IF(Notes!BZ505="","",Notes!BZ505)</f>
        <v/>
      </c>
      <c r="C509" s="7" t="str">
        <f>IF(Notes!CA505="","",Notes!CA505)</f>
        <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
      <c r="A510" s="7" t="str">
        <f>IF(Notes!BY506="","",Notes!BY506)</f>
        <v/>
      </c>
      <c r="B510" s="7" t="str">
        <f>IF(Notes!BZ506="","",Notes!BZ506)</f>
        <v/>
      </c>
      <c r="C510" s="7" t="str">
        <f>IF(Notes!CA506="","",Notes!CA506)</f>
        <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
      <c r="A511" s="7" t="str">
        <f>IF(Notes!BY507="","",Notes!BY507)</f>
        <v/>
      </c>
      <c r="B511" s="7" t="str">
        <f>IF(Notes!BZ507="","",Notes!BZ507)</f>
        <v/>
      </c>
      <c r="C511" s="7" t="str">
        <f>IF(Notes!CA507="","",Notes!CA507)</f>
        <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
      <c r="A512" s="7" t="str">
        <f>IF(Notes!BY508="","",Notes!BY508)</f>
        <v/>
      </c>
      <c r="B512" s="7" t="str">
        <f>IF(Notes!BZ508="","",Notes!BZ508)</f>
        <v/>
      </c>
      <c r="C512" s="7" t="str">
        <f>IF(Notes!CA508="","",Notes!CA508)</f>
        <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
      <c r="A513" s="7" t="str">
        <f>IF(Notes!BY509="","",Notes!BY509)</f>
        <v/>
      </c>
      <c r="B513" s="7" t="str">
        <f>IF(Notes!BZ509="","",Notes!BZ509)</f>
        <v/>
      </c>
      <c r="C513" s="7" t="str">
        <f>IF(Notes!CA509="","",Notes!CA509)</f>
        <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
      <c r="A514" s="7" t="str">
        <f>IF(Notes!BY510="","",Notes!BY510)</f>
        <v/>
      </c>
      <c r="B514" s="7" t="str">
        <f>IF(Notes!BZ510="","",Notes!BZ510)</f>
        <v/>
      </c>
      <c r="C514" s="7" t="str">
        <f>IF(Notes!CA510="","",Notes!CA510)</f>
        <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
      <c r="A515" s="7" t="str">
        <f>IF(Notes!BY511="","",Notes!BY511)</f>
        <v/>
      </c>
      <c r="B515" s="7" t="str">
        <f>IF(Notes!BZ511="","",Notes!BZ511)</f>
        <v/>
      </c>
      <c r="C515" s="7" t="str">
        <f>IF(Notes!CA511="","",Notes!CA511)</f>
        <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
      <c r="A516" s="7" t="str">
        <f>IF(Notes!BY512="","",Notes!BY512)</f>
        <v/>
      </c>
      <c r="B516" s="7" t="str">
        <f>IF(Notes!BZ512="","",Notes!BZ512)</f>
        <v/>
      </c>
      <c r="C516" s="7" t="str">
        <f>IF(Notes!CA512="","",Notes!CA512)</f>
        <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
      <c r="A517" s="7" t="str">
        <f>IF(Notes!BY513="","",Notes!BY513)</f>
        <v/>
      </c>
      <c r="B517" s="7" t="str">
        <f>IF(Notes!BZ513="","",Notes!BZ513)</f>
        <v/>
      </c>
      <c r="C517" s="7" t="str">
        <f>IF(Notes!CA513="","",Notes!CA513)</f>
        <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
      <c r="A518" s="7" t="str">
        <f>IF(Notes!BY514="","",Notes!BY514)</f>
        <v/>
      </c>
      <c r="B518" s="7" t="str">
        <f>IF(Notes!BZ514="","",Notes!BZ514)</f>
        <v/>
      </c>
      <c r="C518" s="7" t="str">
        <f>IF(Notes!CA514="","",Notes!CA514)</f>
        <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
      <c r="A519" s="7" t="str">
        <f>IF(Notes!BY515="","",Notes!BY515)</f>
        <v/>
      </c>
      <c r="B519" s="7" t="str">
        <f>IF(Notes!BZ515="","",Notes!BZ515)</f>
        <v/>
      </c>
      <c r="C519" s="7" t="str">
        <f>IF(Notes!CA515="","",Notes!CA515)</f>
        <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
      <c r="A520" s="7" t="str">
        <f>IF(Notes!BY516="","",Notes!BY516)</f>
        <v/>
      </c>
      <c r="B520" s="7" t="str">
        <f>IF(Notes!BZ516="","",Notes!BZ516)</f>
        <v/>
      </c>
      <c r="C520" s="7" t="str">
        <f>IF(Notes!CA516="","",Notes!CA516)</f>
        <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
      <c r="A521" s="7" t="str">
        <f>IF(Notes!BY517="","",Notes!BY517)</f>
        <v/>
      </c>
      <c r="B521" s="7" t="str">
        <f>IF(Notes!BZ517="","",Notes!BZ517)</f>
        <v/>
      </c>
      <c r="C521" s="7" t="str">
        <f>IF(Notes!CA517="","",Notes!CA517)</f>
        <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
      <c r="A522" s="7" t="str">
        <f>IF(Notes!BY518="","",Notes!BY518)</f>
        <v/>
      </c>
      <c r="B522" s="7" t="str">
        <f>IF(Notes!BZ518="","",Notes!BZ518)</f>
        <v/>
      </c>
      <c r="C522" s="7" t="str">
        <f>IF(Notes!CA518="","",Notes!CA518)</f>
        <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
      <c r="A523" s="7" t="str">
        <f>IF(Notes!BY519="","",Notes!BY519)</f>
        <v/>
      </c>
      <c r="B523" s="7" t="str">
        <f>IF(Notes!BZ519="","",Notes!BZ519)</f>
        <v/>
      </c>
      <c r="C523" s="7" t="str">
        <f>IF(Notes!CA519="","",Notes!CA519)</f>
        <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
      <c r="A524" s="7" t="str">
        <f>IF(Notes!BY520="","",Notes!BY520)</f>
        <v/>
      </c>
      <c r="B524" s="7" t="str">
        <f>IF(Notes!BZ520="","",Notes!BZ520)</f>
        <v/>
      </c>
      <c r="C524" s="7" t="str">
        <f>IF(Notes!CA520="","",Notes!CA520)</f>
        <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
      <c r="A525" s="7" t="str">
        <f>IF(Notes!BY521="","",Notes!BY521)</f>
        <v/>
      </c>
      <c r="B525" s="7" t="str">
        <f>IF(Notes!BZ521="","",Notes!BZ521)</f>
        <v/>
      </c>
      <c r="C525" s="7" t="str">
        <f>IF(Notes!CA521="","",Notes!CA521)</f>
        <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
      <c r="A526" s="7" t="str">
        <f>IF(Notes!BY522="","",Notes!BY522)</f>
        <v/>
      </c>
      <c r="B526" s="7" t="str">
        <f>IF(Notes!BZ522="","",Notes!BZ522)</f>
        <v/>
      </c>
      <c r="C526" s="7" t="str">
        <f>IF(Notes!CA522="","",Notes!CA522)</f>
        <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
      <c r="A527" s="7" t="str">
        <f>IF(Notes!BY523="","",Notes!BY523)</f>
        <v/>
      </c>
      <c r="B527" s="7" t="str">
        <f>IF(Notes!BZ523="","",Notes!BZ523)</f>
        <v/>
      </c>
      <c r="C527" s="7" t="str">
        <f>IF(Notes!CA523="","",Notes!CA523)</f>
        <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
      <c r="A528" s="7" t="str">
        <f>IF(Notes!BY524="","",Notes!BY524)</f>
        <v/>
      </c>
      <c r="B528" s="7" t="str">
        <f>IF(Notes!BZ524="","",Notes!BZ524)</f>
        <v/>
      </c>
      <c r="C528" s="7" t="str">
        <f>IF(Notes!CA524="","",Notes!CA524)</f>
        <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
      <c r="A529" s="7" t="str">
        <f>IF(Notes!BY525="","",Notes!BY525)</f>
        <v/>
      </c>
      <c r="B529" s="7" t="str">
        <f>IF(Notes!BZ525="","",Notes!BZ525)</f>
        <v/>
      </c>
      <c r="C529" s="7" t="str">
        <f>IF(Notes!CA525="","",Notes!CA525)</f>
        <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
      <c r="A530" s="7" t="str">
        <f>IF(Notes!BY526="","",Notes!BY526)</f>
        <v/>
      </c>
      <c r="B530" s="7" t="str">
        <f>IF(Notes!BZ526="","",Notes!BZ526)</f>
        <v/>
      </c>
      <c r="C530" s="7" t="str">
        <f>IF(Notes!CA526="","",Notes!CA526)</f>
        <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
      <c r="A531" s="7" t="str">
        <f>IF(Notes!BY527="","",Notes!BY527)</f>
        <v/>
      </c>
      <c r="B531" s="7" t="str">
        <f>IF(Notes!BZ527="","",Notes!BZ527)</f>
        <v/>
      </c>
      <c r="C531" s="7" t="str">
        <f>IF(Notes!CA527="","",Notes!CA527)</f>
        <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
      <c r="A532" s="7" t="str">
        <f>IF(Notes!BY528="","",Notes!BY528)</f>
        <v/>
      </c>
      <c r="B532" s="7" t="str">
        <f>IF(Notes!BZ528="","",Notes!BZ528)</f>
        <v/>
      </c>
      <c r="C532" s="7" t="str">
        <f>IF(Notes!CA528="","",Notes!CA528)</f>
        <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
      <c r="A533" s="7" t="str">
        <f>IF(Notes!BY529="","",Notes!BY529)</f>
        <v/>
      </c>
      <c r="B533" s="7" t="str">
        <f>IF(Notes!BZ529="","",Notes!BZ529)</f>
        <v/>
      </c>
      <c r="C533" s="7" t="str">
        <f>IF(Notes!CA529="","",Notes!CA529)</f>
        <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
      <c r="A534" s="7" t="str">
        <f>IF(Notes!BY530="","",Notes!BY530)</f>
        <v/>
      </c>
      <c r="B534" s="7" t="str">
        <f>IF(Notes!BZ530="","",Notes!BZ530)</f>
        <v/>
      </c>
      <c r="C534" s="7" t="str">
        <f>IF(Notes!CA530="","",Notes!CA530)</f>
        <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
      <c r="A535" s="7" t="str">
        <f>IF(Notes!BY531="","",Notes!BY531)</f>
        <v/>
      </c>
      <c r="B535" s="7" t="str">
        <f>IF(Notes!BZ531="","",Notes!BZ531)</f>
        <v/>
      </c>
      <c r="C535" s="7" t="str">
        <f>IF(Notes!CA531="","",Notes!CA531)</f>
        <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
      <c r="A536" s="7" t="str">
        <f>IF(Notes!BY532="","",Notes!BY532)</f>
        <v/>
      </c>
      <c r="B536" s="7" t="str">
        <f>IF(Notes!BZ532="","",Notes!BZ532)</f>
        <v/>
      </c>
      <c r="C536" s="7" t="str">
        <f>IF(Notes!CA532="","",Notes!CA532)</f>
        <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
      <c r="A537" s="7" t="str">
        <f>IF(Notes!BY533="","",Notes!BY533)</f>
        <v/>
      </c>
      <c r="B537" s="7" t="str">
        <f>IF(Notes!BZ533="","",Notes!BZ533)</f>
        <v/>
      </c>
      <c r="C537" s="7" t="str">
        <f>IF(Notes!CA533="","",Notes!CA533)</f>
        <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
      <c r="A538" s="7" t="str">
        <f>IF(Notes!BY534="","",Notes!BY534)</f>
        <v/>
      </c>
      <c r="B538" s="7" t="str">
        <f>IF(Notes!BZ534="","",Notes!BZ534)</f>
        <v/>
      </c>
      <c r="C538" s="7" t="str">
        <f>IF(Notes!CA534="","",Notes!CA534)</f>
        <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
      <c r="A539" s="7" t="str">
        <f>IF(Notes!BY535="","",Notes!BY535)</f>
        <v/>
      </c>
      <c r="B539" s="7" t="str">
        <f>IF(Notes!BZ535="","",Notes!BZ535)</f>
        <v/>
      </c>
      <c r="C539" s="7" t="str">
        <f>IF(Notes!CA535="","",Notes!CA535)</f>
        <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
      <c r="A540" s="7" t="str">
        <f>IF(Notes!BY536="","",Notes!BY536)</f>
        <v/>
      </c>
      <c r="B540" s="7" t="str">
        <f>IF(Notes!BZ536="","",Notes!BZ536)</f>
        <v/>
      </c>
      <c r="C540" s="7" t="str">
        <f>IF(Notes!CA536="","",Notes!CA536)</f>
        <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
      <c r="A541" s="7" t="str">
        <f>IF(Notes!BY537="","",Notes!BY537)</f>
        <v/>
      </c>
      <c r="B541" s="7" t="str">
        <f>IF(Notes!BZ537="","",Notes!BZ537)</f>
        <v/>
      </c>
      <c r="C541" s="7" t="str">
        <f>IF(Notes!CA537="","",Notes!CA537)</f>
        <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
      <c r="A542" s="7" t="str">
        <f>IF(Notes!BY538="","",Notes!BY538)</f>
        <v/>
      </c>
      <c r="B542" s="7" t="str">
        <f>IF(Notes!BZ538="","",Notes!BZ538)</f>
        <v/>
      </c>
      <c r="C542" s="7" t="str">
        <f>IF(Notes!CA538="","",Notes!CA538)</f>
        <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
      <c r="A543" s="7" t="str">
        <f>IF(Notes!BY539="","",Notes!BY539)</f>
        <v/>
      </c>
      <c r="B543" s="7" t="str">
        <f>IF(Notes!BZ539="","",Notes!BZ539)</f>
        <v/>
      </c>
      <c r="C543" s="7" t="str">
        <f>IF(Notes!CA539="","",Notes!CA539)</f>
        <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
      <c r="A544" s="7" t="str">
        <f>IF(Notes!BY540="","",Notes!BY540)</f>
        <v/>
      </c>
      <c r="B544" s="7" t="str">
        <f>IF(Notes!BZ540="","",Notes!BZ540)</f>
        <v/>
      </c>
      <c r="C544" s="7" t="str">
        <f>IF(Notes!CA540="","",Notes!CA540)</f>
        <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
      <c r="A545" s="7" t="str">
        <f>IF(Notes!BY541="","",Notes!BY541)</f>
        <v/>
      </c>
      <c r="B545" s="7" t="str">
        <f>IF(Notes!BZ541="","",Notes!BZ541)</f>
        <v/>
      </c>
      <c r="C545" s="7" t="str">
        <f>IF(Notes!CA541="","",Notes!CA541)</f>
        <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
      <c r="A546" s="7" t="str">
        <f>IF(Notes!BY542="","",Notes!BY542)</f>
        <v/>
      </c>
      <c r="B546" s="7" t="str">
        <f>IF(Notes!BZ542="","",Notes!BZ542)</f>
        <v/>
      </c>
      <c r="C546" s="7" t="str">
        <f>IF(Notes!CA542="","",Notes!CA542)</f>
        <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
      <c r="A547" s="7" t="str">
        <f>IF(Notes!BY543="","",Notes!BY543)</f>
        <v/>
      </c>
      <c r="B547" s="7" t="str">
        <f>IF(Notes!BZ543="","",Notes!BZ543)</f>
        <v/>
      </c>
      <c r="C547" s="7" t="str">
        <f>IF(Notes!CA543="","",Notes!CA543)</f>
        <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
      <c r="A548" s="7" t="str">
        <f>IF(Notes!BY544="","",Notes!BY544)</f>
        <v/>
      </c>
      <c r="B548" s="7" t="str">
        <f>IF(Notes!BZ544="","",Notes!BZ544)</f>
        <v/>
      </c>
      <c r="C548" s="7" t="str">
        <f>IF(Notes!CA544="","",Notes!CA544)</f>
        <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
      <c r="A549" s="7" t="str">
        <f>IF(Notes!BY545="","",Notes!BY545)</f>
        <v/>
      </c>
      <c r="B549" s="7" t="str">
        <f>IF(Notes!BZ545="","",Notes!BZ545)</f>
        <v/>
      </c>
      <c r="C549" s="7" t="str">
        <f>IF(Notes!CA545="","",Notes!CA545)</f>
        <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
      <c r="A550" s="7" t="str">
        <f>IF(Notes!BY546="","",Notes!BY546)</f>
        <v/>
      </c>
      <c r="B550" s="7" t="str">
        <f>IF(Notes!BZ546="","",Notes!BZ546)</f>
        <v/>
      </c>
      <c r="C550" s="7" t="str">
        <f>IF(Notes!CA546="","",Notes!CA546)</f>
        <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
      <c r="A551" s="7" t="str">
        <f>IF(Notes!BY547="","",Notes!BY547)</f>
        <v/>
      </c>
      <c r="B551" s="7" t="str">
        <f>IF(Notes!BZ547="","",Notes!BZ547)</f>
        <v/>
      </c>
      <c r="C551" s="7" t="str">
        <f>IF(Notes!CA547="","",Notes!CA547)</f>
        <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
      <c r="A552" s="7" t="str">
        <f>IF(Notes!BY548="","",Notes!BY548)</f>
        <v/>
      </c>
      <c r="B552" s="7" t="str">
        <f>IF(Notes!BZ548="","",Notes!BZ548)</f>
        <v/>
      </c>
      <c r="C552" s="7" t="str">
        <f>IF(Notes!CA548="","",Notes!CA548)</f>
        <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
      <c r="A553" s="7" t="str">
        <f>IF(Notes!BY549="","",Notes!BY549)</f>
        <v/>
      </c>
      <c r="B553" s="7" t="str">
        <f>IF(Notes!BZ549="","",Notes!BZ549)</f>
        <v/>
      </c>
      <c r="C553" s="7" t="str">
        <f>IF(Notes!CA549="","",Notes!CA549)</f>
        <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
      <c r="A554" s="7" t="str">
        <f>IF(Notes!BY550="","",Notes!BY550)</f>
        <v/>
      </c>
      <c r="B554" s="7" t="str">
        <f>IF(Notes!BZ550="","",Notes!BZ550)</f>
        <v/>
      </c>
      <c r="C554" s="7" t="str">
        <f>IF(Notes!CA550="","",Notes!CA550)</f>
        <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
      <c r="A555" s="7" t="str">
        <f>IF(Notes!BY551="","",Notes!BY551)</f>
        <v/>
      </c>
      <c r="B555" s="7" t="str">
        <f>IF(Notes!BZ551="","",Notes!BZ551)</f>
        <v/>
      </c>
      <c r="C555" s="7" t="str">
        <f>IF(Notes!CA551="","",Notes!CA551)</f>
        <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
      <c r="A556" s="7" t="str">
        <f>IF(Notes!BY552="","",Notes!BY552)</f>
        <v/>
      </c>
      <c r="B556" s="7" t="str">
        <f>IF(Notes!BZ552="","",Notes!BZ552)</f>
        <v/>
      </c>
      <c r="C556" s="7" t="str">
        <f>IF(Notes!CA552="","",Notes!CA552)</f>
        <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
      <c r="A557" s="7" t="str">
        <f>IF(Notes!BY553="","",Notes!BY553)</f>
        <v/>
      </c>
      <c r="B557" s="7" t="str">
        <f>IF(Notes!BZ553="","",Notes!BZ553)</f>
        <v/>
      </c>
      <c r="C557" s="7" t="str">
        <f>IF(Notes!CA553="","",Notes!CA553)</f>
        <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
      <c r="A558" s="7" t="str">
        <f>IF(Notes!BY554="","",Notes!BY554)</f>
        <v/>
      </c>
      <c r="B558" s="7" t="str">
        <f>IF(Notes!BZ554="","",Notes!BZ554)</f>
        <v/>
      </c>
      <c r="C558" s="7" t="str">
        <f>IF(Notes!CA554="","",Notes!CA554)</f>
        <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
      <c r="A559" s="7" t="str">
        <f>IF(Notes!BY555="","",Notes!BY555)</f>
        <v/>
      </c>
      <c r="B559" s="7" t="str">
        <f>IF(Notes!BZ555="","",Notes!BZ555)</f>
        <v/>
      </c>
      <c r="C559" s="7" t="str">
        <f>IF(Notes!CA555="","",Notes!CA555)</f>
        <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
      <c r="A560" s="7" t="str">
        <f>IF(Notes!BY556="","",Notes!BY556)</f>
        <v/>
      </c>
      <c r="B560" s="7" t="str">
        <f>IF(Notes!BZ556="","",Notes!BZ556)</f>
        <v/>
      </c>
      <c r="C560" s="7" t="str">
        <f>IF(Notes!CA556="","",Notes!CA556)</f>
        <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
      <c r="A561" s="7" t="str">
        <f>IF(Notes!BY557="","",Notes!BY557)</f>
        <v/>
      </c>
      <c r="B561" s="7" t="str">
        <f>IF(Notes!BZ557="","",Notes!BZ557)</f>
        <v/>
      </c>
      <c r="C561" s="7" t="str">
        <f>IF(Notes!CA557="","",Notes!CA557)</f>
        <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
      <c r="A562" s="7" t="str">
        <f>IF(Notes!BY558="","",Notes!BY558)</f>
        <v/>
      </c>
      <c r="B562" s="7" t="str">
        <f>IF(Notes!BZ558="","",Notes!BZ558)</f>
        <v/>
      </c>
      <c r="C562" s="7" t="str">
        <f>IF(Notes!CA558="","",Notes!CA558)</f>
        <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
      <c r="A563" s="7" t="str">
        <f>IF(Notes!BY559="","",Notes!BY559)</f>
        <v/>
      </c>
      <c r="B563" s="7" t="str">
        <f>IF(Notes!BZ559="","",Notes!BZ559)</f>
        <v/>
      </c>
      <c r="C563" s="7" t="str">
        <f>IF(Notes!CA559="","",Notes!CA559)</f>
        <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
      <c r="A564" s="7" t="str">
        <f>IF(Notes!BY560="","",Notes!BY560)</f>
        <v/>
      </c>
      <c r="B564" s="7" t="str">
        <f>IF(Notes!BZ560="","",Notes!BZ560)</f>
        <v/>
      </c>
      <c r="C564" s="7" t="str">
        <f>IF(Notes!CA560="","",Notes!CA560)</f>
        <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
      <c r="A565" s="7" t="str">
        <f>IF(Notes!BY561="","",Notes!BY561)</f>
        <v/>
      </c>
      <c r="B565" s="7" t="str">
        <f>IF(Notes!BZ561="","",Notes!BZ561)</f>
        <v/>
      </c>
      <c r="C565" s="7" t="str">
        <f>IF(Notes!CA561="","",Notes!CA561)</f>
        <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
      <c r="A566" s="7" t="str">
        <f>IF(Notes!BY562="","",Notes!BY562)</f>
        <v/>
      </c>
      <c r="B566" s="7" t="str">
        <f>IF(Notes!BZ562="","",Notes!BZ562)</f>
        <v/>
      </c>
      <c r="C566" s="7" t="str">
        <f>IF(Notes!CA562="","",Notes!CA562)</f>
        <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
      <c r="A567" s="7" t="str">
        <f>IF(Notes!BY563="","",Notes!BY563)</f>
        <v/>
      </c>
      <c r="B567" s="7" t="str">
        <f>IF(Notes!BZ563="","",Notes!BZ563)</f>
        <v/>
      </c>
      <c r="C567" s="7" t="str">
        <f>IF(Notes!CA563="","",Notes!CA563)</f>
        <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
      <c r="A568" s="7" t="str">
        <f>IF(Notes!BY564="","",Notes!BY564)</f>
        <v/>
      </c>
      <c r="B568" s="7" t="str">
        <f>IF(Notes!BZ564="","",Notes!BZ564)</f>
        <v/>
      </c>
      <c r="C568" s="7" t="str">
        <f>IF(Notes!CA564="","",Notes!CA564)</f>
        <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
      <c r="A569" s="7" t="str">
        <f>IF(Notes!BY565="","",Notes!BY565)</f>
        <v/>
      </c>
      <c r="B569" s="7" t="str">
        <f>IF(Notes!BZ565="","",Notes!BZ565)</f>
        <v/>
      </c>
      <c r="C569" s="7" t="str">
        <f>IF(Notes!CA565="","",Notes!CA565)</f>
        <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
      <c r="A570" s="7" t="str">
        <f>IF(Notes!BY566="","",Notes!BY566)</f>
        <v/>
      </c>
      <c r="B570" s="7" t="str">
        <f>IF(Notes!BZ566="","",Notes!BZ566)</f>
        <v/>
      </c>
      <c r="C570" s="7" t="str">
        <f>IF(Notes!CA566="","",Notes!CA566)</f>
        <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
      <c r="A571" s="7" t="str">
        <f>IF(Notes!BY567="","",Notes!BY567)</f>
        <v/>
      </c>
      <c r="B571" s="7" t="str">
        <f>IF(Notes!BZ567="","",Notes!BZ567)</f>
        <v/>
      </c>
      <c r="C571" s="7" t="str">
        <f>IF(Notes!CA567="","",Notes!CA567)</f>
        <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
      <c r="A572" s="7" t="str">
        <f>IF(Notes!BY568="","",Notes!BY568)</f>
        <v/>
      </c>
      <c r="B572" s="7" t="str">
        <f>IF(Notes!BZ568="","",Notes!BZ568)</f>
        <v/>
      </c>
      <c r="C572" s="7" t="str">
        <f>IF(Notes!CA568="","",Notes!CA568)</f>
        <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
      <c r="A573" s="7" t="str">
        <f>IF(Notes!BY569="","",Notes!BY569)</f>
        <v/>
      </c>
      <c r="B573" s="7" t="str">
        <f>IF(Notes!BZ569="","",Notes!BZ569)</f>
        <v/>
      </c>
      <c r="C573" s="7" t="str">
        <f>IF(Notes!CA569="","",Notes!CA569)</f>
        <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
      <c r="A574" s="7" t="str">
        <f>IF(Notes!BY570="","",Notes!BY570)</f>
        <v/>
      </c>
      <c r="B574" s="7" t="str">
        <f>IF(Notes!BZ570="","",Notes!BZ570)</f>
        <v/>
      </c>
      <c r="C574" s="7" t="str">
        <f>IF(Notes!CA570="","",Notes!CA570)</f>
        <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
      <c r="A575" s="7" t="str">
        <f>IF(Notes!BY571="","",Notes!BY571)</f>
        <v/>
      </c>
      <c r="B575" s="7" t="str">
        <f>IF(Notes!BZ571="","",Notes!BZ571)</f>
        <v/>
      </c>
      <c r="C575" s="7" t="str">
        <f>IF(Notes!CA571="","",Notes!CA571)</f>
        <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
      <c r="A576" s="7" t="str">
        <f>IF(Notes!BY572="","",Notes!BY572)</f>
        <v/>
      </c>
      <c r="B576" s="7" t="str">
        <f>IF(Notes!BZ572="","",Notes!BZ572)</f>
        <v/>
      </c>
      <c r="C576" s="7" t="str">
        <f>IF(Notes!CA572="","",Notes!CA572)</f>
        <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
      <c r="A577" s="7" t="str">
        <f>IF(Notes!BY573="","",Notes!BY573)</f>
        <v/>
      </c>
      <c r="B577" s="7" t="str">
        <f>IF(Notes!BZ573="","",Notes!BZ573)</f>
        <v/>
      </c>
      <c r="C577" s="7" t="str">
        <f>IF(Notes!CA573="","",Notes!CA573)</f>
        <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
      <c r="A578" s="7" t="str">
        <f>IF(Notes!BY574="","",Notes!BY574)</f>
        <v/>
      </c>
      <c r="B578" s="7" t="str">
        <f>IF(Notes!BZ574="","",Notes!BZ574)</f>
        <v/>
      </c>
      <c r="C578" s="7" t="str">
        <f>IF(Notes!CA574="","",Notes!CA574)</f>
        <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
      <c r="A579" s="7" t="str">
        <f>IF(Notes!BY575="","",Notes!BY575)</f>
        <v/>
      </c>
      <c r="B579" s="7" t="str">
        <f>IF(Notes!BZ575="","",Notes!BZ575)</f>
        <v/>
      </c>
      <c r="C579" s="7" t="str">
        <f>IF(Notes!CA575="","",Notes!CA575)</f>
        <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
      <c r="A580" s="7" t="str">
        <f>IF(Notes!BY576="","",Notes!BY576)</f>
        <v/>
      </c>
      <c r="B580" s="7" t="str">
        <f>IF(Notes!BZ576="","",Notes!BZ576)</f>
        <v/>
      </c>
      <c r="C580" s="7" t="str">
        <f>IF(Notes!CA576="","",Notes!CA576)</f>
        <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
      <c r="A581" s="7" t="str">
        <f>IF(Notes!BY577="","",Notes!BY577)</f>
        <v/>
      </c>
      <c r="B581" s="7" t="str">
        <f>IF(Notes!BZ577="","",Notes!BZ577)</f>
        <v/>
      </c>
      <c r="C581" s="7" t="str">
        <f>IF(Notes!CA577="","",Notes!CA577)</f>
        <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
      <c r="A582" s="7" t="str">
        <f>IF(Notes!BY578="","",Notes!BY578)</f>
        <v/>
      </c>
      <c r="B582" s="7" t="str">
        <f>IF(Notes!BZ578="","",Notes!BZ578)</f>
        <v/>
      </c>
      <c r="C582" s="7" t="str">
        <f>IF(Notes!CA578="","",Notes!CA578)</f>
        <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
      <c r="A583" s="7" t="str">
        <f>IF(Notes!BY579="","",Notes!BY579)</f>
        <v/>
      </c>
      <c r="B583" s="7" t="str">
        <f>IF(Notes!BZ579="","",Notes!BZ579)</f>
        <v/>
      </c>
      <c r="C583" s="7" t="str">
        <f>IF(Notes!CA579="","",Notes!CA579)</f>
        <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
      <c r="A584" s="7" t="str">
        <f>IF(Notes!BY580="","",Notes!BY580)</f>
        <v/>
      </c>
      <c r="B584" s="7" t="str">
        <f>IF(Notes!BZ580="","",Notes!BZ580)</f>
        <v/>
      </c>
      <c r="C584" s="7" t="str">
        <f>IF(Notes!CA580="","",Notes!CA580)</f>
        <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
      <c r="A585" s="7" t="str">
        <f>IF(Notes!BY581="","",Notes!BY581)</f>
        <v/>
      </c>
      <c r="B585" s="7" t="str">
        <f>IF(Notes!BZ581="","",Notes!BZ581)</f>
        <v/>
      </c>
      <c r="C585" s="7" t="str">
        <f>IF(Notes!CA581="","",Notes!CA581)</f>
        <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
      <c r="A586" s="7" t="str">
        <f>IF(Notes!BY582="","",Notes!BY582)</f>
        <v/>
      </c>
      <c r="B586" s="7" t="str">
        <f>IF(Notes!BZ582="","",Notes!BZ582)</f>
        <v/>
      </c>
      <c r="C586" s="7" t="str">
        <f>IF(Notes!CA582="","",Notes!CA582)</f>
        <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
      <c r="A587" s="7" t="str">
        <f>IF(Notes!BY583="","",Notes!BY583)</f>
        <v/>
      </c>
      <c r="B587" s="7" t="str">
        <f>IF(Notes!BZ583="","",Notes!BZ583)</f>
        <v/>
      </c>
      <c r="C587" s="7" t="str">
        <f>IF(Notes!CA583="","",Notes!CA583)</f>
        <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
      <c r="A588" s="7" t="str">
        <f>IF(Notes!BY584="","",Notes!BY584)</f>
        <v/>
      </c>
      <c r="B588" s="7" t="str">
        <f>IF(Notes!BZ584="","",Notes!BZ584)</f>
        <v/>
      </c>
      <c r="C588" s="7" t="str">
        <f>IF(Notes!CA584="","",Notes!CA584)</f>
        <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
      <c r="A589" s="7" t="str">
        <f>IF(Notes!BY585="","",Notes!BY585)</f>
        <v/>
      </c>
      <c r="B589" s="7" t="str">
        <f>IF(Notes!BZ585="","",Notes!BZ585)</f>
        <v/>
      </c>
      <c r="C589" s="7" t="str">
        <f>IF(Notes!CA585="","",Notes!CA585)</f>
        <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
      <c r="A590" s="7" t="str">
        <f>IF(Notes!BY586="","",Notes!BY586)</f>
        <v/>
      </c>
      <c r="B590" s="7" t="str">
        <f>IF(Notes!BZ586="","",Notes!BZ586)</f>
        <v/>
      </c>
      <c r="C590" s="7" t="str">
        <f>IF(Notes!CA586="","",Notes!CA586)</f>
        <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
      <c r="A591" s="7" t="str">
        <f>IF(Notes!BY587="","",Notes!BY587)</f>
        <v/>
      </c>
      <c r="B591" s="7" t="str">
        <f>IF(Notes!BZ587="","",Notes!BZ587)</f>
        <v/>
      </c>
      <c r="C591" s="7" t="str">
        <f>IF(Notes!CA587="","",Notes!CA587)</f>
        <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
      <c r="A592" s="7" t="str">
        <f>IF(Notes!BY588="","",Notes!BY588)</f>
        <v/>
      </c>
      <c r="B592" s="7" t="str">
        <f>IF(Notes!BZ588="","",Notes!BZ588)</f>
        <v/>
      </c>
      <c r="C592" s="7" t="str">
        <f>IF(Notes!CA588="","",Notes!CA588)</f>
        <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
      <c r="A593" s="7" t="str">
        <f>IF(Notes!BY589="","",Notes!BY589)</f>
        <v/>
      </c>
      <c r="B593" s="7" t="str">
        <f>IF(Notes!BZ589="","",Notes!BZ589)</f>
        <v/>
      </c>
      <c r="C593" s="7" t="str">
        <f>IF(Notes!CA589="","",Notes!CA589)</f>
        <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
      <c r="A594" s="7" t="str">
        <f>IF(Notes!BY590="","",Notes!BY590)</f>
        <v/>
      </c>
      <c r="B594" s="7" t="str">
        <f>IF(Notes!BZ590="","",Notes!BZ590)</f>
        <v/>
      </c>
      <c r="C594" s="7" t="str">
        <f>IF(Notes!CA590="","",Notes!CA590)</f>
        <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
      <c r="A595" s="7" t="str">
        <f>IF(Notes!BY591="","",Notes!BY591)</f>
        <v/>
      </c>
      <c r="B595" s="7" t="str">
        <f>IF(Notes!BZ591="","",Notes!BZ591)</f>
        <v/>
      </c>
      <c r="C595" s="7" t="str">
        <f>IF(Notes!CA591="","",Notes!CA591)</f>
        <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
      <c r="A596" s="7" t="str">
        <f>IF(Notes!BY592="","",Notes!BY592)</f>
        <v/>
      </c>
      <c r="B596" s="7" t="str">
        <f>IF(Notes!BZ592="","",Notes!BZ592)</f>
        <v/>
      </c>
      <c r="C596" s="7" t="str">
        <f>IF(Notes!CA592="","",Notes!CA592)</f>
        <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
      <c r="A597" s="7" t="str">
        <f>IF(Notes!BY593="","",Notes!BY593)</f>
        <v/>
      </c>
      <c r="B597" s="7" t="str">
        <f>IF(Notes!BZ593="","",Notes!BZ593)</f>
        <v/>
      </c>
      <c r="C597" s="7" t="str">
        <f>IF(Notes!CA593="","",Notes!CA593)</f>
        <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
      <c r="A598" s="7" t="str">
        <f>IF(Notes!BY594="","",Notes!BY594)</f>
        <v/>
      </c>
      <c r="B598" s="7" t="str">
        <f>IF(Notes!BZ594="","",Notes!BZ594)</f>
        <v/>
      </c>
      <c r="C598" s="7" t="str">
        <f>IF(Notes!CA594="","",Notes!CA594)</f>
        <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
      <c r="A599" s="7" t="str">
        <f>IF(Notes!BY595="","",Notes!BY595)</f>
        <v/>
      </c>
      <c r="B599" s="7" t="str">
        <f>IF(Notes!BZ595="","",Notes!BZ595)</f>
        <v/>
      </c>
      <c r="C599" s="7" t="str">
        <f>IF(Notes!CA595="","",Notes!CA595)</f>
        <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
      <c r="A600" s="7" t="str">
        <f>IF(Notes!BY596="","",Notes!BY596)</f>
        <v/>
      </c>
      <c r="B600" s="7" t="str">
        <f>IF(Notes!BZ596="","",Notes!BZ596)</f>
        <v/>
      </c>
      <c r="C600" s="7" t="str">
        <f>IF(Notes!CA596="","",Notes!CA596)</f>
        <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
      <c r="A601" s="7" t="str">
        <f>IF(Notes!BY597="","",Notes!BY597)</f>
        <v/>
      </c>
      <c r="B601" s="7" t="str">
        <f>IF(Notes!BZ597="","",Notes!BZ597)</f>
        <v/>
      </c>
      <c r="C601" s="7" t="str">
        <f>IF(Notes!CA597="","",Notes!CA597)</f>
        <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
      <c r="A602" s="7" t="str">
        <f>IF(Notes!BY598="","",Notes!BY598)</f>
        <v/>
      </c>
      <c r="B602" s="7" t="str">
        <f>IF(Notes!BZ598="","",Notes!BZ598)</f>
        <v/>
      </c>
      <c r="C602" s="7" t="str">
        <f>IF(Notes!CA598="","",Notes!CA598)</f>
        <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
      <c r="A603" s="7" t="str">
        <f>IF(Notes!BY599="","",Notes!BY599)</f>
        <v/>
      </c>
      <c r="B603" s="7" t="str">
        <f>IF(Notes!BZ599="","",Notes!BZ599)</f>
        <v/>
      </c>
      <c r="C603" s="7" t="str">
        <f>IF(Notes!CA599="","",Notes!CA599)</f>
        <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
      <c r="A604" s="7" t="str">
        <f>IF(Notes!BY600="","",Notes!BY600)</f>
        <v/>
      </c>
      <c r="B604" s="7" t="str">
        <f>IF(Notes!BZ600="","",Notes!BZ600)</f>
        <v/>
      </c>
      <c r="C604" s="7" t="str">
        <f>IF(Notes!CA600="","",Notes!CA600)</f>
        <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
      <c r="A605" s="7" t="str">
        <f>IF(Notes!BY601="","",Notes!BY601)</f>
        <v/>
      </c>
      <c r="B605" s="7" t="str">
        <f>IF(Notes!BZ601="","",Notes!BZ601)</f>
        <v/>
      </c>
      <c r="C605" s="7" t="str">
        <f>IF(Notes!CA601="","",Notes!CA601)</f>
        <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
      <c r="A606" s="7" t="str">
        <f>IF(Notes!BY602="","",Notes!BY602)</f>
        <v/>
      </c>
      <c r="B606" s="7" t="str">
        <f>IF(Notes!BZ602="","",Notes!BZ602)</f>
        <v/>
      </c>
      <c r="C606" s="7" t="str">
        <f>IF(Notes!CA602="","",Notes!CA602)</f>
        <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
      <c r="A607" s="7" t="str">
        <f>IF(Notes!BY603="","",Notes!BY603)</f>
        <v/>
      </c>
      <c r="B607" s="7" t="str">
        <f>IF(Notes!BZ603="","",Notes!BZ603)</f>
        <v/>
      </c>
      <c r="C607" s="7" t="str">
        <f>IF(Notes!CA603="","",Notes!CA603)</f>
        <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
      <c r="A608" s="7" t="str">
        <f>IF(Notes!BY604="","",Notes!BY604)</f>
        <v/>
      </c>
      <c r="B608" s="7" t="str">
        <f>IF(Notes!BZ604="","",Notes!BZ604)</f>
        <v/>
      </c>
      <c r="C608" s="7" t="str">
        <f>IF(Notes!CA604="","",Notes!CA604)</f>
        <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
      <c r="A609" s="7" t="str">
        <f>IF(Notes!BY605="","",Notes!BY605)</f>
        <v/>
      </c>
      <c r="B609" s="7" t="str">
        <f>IF(Notes!BZ605="","",Notes!BZ605)</f>
        <v/>
      </c>
      <c r="C609" s="7" t="str">
        <f>IF(Notes!CA605="","",Notes!CA605)</f>
        <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
      <c r="A610" s="7" t="str">
        <f>IF(Notes!BY606="","",Notes!BY606)</f>
        <v/>
      </c>
      <c r="B610" s="7" t="str">
        <f>IF(Notes!BZ606="","",Notes!BZ606)</f>
        <v/>
      </c>
      <c r="C610" s="7" t="str">
        <f>IF(Notes!CA606="","",Notes!CA606)</f>
        <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
      <c r="A611" s="7" t="str">
        <f>IF(Notes!BY607="","",Notes!BY607)</f>
        <v/>
      </c>
      <c r="B611" s="7" t="str">
        <f>IF(Notes!BZ607="","",Notes!BZ607)</f>
        <v/>
      </c>
      <c r="C611" s="7" t="str">
        <f>IF(Notes!CA607="","",Notes!CA607)</f>
        <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
      <c r="A612" s="7" t="str">
        <f>IF(Notes!BY608="","",Notes!BY608)</f>
        <v/>
      </c>
      <c r="B612" s="7" t="str">
        <f>IF(Notes!BZ608="","",Notes!BZ608)</f>
        <v/>
      </c>
      <c r="C612" s="7" t="str">
        <f>IF(Notes!CA608="","",Notes!CA608)</f>
        <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
      <c r="A613" s="7" t="str">
        <f>IF(Notes!BY609="","",Notes!BY609)</f>
        <v/>
      </c>
      <c r="B613" s="7" t="str">
        <f>IF(Notes!BZ609="","",Notes!BZ609)</f>
        <v/>
      </c>
      <c r="C613" s="7" t="str">
        <f>IF(Notes!CA609="","",Notes!CA609)</f>
        <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
      <c r="A614" s="7" t="str">
        <f>IF(Notes!BY610="","",Notes!BY610)</f>
        <v/>
      </c>
      <c r="B614" s="7" t="str">
        <f>IF(Notes!BZ610="","",Notes!BZ610)</f>
        <v/>
      </c>
      <c r="C614" s="7" t="str">
        <f>IF(Notes!CA610="","",Notes!CA610)</f>
        <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
      <c r="A615" s="7" t="str">
        <f>IF(Notes!BY611="","",Notes!BY611)</f>
        <v/>
      </c>
      <c r="B615" s="7" t="str">
        <f>IF(Notes!BZ611="","",Notes!BZ611)</f>
        <v/>
      </c>
      <c r="C615" s="7" t="str">
        <f>IF(Notes!CA611="","",Notes!CA611)</f>
        <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
      <c r="A616" s="7" t="str">
        <f>IF(Notes!BY612="","",Notes!BY612)</f>
        <v/>
      </c>
      <c r="B616" s="7" t="str">
        <f>IF(Notes!BZ612="","",Notes!BZ612)</f>
        <v/>
      </c>
      <c r="C616" s="7" t="str">
        <f>IF(Notes!CA612="","",Notes!CA612)</f>
        <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
      <c r="A617" s="7" t="str">
        <f>IF(Notes!BY613="","",Notes!BY613)</f>
        <v/>
      </c>
      <c r="B617" s="7" t="str">
        <f>IF(Notes!BZ613="","",Notes!BZ613)</f>
        <v/>
      </c>
      <c r="C617" s="7" t="str">
        <f>IF(Notes!CA613="","",Notes!CA613)</f>
        <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
      <c r="A618" s="7" t="str">
        <f>IF(Notes!BY614="","",Notes!BY614)</f>
        <v/>
      </c>
      <c r="B618" s="7" t="str">
        <f>IF(Notes!BZ614="","",Notes!BZ614)</f>
        <v/>
      </c>
      <c r="C618" s="7" t="str">
        <f>IF(Notes!CA614="","",Notes!CA614)</f>
        <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
      <c r="A619" s="7" t="str">
        <f>IF(Notes!BY615="","",Notes!BY615)</f>
        <v/>
      </c>
      <c r="B619" s="7" t="str">
        <f>IF(Notes!BZ615="","",Notes!BZ615)</f>
        <v/>
      </c>
      <c r="C619" s="7" t="str">
        <f>IF(Notes!CA615="","",Notes!CA615)</f>
        <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
      <c r="A620" s="7" t="str">
        <f>IF(Notes!BY616="","",Notes!BY616)</f>
        <v/>
      </c>
      <c r="B620" s="7" t="str">
        <f>IF(Notes!BZ616="","",Notes!BZ616)</f>
        <v/>
      </c>
      <c r="C620" s="7" t="str">
        <f>IF(Notes!CA616="","",Notes!CA616)</f>
        <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
      <c r="A621" s="7" t="str">
        <f>IF(Notes!BY617="","",Notes!BY617)</f>
        <v/>
      </c>
      <c r="B621" s="7" t="str">
        <f>IF(Notes!BZ617="","",Notes!BZ617)</f>
        <v/>
      </c>
      <c r="C621" s="7" t="str">
        <f>IF(Notes!CA617="","",Notes!CA617)</f>
        <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
      <c r="A622" s="7" t="str">
        <f>IF(Notes!BY618="","",Notes!BY618)</f>
        <v/>
      </c>
      <c r="B622" s="7" t="str">
        <f>IF(Notes!BZ618="","",Notes!BZ618)</f>
        <v/>
      </c>
      <c r="C622" s="7" t="str">
        <f>IF(Notes!CA618="","",Notes!CA618)</f>
        <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
      <c r="A623" s="7" t="str">
        <f>IF(Notes!BY619="","",Notes!BY619)</f>
        <v/>
      </c>
      <c r="B623" s="7" t="str">
        <f>IF(Notes!BZ619="","",Notes!BZ619)</f>
        <v/>
      </c>
      <c r="C623" s="7" t="str">
        <f>IF(Notes!CA619="","",Notes!CA619)</f>
        <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
      <c r="A624" s="7" t="str">
        <f>IF(Notes!BY620="","",Notes!BY620)</f>
        <v/>
      </c>
      <c r="B624" s="7" t="str">
        <f>IF(Notes!BZ620="","",Notes!BZ620)</f>
        <v/>
      </c>
      <c r="C624" s="7" t="str">
        <f>IF(Notes!CA620="","",Notes!CA620)</f>
        <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
      <c r="A625" s="7" t="str">
        <f>IF(Notes!BY621="","",Notes!BY621)</f>
        <v/>
      </c>
      <c r="B625" s="7" t="str">
        <f>IF(Notes!BZ621="","",Notes!BZ621)</f>
        <v/>
      </c>
      <c r="C625" s="7" t="str">
        <f>IF(Notes!CA621="","",Notes!CA621)</f>
        <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
      <c r="A626" s="7" t="str">
        <f>IF(Notes!BY622="","",Notes!BY622)</f>
        <v/>
      </c>
      <c r="B626" s="7" t="str">
        <f>IF(Notes!BZ622="","",Notes!BZ622)</f>
        <v/>
      </c>
      <c r="C626" s="7" t="str">
        <f>IF(Notes!CA622="","",Notes!CA622)</f>
        <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
      <c r="A627" s="7" t="str">
        <f>IF(Notes!BY623="","",Notes!BY623)</f>
        <v/>
      </c>
      <c r="B627" s="7" t="str">
        <f>IF(Notes!BZ623="","",Notes!BZ623)</f>
        <v/>
      </c>
      <c r="C627" s="7" t="str">
        <f>IF(Notes!CA623="","",Notes!CA623)</f>
        <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
      <c r="A628" s="7" t="str">
        <f>IF(Notes!BY624="","",Notes!BY624)</f>
        <v/>
      </c>
      <c r="B628" s="7" t="str">
        <f>IF(Notes!BZ624="","",Notes!BZ624)</f>
        <v/>
      </c>
      <c r="C628" s="7" t="str">
        <f>IF(Notes!CA624="","",Notes!CA624)</f>
        <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
      <c r="A629" s="7" t="str">
        <f>IF(Notes!BY625="","",Notes!BY625)</f>
        <v/>
      </c>
      <c r="B629" s="7" t="str">
        <f>IF(Notes!BZ625="","",Notes!BZ625)</f>
        <v/>
      </c>
      <c r="C629" s="7" t="str">
        <f>IF(Notes!CA625="","",Notes!CA625)</f>
        <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
      <c r="A630" s="7" t="str">
        <f>IF(Notes!BY626="","",Notes!BY626)</f>
        <v/>
      </c>
      <c r="B630" s="7" t="str">
        <f>IF(Notes!BZ626="","",Notes!BZ626)</f>
        <v/>
      </c>
      <c r="C630" s="7" t="str">
        <f>IF(Notes!CA626="","",Notes!CA626)</f>
        <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
      <c r="A631" s="7" t="str">
        <f>IF(Notes!BY627="","",Notes!BY627)</f>
        <v/>
      </c>
      <c r="B631" s="7" t="str">
        <f>IF(Notes!BZ627="","",Notes!BZ627)</f>
        <v/>
      </c>
      <c r="C631" s="7" t="str">
        <f>IF(Notes!CA627="","",Notes!CA627)</f>
        <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
      <c r="A632" s="7" t="str">
        <f>IF(Notes!BY628="","",Notes!BY628)</f>
        <v/>
      </c>
      <c r="B632" s="7" t="str">
        <f>IF(Notes!BZ628="","",Notes!BZ628)</f>
        <v/>
      </c>
      <c r="C632" s="7" t="str">
        <f>IF(Notes!CA628="","",Notes!CA628)</f>
        <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
      <c r="A633" s="7" t="str">
        <f>IF(Notes!BY629="","",Notes!BY629)</f>
        <v/>
      </c>
      <c r="B633" s="7" t="str">
        <f>IF(Notes!BZ629="","",Notes!BZ629)</f>
        <v/>
      </c>
      <c r="C633" s="7" t="str">
        <f>IF(Notes!CA629="","",Notes!CA629)</f>
        <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
      <c r="A634" s="7" t="str">
        <f>IF(Notes!BY630="","",Notes!BY630)</f>
        <v/>
      </c>
      <c r="B634" s="7" t="str">
        <f>IF(Notes!BZ630="","",Notes!BZ630)</f>
        <v/>
      </c>
      <c r="C634" s="7" t="str">
        <f>IF(Notes!CA630="","",Notes!CA630)</f>
        <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
      <c r="A635" s="7" t="str">
        <f>IF(Notes!BY631="","",Notes!BY631)</f>
        <v/>
      </c>
      <c r="B635" s="7" t="str">
        <f>IF(Notes!BZ631="","",Notes!BZ631)</f>
        <v/>
      </c>
      <c r="C635" s="7" t="str">
        <f>IF(Notes!CA631="","",Notes!CA631)</f>
        <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
      <c r="A636" s="7" t="str">
        <f>IF(Notes!BY632="","",Notes!BY632)</f>
        <v/>
      </c>
      <c r="B636" s="7" t="str">
        <f>IF(Notes!BZ632="","",Notes!BZ632)</f>
        <v/>
      </c>
      <c r="C636" s="7" t="str">
        <f>IF(Notes!CA632="","",Notes!CA632)</f>
        <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
      <c r="A637" s="7" t="str">
        <f>IF(Notes!BY633="","",Notes!BY633)</f>
        <v/>
      </c>
      <c r="B637" s="7" t="str">
        <f>IF(Notes!BZ633="","",Notes!BZ633)</f>
        <v/>
      </c>
      <c r="C637" s="7" t="str">
        <f>IF(Notes!CA633="","",Notes!CA633)</f>
        <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
      <c r="A638" s="7" t="str">
        <f>IF(Notes!BY634="","",Notes!BY634)</f>
        <v/>
      </c>
      <c r="B638" s="7" t="str">
        <f>IF(Notes!BZ634="","",Notes!BZ634)</f>
        <v/>
      </c>
      <c r="C638" s="7" t="str">
        <f>IF(Notes!CA634="","",Notes!CA634)</f>
        <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
      <c r="A639" s="7" t="str">
        <f>IF(Notes!BY635="","",Notes!BY635)</f>
        <v/>
      </c>
      <c r="B639" s="7" t="str">
        <f>IF(Notes!BZ635="","",Notes!BZ635)</f>
        <v/>
      </c>
      <c r="C639" s="7" t="str">
        <f>IF(Notes!CA635="","",Notes!CA635)</f>
        <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
      <c r="A640" s="7" t="str">
        <f>IF(Notes!BY636="","",Notes!BY636)</f>
        <v/>
      </c>
      <c r="B640" s="7" t="str">
        <f>IF(Notes!BZ636="","",Notes!BZ636)</f>
        <v/>
      </c>
      <c r="C640" s="7" t="str">
        <f>IF(Notes!CA636="","",Notes!CA636)</f>
        <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
      <c r="A641" s="7" t="str">
        <f>IF(Notes!BY637="","",Notes!BY637)</f>
        <v/>
      </c>
      <c r="B641" s="7" t="str">
        <f>IF(Notes!BZ637="","",Notes!BZ637)</f>
        <v/>
      </c>
      <c r="C641" s="7" t="str">
        <f>IF(Notes!CA637="","",Notes!CA637)</f>
        <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
      <c r="A642" s="7" t="str">
        <f>IF(Notes!BY638="","",Notes!BY638)</f>
        <v/>
      </c>
      <c r="B642" s="7" t="str">
        <f>IF(Notes!BZ638="","",Notes!BZ638)</f>
        <v/>
      </c>
      <c r="C642" s="7" t="str">
        <f>IF(Notes!CA638="","",Notes!CA638)</f>
        <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
      <c r="A643" s="7" t="str">
        <f>IF(Notes!BY639="","",Notes!BY639)</f>
        <v/>
      </c>
      <c r="B643" s="7" t="str">
        <f>IF(Notes!BZ639="","",Notes!BZ639)</f>
        <v/>
      </c>
      <c r="C643" s="7" t="str">
        <f>IF(Notes!CA639="","",Notes!CA639)</f>
        <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
      <c r="A644" s="7" t="str">
        <f>IF(Notes!BY640="","",Notes!BY640)</f>
        <v/>
      </c>
      <c r="B644" s="7" t="str">
        <f>IF(Notes!BZ640="","",Notes!BZ640)</f>
        <v/>
      </c>
      <c r="C644" s="7" t="str">
        <f>IF(Notes!CA640="","",Notes!CA640)</f>
        <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
      <c r="A645" s="7" t="str">
        <f>IF(Notes!BY641="","",Notes!BY641)</f>
        <v/>
      </c>
      <c r="B645" s="7" t="str">
        <f>IF(Notes!BZ641="","",Notes!BZ641)</f>
        <v/>
      </c>
      <c r="C645" s="7" t="str">
        <f>IF(Notes!CA641="","",Notes!CA641)</f>
        <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
      <c r="A646" s="7" t="str">
        <f>IF(Notes!BY642="","",Notes!BY642)</f>
        <v/>
      </c>
      <c r="B646" s="7" t="str">
        <f>IF(Notes!BZ642="","",Notes!BZ642)</f>
        <v/>
      </c>
      <c r="C646" s="7" t="str">
        <f>IF(Notes!CA642="","",Notes!CA642)</f>
        <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
      <c r="A647" s="7" t="str">
        <f>IF(Notes!BY643="","",Notes!BY643)</f>
        <v/>
      </c>
      <c r="B647" s="7" t="str">
        <f>IF(Notes!BZ643="","",Notes!BZ643)</f>
        <v/>
      </c>
      <c r="C647" s="7" t="str">
        <f>IF(Notes!CA643="","",Notes!CA643)</f>
        <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
      <c r="A648" s="7" t="str">
        <f>IF(Notes!BY644="","",Notes!BY644)</f>
        <v/>
      </c>
      <c r="B648" s="7" t="str">
        <f>IF(Notes!BZ644="","",Notes!BZ644)</f>
        <v/>
      </c>
      <c r="C648" s="7" t="str">
        <f>IF(Notes!CA644="","",Notes!CA644)</f>
        <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
      <c r="A649" s="7" t="str">
        <f>IF(Notes!BY645="","",Notes!BY645)</f>
        <v/>
      </c>
      <c r="B649" s="7" t="str">
        <f>IF(Notes!BZ645="","",Notes!BZ645)</f>
        <v/>
      </c>
      <c r="C649" s="7" t="str">
        <f>IF(Notes!CA645="","",Notes!CA645)</f>
        <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
      <c r="A650" s="7" t="str">
        <f>IF(Notes!BY646="","",Notes!BY646)</f>
        <v/>
      </c>
      <c r="B650" s="7" t="str">
        <f>IF(Notes!BZ646="","",Notes!BZ646)</f>
        <v/>
      </c>
      <c r="C650" s="7" t="str">
        <f>IF(Notes!CA646="","",Notes!CA646)</f>
        <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
      <c r="A651" s="7" t="str">
        <f>IF(Notes!BY647="","",Notes!BY647)</f>
        <v/>
      </c>
      <c r="B651" s="7" t="str">
        <f>IF(Notes!BZ647="","",Notes!BZ647)</f>
        <v/>
      </c>
      <c r="C651" s="7" t="str">
        <f>IF(Notes!CA647="","",Notes!CA647)</f>
        <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
      <c r="A652" s="7" t="str">
        <f>IF(Notes!BY648="","",Notes!BY648)</f>
        <v/>
      </c>
      <c r="B652" s="7" t="str">
        <f>IF(Notes!BZ648="","",Notes!BZ648)</f>
        <v/>
      </c>
      <c r="C652" s="7" t="str">
        <f>IF(Notes!CA648="","",Notes!CA648)</f>
        <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
      <c r="A653" s="7" t="str">
        <f>IF(Notes!BY649="","",Notes!BY649)</f>
        <v/>
      </c>
      <c r="B653" s="7" t="str">
        <f>IF(Notes!BZ649="","",Notes!BZ649)</f>
        <v/>
      </c>
      <c r="C653" s="7" t="str">
        <f>IF(Notes!CA649="","",Notes!CA649)</f>
        <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
      <c r="A654" s="7" t="str">
        <f>IF(Notes!BY650="","",Notes!BY650)</f>
        <v/>
      </c>
      <c r="B654" s="7" t="str">
        <f>IF(Notes!BZ650="","",Notes!BZ650)</f>
        <v/>
      </c>
      <c r="C654" s="7" t="str">
        <f>IF(Notes!CA650="","",Notes!CA650)</f>
        <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
      <c r="A655" s="7" t="str">
        <f>IF(Notes!BY651="","",Notes!BY651)</f>
        <v/>
      </c>
      <c r="B655" s="7" t="str">
        <f>IF(Notes!BZ651="","",Notes!BZ651)</f>
        <v/>
      </c>
      <c r="C655" s="7" t="str">
        <f>IF(Notes!CA651="","",Notes!CA651)</f>
        <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
      <c r="A656" s="7" t="str">
        <f>IF(Notes!BY652="","",Notes!BY652)</f>
        <v/>
      </c>
      <c r="B656" s="7" t="str">
        <f>IF(Notes!BZ652="","",Notes!BZ652)</f>
        <v/>
      </c>
      <c r="C656" s="7" t="str">
        <f>IF(Notes!CA652="","",Notes!CA652)</f>
        <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
      <c r="A657" s="7" t="str">
        <f>IF(Notes!BY653="","",Notes!BY653)</f>
        <v/>
      </c>
      <c r="B657" s="7" t="str">
        <f>IF(Notes!BZ653="","",Notes!BZ653)</f>
        <v/>
      </c>
      <c r="C657" s="7" t="str">
        <f>IF(Notes!CA653="","",Notes!CA653)</f>
        <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
      <c r="A658" s="7" t="str">
        <f>IF(Notes!BY654="","",Notes!BY654)</f>
        <v/>
      </c>
      <c r="B658" s="7" t="str">
        <f>IF(Notes!BZ654="","",Notes!BZ654)</f>
        <v/>
      </c>
      <c r="C658" s="7" t="str">
        <f>IF(Notes!CA654="","",Notes!CA654)</f>
        <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
      <c r="A659" s="7" t="str">
        <f>IF(Notes!BY655="","",Notes!BY655)</f>
        <v/>
      </c>
      <c r="B659" s="7" t="str">
        <f>IF(Notes!BZ655="","",Notes!BZ655)</f>
        <v/>
      </c>
      <c r="C659" s="7" t="str">
        <f>IF(Notes!CA655="","",Notes!CA655)</f>
        <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
      <c r="A660" s="7" t="str">
        <f>IF(Notes!BY656="","",Notes!BY656)</f>
        <v/>
      </c>
      <c r="B660" s="7" t="str">
        <f>IF(Notes!BZ656="","",Notes!BZ656)</f>
        <v/>
      </c>
      <c r="C660" s="7" t="str">
        <f>IF(Notes!CA656="","",Notes!CA656)</f>
        <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
      <c r="A661" s="7" t="str">
        <f>IF(Notes!BY657="","",Notes!BY657)</f>
        <v/>
      </c>
      <c r="B661" s="7" t="str">
        <f>IF(Notes!BZ657="","",Notes!BZ657)</f>
        <v/>
      </c>
      <c r="C661" s="7" t="str">
        <f>IF(Notes!CA657="","",Notes!CA657)</f>
        <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
      <c r="A662" s="7" t="str">
        <f>IF(Notes!BY658="","",Notes!BY658)</f>
        <v/>
      </c>
      <c r="B662" s="7" t="str">
        <f>IF(Notes!BZ658="","",Notes!BZ658)</f>
        <v/>
      </c>
      <c r="C662" s="7" t="str">
        <f>IF(Notes!CA658="","",Notes!CA658)</f>
        <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
      <c r="A663" s="7" t="str">
        <f>IF(Notes!BY659="","",Notes!BY659)</f>
        <v/>
      </c>
      <c r="B663" s="7" t="str">
        <f>IF(Notes!BZ659="","",Notes!BZ659)</f>
        <v/>
      </c>
      <c r="C663" s="7" t="str">
        <f>IF(Notes!CA659="","",Notes!CA659)</f>
        <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
      <c r="A664" s="7" t="str">
        <f>IF(Notes!BY660="","",Notes!BY660)</f>
        <v/>
      </c>
      <c r="B664" s="7" t="str">
        <f>IF(Notes!BZ660="","",Notes!BZ660)</f>
        <v/>
      </c>
      <c r="C664" s="7" t="str">
        <f>IF(Notes!CA660="","",Notes!CA660)</f>
        <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
      <c r="A665" s="7" t="str">
        <f>IF(Notes!BY661="","",Notes!BY661)</f>
        <v/>
      </c>
      <c r="B665" s="7" t="str">
        <f>IF(Notes!BZ661="","",Notes!BZ661)</f>
        <v/>
      </c>
      <c r="C665" s="7" t="str">
        <f>IF(Notes!CA661="","",Notes!CA661)</f>
        <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
      <c r="A666" s="7" t="str">
        <f>IF(Notes!BY662="","",Notes!BY662)</f>
        <v/>
      </c>
      <c r="B666" s="7" t="str">
        <f>IF(Notes!BZ662="","",Notes!BZ662)</f>
        <v/>
      </c>
      <c r="C666" s="7" t="str">
        <f>IF(Notes!CA662="","",Notes!CA662)</f>
        <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
      <c r="A667" s="7" t="str">
        <f>IF(Notes!BY663="","",Notes!BY663)</f>
        <v/>
      </c>
      <c r="B667" s="7" t="str">
        <f>IF(Notes!BZ663="","",Notes!BZ663)</f>
        <v/>
      </c>
      <c r="C667" s="7" t="str">
        <f>IF(Notes!CA663="","",Notes!CA663)</f>
        <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
      <c r="A668" s="7" t="str">
        <f>IF(Notes!BY664="","",Notes!BY664)</f>
        <v/>
      </c>
      <c r="B668" s="7" t="str">
        <f>IF(Notes!BZ664="","",Notes!BZ664)</f>
        <v/>
      </c>
      <c r="C668" s="7" t="str">
        <f>IF(Notes!CA664="","",Notes!CA664)</f>
        <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
      <c r="A669" s="7" t="str">
        <f>IF(Notes!BY665="","",Notes!BY665)</f>
        <v/>
      </c>
      <c r="B669" s="7" t="str">
        <f>IF(Notes!BZ665="","",Notes!BZ665)</f>
        <v/>
      </c>
      <c r="C669" s="7" t="str">
        <f>IF(Notes!CA665="","",Notes!CA665)</f>
        <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
      <c r="A670" s="7" t="str">
        <f>IF(Notes!BY666="","",Notes!BY666)</f>
        <v/>
      </c>
      <c r="B670" s="7" t="str">
        <f>IF(Notes!BZ666="","",Notes!BZ666)</f>
        <v/>
      </c>
      <c r="C670" s="7" t="str">
        <f>IF(Notes!CA666="","",Notes!CA666)</f>
        <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
      <c r="A671" s="7" t="str">
        <f>IF(Notes!BY667="","",Notes!BY667)</f>
        <v/>
      </c>
      <c r="B671" s="7" t="str">
        <f>IF(Notes!BZ667="","",Notes!BZ667)</f>
        <v/>
      </c>
      <c r="C671" s="7" t="str">
        <f>IF(Notes!CA667="","",Notes!CA667)</f>
        <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
      <c r="A672" s="7" t="str">
        <f>IF(Notes!BY668="","",Notes!BY668)</f>
        <v/>
      </c>
      <c r="B672" s="7" t="str">
        <f>IF(Notes!BZ668="","",Notes!BZ668)</f>
        <v/>
      </c>
      <c r="C672" s="7" t="str">
        <f>IF(Notes!CA668="","",Notes!CA668)</f>
        <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
      <c r="A673" s="7" t="str">
        <f>IF(Notes!BY669="","",Notes!BY669)</f>
        <v/>
      </c>
      <c r="B673" s="7" t="str">
        <f>IF(Notes!BZ669="","",Notes!BZ669)</f>
        <v/>
      </c>
      <c r="C673" s="7" t="str">
        <f>IF(Notes!CA669="","",Notes!CA669)</f>
        <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
      <c r="A674" s="7" t="str">
        <f>IF(Notes!BY670="","",Notes!BY670)</f>
        <v/>
      </c>
      <c r="B674" s="7" t="str">
        <f>IF(Notes!BZ670="","",Notes!BZ670)</f>
        <v/>
      </c>
      <c r="C674" s="7" t="str">
        <f>IF(Notes!CA670="","",Notes!CA670)</f>
        <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
      <c r="A675" s="7" t="str">
        <f>IF(Notes!BY671="","",Notes!BY671)</f>
        <v/>
      </c>
      <c r="B675" s="7" t="str">
        <f>IF(Notes!BZ671="","",Notes!BZ671)</f>
        <v/>
      </c>
      <c r="C675" s="7" t="str">
        <f>IF(Notes!CA671="","",Notes!CA671)</f>
        <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
      <c r="A676" s="7" t="str">
        <f>IF(Notes!BY672="","",Notes!BY672)</f>
        <v/>
      </c>
      <c r="B676" s="7" t="str">
        <f>IF(Notes!BZ672="","",Notes!BZ672)</f>
        <v/>
      </c>
      <c r="C676" s="7" t="str">
        <f>IF(Notes!CA672="","",Notes!CA672)</f>
        <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
      <c r="A677" s="7" t="str">
        <f>IF(Notes!BY673="","",Notes!BY673)</f>
        <v/>
      </c>
      <c r="B677" s="7" t="str">
        <f>IF(Notes!BZ673="","",Notes!BZ673)</f>
        <v/>
      </c>
      <c r="C677" s="7" t="str">
        <f>IF(Notes!CA673="","",Notes!CA673)</f>
        <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
      <c r="A678" s="7" t="str">
        <f>IF(Notes!BY674="","",Notes!BY674)</f>
        <v/>
      </c>
      <c r="B678" s="7" t="str">
        <f>IF(Notes!BZ674="","",Notes!BZ674)</f>
        <v/>
      </c>
      <c r="C678" s="7" t="str">
        <f>IF(Notes!CA674="","",Notes!CA674)</f>
        <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
      <c r="A679" s="7" t="str">
        <f>IF(Notes!BY675="","",Notes!BY675)</f>
        <v/>
      </c>
      <c r="B679" s="7" t="str">
        <f>IF(Notes!BZ675="","",Notes!BZ675)</f>
        <v/>
      </c>
      <c r="C679" s="7" t="str">
        <f>IF(Notes!CA675="","",Notes!CA675)</f>
        <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
      <c r="A680" s="7" t="str">
        <f>IF(Notes!BY676="","",Notes!BY676)</f>
        <v/>
      </c>
      <c r="B680" s="7" t="str">
        <f>IF(Notes!BZ676="","",Notes!BZ676)</f>
        <v/>
      </c>
      <c r="C680" s="7" t="str">
        <f>IF(Notes!CA676="","",Notes!CA676)</f>
        <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
      <c r="A681" s="7" t="str">
        <f>IF(Notes!BY677="","",Notes!BY677)</f>
        <v/>
      </c>
      <c r="B681" s="7" t="str">
        <f>IF(Notes!BZ677="","",Notes!BZ677)</f>
        <v/>
      </c>
      <c r="C681" s="7" t="str">
        <f>IF(Notes!CA677="","",Notes!CA677)</f>
        <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
      <c r="A682" s="7" t="str">
        <f>IF(Notes!BY678="","",Notes!BY678)</f>
        <v/>
      </c>
      <c r="B682" s="7" t="str">
        <f>IF(Notes!BZ678="","",Notes!BZ678)</f>
        <v/>
      </c>
      <c r="C682" s="7" t="str">
        <f>IF(Notes!CA678="","",Notes!CA678)</f>
        <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
      <c r="A683" s="7" t="str">
        <f>IF(Notes!BY679="","",Notes!BY679)</f>
        <v/>
      </c>
      <c r="B683" s="7" t="str">
        <f>IF(Notes!BZ679="","",Notes!BZ679)</f>
        <v/>
      </c>
      <c r="C683" s="7" t="str">
        <f>IF(Notes!CA679="","",Notes!CA679)</f>
        <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
      <c r="A684" s="7" t="str">
        <f>IF(Notes!BY680="","",Notes!BY680)</f>
        <v/>
      </c>
      <c r="B684" s="7" t="str">
        <f>IF(Notes!BZ680="","",Notes!BZ680)</f>
        <v/>
      </c>
      <c r="C684" s="7" t="str">
        <f>IF(Notes!CA680="","",Notes!CA680)</f>
        <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
      <c r="A685" s="7" t="str">
        <f>IF(Notes!BY681="","",Notes!BY681)</f>
        <v/>
      </c>
      <c r="B685" s="7" t="str">
        <f>IF(Notes!BZ681="","",Notes!BZ681)</f>
        <v/>
      </c>
      <c r="C685" s="7" t="str">
        <f>IF(Notes!CA681="","",Notes!CA681)</f>
        <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
      <c r="A686" s="7" t="str">
        <f>IF(Notes!BY682="","",Notes!BY682)</f>
        <v/>
      </c>
      <c r="B686" s="7" t="str">
        <f>IF(Notes!BZ682="","",Notes!BZ682)</f>
        <v/>
      </c>
      <c r="C686" s="7" t="str">
        <f>IF(Notes!CA682="","",Notes!CA682)</f>
        <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
      <c r="A687" s="7" t="str">
        <f>IF(Notes!BY683="","",Notes!BY683)</f>
        <v/>
      </c>
      <c r="B687" s="7" t="str">
        <f>IF(Notes!BZ683="","",Notes!BZ683)</f>
        <v/>
      </c>
      <c r="C687" s="7" t="str">
        <f>IF(Notes!CA683="","",Notes!CA683)</f>
        <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
      <c r="A688" s="7" t="str">
        <f>IF(Notes!BY684="","",Notes!BY684)</f>
        <v/>
      </c>
      <c r="B688" s="7" t="str">
        <f>IF(Notes!BZ684="","",Notes!BZ684)</f>
        <v/>
      </c>
      <c r="C688" s="7" t="str">
        <f>IF(Notes!CA684="","",Notes!CA684)</f>
        <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
      <c r="A689" s="7" t="str">
        <f>IF(Notes!BY685="","",Notes!BY685)</f>
        <v/>
      </c>
      <c r="B689" s="7" t="str">
        <f>IF(Notes!BZ685="","",Notes!BZ685)</f>
        <v/>
      </c>
      <c r="C689" s="7" t="str">
        <f>IF(Notes!CA685="","",Notes!CA685)</f>
        <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
      <c r="A690" s="7" t="str">
        <f>IF(Notes!BY686="","",Notes!BY686)</f>
        <v/>
      </c>
      <c r="B690" s="7" t="str">
        <f>IF(Notes!BZ686="","",Notes!BZ686)</f>
        <v/>
      </c>
      <c r="C690" s="7" t="str">
        <f>IF(Notes!CA686="","",Notes!CA686)</f>
        <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
      <c r="A691" s="7" t="str">
        <f>IF(Notes!BY687="","",Notes!BY687)</f>
        <v/>
      </c>
      <c r="B691" s="7" t="str">
        <f>IF(Notes!BZ687="","",Notes!BZ687)</f>
        <v/>
      </c>
      <c r="C691" s="7" t="str">
        <f>IF(Notes!CA687="","",Notes!CA687)</f>
        <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
      <c r="A692" s="7" t="str">
        <f>IF(Notes!BY688="","",Notes!BY688)</f>
        <v/>
      </c>
      <c r="B692" s="7" t="str">
        <f>IF(Notes!BZ688="","",Notes!BZ688)</f>
        <v/>
      </c>
      <c r="C692" s="7" t="str">
        <f>IF(Notes!CA688="","",Notes!CA688)</f>
        <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
      <c r="A693" s="7" t="str">
        <f>IF(Notes!BY689="","",Notes!BY689)</f>
        <v/>
      </c>
      <c r="B693" s="7" t="str">
        <f>IF(Notes!BZ689="","",Notes!BZ689)</f>
        <v/>
      </c>
      <c r="C693" s="7" t="str">
        <f>IF(Notes!CA689="","",Notes!CA689)</f>
        <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
      <c r="A694" s="7" t="str">
        <f>IF(Notes!BY690="","",Notes!BY690)</f>
        <v/>
      </c>
      <c r="B694" s="7" t="str">
        <f>IF(Notes!BZ690="","",Notes!BZ690)</f>
        <v/>
      </c>
      <c r="C694" s="7" t="str">
        <f>IF(Notes!CA690="","",Notes!CA690)</f>
        <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
      <c r="A695" s="7" t="str">
        <f>IF(Notes!BY691="","",Notes!BY691)</f>
        <v/>
      </c>
      <c r="B695" s="7" t="str">
        <f>IF(Notes!BZ691="","",Notes!BZ691)</f>
        <v/>
      </c>
      <c r="C695" s="7" t="str">
        <f>IF(Notes!CA691="","",Notes!CA691)</f>
        <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
      <c r="A696" s="7" t="str">
        <f>IF(Notes!BY692="","",Notes!BY692)</f>
        <v/>
      </c>
      <c r="B696" s="7" t="str">
        <f>IF(Notes!BZ692="","",Notes!BZ692)</f>
        <v/>
      </c>
      <c r="C696" s="7" t="str">
        <f>IF(Notes!CA692="","",Notes!CA692)</f>
        <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
      <c r="A697" s="7" t="str">
        <f>IF(Notes!BY693="","",Notes!BY693)</f>
        <v/>
      </c>
      <c r="B697" s="7" t="str">
        <f>IF(Notes!BZ693="","",Notes!BZ693)</f>
        <v/>
      </c>
      <c r="C697" s="7" t="str">
        <f>IF(Notes!CA693="","",Notes!CA693)</f>
        <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
      <c r="A698" s="7" t="str">
        <f>IF(Notes!BY694="","",Notes!BY694)</f>
        <v/>
      </c>
      <c r="B698" s="7" t="str">
        <f>IF(Notes!BZ694="","",Notes!BZ694)</f>
        <v/>
      </c>
      <c r="C698" s="7" t="str">
        <f>IF(Notes!CA694="","",Notes!CA694)</f>
        <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
      <c r="A699" s="7" t="str">
        <f>IF(Notes!BY695="","",Notes!BY695)</f>
        <v/>
      </c>
      <c r="B699" s="7" t="str">
        <f>IF(Notes!BZ695="","",Notes!BZ695)</f>
        <v/>
      </c>
      <c r="C699" s="7" t="str">
        <f>IF(Notes!CA695="","",Notes!CA695)</f>
        <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
      <c r="A700" s="7" t="str">
        <f>IF(Notes!BY696="","",Notes!BY696)</f>
        <v/>
      </c>
      <c r="B700" s="7" t="str">
        <f>IF(Notes!BZ696="","",Notes!BZ696)</f>
        <v/>
      </c>
      <c r="C700" s="7" t="str">
        <f>IF(Notes!CA696="","",Notes!CA696)</f>
        <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
      <c r="A701" s="7" t="str">
        <f>IF(Notes!BY697="","",Notes!BY697)</f>
        <v/>
      </c>
      <c r="B701" s="7" t="str">
        <f>IF(Notes!BZ697="","",Notes!BZ697)</f>
        <v/>
      </c>
      <c r="C701" s="7" t="str">
        <f>IF(Notes!CA697="","",Notes!CA697)</f>
        <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
      <c r="A702" s="7" t="str">
        <f>IF(Notes!BY698="","",Notes!BY698)</f>
        <v/>
      </c>
      <c r="B702" s="7" t="str">
        <f>IF(Notes!BZ698="","",Notes!BZ698)</f>
        <v/>
      </c>
      <c r="C702" s="7" t="str">
        <f>IF(Notes!CA698="","",Notes!CA698)</f>
        <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
      <c r="A703" s="7" t="str">
        <f>IF(Notes!BY699="","",Notes!BY699)</f>
        <v/>
      </c>
      <c r="B703" s="7" t="str">
        <f>IF(Notes!BZ699="","",Notes!BZ699)</f>
        <v/>
      </c>
      <c r="C703" s="7" t="str">
        <f>IF(Notes!CA699="","",Notes!CA699)</f>
        <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
      <c r="A704" s="7" t="str">
        <f>IF(Notes!BY700="","",Notes!BY700)</f>
        <v/>
      </c>
      <c r="B704" s="7" t="str">
        <f>IF(Notes!BZ700="","",Notes!BZ700)</f>
        <v/>
      </c>
      <c r="C704" s="7" t="str">
        <f>IF(Notes!CA700="","",Notes!CA700)</f>
        <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
      <c r="A705" s="7" t="str">
        <f>IF(Notes!BY701="","",Notes!BY701)</f>
        <v/>
      </c>
      <c r="B705" s="7" t="str">
        <f>IF(Notes!BZ701="","",Notes!BZ701)</f>
        <v/>
      </c>
      <c r="C705" s="7" t="str">
        <f>IF(Notes!CA701="","",Notes!CA701)</f>
        <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
      <c r="A706" s="7" t="str">
        <f>IF(Notes!BY702="","",Notes!BY702)</f>
        <v/>
      </c>
      <c r="B706" s="7" t="str">
        <f>IF(Notes!BZ702="","",Notes!BZ702)</f>
        <v/>
      </c>
      <c r="C706" s="7" t="str">
        <f>IF(Notes!CA702="","",Notes!CA702)</f>
        <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
      <c r="A707" s="7" t="str">
        <f>IF(Notes!BY703="","",Notes!BY703)</f>
        <v/>
      </c>
      <c r="B707" s="7" t="str">
        <f>IF(Notes!BZ703="","",Notes!BZ703)</f>
        <v/>
      </c>
      <c r="C707" s="7" t="str">
        <f>IF(Notes!CA703="","",Notes!CA703)</f>
        <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
      <c r="A708" s="7" t="str">
        <f>IF(Notes!BY704="","",Notes!BY704)</f>
        <v/>
      </c>
      <c r="B708" s="7" t="str">
        <f>IF(Notes!BZ704="","",Notes!BZ704)</f>
        <v/>
      </c>
      <c r="C708" s="7" t="str">
        <f>IF(Notes!CA704="","",Notes!CA704)</f>
        <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
      <c r="A709" s="7" t="str">
        <f>IF(Notes!BY705="","",Notes!BY705)</f>
        <v/>
      </c>
      <c r="B709" s="7" t="str">
        <f>IF(Notes!BZ705="","",Notes!BZ705)</f>
        <v/>
      </c>
      <c r="C709" s="7" t="str">
        <f>IF(Notes!CA705="","",Notes!CA705)</f>
        <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
      <c r="A710" s="7" t="str">
        <f>IF(Notes!BY706="","",Notes!BY706)</f>
        <v/>
      </c>
      <c r="B710" s="7" t="str">
        <f>IF(Notes!BZ706="","",Notes!BZ706)</f>
        <v/>
      </c>
      <c r="C710" s="7" t="str">
        <f>IF(Notes!CA706="","",Notes!CA706)</f>
        <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
      <c r="A711" s="7" t="str">
        <f>IF(Notes!BY707="","",Notes!BY707)</f>
        <v/>
      </c>
      <c r="B711" s="7" t="str">
        <f>IF(Notes!BZ707="","",Notes!BZ707)</f>
        <v/>
      </c>
      <c r="C711" s="7" t="str">
        <f>IF(Notes!CA707="","",Notes!CA707)</f>
        <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
      <c r="A712" s="7" t="str">
        <f>IF(Notes!BY708="","",Notes!BY708)</f>
        <v/>
      </c>
      <c r="B712" s="7" t="str">
        <f>IF(Notes!BZ708="","",Notes!BZ708)</f>
        <v/>
      </c>
      <c r="C712" s="7" t="str">
        <f>IF(Notes!CA708="","",Notes!CA708)</f>
        <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
      <c r="A713" s="7" t="str">
        <f>IF(Notes!BY709="","",Notes!BY709)</f>
        <v/>
      </c>
      <c r="B713" s="7" t="str">
        <f>IF(Notes!BZ709="","",Notes!BZ709)</f>
        <v/>
      </c>
      <c r="C713" s="7" t="str">
        <f>IF(Notes!CA709="","",Notes!CA709)</f>
        <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
      <c r="A714" s="7" t="str">
        <f>IF(Notes!BY710="","",Notes!BY710)</f>
        <v/>
      </c>
      <c r="B714" s="7" t="str">
        <f>IF(Notes!BZ710="","",Notes!BZ710)</f>
        <v/>
      </c>
      <c r="C714" s="7" t="str">
        <f>IF(Notes!CA710="","",Notes!CA710)</f>
        <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
      <c r="A715" s="7" t="str">
        <f>IF(Notes!BY711="","",Notes!BY711)</f>
        <v/>
      </c>
      <c r="B715" s="7" t="str">
        <f>IF(Notes!BZ711="","",Notes!BZ711)</f>
        <v/>
      </c>
      <c r="C715" s="7" t="str">
        <f>IF(Notes!CA711="","",Notes!CA711)</f>
        <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
      <c r="A716" s="7" t="str">
        <f>IF(Notes!BY712="","",Notes!BY712)</f>
        <v/>
      </c>
      <c r="B716" s="7" t="str">
        <f>IF(Notes!BZ712="","",Notes!BZ712)</f>
        <v/>
      </c>
      <c r="C716" s="7" t="str">
        <f>IF(Notes!CA712="","",Notes!CA712)</f>
        <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
      <c r="A717" s="7" t="str">
        <f>IF(Notes!BY713="","",Notes!BY713)</f>
        <v/>
      </c>
      <c r="B717" s="7" t="str">
        <f>IF(Notes!BZ713="","",Notes!BZ713)</f>
        <v/>
      </c>
      <c r="C717" s="7" t="str">
        <f>IF(Notes!CA713="","",Notes!CA713)</f>
        <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
      <c r="A718" s="7" t="str">
        <f>IF(Notes!BY714="","",Notes!BY714)</f>
        <v/>
      </c>
      <c r="B718" s="7" t="str">
        <f>IF(Notes!BZ714="","",Notes!BZ714)</f>
        <v/>
      </c>
      <c r="C718" s="7" t="str">
        <f>IF(Notes!CA714="","",Notes!CA714)</f>
        <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
      <c r="A719" s="7" t="str">
        <f>IF(Notes!BY715="","",Notes!BY715)</f>
        <v/>
      </c>
      <c r="B719" s="7" t="str">
        <f>IF(Notes!BZ715="","",Notes!BZ715)</f>
        <v/>
      </c>
      <c r="C719" s="7" t="str">
        <f>IF(Notes!CA715="","",Notes!CA715)</f>
        <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
      <c r="A720" s="7" t="str">
        <f>IF(Notes!BY716="","",Notes!BY716)</f>
        <v/>
      </c>
      <c r="B720" s="7" t="str">
        <f>IF(Notes!BZ716="","",Notes!BZ716)</f>
        <v/>
      </c>
      <c r="C720" s="7" t="str">
        <f>IF(Notes!CA716="","",Notes!CA716)</f>
        <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
      <c r="A721" s="7" t="str">
        <f>IF(Notes!BY717="","",Notes!BY717)</f>
        <v/>
      </c>
      <c r="B721" s="7" t="str">
        <f>IF(Notes!BZ717="","",Notes!BZ717)</f>
        <v/>
      </c>
      <c r="C721" s="7" t="str">
        <f>IF(Notes!CA717="","",Notes!CA717)</f>
        <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
      <c r="A722" s="7" t="str">
        <f>IF(Notes!BY718="","",Notes!BY718)</f>
        <v/>
      </c>
      <c r="B722" s="7" t="str">
        <f>IF(Notes!BZ718="","",Notes!BZ718)</f>
        <v/>
      </c>
      <c r="C722" s="7" t="str">
        <f>IF(Notes!CA718="","",Notes!CA718)</f>
        <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
      <c r="A723" s="7" t="str">
        <f>IF(Notes!BY719="","",Notes!BY719)</f>
        <v/>
      </c>
      <c r="B723" s="7" t="str">
        <f>IF(Notes!BZ719="","",Notes!BZ719)</f>
        <v/>
      </c>
      <c r="C723" s="7" t="str">
        <f>IF(Notes!CA719="","",Notes!CA719)</f>
        <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
      <c r="A724" s="7" t="str">
        <f>IF(Notes!BY720="","",Notes!BY720)</f>
        <v/>
      </c>
      <c r="B724" s="7" t="str">
        <f>IF(Notes!BZ720="","",Notes!BZ720)</f>
        <v/>
      </c>
      <c r="C724" s="7" t="str">
        <f>IF(Notes!CA720="","",Notes!CA720)</f>
        <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
      <c r="A725" s="7" t="str">
        <f>IF(Notes!BY721="","",Notes!BY721)</f>
        <v/>
      </c>
      <c r="B725" s="7" t="str">
        <f>IF(Notes!BZ721="","",Notes!BZ721)</f>
        <v/>
      </c>
      <c r="C725" s="7" t="str">
        <f>IF(Notes!CA721="","",Notes!CA721)</f>
        <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
      <c r="A726" s="7" t="str">
        <f>IF(Notes!BY722="","",Notes!BY722)</f>
        <v/>
      </c>
      <c r="B726" s="7" t="str">
        <f>IF(Notes!BZ722="","",Notes!BZ722)</f>
        <v/>
      </c>
      <c r="C726" s="7" t="str">
        <f>IF(Notes!CA722="","",Notes!CA722)</f>
        <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
      <c r="A727" s="7" t="str">
        <f>IF(Notes!BY723="","",Notes!BY723)</f>
        <v/>
      </c>
      <c r="B727" s="7" t="str">
        <f>IF(Notes!BZ723="","",Notes!BZ723)</f>
        <v/>
      </c>
      <c r="C727" s="7" t="str">
        <f>IF(Notes!CA723="","",Notes!CA723)</f>
        <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
      <c r="A728" s="7" t="str">
        <f>IF(Notes!BY724="","",Notes!BY724)</f>
        <v/>
      </c>
      <c r="B728" s="7" t="str">
        <f>IF(Notes!BZ724="","",Notes!BZ724)</f>
        <v/>
      </c>
      <c r="C728" s="7" t="str">
        <f>IF(Notes!CA724="","",Notes!CA724)</f>
        <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
      <c r="A729" s="7" t="str">
        <f>IF(Notes!BY725="","",Notes!BY725)</f>
        <v/>
      </c>
      <c r="B729" s="7" t="str">
        <f>IF(Notes!BZ725="","",Notes!BZ725)</f>
        <v/>
      </c>
      <c r="C729" s="7" t="str">
        <f>IF(Notes!CA725="","",Notes!CA725)</f>
        <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
      <c r="A730" s="7" t="str">
        <f>IF(Notes!BY726="","",Notes!BY726)</f>
        <v/>
      </c>
      <c r="B730" s="7" t="str">
        <f>IF(Notes!BZ726="","",Notes!BZ726)</f>
        <v/>
      </c>
      <c r="C730" s="7" t="str">
        <f>IF(Notes!CA726="","",Notes!CA726)</f>
        <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
      <c r="A731" s="7" t="str">
        <f>IF(Notes!BY727="","",Notes!BY727)</f>
        <v/>
      </c>
      <c r="B731" s="7" t="str">
        <f>IF(Notes!BZ727="","",Notes!BZ727)</f>
        <v/>
      </c>
      <c r="C731" s="7" t="str">
        <f>IF(Notes!CA727="","",Notes!CA727)</f>
        <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
      <c r="A732" s="7" t="str">
        <f>IF(Notes!BY728="","",Notes!BY728)</f>
        <v/>
      </c>
      <c r="B732" s="7" t="str">
        <f>IF(Notes!BZ728="","",Notes!BZ728)</f>
        <v/>
      </c>
      <c r="C732" s="7" t="str">
        <f>IF(Notes!CA728="","",Notes!CA728)</f>
        <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
      <c r="A733" s="7" t="str">
        <f>IF(Notes!BY729="","",Notes!BY729)</f>
        <v/>
      </c>
      <c r="B733" s="7" t="str">
        <f>IF(Notes!BZ729="","",Notes!BZ729)</f>
        <v/>
      </c>
      <c r="C733" s="7" t="str">
        <f>IF(Notes!CA729="","",Notes!CA729)</f>
        <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
      <c r="A734" s="7" t="str">
        <f>IF(Notes!BY730="","",Notes!BY730)</f>
        <v/>
      </c>
      <c r="B734" s="7" t="str">
        <f>IF(Notes!BZ730="","",Notes!BZ730)</f>
        <v/>
      </c>
      <c r="C734" s="7" t="str">
        <f>IF(Notes!CA730="","",Notes!CA730)</f>
        <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
      <c r="A735" s="7" t="str">
        <f>IF(Notes!BY731="","",Notes!BY731)</f>
        <v/>
      </c>
      <c r="B735" s="7" t="str">
        <f>IF(Notes!BZ731="","",Notes!BZ731)</f>
        <v/>
      </c>
      <c r="C735" s="7" t="str">
        <f>IF(Notes!CA731="","",Notes!CA731)</f>
        <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
      <c r="A736" s="7" t="str">
        <f>IF(Notes!BY732="","",Notes!BY732)</f>
        <v/>
      </c>
      <c r="B736" s="7" t="str">
        <f>IF(Notes!BZ732="","",Notes!BZ732)</f>
        <v/>
      </c>
      <c r="C736" s="7" t="str">
        <f>IF(Notes!CA732="","",Notes!CA732)</f>
        <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
      <c r="A737" s="7" t="str">
        <f>IF(Notes!BY733="","",Notes!BY733)</f>
        <v/>
      </c>
      <c r="B737" s="7" t="str">
        <f>IF(Notes!BZ733="","",Notes!BZ733)</f>
        <v/>
      </c>
      <c r="C737" s="7" t="str">
        <f>IF(Notes!CA733="","",Notes!CA733)</f>
        <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
      <c r="A738" s="7" t="str">
        <f>IF(Notes!BY734="","",Notes!BY734)</f>
        <v/>
      </c>
      <c r="B738" s="7" t="str">
        <f>IF(Notes!BZ734="","",Notes!BZ734)</f>
        <v/>
      </c>
      <c r="C738" s="7" t="str">
        <f>IF(Notes!CA734="","",Notes!CA734)</f>
        <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
      <c r="A739" s="7" t="str">
        <f>IF(Notes!BY735="","",Notes!BY735)</f>
        <v/>
      </c>
      <c r="B739" s="7" t="str">
        <f>IF(Notes!BZ735="","",Notes!BZ735)</f>
        <v/>
      </c>
      <c r="C739" s="7" t="str">
        <f>IF(Notes!CA735="","",Notes!CA735)</f>
        <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
      <c r="A740" s="7" t="str">
        <f>IF(Notes!BY736="","",Notes!BY736)</f>
        <v/>
      </c>
      <c r="B740" s="7" t="str">
        <f>IF(Notes!BZ736="","",Notes!BZ736)</f>
        <v/>
      </c>
      <c r="C740" s="7" t="str">
        <f>IF(Notes!CA736="","",Notes!CA736)</f>
        <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
      <c r="A741" s="7" t="str">
        <f>IF(Notes!BY737="","",Notes!BY737)</f>
        <v/>
      </c>
      <c r="B741" s="7" t="str">
        <f>IF(Notes!BZ737="","",Notes!BZ737)</f>
        <v/>
      </c>
      <c r="C741" s="7" t="str">
        <f>IF(Notes!CA737="","",Notes!CA737)</f>
        <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
      <c r="A742" s="7" t="str">
        <f>IF(Notes!BY738="","",Notes!BY738)</f>
        <v/>
      </c>
      <c r="B742" s="7" t="str">
        <f>IF(Notes!BZ738="","",Notes!BZ738)</f>
        <v/>
      </c>
      <c r="C742" s="7" t="str">
        <f>IF(Notes!CA738="","",Notes!CA738)</f>
        <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
      <c r="A743" s="7" t="str">
        <f>IF(Notes!BY739="","",Notes!BY739)</f>
        <v/>
      </c>
      <c r="B743" s="7" t="str">
        <f>IF(Notes!BZ739="","",Notes!BZ739)</f>
        <v/>
      </c>
      <c r="C743" s="7" t="str">
        <f>IF(Notes!CA739="","",Notes!CA739)</f>
        <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
      <c r="A744" s="7" t="str">
        <f>IF(Notes!BY740="","",Notes!BY740)</f>
        <v/>
      </c>
      <c r="B744" s="7" t="str">
        <f>IF(Notes!BZ740="","",Notes!BZ740)</f>
        <v/>
      </c>
      <c r="C744" s="7" t="str">
        <f>IF(Notes!CA740="","",Notes!CA740)</f>
        <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
      <c r="A745" s="7" t="str">
        <f>IF(Notes!BY741="","",Notes!BY741)</f>
        <v/>
      </c>
      <c r="B745" s="7" t="str">
        <f>IF(Notes!BZ741="","",Notes!BZ741)</f>
        <v/>
      </c>
      <c r="C745" s="7" t="str">
        <f>IF(Notes!CA741="","",Notes!CA741)</f>
        <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
      <c r="A746" s="7" t="str">
        <f>IF(Notes!BY742="","",Notes!BY742)</f>
        <v/>
      </c>
      <c r="B746" s="7" t="str">
        <f>IF(Notes!BZ742="","",Notes!BZ742)</f>
        <v/>
      </c>
      <c r="C746" s="7" t="str">
        <f>IF(Notes!CA742="","",Notes!CA742)</f>
        <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
      <c r="A747" s="7" t="str">
        <f>IF(Notes!BY743="","",Notes!BY743)</f>
        <v/>
      </c>
      <c r="B747" s="7" t="str">
        <f>IF(Notes!BZ743="","",Notes!BZ743)</f>
        <v/>
      </c>
      <c r="C747" s="7" t="str">
        <f>IF(Notes!CA743="","",Notes!CA743)</f>
        <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
      <c r="A748" s="7" t="str">
        <f>IF(Notes!BY744="","",Notes!BY744)</f>
        <v/>
      </c>
      <c r="B748" s="7" t="str">
        <f>IF(Notes!BZ744="","",Notes!BZ744)</f>
        <v/>
      </c>
      <c r="C748" s="7" t="str">
        <f>IF(Notes!CA744="","",Notes!CA744)</f>
        <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
      <c r="A749" s="7" t="str">
        <f>IF(Notes!BY745="","",Notes!BY745)</f>
        <v/>
      </c>
      <c r="B749" s="7" t="str">
        <f>IF(Notes!BZ745="","",Notes!BZ745)</f>
        <v/>
      </c>
      <c r="C749" s="7" t="str">
        <f>IF(Notes!CA745="","",Notes!CA745)</f>
        <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
      <c r="A750" s="7" t="str">
        <f>IF(Notes!BY746="","",Notes!BY746)</f>
        <v/>
      </c>
      <c r="B750" s="7" t="str">
        <f>IF(Notes!BZ746="","",Notes!BZ746)</f>
        <v/>
      </c>
      <c r="C750" s="7" t="str">
        <f>IF(Notes!CA746="","",Notes!CA746)</f>
        <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
      <c r="A751" s="7" t="str">
        <f>IF(Notes!BY747="","",Notes!BY747)</f>
        <v/>
      </c>
      <c r="B751" s="7" t="str">
        <f>IF(Notes!BZ747="","",Notes!BZ747)</f>
        <v/>
      </c>
      <c r="C751" s="7" t="str">
        <f>IF(Notes!CA747="","",Notes!CA747)</f>
        <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
      <c r="A752" s="7" t="str">
        <f>IF(Notes!BY748="","",Notes!BY748)</f>
        <v/>
      </c>
      <c r="B752" s="7" t="str">
        <f>IF(Notes!BZ748="","",Notes!BZ748)</f>
        <v/>
      </c>
      <c r="C752" s="7" t="str">
        <f>IF(Notes!CA748="","",Notes!CA748)</f>
        <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
      <c r="A753" s="7" t="str">
        <f>IF(Notes!BY749="","",Notes!BY749)</f>
        <v/>
      </c>
      <c r="B753" s="7" t="str">
        <f>IF(Notes!BZ749="","",Notes!BZ749)</f>
        <v/>
      </c>
      <c r="C753" s="7" t="str">
        <f>IF(Notes!CA749="","",Notes!CA749)</f>
        <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
      <c r="A754" s="7" t="str">
        <f>IF(Notes!BY750="","",Notes!BY750)</f>
        <v/>
      </c>
      <c r="B754" s="7" t="str">
        <f>IF(Notes!BZ750="","",Notes!BZ750)</f>
        <v/>
      </c>
      <c r="C754" s="7" t="str">
        <f>IF(Notes!CA750="","",Notes!CA750)</f>
        <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
      <c r="A755" s="7" t="str">
        <f>IF(Notes!BY751="","",Notes!BY751)</f>
        <v/>
      </c>
      <c r="B755" s="7" t="str">
        <f>IF(Notes!BZ751="","",Notes!BZ751)</f>
        <v/>
      </c>
      <c r="C755" s="7" t="str">
        <f>IF(Notes!CA751="","",Notes!CA751)</f>
        <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
      <c r="A756" s="7" t="str">
        <f>IF(Notes!BY752="","",Notes!BY752)</f>
        <v/>
      </c>
      <c r="B756" s="7" t="str">
        <f>IF(Notes!BZ752="","",Notes!BZ752)</f>
        <v/>
      </c>
      <c r="C756" s="7" t="str">
        <f>IF(Notes!CA752="","",Notes!CA752)</f>
        <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
      <c r="A757" s="7" t="str">
        <f>IF(Notes!BY753="","",Notes!BY753)</f>
        <v/>
      </c>
      <c r="B757" s="7" t="str">
        <f>IF(Notes!BZ753="","",Notes!BZ753)</f>
        <v/>
      </c>
      <c r="C757" s="7" t="str">
        <f>IF(Notes!CA753="","",Notes!CA753)</f>
        <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
      <c r="A758" s="7" t="str">
        <f>IF(Notes!BY754="","",Notes!BY754)</f>
        <v/>
      </c>
      <c r="B758" s="7" t="str">
        <f>IF(Notes!BZ754="","",Notes!BZ754)</f>
        <v/>
      </c>
      <c r="C758" s="7" t="str">
        <f>IF(Notes!CA754="","",Notes!CA754)</f>
        <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
      <c r="A759" s="7" t="str">
        <f>IF(Notes!BY755="","",Notes!BY755)</f>
        <v/>
      </c>
      <c r="B759" s="7" t="str">
        <f>IF(Notes!BZ755="","",Notes!BZ755)</f>
        <v/>
      </c>
      <c r="C759" s="7" t="str">
        <f>IF(Notes!CA755="","",Notes!CA755)</f>
        <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
      <c r="A760" s="7" t="str">
        <f>IF(Notes!BY756="","",Notes!BY756)</f>
        <v/>
      </c>
      <c r="B760" s="7" t="str">
        <f>IF(Notes!BZ756="","",Notes!BZ756)</f>
        <v/>
      </c>
      <c r="C760" s="7" t="str">
        <f>IF(Notes!CA756="","",Notes!CA756)</f>
        <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
      <c r="A761" s="7" t="str">
        <f>IF(Notes!BY757="","",Notes!BY757)</f>
        <v/>
      </c>
      <c r="B761" s="7" t="str">
        <f>IF(Notes!BZ757="","",Notes!BZ757)</f>
        <v/>
      </c>
      <c r="C761" s="7" t="str">
        <f>IF(Notes!CA757="","",Notes!CA757)</f>
        <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
      <c r="A762" s="7" t="str">
        <f>IF(Notes!BY758="","",Notes!BY758)</f>
        <v/>
      </c>
      <c r="B762" s="7" t="str">
        <f>IF(Notes!BZ758="","",Notes!BZ758)</f>
        <v/>
      </c>
      <c r="C762" s="7" t="str">
        <f>IF(Notes!CA758="","",Notes!CA758)</f>
        <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
      <c r="A763" s="7" t="str">
        <f>IF(Notes!BY759="","",Notes!BY759)</f>
        <v/>
      </c>
      <c r="B763" s="7" t="str">
        <f>IF(Notes!BZ759="","",Notes!BZ759)</f>
        <v/>
      </c>
      <c r="C763" s="7" t="str">
        <f>IF(Notes!CA759="","",Notes!CA759)</f>
        <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
      <c r="A764" s="7" t="str">
        <f>IF(Notes!BY760="","",Notes!BY760)</f>
        <v/>
      </c>
      <c r="B764" s="7" t="str">
        <f>IF(Notes!BZ760="","",Notes!BZ760)</f>
        <v/>
      </c>
      <c r="C764" s="7" t="str">
        <f>IF(Notes!CA760="","",Notes!CA760)</f>
        <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
      <c r="A765" s="7" t="str">
        <f>IF(Notes!BY761="","",Notes!BY761)</f>
        <v/>
      </c>
      <c r="B765" s="7" t="str">
        <f>IF(Notes!BZ761="","",Notes!BZ761)</f>
        <v/>
      </c>
      <c r="C765" s="7" t="str">
        <f>IF(Notes!CA761="","",Notes!CA761)</f>
        <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
      <c r="A766" s="7" t="str">
        <f>IF(Notes!BY762="","",Notes!BY762)</f>
        <v/>
      </c>
      <c r="B766" s="7" t="str">
        <f>IF(Notes!BZ762="","",Notes!BZ762)</f>
        <v/>
      </c>
      <c r="C766" s="7" t="str">
        <f>IF(Notes!CA762="","",Notes!CA762)</f>
        <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
      <c r="A767" s="7" t="str">
        <f>IF(Notes!BY763="","",Notes!BY763)</f>
        <v/>
      </c>
      <c r="B767" s="7" t="str">
        <f>IF(Notes!BZ763="","",Notes!BZ763)</f>
        <v/>
      </c>
      <c r="C767" s="7" t="str">
        <f>IF(Notes!CA763="","",Notes!CA763)</f>
        <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
      <c r="A768" s="7" t="str">
        <f>IF(Notes!BY764="","",Notes!BY764)</f>
        <v/>
      </c>
      <c r="B768" s="7" t="str">
        <f>IF(Notes!BZ764="","",Notes!BZ764)</f>
        <v/>
      </c>
      <c r="C768" s="7" t="str">
        <f>IF(Notes!CA764="","",Notes!CA764)</f>
        <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
      <c r="A769" s="7" t="str">
        <f>IF(Notes!BY765="","",Notes!BY765)</f>
        <v/>
      </c>
      <c r="B769" s="7" t="str">
        <f>IF(Notes!BZ765="","",Notes!BZ765)</f>
        <v/>
      </c>
      <c r="C769" s="7" t="str">
        <f>IF(Notes!CA765="","",Notes!CA765)</f>
        <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
      <c r="A770" s="7" t="str">
        <f>IF(Notes!BY766="","",Notes!BY766)</f>
        <v/>
      </c>
      <c r="B770" s="7" t="str">
        <f>IF(Notes!BZ766="","",Notes!BZ766)</f>
        <v/>
      </c>
      <c r="C770" s="7" t="str">
        <f>IF(Notes!CA766="","",Notes!CA766)</f>
        <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
      <c r="A771" s="7" t="str">
        <f>IF(Notes!BY767="","",Notes!BY767)</f>
        <v/>
      </c>
      <c r="B771" s="7" t="str">
        <f>IF(Notes!BZ767="","",Notes!BZ767)</f>
        <v/>
      </c>
      <c r="C771" s="7" t="str">
        <f>IF(Notes!CA767="","",Notes!CA767)</f>
        <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
      <c r="A772" s="7" t="str">
        <f>IF(Notes!BY768="","",Notes!BY768)</f>
        <v/>
      </c>
      <c r="B772" s="7" t="str">
        <f>IF(Notes!BZ768="","",Notes!BZ768)</f>
        <v/>
      </c>
      <c r="C772" s="7" t="str">
        <f>IF(Notes!CA768="","",Notes!CA768)</f>
        <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
      <c r="A773" s="7" t="str">
        <f>IF(Notes!BY769="","",Notes!BY769)</f>
        <v/>
      </c>
      <c r="B773" s="7" t="str">
        <f>IF(Notes!BZ769="","",Notes!BZ769)</f>
        <v/>
      </c>
      <c r="C773" s="7" t="str">
        <f>IF(Notes!CA769="","",Notes!CA769)</f>
        <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
      <c r="A774" s="7" t="str">
        <f>IF(Notes!BY770="","",Notes!BY770)</f>
        <v/>
      </c>
      <c r="B774" s="7" t="str">
        <f>IF(Notes!BZ770="","",Notes!BZ770)</f>
        <v/>
      </c>
      <c r="C774" s="7" t="str">
        <f>IF(Notes!CA770="","",Notes!CA770)</f>
        <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
      <c r="A775" s="7" t="str">
        <f>IF(Notes!BY771="","",Notes!BY771)</f>
        <v/>
      </c>
      <c r="B775" s="7" t="str">
        <f>IF(Notes!BZ771="","",Notes!BZ771)</f>
        <v/>
      </c>
      <c r="C775" s="7" t="str">
        <f>IF(Notes!CA771="","",Notes!CA771)</f>
        <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
      <c r="A776" s="7" t="str">
        <f>IF(Notes!BY772="","",Notes!BY772)</f>
        <v/>
      </c>
      <c r="B776" s="7" t="str">
        <f>IF(Notes!BZ772="","",Notes!BZ772)</f>
        <v/>
      </c>
      <c r="C776" s="7" t="str">
        <f>IF(Notes!CA772="","",Notes!CA772)</f>
        <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
      <c r="A777" s="7" t="str">
        <f>IF(Notes!BY773="","",Notes!BY773)</f>
        <v/>
      </c>
      <c r="B777" s="7" t="str">
        <f>IF(Notes!BZ773="","",Notes!BZ773)</f>
        <v/>
      </c>
      <c r="C777" s="7" t="str">
        <f>IF(Notes!CA773="","",Notes!CA773)</f>
        <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
      <c r="A778" s="7" t="str">
        <f>IF(Notes!BY774="","",Notes!BY774)</f>
        <v/>
      </c>
      <c r="B778" s="7" t="str">
        <f>IF(Notes!BZ774="","",Notes!BZ774)</f>
        <v/>
      </c>
      <c r="C778" s="7" t="str">
        <f>IF(Notes!CA774="","",Notes!CA774)</f>
        <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
      <c r="A779" s="7" t="str">
        <f>IF(Notes!BY775="","",Notes!BY775)</f>
        <v/>
      </c>
      <c r="B779" s="7" t="str">
        <f>IF(Notes!BZ775="","",Notes!BZ775)</f>
        <v/>
      </c>
      <c r="C779" s="7" t="str">
        <f>IF(Notes!CA775="","",Notes!CA775)</f>
        <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
      <c r="A780" s="7" t="str">
        <f>IF(Notes!BY776="","",Notes!BY776)</f>
        <v/>
      </c>
      <c r="B780" s="7" t="str">
        <f>IF(Notes!BZ776="","",Notes!BZ776)</f>
        <v/>
      </c>
      <c r="C780" s="7" t="str">
        <f>IF(Notes!CA776="","",Notes!CA776)</f>
        <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
      <c r="A781" s="7" t="str">
        <f>IF(Notes!BY777="","",Notes!BY777)</f>
        <v/>
      </c>
      <c r="B781" s="7" t="str">
        <f>IF(Notes!BZ777="","",Notes!BZ777)</f>
        <v/>
      </c>
      <c r="C781" s="7" t="str">
        <f>IF(Notes!CA777="","",Notes!CA777)</f>
        <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
      <c r="A782" s="7" t="str">
        <f>IF(Notes!BY778="","",Notes!BY778)</f>
        <v/>
      </c>
      <c r="B782" s="7" t="str">
        <f>IF(Notes!BZ778="","",Notes!BZ778)</f>
        <v/>
      </c>
      <c r="C782" s="7" t="str">
        <f>IF(Notes!CA778="","",Notes!CA778)</f>
        <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
      <c r="A783" s="7" t="str">
        <f>IF(Notes!BY779="","",Notes!BY779)</f>
        <v/>
      </c>
      <c r="B783" s="7" t="str">
        <f>IF(Notes!BZ779="","",Notes!BZ779)</f>
        <v/>
      </c>
      <c r="C783" s="7" t="str">
        <f>IF(Notes!CA779="","",Notes!CA779)</f>
        <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
      <c r="A784" s="7" t="str">
        <f>IF(Notes!BY780="","",Notes!BY780)</f>
        <v/>
      </c>
      <c r="B784" s="7" t="str">
        <f>IF(Notes!BZ780="","",Notes!BZ780)</f>
        <v/>
      </c>
      <c r="C784" s="7" t="str">
        <f>IF(Notes!CA780="","",Notes!CA780)</f>
        <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
      <c r="A785" s="7" t="str">
        <f>IF(Notes!BY781="","",Notes!BY781)</f>
        <v/>
      </c>
      <c r="B785" s="7" t="str">
        <f>IF(Notes!BZ781="","",Notes!BZ781)</f>
        <v/>
      </c>
      <c r="C785" s="7" t="str">
        <f>IF(Notes!CA781="","",Notes!CA781)</f>
        <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
      <c r="A786" s="7" t="str">
        <f>IF(Notes!BY782="","",Notes!BY782)</f>
        <v/>
      </c>
      <c r="B786" s="7" t="str">
        <f>IF(Notes!BZ782="","",Notes!BZ782)</f>
        <v/>
      </c>
      <c r="C786" s="7" t="str">
        <f>IF(Notes!CA782="","",Notes!CA782)</f>
        <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
      <c r="A787" s="7" t="str">
        <f>IF(Notes!BY783="","",Notes!BY783)</f>
        <v/>
      </c>
      <c r="B787" s="7" t="str">
        <f>IF(Notes!BZ783="","",Notes!BZ783)</f>
        <v/>
      </c>
      <c r="C787" s="7" t="str">
        <f>IF(Notes!CA783="","",Notes!CA783)</f>
        <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
      <c r="A788" s="7" t="str">
        <f>IF(Notes!BY784="","",Notes!BY784)</f>
        <v/>
      </c>
      <c r="B788" s="7" t="str">
        <f>IF(Notes!BZ784="","",Notes!BZ784)</f>
        <v/>
      </c>
      <c r="C788" s="7" t="str">
        <f>IF(Notes!CA784="","",Notes!CA784)</f>
        <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
      <c r="A789" s="7" t="str">
        <f>IF(Notes!BY785="","",Notes!BY785)</f>
        <v/>
      </c>
      <c r="B789" s="7" t="str">
        <f>IF(Notes!BZ785="","",Notes!BZ785)</f>
        <v/>
      </c>
      <c r="C789" s="7" t="str">
        <f>IF(Notes!CA785="","",Notes!CA785)</f>
        <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
      <c r="A790" s="7" t="str">
        <f>IF(Notes!BY786="","",Notes!BY786)</f>
        <v/>
      </c>
      <c r="B790" s="7" t="str">
        <f>IF(Notes!BZ786="","",Notes!BZ786)</f>
        <v/>
      </c>
      <c r="C790" s="7" t="str">
        <f>IF(Notes!CA786="","",Notes!CA786)</f>
        <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
      <c r="A791" s="7" t="str">
        <f>IF(Notes!BY787="","",Notes!BY787)</f>
        <v/>
      </c>
      <c r="B791" s="7" t="str">
        <f>IF(Notes!BZ787="","",Notes!BZ787)</f>
        <v/>
      </c>
      <c r="C791" s="7" t="str">
        <f>IF(Notes!CA787="","",Notes!CA787)</f>
        <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
      <c r="A792" s="7" t="str">
        <f>IF(Notes!BY788="","",Notes!BY788)</f>
        <v/>
      </c>
      <c r="B792" s="7" t="str">
        <f>IF(Notes!BZ788="","",Notes!BZ788)</f>
        <v/>
      </c>
      <c r="C792" s="7" t="str">
        <f>IF(Notes!CA788="","",Notes!CA788)</f>
        <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
      <c r="A793" s="7" t="str">
        <f>IF(Notes!BY789="","",Notes!BY789)</f>
        <v/>
      </c>
      <c r="B793" s="7" t="str">
        <f>IF(Notes!BZ789="","",Notes!BZ789)</f>
        <v/>
      </c>
      <c r="C793" s="7" t="str">
        <f>IF(Notes!CA789="","",Notes!CA789)</f>
        <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
      <c r="A794" s="7" t="str">
        <f>IF(Notes!BY790="","",Notes!BY790)</f>
        <v/>
      </c>
      <c r="B794" s="7" t="str">
        <f>IF(Notes!BZ790="","",Notes!BZ790)</f>
        <v/>
      </c>
      <c r="C794" s="7" t="str">
        <f>IF(Notes!CA790="","",Notes!CA790)</f>
        <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
      <c r="A795" s="7" t="str">
        <f>IF(Notes!BY791="","",Notes!BY791)</f>
        <v/>
      </c>
      <c r="B795" s="7" t="str">
        <f>IF(Notes!BZ791="","",Notes!BZ791)</f>
        <v/>
      </c>
      <c r="C795" s="7" t="str">
        <f>IF(Notes!CA791="","",Notes!CA791)</f>
        <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
      <c r="A796" s="7" t="str">
        <f>IF(Notes!BY792="","",Notes!BY792)</f>
        <v/>
      </c>
      <c r="B796" s="7" t="str">
        <f>IF(Notes!BZ792="","",Notes!BZ792)</f>
        <v/>
      </c>
      <c r="C796" s="7" t="str">
        <f>IF(Notes!CA792="","",Notes!CA792)</f>
        <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
      <c r="A797" s="7" t="str">
        <f>IF(Notes!BY793="","",Notes!BY793)</f>
        <v/>
      </c>
      <c r="B797" s="7" t="str">
        <f>IF(Notes!BZ793="","",Notes!BZ793)</f>
        <v/>
      </c>
      <c r="C797" s="7" t="str">
        <f>IF(Notes!CA793="","",Notes!CA793)</f>
        <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
      <c r="A798" s="7" t="str">
        <f>IF(Notes!BY794="","",Notes!BY794)</f>
        <v/>
      </c>
      <c r="B798" s="7" t="str">
        <f>IF(Notes!BZ794="","",Notes!BZ794)</f>
        <v/>
      </c>
      <c r="C798" s="7" t="str">
        <f>IF(Notes!CA794="","",Notes!CA794)</f>
        <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
      <c r="A799" s="7" t="str">
        <f>IF(Notes!BY795="","",Notes!BY795)</f>
        <v/>
      </c>
      <c r="B799" s="7" t="str">
        <f>IF(Notes!BZ795="","",Notes!BZ795)</f>
        <v/>
      </c>
      <c r="C799" s="7" t="str">
        <f>IF(Notes!CA795="","",Notes!CA795)</f>
        <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
      <c r="A800" s="7" t="str">
        <f>IF(Notes!BY796="","",Notes!BY796)</f>
        <v/>
      </c>
      <c r="B800" s="7" t="str">
        <f>IF(Notes!BZ796="","",Notes!BZ796)</f>
        <v/>
      </c>
      <c r="C800" s="7" t="str">
        <f>IF(Notes!CA796="","",Notes!CA796)</f>
        <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
      <c r="A801" s="7" t="str">
        <f>IF(Notes!BY797="","",Notes!BY797)</f>
        <v/>
      </c>
      <c r="B801" s="7" t="str">
        <f>IF(Notes!BZ797="","",Notes!BZ797)</f>
        <v/>
      </c>
      <c r="C801" s="7" t="str">
        <f>IF(Notes!CA797="","",Notes!CA797)</f>
        <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
      <c r="A802" s="7" t="str">
        <f>IF(Notes!BY798="","",Notes!BY798)</f>
        <v/>
      </c>
      <c r="B802" s="7" t="str">
        <f>IF(Notes!BZ798="","",Notes!BZ798)</f>
        <v/>
      </c>
      <c r="C802" s="7" t="str">
        <f>IF(Notes!CA798="","",Notes!CA798)</f>
        <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
      <c r="A803" s="7" t="str">
        <f>IF(Notes!BY799="","",Notes!BY799)</f>
        <v/>
      </c>
      <c r="B803" s="7" t="str">
        <f>IF(Notes!BZ799="","",Notes!BZ799)</f>
        <v/>
      </c>
      <c r="C803" s="7" t="str">
        <f>IF(Notes!CA799="","",Notes!CA799)</f>
        <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
      <c r="A804" s="7" t="str">
        <f>IF(Notes!BY800="","",Notes!BY800)</f>
        <v/>
      </c>
      <c r="B804" s="7" t="str">
        <f>IF(Notes!BZ800="","",Notes!BZ800)</f>
        <v/>
      </c>
      <c r="C804" s="7" t="str">
        <f>IF(Notes!CA800="","",Notes!CA800)</f>
        <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
      <c r="A805" s="7" t="str">
        <f>IF(Notes!BY801="","",Notes!BY801)</f>
        <v/>
      </c>
      <c r="B805" s="7" t="str">
        <f>IF(Notes!BZ801="","",Notes!BZ801)</f>
        <v/>
      </c>
      <c r="C805" s="7" t="str">
        <f>IF(Notes!CA801="","",Notes!CA801)</f>
        <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
      <c r="A806" s="7" t="str">
        <f>IF(Notes!BY802="","",Notes!BY802)</f>
        <v/>
      </c>
      <c r="B806" s="7" t="str">
        <f>IF(Notes!BZ802="","",Notes!BZ802)</f>
        <v/>
      </c>
      <c r="C806" s="7" t="str">
        <f>IF(Notes!CA802="","",Notes!CA802)</f>
        <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
      <c r="A807" s="7" t="str">
        <f>IF(Notes!BY803="","",Notes!BY803)</f>
        <v/>
      </c>
      <c r="B807" s="7" t="str">
        <f>IF(Notes!BZ803="","",Notes!BZ803)</f>
        <v/>
      </c>
      <c r="C807" s="7" t="str">
        <f>IF(Notes!CA803="","",Notes!CA803)</f>
        <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
      <c r="A808" s="7" t="str">
        <f>IF(Notes!BY804="","",Notes!BY804)</f>
        <v/>
      </c>
      <c r="B808" s="7" t="str">
        <f>IF(Notes!BZ804="","",Notes!BZ804)</f>
        <v/>
      </c>
      <c r="C808" s="7" t="str">
        <f>IF(Notes!CA804="","",Notes!CA804)</f>
        <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
      <c r="A809" s="7" t="str">
        <f>IF(Notes!BY805="","",Notes!BY805)</f>
        <v/>
      </c>
      <c r="B809" s="7" t="str">
        <f>IF(Notes!BZ805="","",Notes!BZ805)</f>
        <v/>
      </c>
      <c r="C809" s="7" t="str">
        <f>IF(Notes!CA805="","",Notes!CA805)</f>
        <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
      <c r="A810" s="7" t="str">
        <f>IF(Notes!BY806="","",Notes!BY806)</f>
        <v/>
      </c>
      <c r="B810" s="7" t="str">
        <f>IF(Notes!BZ806="","",Notes!BZ806)</f>
        <v/>
      </c>
      <c r="C810" s="7" t="str">
        <f>IF(Notes!CA806="","",Notes!CA806)</f>
        <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
      <c r="A811" s="7" t="str">
        <f>IF(Notes!BY807="","",Notes!BY807)</f>
        <v/>
      </c>
      <c r="B811" s="7" t="str">
        <f>IF(Notes!BZ807="","",Notes!BZ807)</f>
        <v/>
      </c>
      <c r="C811" s="7" t="str">
        <f>IF(Notes!CA807="","",Notes!CA807)</f>
        <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
      <c r="A812" s="7" t="str">
        <f>IF(Notes!BY808="","",Notes!BY808)</f>
        <v/>
      </c>
      <c r="B812" s="7" t="str">
        <f>IF(Notes!BZ808="","",Notes!BZ808)</f>
        <v/>
      </c>
      <c r="C812" s="7" t="str">
        <f>IF(Notes!CA808="","",Notes!CA808)</f>
        <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
      <c r="A813" s="7" t="str">
        <f>IF(Notes!BY809="","",Notes!BY809)</f>
        <v/>
      </c>
      <c r="B813" s="7" t="str">
        <f>IF(Notes!BZ809="","",Notes!BZ809)</f>
        <v/>
      </c>
      <c r="C813" s="7" t="str">
        <f>IF(Notes!CA809="","",Notes!CA809)</f>
        <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
      <c r="A814" s="7" t="str">
        <f>IF(Notes!BY810="","",Notes!BY810)</f>
        <v/>
      </c>
      <c r="B814" s="7" t="str">
        <f>IF(Notes!BZ810="","",Notes!BZ810)</f>
        <v/>
      </c>
      <c r="C814" s="7" t="str">
        <f>IF(Notes!CA810="","",Notes!CA810)</f>
        <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
      <c r="A815" s="7" t="str">
        <f>IF(Notes!BY811="","",Notes!BY811)</f>
        <v/>
      </c>
      <c r="B815" s="7" t="str">
        <f>IF(Notes!BZ811="","",Notes!BZ811)</f>
        <v/>
      </c>
      <c r="C815" s="7" t="str">
        <f>IF(Notes!CA811="","",Notes!CA811)</f>
        <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
      <c r="A816" s="7" t="str">
        <f>IF(Notes!BY812="","",Notes!BY812)</f>
        <v/>
      </c>
      <c r="B816" s="7" t="str">
        <f>IF(Notes!BZ812="","",Notes!BZ812)</f>
        <v/>
      </c>
      <c r="C816" s="7" t="str">
        <f>IF(Notes!CA812="","",Notes!CA812)</f>
        <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
      <c r="A817" s="7" t="str">
        <f>IF(Notes!BY813="","",Notes!BY813)</f>
        <v/>
      </c>
      <c r="B817" s="7" t="str">
        <f>IF(Notes!BZ813="","",Notes!BZ813)</f>
        <v/>
      </c>
      <c r="C817" s="7" t="str">
        <f>IF(Notes!CA813="","",Notes!CA813)</f>
        <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
      <c r="A818" s="7" t="str">
        <f>IF(Notes!BY814="","",Notes!BY814)</f>
        <v/>
      </c>
      <c r="B818" s="7" t="str">
        <f>IF(Notes!BZ814="","",Notes!BZ814)</f>
        <v/>
      </c>
      <c r="C818" s="7" t="str">
        <f>IF(Notes!CA814="","",Notes!CA814)</f>
        <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
      <c r="A819" s="7" t="str">
        <f>IF(Notes!BY815="","",Notes!BY815)</f>
        <v/>
      </c>
      <c r="B819" s="7" t="str">
        <f>IF(Notes!BZ815="","",Notes!BZ815)</f>
        <v/>
      </c>
      <c r="C819" s="7" t="str">
        <f>IF(Notes!CA815="","",Notes!CA815)</f>
        <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
      <c r="A820" s="7" t="str">
        <f>IF(Notes!BY816="","",Notes!BY816)</f>
        <v/>
      </c>
      <c r="B820" s="7" t="str">
        <f>IF(Notes!BZ816="","",Notes!BZ816)</f>
        <v/>
      </c>
      <c r="C820" s="7" t="str">
        <f>IF(Notes!CA816="","",Notes!CA816)</f>
        <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
      <c r="A821" s="7" t="str">
        <f>IF(Notes!BY817="","",Notes!BY817)</f>
        <v/>
      </c>
      <c r="B821" s="7" t="str">
        <f>IF(Notes!BZ817="","",Notes!BZ817)</f>
        <v/>
      </c>
      <c r="C821" s="7" t="str">
        <f>IF(Notes!CA817="","",Notes!CA817)</f>
        <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
      <c r="A822" s="7" t="str">
        <f>IF(Notes!BY818="","",Notes!BY818)</f>
        <v/>
      </c>
      <c r="B822" s="7" t="str">
        <f>IF(Notes!BZ818="","",Notes!BZ818)</f>
        <v/>
      </c>
      <c r="C822" s="7" t="str">
        <f>IF(Notes!CA818="","",Notes!CA818)</f>
        <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
      <c r="A823" s="7" t="str">
        <f>IF(Notes!BY819="","",Notes!BY819)</f>
        <v/>
      </c>
      <c r="B823" s="7" t="str">
        <f>IF(Notes!BZ819="","",Notes!BZ819)</f>
        <v/>
      </c>
      <c r="C823" s="7" t="str">
        <f>IF(Notes!CA819="","",Notes!CA819)</f>
        <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
      <c r="A824" s="7" t="str">
        <f>IF(Notes!BY820="","",Notes!BY820)</f>
        <v/>
      </c>
      <c r="B824" s="7" t="str">
        <f>IF(Notes!BZ820="","",Notes!BZ820)</f>
        <v/>
      </c>
      <c r="C824" s="7" t="str">
        <f>IF(Notes!CA820="","",Notes!CA820)</f>
        <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
      <c r="A825" s="7" t="str">
        <f>IF(Notes!BY821="","",Notes!BY821)</f>
        <v/>
      </c>
      <c r="B825" s="7" t="str">
        <f>IF(Notes!BZ821="","",Notes!BZ821)</f>
        <v/>
      </c>
      <c r="C825" s="7" t="str">
        <f>IF(Notes!CA821="","",Notes!CA821)</f>
        <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
      <c r="A826" s="7" t="str">
        <f>IF(Notes!BY822="","",Notes!BY822)</f>
        <v/>
      </c>
      <c r="B826" s="7" t="str">
        <f>IF(Notes!BZ822="","",Notes!BZ822)</f>
        <v/>
      </c>
      <c r="C826" s="7" t="str">
        <f>IF(Notes!CA822="","",Notes!CA822)</f>
        <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
      <c r="A827" s="7" t="str">
        <f>IF(Notes!BY823="","",Notes!BY823)</f>
        <v/>
      </c>
      <c r="B827" s="7" t="str">
        <f>IF(Notes!BZ823="","",Notes!BZ823)</f>
        <v/>
      </c>
      <c r="C827" s="7" t="str">
        <f>IF(Notes!CA823="","",Notes!CA823)</f>
        <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
      <c r="A828" s="7" t="str">
        <f>IF(Notes!BY824="","",Notes!BY824)</f>
        <v/>
      </c>
      <c r="B828" s="7" t="str">
        <f>IF(Notes!BZ824="","",Notes!BZ824)</f>
        <v/>
      </c>
      <c r="C828" s="7" t="str">
        <f>IF(Notes!CA824="","",Notes!CA824)</f>
        <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
      <c r="A829" s="7" t="str">
        <f>IF(Notes!BY825="","",Notes!BY825)</f>
        <v/>
      </c>
      <c r="B829" s="7" t="str">
        <f>IF(Notes!BZ825="","",Notes!BZ825)</f>
        <v/>
      </c>
      <c r="C829" s="7" t="str">
        <f>IF(Notes!CA825="","",Notes!CA825)</f>
        <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
      <c r="A830" s="7" t="str">
        <f>IF(Notes!BY826="","",Notes!BY826)</f>
        <v/>
      </c>
      <c r="B830" s="7" t="str">
        <f>IF(Notes!BZ826="","",Notes!BZ826)</f>
        <v/>
      </c>
      <c r="C830" s="7" t="str">
        <f>IF(Notes!CA826="","",Notes!CA826)</f>
        <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
      <c r="A831" s="7" t="str">
        <f>IF(Notes!BY827="","",Notes!BY827)</f>
        <v/>
      </c>
      <c r="B831" s="7" t="str">
        <f>IF(Notes!BZ827="","",Notes!BZ827)</f>
        <v/>
      </c>
      <c r="C831" s="7" t="str">
        <f>IF(Notes!CA827="","",Notes!CA827)</f>
        <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
      <c r="A832" s="7" t="str">
        <f>IF(Notes!BY828="","",Notes!BY828)</f>
        <v/>
      </c>
      <c r="B832" s="7" t="str">
        <f>IF(Notes!BZ828="","",Notes!BZ828)</f>
        <v/>
      </c>
      <c r="C832" s="7" t="str">
        <f>IF(Notes!CA828="","",Notes!CA828)</f>
        <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
      <c r="A833" s="7" t="str">
        <f>IF(Notes!BY829="","",Notes!BY829)</f>
        <v/>
      </c>
      <c r="B833" s="7" t="str">
        <f>IF(Notes!BZ829="","",Notes!BZ829)</f>
        <v/>
      </c>
      <c r="C833" s="7" t="str">
        <f>IF(Notes!CA829="","",Notes!CA829)</f>
        <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
      <c r="A834" s="7" t="str">
        <f>IF(Notes!BY830="","",Notes!BY830)</f>
        <v/>
      </c>
      <c r="B834" s="7" t="str">
        <f>IF(Notes!BZ830="","",Notes!BZ830)</f>
        <v/>
      </c>
      <c r="C834" s="7" t="str">
        <f>IF(Notes!CA830="","",Notes!CA830)</f>
        <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
      <c r="A835" s="7" t="str">
        <f>IF(Notes!BY831="","",Notes!BY831)</f>
        <v/>
      </c>
      <c r="B835" s="7" t="str">
        <f>IF(Notes!BZ831="","",Notes!BZ831)</f>
        <v/>
      </c>
      <c r="C835" s="7" t="str">
        <f>IF(Notes!CA831="","",Notes!CA831)</f>
        <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
      <c r="A836" s="7" t="str">
        <f>IF(Notes!BY832="","",Notes!BY832)</f>
        <v/>
      </c>
      <c r="B836" s="7" t="str">
        <f>IF(Notes!BZ832="","",Notes!BZ832)</f>
        <v/>
      </c>
      <c r="C836" s="7" t="str">
        <f>IF(Notes!CA832="","",Notes!CA832)</f>
        <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
      <c r="A837" s="7" t="str">
        <f>IF(Notes!BY833="","",Notes!BY833)</f>
        <v/>
      </c>
      <c r="B837" s="7" t="str">
        <f>IF(Notes!BZ833="","",Notes!BZ833)</f>
        <v/>
      </c>
      <c r="C837" s="7" t="str">
        <f>IF(Notes!CA833="","",Notes!CA833)</f>
        <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
      <c r="A838" s="7" t="str">
        <f>IF(Notes!BY834="","",Notes!BY834)</f>
        <v/>
      </c>
      <c r="B838" s="7" t="str">
        <f>IF(Notes!BZ834="","",Notes!BZ834)</f>
        <v/>
      </c>
      <c r="C838" s="7" t="str">
        <f>IF(Notes!CA834="","",Notes!CA834)</f>
        <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
      <c r="A839" s="7" t="str">
        <f>IF(Notes!BY835="","",Notes!BY835)</f>
        <v/>
      </c>
      <c r="B839" s="7" t="str">
        <f>IF(Notes!BZ835="","",Notes!BZ835)</f>
        <v/>
      </c>
      <c r="C839" s="7" t="str">
        <f>IF(Notes!CA835="","",Notes!CA835)</f>
        <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
      <c r="A840" s="7" t="str">
        <f>IF(Notes!BY836="","",Notes!BY836)</f>
        <v/>
      </c>
      <c r="B840" s="7" t="str">
        <f>IF(Notes!BZ836="","",Notes!BZ836)</f>
        <v/>
      </c>
      <c r="C840" s="7" t="str">
        <f>IF(Notes!CA836="","",Notes!CA836)</f>
        <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
      <c r="A841" s="7" t="str">
        <f>IF(Notes!BY837="","",Notes!BY837)</f>
        <v/>
      </c>
      <c r="B841" s="7" t="str">
        <f>IF(Notes!BZ837="","",Notes!BZ837)</f>
        <v/>
      </c>
      <c r="C841" s="7" t="str">
        <f>IF(Notes!CA837="","",Notes!CA837)</f>
        <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
      <c r="A842" s="7" t="str">
        <f>IF(Notes!BY838="","",Notes!BY838)</f>
        <v/>
      </c>
      <c r="B842" s="7" t="str">
        <f>IF(Notes!BZ838="","",Notes!BZ838)</f>
        <v/>
      </c>
      <c r="C842" s="7" t="str">
        <f>IF(Notes!CA838="","",Notes!CA838)</f>
        <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
      <c r="A843" s="7" t="str">
        <f>IF(Notes!BY839="","",Notes!BY839)</f>
        <v/>
      </c>
      <c r="B843" s="7" t="str">
        <f>IF(Notes!BZ839="","",Notes!BZ839)</f>
        <v/>
      </c>
      <c r="C843" s="7" t="str">
        <f>IF(Notes!CA839="","",Notes!CA839)</f>
        <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
      <c r="A844" s="7" t="str">
        <f>IF(Notes!BY840="","",Notes!BY840)</f>
        <v/>
      </c>
      <c r="B844" s="7" t="str">
        <f>IF(Notes!BZ840="","",Notes!BZ840)</f>
        <v/>
      </c>
      <c r="C844" s="7" t="str">
        <f>IF(Notes!CA840="","",Notes!CA840)</f>
        <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
      <c r="A845" s="7" t="str">
        <f>IF(Notes!BY841="","",Notes!BY841)</f>
        <v/>
      </c>
      <c r="B845" s="7" t="str">
        <f>IF(Notes!BZ841="","",Notes!BZ841)</f>
        <v/>
      </c>
      <c r="C845" s="7" t="str">
        <f>IF(Notes!CA841="","",Notes!CA841)</f>
        <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
      <c r="A846" s="7" t="str">
        <f>IF(Notes!BY842="","",Notes!BY842)</f>
        <v/>
      </c>
      <c r="B846" s="7" t="str">
        <f>IF(Notes!BZ842="","",Notes!BZ842)</f>
        <v/>
      </c>
      <c r="C846" s="7" t="str">
        <f>IF(Notes!CA842="","",Notes!CA842)</f>
        <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
      <c r="A847" s="7" t="str">
        <f>IF(Notes!BY843="","",Notes!BY843)</f>
        <v/>
      </c>
      <c r="B847" s="7" t="str">
        <f>IF(Notes!BZ843="","",Notes!BZ843)</f>
        <v/>
      </c>
      <c r="C847" s="7" t="str">
        <f>IF(Notes!CA843="","",Notes!CA843)</f>
        <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
      <c r="A848" s="7" t="str">
        <f>IF(Notes!BY844="","",Notes!BY844)</f>
        <v/>
      </c>
      <c r="B848" s="7" t="str">
        <f>IF(Notes!BZ844="","",Notes!BZ844)</f>
        <v/>
      </c>
      <c r="C848" s="7" t="str">
        <f>IF(Notes!CA844="","",Notes!CA844)</f>
        <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
      <c r="A849" s="7" t="str">
        <f>IF(Notes!BY845="","",Notes!BY845)</f>
        <v/>
      </c>
      <c r="B849" s="7" t="str">
        <f>IF(Notes!BZ845="","",Notes!BZ845)</f>
        <v/>
      </c>
      <c r="C849" s="7" t="str">
        <f>IF(Notes!CA845="","",Notes!CA845)</f>
        <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
      <c r="A850" s="7" t="str">
        <f>IF(Notes!BY846="","",Notes!BY846)</f>
        <v/>
      </c>
      <c r="B850" s="7" t="str">
        <f>IF(Notes!BZ846="","",Notes!BZ846)</f>
        <v/>
      </c>
      <c r="C850" s="7" t="str">
        <f>IF(Notes!CA846="","",Notes!CA846)</f>
        <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
      <c r="A851" s="7" t="str">
        <f>IF(Notes!BY847="","",Notes!BY847)</f>
        <v/>
      </c>
      <c r="B851" s="7" t="str">
        <f>IF(Notes!BZ847="","",Notes!BZ847)</f>
        <v/>
      </c>
      <c r="C851" s="7" t="str">
        <f>IF(Notes!CA847="","",Notes!CA847)</f>
        <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
      <c r="A852" s="7" t="str">
        <f>IF(Notes!BY848="","",Notes!BY848)</f>
        <v/>
      </c>
      <c r="B852" s="7" t="str">
        <f>IF(Notes!BZ848="","",Notes!BZ848)</f>
        <v/>
      </c>
      <c r="C852" s="7" t="str">
        <f>IF(Notes!CA848="","",Notes!CA848)</f>
        <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
      <c r="A853" s="7" t="str">
        <f>IF(Notes!BY849="","",Notes!BY849)</f>
        <v/>
      </c>
      <c r="B853" s="7" t="str">
        <f>IF(Notes!BZ849="","",Notes!BZ849)</f>
        <v/>
      </c>
      <c r="C853" s="7" t="str">
        <f>IF(Notes!CA849="","",Notes!CA849)</f>
        <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
      <c r="A854" s="7" t="str">
        <f>IF(Notes!BY850="","",Notes!BY850)</f>
        <v/>
      </c>
      <c r="B854" s="7" t="str">
        <f>IF(Notes!BZ850="","",Notes!BZ850)</f>
        <v/>
      </c>
      <c r="C854" s="7" t="str">
        <f>IF(Notes!CA850="","",Notes!CA850)</f>
        <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
      <c r="A855" s="7" t="str">
        <f>IF(Notes!BY851="","",Notes!BY851)</f>
        <v/>
      </c>
      <c r="B855" s="7" t="str">
        <f>IF(Notes!BZ851="","",Notes!BZ851)</f>
        <v/>
      </c>
      <c r="C855" s="7" t="str">
        <f>IF(Notes!CA851="","",Notes!CA851)</f>
        <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
      <c r="A856" s="7" t="str">
        <f>IF(Notes!BY852="","",Notes!BY852)</f>
        <v/>
      </c>
      <c r="B856" s="7" t="str">
        <f>IF(Notes!BZ852="","",Notes!BZ852)</f>
        <v/>
      </c>
      <c r="C856" s="7" t="str">
        <f>IF(Notes!CA852="","",Notes!CA852)</f>
        <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
      <c r="A857" s="7" t="str">
        <f>IF(Notes!BY853="","",Notes!BY853)</f>
        <v/>
      </c>
      <c r="B857" s="7" t="str">
        <f>IF(Notes!BZ853="","",Notes!BZ853)</f>
        <v/>
      </c>
      <c r="C857" s="7" t="str">
        <f>IF(Notes!CA853="","",Notes!CA853)</f>
        <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
      <c r="A858" s="7" t="str">
        <f>IF(Notes!BY854="","",Notes!BY854)</f>
        <v/>
      </c>
      <c r="B858" s="7" t="str">
        <f>IF(Notes!BZ854="","",Notes!BZ854)</f>
        <v/>
      </c>
      <c r="C858" s="7" t="str">
        <f>IF(Notes!CA854="","",Notes!CA854)</f>
        <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
      <c r="A859" s="7" t="str">
        <f>IF(Notes!BY855="","",Notes!BY855)</f>
        <v/>
      </c>
      <c r="B859" s="7" t="str">
        <f>IF(Notes!BZ855="","",Notes!BZ855)</f>
        <v/>
      </c>
      <c r="C859" s="7" t="str">
        <f>IF(Notes!CA855="","",Notes!CA855)</f>
        <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
      <c r="A860" s="7" t="str">
        <f>IF(Notes!BY856="","",Notes!BY856)</f>
        <v/>
      </c>
      <c r="B860" s="7" t="str">
        <f>IF(Notes!BZ856="","",Notes!BZ856)</f>
        <v/>
      </c>
      <c r="C860" s="7" t="str">
        <f>IF(Notes!CA856="","",Notes!CA856)</f>
        <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
      <c r="A861" s="7" t="str">
        <f>IF(Notes!BY857="","",Notes!BY857)</f>
        <v/>
      </c>
      <c r="B861" s="7" t="str">
        <f>IF(Notes!BZ857="","",Notes!BZ857)</f>
        <v/>
      </c>
      <c r="C861" s="7" t="str">
        <f>IF(Notes!CA857="","",Notes!CA857)</f>
        <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
      <c r="A862" s="7" t="str">
        <f>IF(Notes!BY858="","",Notes!BY858)</f>
        <v/>
      </c>
      <c r="B862" s="7" t="str">
        <f>IF(Notes!BZ858="","",Notes!BZ858)</f>
        <v/>
      </c>
      <c r="C862" s="7" t="str">
        <f>IF(Notes!CA858="","",Notes!CA858)</f>
        <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
      <c r="A863" s="7" t="str">
        <f>IF(Notes!BY859="","",Notes!BY859)</f>
        <v/>
      </c>
      <c r="B863" s="7" t="str">
        <f>IF(Notes!BZ859="","",Notes!BZ859)</f>
        <v/>
      </c>
      <c r="C863" s="7" t="str">
        <f>IF(Notes!CA859="","",Notes!CA859)</f>
        <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
      <c r="A864" s="7" t="str">
        <f>IF(Notes!BY860="","",Notes!BY860)</f>
        <v/>
      </c>
      <c r="B864" s="7" t="str">
        <f>IF(Notes!BZ860="","",Notes!BZ860)</f>
        <v/>
      </c>
      <c r="C864" s="7" t="str">
        <f>IF(Notes!CA860="","",Notes!CA860)</f>
        <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
      <c r="A865" s="7" t="str">
        <f>IF(Notes!BY861="","",Notes!BY861)</f>
        <v/>
      </c>
      <c r="B865" s="7" t="str">
        <f>IF(Notes!BZ861="","",Notes!BZ861)</f>
        <v/>
      </c>
      <c r="C865" s="7" t="str">
        <f>IF(Notes!CA861="","",Notes!CA861)</f>
        <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
      <c r="A866" s="7" t="str">
        <f>IF(Notes!BY862="","",Notes!BY862)</f>
        <v/>
      </c>
      <c r="B866" s="7" t="str">
        <f>IF(Notes!BZ862="","",Notes!BZ862)</f>
        <v/>
      </c>
      <c r="C866" s="7" t="str">
        <f>IF(Notes!CA862="","",Notes!CA862)</f>
        <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
      <c r="A867" s="7" t="str">
        <f>IF(Notes!BY863="","",Notes!BY863)</f>
        <v/>
      </c>
      <c r="B867" s="7" t="str">
        <f>IF(Notes!BZ863="","",Notes!BZ863)</f>
        <v/>
      </c>
      <c r="C867" s="7" t="str">
        <f>IF(Notes!CA863="","",Notes!CA863)</f>
        <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
      <c r="A868" s="7" t="str">
        <f>IF(Notes!BY864="","",Notes!BY864)</f>
        <v/>
      </c>
      <c r="B868" s="7" t="str">
        <f>IF(Notes!BZ864="","",Notes!BZ864)</f>
        <v/>
      </c>
      <c r="C868" s="7" t="str">
        <f>IF(Notes!CA864="","",Notes!CA864)</f>
        <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
      <c r="A869" s="7" t="str">
        <f>IF(Notes!BY865="","",Notes!BY865)</f>
        <v/>
      </c>
      <c r="B869" s="7" t="str">
        <f>IF(Notes!BZ865="","",Notes!BZ865)</f>
        <v/>
      </c>
      <c r="C869" s="7" t="str">
        <f>IF(Notes!CA865="","",Notes!CA865)</f>
        <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
      <c r="A870" s="7" t="str">
        <f>IF(Notes!BY866="","",Notes!BY866)</f>
        <v/>
      </c>
      <c r="B870" s="7" t="str">
        <f>IF(Notes!BZ866="","",Notes!BZ866)</f>
        <v/>
      </c>
      <c r="C870" s="7" t="str">
        <f>IF(Notes!CA866="","",Notes!CA866)</f>
        <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
      <c r="A871" s="7" t="str">
        <f>IF(Notes!BY867="","",Notes!BY867)</f>
        <v/>
      </c>
      <c r="B871" s="7" t="str">
        <f>IF(Notes!BZ867="","",Notes!BZ867)</f>
        <v/>
      </c>
      <c r="C871" s="7" t="str">
        <f>IF(Notes!CA867="","",Notes!CA867)</f>
        <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
      <c r="A872" s="7" t="str">
        <f>IF(Notes!BY868="","",Notes!BY868)</f>
        <v/>
      </c>
      <c r="B872" s="7" t="str">
        <f>IF(Notes!BZ868="","",Notes!BZ868)</f>
        <v/>
      </c>
      <c r="C872" s="7" t="str">
        <f>IF(Notes!CA868="","",Notes!CA868)</f>
        <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
      <c r="A873" s="7" t="str">
        <f>IF(Notes!BY869="","",Notes!BY869)</f>
        <v/>
      </c>
      <c r="B873" s="7" t="str">
        <f>IF(Notes!BZ869="","",Notes!BZ869)</f>
        <v/>
      </c>
      <c r="C873" s="7" t="str">
        <f>IF(Notes!CA869="","",Notes!CA869)</f>
        <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
      <c r="A874" s="7" t="str">
        <f>IF(Notes!BY870="","",Notes!BY870)</f>
        <v/>
      </c>
      <c r="B874" s="7" t="str">
        <f>IF(Notes!BZ870="","",Notes!BZ870)</f>
        <v/>
      </c>
      <c r="C874" s="7" t="str">
        <f>IF(Notes!CA870="","",Notes!CA870)</f>
        <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
      <c r="A875" s="7" t="str">
        <f>IF(Notes!BY871="","",Notes!BY871)</f>
        <v/>
      </c>
      <c r="B875" s="7" t="str">
        <f>IF(Notes!BZ871="","",Notes!BZ871)</f>
        <v/>
      </c>
      <c r="C875" s="7" t="str">
        <f>IF(Notes!CA871="","",Notes!CA871)</f>
        <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
      <c r="A876" s="7" t="str">
        <f>IF(Notes!BY872="","",Notes!BY872)</f>
        <v/>
      </c>
      <c r="B876" s="7" t="str">
        <f>IF(Notes!BZ872="","",Notes!BZ872)</f>
        <v/>
      </c>
      <c r="C876" s="7" t="str">
        <f>IF(Notes!CA872="","",Notes!CA872)</f>
        <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
      <c r="A877" s="7" t="str">
        <f>IF(Notes!BY873="","",Notes!BY873)</f>
        <v/>
      </c>
      <c r="B877" s="7" t="str">
        <f>IF(Notes!BZ873="","",Notes!BZ873)</f>
        <v/>
      </c>
      <c r="C877" s="7" t="str">
        <f>IF(Notes!CA873="","",Notes!CA873)</f>
        <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
      <c r="A878" s="7" t="str">
        <f>IF(Notes!BY874="","",Notes!BY874)</f>
        <v/>
      </c>
      <c r="B878" s="7" t="str">
        <f>IF(Notes!BZ874="","",Notes!BZ874)</f>
        <v/>
      </c>
      <c r="C878" s="7" t="str">
        <f>IF(Notes!CA874="","",Notes!CA874)</f>
        <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
      <c r="A879" s="7" t="str">
        <f>IF(Notes!BY875="","",Notes!BY875)</f>
        <v/>
      </c>
      <c r="B879" s="7" t="str">
        <f>IF(Notes!BZ875="","",Notes!BZ875)</f>
        <v/>
      </c>
      <c r="C879" s="7" t="str">
        <f>IF(Notes!CA875="","",Notes!CA875)</f>
        <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
      <c r="A880" s="7" t="str">
        <f>IF(Notes!BY876="","",Notes!BY876)</f>
        <v/>
      </c>
      <c r="B880" s="7" t="str">
        <f>IF(Notes!BZ876="","",Notes!BZ876)</f>
        <v/>
      </c>
      <c r="C880" s="7" t="str">
        <f>IF(Notes!CA876="","",Notes!CA876)</f>
        <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
      <c r="A881" s="7" t="str">
        <f>IF(Notes!BY877="","",Notes!BY877)</f>
        <v/>
      </c>
      <c r="B881" s="7" t="str">
        <f>IF(Notes!BZ877="","",Notes!BZ877)</f>
        <v/>
      </c>
      <c r="C881" s="7" t="str">
        <f>IF(Notes!CA877="","",Notes!CA877)</f>
        <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
      <c r="A882" s="7" t="str">
        <f>IF(Notes!BY878="","",Notes!BY878)</f>
        <v/>
      </c>
      <c r="B882" s="7" t="str">
        <f>IF(Notes!BZ878="","",Notes!BZ878)</f>
        <v/>
      </c>
      <c r="C882" s="7" t="str">
        <f>IF(Notes!CA878="","",Notes!CA878)</f>
        <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
      <c r="A883" s="7" t="str">
        <f>IF(Notes!BY879="","",Notes!BY879)</f>
        <v/>
      </c>
      <c r="B883" s="7" t="str">
        <f>IF(Notes!BZ879="","",Notes!BZ879)</f>
        <v/>
      </c>
      <c r="C883" s="7" t="str">
        <f>IF(Notes!CA879="","",Notes!CA879)</f>
        <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
      <c r="A884" s="7" t="str">
        <f>IF(Notes!BY880="","",Notes!BY880)</f>
        <v/>
      </c>
      <c r="B884" s="7" t="str">
        <f>IF(Notes!BZ880="","",Notes!BZ880)</f>
        <v/>
      </c>
      <c r="C884" s="7" t="str">
        <f>IF(Notes!CA880="","",Notes!CA880)</f>
        <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
      <c r="A885" s="7" t="str">
        <f>IF(Notes!BY881="","",Notes!BY881)</f>
        <v/>
      </c>
      <c r="B885" s="7" t="str">
        <f>IF(Notes!BZ881="","",Notes!BZ881)</f>
        <v/>
      </c>
      <c r="C885" s="7" t="str">
        <f>IF(Notes!CA881="","",Notes!CA881)</f>
        <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
      <c r="A886" s="7" t="str">
        <f>IF(Notes!BY882="","",Notes!BY882)</f>
        <v/>
      </c>
      <c r="B886" s="7" t="str">
        <f>IF(Notes!BZ882="","",Notes!BZ882)</f>
        <v/>
      </c>
      <c r="C886" s="7" t="str">
        <f>IF(Notes!CA882="","",Notes!CA882)</f>
        <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
      <c r="A887" s="7" t="str">
        <f>IF(Notes!BY883="","",Notes!BY883)</f>
        <v/>
      </c>
      <c r="B887" s="7" t="str">
        <f>IF(Notes!BZ883="","",Notes!BZ883)</f>
        <v/>
      </c>
      <c r="C887" s="7" t="str">
        <f>IF(Notes!CA883="","",Notes!CA883)</f>
        <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
      <c r="A888" s="7" t="str">
        <f>IF(Notes!BY884="","",Notes!BY884)</f>
        <v/>
      </c>
      <c r="B888" s="7" t="str">
        <f>IF(Notes!BZ884="","",Notes!BZ884)</f>
        <v/>
      </c>
      <c r="C888" s="7" t="str">
        <f>IF(Notes!CA884="","",Notes!CA884)</f>
        <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
      <c r="A889" s="7" t="str">
        <f>IF(Notes!BY885="","",Notes!BY885)</f>
        <v/>
      </c>
      <c r="B889" s="7" t="str">
        <f>IF(Notes!BZ885="","",Notes!BZ885)</f>
        <v/>
      </c>
      <c r="C889" s="7" t="str">
        <f>IF(Notes!CA885="","",Notes!CA885)</f>
        <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
      <c r="A890" s="7" t="str">
        <f>IF(Notes!BY886="","",Notes!BY886)</f>
        <v/>
      </c>
      <c r="B890" s="7" t="str">
        <f>IF(Notes!BZ886="","",Notes!BZ886)</f>
        <v/>
      </c>
      <c r="C890" s="7" t="str">
        <f>IF(Notes!CA886="","",Notes!CA886)</f>
        <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
      <c r="A891" s="7" t="str">
        <f>IF(Notes!BY887="","",Notes!BY887)</f>
        <v/>
      </c>
      <c r="B891" s="7" t="str">
        <f>IF(Notes!BZ887="","",Notes!BZ887)</f>
        <v/>
      </c>
      <c r="C891" s="7" t="str">
        <f>IF(Notes!CA887="","",Notes!CA887)</f>
        <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
      <c r="A892" s="7" t="str">
        <f>IF(Notes!BY888="","",Notes!BY888)</f>
        <v/>
      </c>
      <c r="B892" s="7" t="str">
        <f>IF(Notes!BZ888="","",Notes!BZ888)</f>
        <v/>
      </c>
      <c r="C892" s="7" t="str">
        <f>IF(Notes!CA888="","",Notes!CA888)</f>
        <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
      <c r="A893" s="7" t="str">
        <f>IF(Notes!BY889="","",Notes!BY889)</f>
        <v/>
      </c>
      <c r="B893" s="7" t="str">
        <f>IF(Notes!BZ889="","",Notes!BZ889)</f>
        <v/>
      </c>
      <c r="C893" s="7" t="str">
        <f>IF(Notes!CA889="","",Notes!CA889)</f>
        <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
      <c r="A894" s="7" t="str">
        <f>IF(Notes!BY890="","",Notes!BY890)</f>
        <v/>
      </c>
      <c r="B894" s="7" t="str">
        <f>IF(Notes!BZ890="","",Notes!BZ890)</f>
        <v/>
      </c>
      <c r="C894" s="7" t="str">
        <f>IF(Notes!CA890="","",Notes!CA890)</f>
        <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
      <c r="A895" s="7" t="str">
        <f>IF(Notes!BY891="","",Notes!BY891)</f>
        <v/>
      </c>
      <c r="B895" s="7" t="str">
        <f>IF(Notes!BZ891="","",Notes!BZ891)</f>
        <v/>
      </c>
      <c r="C895" s="7" t="str">
        <f>IF(Notes!CA891="","",Notes!CA891)</f>
        <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
      <c r="A896" s="7" t="str">
        <f>IF(Notes!BY892="","",Notes!BY892)</f>
        <v/>
      </c>
      <c r="B896" s="7" t="str">
        <f>IF(Notes!BZ892="","",Notes!BZ892)</f>
        <v/>
      </c>
      <c r="C896" s="7" t="str">
        <f>IF(Notes!CA892="","",Notes!CA892)</f>
        <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
      <c r="A897" s="7" t="str">
        <f>IF(Notes!BY893="","",Notes!BY893)</f>
        <v/>
      </c>
      <c r="B897" s="7" t="str">
        <f>IF(Notes!BZ893="","",Notes!BZ893)</f>
        <v/>
      </c>
      <c r="C897" s="7" t="str">
        <f>IF(Notes!CA893="","",Notes!CA893)</f>
        <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
      <c r="A898" s="7" t="str">
        <f>IF(Notes!BY894="","",Notes!BY894)</f>
        <v/>
      </c>
      <c r="B898" s="7" t="str">
        <f>IF(Notes!BZ894="","",Notes!BZ894)</f>
        <v/>
      </c>
      <c r="C898" s="7" t="str">
        <f>IF(Notes!CA894="","",Notes!CA894)</f>
        <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
      <c r="A899" s="7" t="str">
        <f>IF(Notes!BY895="","",Notes!BY895)</f>
        <v/>
      </c>
      <c r="B899" s="7" t="str">
        <f>IF(Notes!BZ895="","",Notes!BZ895)</f>
        <v/>
      </c>
      <c r="C899" s="7" t="str">
        <f>IF(Notes!CA895="","",Notes!CA895)</f>
        <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
      <c r="A900" s="7" t="str">
        <f>IF(Notes!BY896="","",Notes!BY896)</f>
        <v/>
      </c>
      <c r="B900" s="7" t="str">
        <f>IF(Notes!BZ896="","",Notes!BZ896)</f>
        <v/>
      </c>
      <c r="C900" s="7" t="str">
        <f>IF(Notes!CA896="","",Notes!CA896)</f>
        <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
      <c r="A901" s="7" t="str">
        <f>IF(Notes!BY897="","",Notes!BY897)</f>
        <v/>
      </c>
      <c r="B901" s="7" t="str">
        <f>IF(Notes!BZ897="","",Notes!BZ897)</f>
        <v/>
      </c>
      <c r="C901" s="7" t="str">
        <f>IF(Notes!CA897="","",Notes!CA897)</f>
        <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
      <c r="A902" s="7" t="str">
        <f>IF(Notes!BY898="","",Notes!BY898)</f>
        <v/>
      </c>
      <c r="B902" s="7" t="str">
        <f>IF(Notes!BZ898="","",Notes!BZ898)</f>
        <v/>
      </c>
      <c r="C902" s="7" t="str">
        <f>IF(Notes!CA898="","",Notes!CA898)</f>
        <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
      <c r="A903" s="7" t="str">
        <f>IF(Notes!BY899="","",Notes!BY899)</f>
        <v/>
      </c>
      <c r="B903" s="7" t="str">
        <f>IF(Notes!BZ899="","",Notes!BZ899)</f>
        <v/>
      </c>
      <c r="C903" s="7" t="str">
        <f>IF(Notes!CA899="","",Notes!CA899)</f>
        <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
      <c r="A904" s="7" t="str">
        <f>IF(Notes!BY900="","",Notes!BY900)</f>
        <v/>
      </c>
      <c r="B904" s="7" t="str">
        <f>IF(Notes!BZ900="","",Notes!BZ900)</f>
        <v/>
      </c>
      <c r="C904" s="7" t="str">
        <f>IF(Notes!CA900="","",Notes!CA900)</f>
        <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
      <c r="A905" s="7" t="str">
        <f>IF(Notes!BY901="","",Notes!BY901)</f>
        <v/>
      </c>
      <c r="B905" s="7" t="str">
        <f>IF(Notes!BZ901="","",Notes!BZ901)</f>
        <v/>
      </c>
      <c r="C905" s="7" t="str">
        <f>IF(Notes!CA901="","",Notes!CA901)</f>
        <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
      <c r="A906" s="7" t="str">
        <f>IF(Notes!BY902="","",Notes!BY902)</f>
        <v/>
      </c>
      <c r="B906" s="7" t="str">
        <f>IF(Notes!BZ902="","",Notes!BZ902)</f>
        <v/>
      </c>
      <c r="C906" s="7" t="str">
        <f>IF(Notes!CA902="","",Notes!CA902)</f>
        <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
      <c r="A907" s="7" t="str">
        <f>IF(Notes!BY903="","",Notes!BY903)</f>
        <v/>
      </c>
      <c r="B907" s="7" t="str">
        <f>IF(Notes!BZ903="","",Notes!BZ903)</f>
        <v/>
      </c>
      <c r="C907" s="7" t="str">
        <f>IF(Notes!CA903="","",Notes!CA903)</f>
        <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
      <c r="A908" s="7" t="str">
        <f>IF(Notes!BY904="","",Notes!BY904)</f>
        <v/>
      </c>
      <c r="B908" s="7" t="str">
        <f>IF(Notes!BZ904="","",Notes!BZ904)</f>
        <v/>
      </c>
      <c r="C908" s="7" t="str">
        <f>IF(Notes!CA904="","",Notes!CA904)</f>
        <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
      <c r="A909" s="7" t="str">
        <f>IF(Notes!BY905="","",Notes!BY905)</f>
        <v/>
      </c>
      <c r="B909" s="7" t="str">
        <f>IF(Notes!BZ905="","",Notes!BZ905)</f>
        <v/>
      </c>
      <c r="C909" s="7" t="str">
        <f>IF(Notes!CA905="","",Notes!CA905)</f>
        <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
      <c r="A910" s="7" t="str">
        <f>IF(Notes!BY906="","",Notes!BY906)</f>
        <v/>
      </c>
      <c r="B910" s="7" t="str">
        <f>IF(Notes!BZ906="","",Notes!BZ906)</f>
        <v/>
      </c>
      <c r="C910" s="7" t="str">
        <f>IF(Notes!CA906="","",Notes!CA906)</f>
        <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
      <c r="A911" s="7" t="str">
        <f>IF(Notes!BY907="","",Notes!BY907)</f>
        <v/>
      </c>
      <c r="B911" s="7" t="str">
        <f>IF(Notes!BZ907="","",Notes!BZ907)</f>
        <v/>
      </c>
      <c r="C911" s="7" t="str">
        <f>IF(Notes!CA907="","",Notes!CA907)</f>
        <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
      <c r="A912" s="7" t="str">
        <f>IF(Notes!BY908="","",Notes!BY908)</f>
        <v/>
      </c>
      <c r="B912" s="7" t="str">
        <f>IF(Notes!BZ908="","",Notes!BZ908)</f>
        <v/>
      </c>
      <c r="C912" s="7" t="str">
        <f>IF(Notes!CA908="","",Notes!CA908)</f>
        <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
      <c r="A913" s="7" t="str">
        <f>IF(Notes!BY909="","",Notes!BY909)</f>
        <v/>
      </c>
      <c r="B913" s="7" t="str">
        <f>IF(Notes!BZ909="","",Notes!BZ909)</f>
        <v/>
      </c>
      <c r="C913" s="7" t="str">
        <f>IF(Notes!CA909="","",Notes!CA909)</f>
        <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
      <c r="A914" s="7" t="str">
        <f>IF(Notes!BY910="","",Notes!BY910)</f>
        <v/>
      </c>
      <c r="B914" s="7" t="str">
        <f>IF(Notes!BZ910="","",Notes!BZ910)</f>
        <v/>
      </c>
      <c r="C914" s="7" t="str">
        <f>IF(Notes!CA910="","",Notes!CA910)</f>
        <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
      <c r="A915" s="7" t="str">
        <f>IF(Notes!BY911="","",Notes!BY911)</f>
        <v/>
      </c>
      <c r="B915" s="7" t="str">
        <f>IF(Notes!BZ911="","",Notes!BZ911)</f>
        <v/>
      </c>
      <c r="C915" s="7" t="str">
        <f>IF(Notes!CA911="","",Notes!CA911)</f>
        <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
      <c r="A916" s="7" t="str">
        <f>IF(Notes!BY912="","",Notes!BY912)</f>
        <v/>
      </c>
      <c r="B916" s="7" t="str">
        <f>IF(Notes!BZ912="","",Notes!BZ912)</f>
        <v/>
      </c>
      <c r="C916" s="7" t="str">
        <f>IF(Notes!CA912="","",Notes!CA912)</f>
        <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
      <c r="A917" s="7" t="str">
        <f>IF(Notes!BY913="","",Notes!BY913)</f>
        <v/>
      </c>
      <c r="B917" s="7" t="str">
        <f>IF(Notes!BZ913="","",Notes!BZ913)</f>
        <v/>
      </c>
      <c r="C917" s="7" t="str">
        <f>IF(Notes!CA913="","",Notes!CA913)</f>
        <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
      <c r="A918" s="7" t="str">
        <f>IF(Notes!BY914="","",Notes!BY914)</f>
        <v/>
      </c>
      <c r="B918" s="7" t="str">
        <f>IF(Notes!BZ914="","",Notes!BZ914)</f>
        <v/>
      </c>
      <c r="C918" s="7" t="str">
        <f>IF(Notes!CA914="","",Notes!CA914)</f>
        <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
      <c r="A919" s="7" t="str">
        <f>IF(Notes!BY915="","",Notes!BY915)</f>
        <v/>
      </c>
      <c r="B919" s="7" t="str">
        <f>IF(Notes!BZ915="","",Notes!BZ915)</f>
        <v/>
      </c>
      <c r="C919" s="7" t="str">
        <f>IF(Notes!CA915="","",Notes!CA915)</f>
        <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
      <c r="A920" s="7" t="str">
        <f>IF(Notes!BY916="","",Notes!BY916)</f>
        <v/>
      </c>
      <c r="B920" s="7" t="str">
        <f>IF(Notes!BZ916="","",Notes!BZ916)</f>
        <v/>
      </c>
      <c r="C920" s="7" t="str">
        <f>IF(Notes!CA916="","",Notes!CA916)</f>
        <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
      <c r="A921" s="7" t="str">
        <f>IF(Notes!BY917="","",Notes!BY917)</f>
        <v/>
      </c>
      <c r="B921" s="7" t="str">
        <f>IF(Notes!BZ917="","",Notes!BZ917)</f>
        <v/>
      </c>
      <c r="C921" s="7" t="str">
        <f>IF(Notes!CA917="","",Notes!CA917)</f>
        <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
      <c r="A922" s="7" t="str">
        <f>IF(Notes!BY918="","",Notes!BY918)</f>
        <v/>
      </c>
      <c r="B922" s="7" t="str">
        <f>IF(Notes!BZ918="","",Notes!BZ918)</f>
        <v/>
      </c>
      <c r="C922" s="7" t="str">
        <f>IF(Notes!CA918="","",Notes!CA918)</f>
        <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
      <c r="A923" s="7" t="str">
        <f>IF(Notes!BY919="","",Notes!BY919)</f>
        <v/>
      </c>
      <c r="B923" s="7" t="str">
        <f>IF(Notes!BZ919="","",Notes!BZ919)</f>
        <v/>
      </c>
      <c r="C923" s="7" t="str">
        <f>IF(Notes!CA919="","",Notes!CA919)</f>
        <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
      <c r="A924" s="7" t="str">
        <f>IF(Notes!BY920="","",Notes!BY920)</f>
        <v/>
      </c>
      <c r="B924" s="7" t="str">
        <f>IF(Notes!BZ920="","",Notes!BZ920)</f>
        <v/>
      </c>
      <c r="C924" s="7" t="str">
        <f>IF(Notes!CA920="","",Notes!CA920)</f>
        <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
      <c r="A925" s="7" t="str">
        <f>IF(Notes!BY921="","",Notes!BY921)</f>
        <v/>
      </c>
      <c r="B925" s="7" t="str">
        <f>IF(Notes!BZ921="","",Notes!BZ921)</f>
        <v/>
      </c>
      <c r="C925" s="7" t="str">
        <f>IF(Notes!CA921="","",Notes!CA921)</f>
        <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
      <c r="A926" s="7" t="str">
        <f>IF(Notes!BY922="","",Notes!BY922)</f>
        <v/>
      </c>
      <c r="B926" s="7" t="str">
        <f>IF(Notes!BZ922="","",Notes!BZ922)</f>
        <v/>
      </c>
      <c r="C926" s="7" t="str">
        <f>IF(Notes!CA922="","",Notes!CA922)</f>
        <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
      <c r="A927" s="7" t="str">
        <f>IF(Notes!BY923="","",Notes!BY923)</f>
        <v/>
      </c>
      <c r="B927" s="7" t="str">
        <f>IF(Notes!BZ923="","",Notes!BZ923)</f>
        <v/>
      </c>
      <c r="C927" s="7" t="str">
        <f>IF(Notes!CA923="","",Notes!CA923)</f>
        <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
      <c r="A928" s="7" t="str">
        <f>IF(Notes!BY924="","",Notes!BY924)</f>
        <v/>
      </c>
      <c r="B928" s="7" t="str">
        <f>IF(Notes!BZ924="","",Notes!BZ924)</f>
        <v/>
      </c>
      <c r="C928" s="7" t="str">
        <f>IF(Notes!CA924="","",Notes!CA924)</f>
        <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
      <c r="A929" s="7" t="str">
        <f>IF(Notes!BY925="","",Notes!BY925)</f>
        <v/>
      </c>
      <c r="B929" s="7" t="str">
        <f>IF(Notes!BZ925="","",Notes!BZ925)</f>
        <v/>
      </c>
      <c r="C929" s="7" t="str">
        <f>IF(Notes!CA925="","",Notes!CA925)</f>
        <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
      <c r="A930" s="7" t="str">
        <f>IF(Notes!BY926="","",Notes!BY926)</f>
        <v/>
      </c>
      <c r="B930" s="7" t="str">
        <f>IF(Notes!BZ926="","",Notes!BZ926)</f>
        <v/>
      </c>
      <c r="C930" s="7" t="str">
        <f>IF(Notes!CA926="","",Notes!CA926)</f>
        <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
      <c r="A931" s="7" t="str">
        <f>IF(Notes!BY927="","",Notes!BY927)</f>
        <v/>
      </c>
      <c r="B931" s="7" t="str">
        <f>IF(Notes!BZ927="","",Notes!BZ927)</f>
        <v/>
      </c>
      <c r="C931" s="7" t="str">
        <f>IF(Notes!CA927="","",Notes!CA927)</f>
        <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
      <c r="A932" s="7" t="str">
        <f>IF(Notes!BY928="","",Notes!BY928)</f>
        <v/>
      </c>
      <c r="B932" s="7" t="str">
        <f>IF(Notes!BZ928="","",Notes!BZ928)</f>
        <v/>
      </c>
      <c r="C932" s="7" t="str">
        <f>IF(Notes!CA928="","",Notes!CA928)</f>
        <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
      <c r="A933" s="7" t="str">
        <f>IF(Notes!BY929="","",Notes!BY929)</f>
        <v/>
      </c>
      <c r="B933" s="7" t="str">
        <f>IF(Notes!BZ929="","",Notes!BZ929)</f>
        <v/>
      </c>
      <c r="C933" s="7" t="str">
        <f>IF(Notes!CA929="","",Notes!CA929)</f>
        <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
      <c r="A934" s="7" t="str">
        <f>IF(Notes!BY930="","",Notes!BY930)</f>
        <v/>
      </c>
      <c r="B934" s="7" t="str">
        <f>IF(Notes!BZ930="","",Notes!BZ930)</f>
        <v/>
      </c>
      <c r="C934" s="7" t="str">
        <f>IF(Notes!CA930="","",Notes!CA930)</f>
        <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
      <c r="A935" s="7" t="str">
        <f>IF(Notes!BY931="","",Notes!BY931)</f>
        <v/>
      </c>
      <c r="B935" s="7" t="str">
        <f>IF(Notes!BZ931="","",Notes!BZ931)</f>
        <v/>
      </c>
      <c r="C935" s="7" t="str">
        <f>IF(Notes!CA931="","",Notes!CA931)</f>
        <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
      <c r="A936" s="7" t="str">
        <f>IF(Notes!BY932="","",Notes!BY932)</f>
        <v/>
      </c>
      <c r="B936" s="7" t="str">
        <f>IF(Notes!BZ932="","",Notes!BZ932)</f>
        <v/>
      </c>
      <c r="C936" s="7" t="str">
        <f>IF(Notes!CA932="","",Notes!CA932)</f>
        <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
      <c r="A937" s="7" t="str">
        <f>IF(Notes!BY933="","",Notes!BY933)</f>
        <v/>
      </c>
      <c r="B937" s="7" t="str">
        <f>IF(Notes!BZ933="","",Notes!BZ933)</f>
        <v/>
      </c>
      <c r="C937" s="7" t="str">
        <f>IF(Notes!CA933="","",Notes!CA933)</f>
        <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
      <c r="A938" s="7" t="str">
        <f>IF(Notes!BY934="","",Notes!BY934)</f>
        <v/>
      </c>
      <c r="B938" s="7" t="str">
        <f>IF(Notes!BZ934="","",Notes!BZ934)</f>
        <v/>
      </c>
      <c r="C938" s="7" t="str">
        <f>IF(Notes!CA934="","",Notes!CA934)</f>
        <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
      <c r="A939" s="7" t="str">
        <f>IF(Notes!BY935="","",Notes!BY935)</f>
        <v/>
      </c>
      <c r="B939" s="7" t="str">
        <f>IF(Notes!BZ935="","",Notes!BZ935)</f>
        <v/>
      </c>
      <c r="C939" s="7" t="str">
        <f>IF(Notes!CA935="","",Notes!CA935)</f>
        <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
      <c r="A940" s="7" t="str">
        <f>IF(Notes!BY936="","",Notes!BY936)</f>
        <v/>
      </c>
      <c r="B940" s="7" t="str">
        <f>IF(Notes!BZ936="","",Notes!BZ936)</f>
        <v/>
      </c>
      <c r="C940" s="7" t="str">
        <f>IF(Notes!CA936="","",Notes!CA936)</f>
        <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
      <c r="A941" s="7" t="str">
        <f>IF(Notes!BY937="","",Notes!BY937)</f>
        <v/>
      </c>
      <c r="B941" s="7" t="str">
        <f>IF(Notes!BZ937="","",Notes!BZ937)</f>
        <v/>
      </c>
      <c r="C941" s="7" t="str">
        <f>IF(Notes!CA937="","",Notes!CA937)</f>
        <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
      <c r="A942" s="7" t="str">
        <f>IF(Notes!BY938="","",Notes!BY938)</f>
        <v/>
      </c>
      <c r="B942" s="7" t="str">
        <f>IF(Notes!BZ938="","",Notes!BZ938)</f>
        <v/>
      </c>
      <c r="C942" s="7" t="str">
        <f>IF(Notes!CA938="","",Notes!CA938)</f>
        <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
      <c r="A943" s="7" t="str">
        <f>IF(Notes!BY939="","",Notes!BY939)</f>
        <v/>
      </c>
      <c r="B943" s="7" t="str">
        <f>IF(Notes!BZ939="","",Notes!BZ939)</f>
        <v/>
      </c>
      <c r="C943" s="7" t="str">
        <f>IF(Notes!CA939="","",Notes!CA939)</f>
        <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
      <c r="A944" s="7" t="str">
        <f>IF(Notes!BY940="","",Notes!BY940)</f>
        <v/>
      </c>
      <c r="B944" s="7" t="str">
        <f>IF(Notes!BZ940="","",Notes!BZ940)</f>
        <v/>
      </c>
      <c r="C944" s="7" t="str">
        <f>IF(Notes!CA940="","",Notes!CA940)</f>
        <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
      <c r="A945" s="7" t="str">
        <f>IF(Notes!BY941="","",Notes!BY941)</f>
        <v/>
      </c>
      <c r="B945" s="7" t="str">
        <f>IF(Notes!BZ941="","",Notes!BZ941)</f>
        <v/>
      </c>
      <c r="C945" s="7" t="str">
        <f>IF(Notes!CA941="","",Notes!CA941)</f>
        <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
      <c r="A946" s="7" t="str">
        <f>IF(Notes!BY942="","",Notes!BY942)</f>
        <v/>
      </c>
      <c r="B946" s="7" t="str">
        <f>IF(Notes!BZ942="","",Notes!BZ942)</f>
        <v/>
      </c>
      <c r="C946" s="7" t="str">
        <f>IF(Notes!CA942="","",Notes!CA942)</f>
        <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
      <c r="A947" s="7" t="str">
        <f>IF(Notes!BY943="","",Notes!BY943)</f>
        <v/>
      </c>
      <c r="B947" s="7" t="str">
        <f>IF(Notes!BZ943="","",Notes!BZ943)</f>
        <v/>
      </c>
      <c r="C947" s="7" t="str">
        <f>IF(Notes!CA943="","",Notes!CA943)</f>
        <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
      <c r="A948" s="7" t="str">
        <f>IF(Notes!BY944="","",Notes!BY944)</f>
        <v/>
      </c>
      <c r="B948" s="7" t="str">
        <f>IF(Notes!BZ944="","",Notes!BZ944)</f>
        <v/>
      </c>
      <c r="C948" s="7" t="str">
        <f>IF(Notes!CA944="","",Notes!CA944)</f>
        <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
      <c r="A949" s="7" t="str">
        <f>IF(Notes!BY945="","",Notes!BY945)</f>
        <v/>
      </c>
      <c r="B949" s="7" t="str">
        <f>IF(Notes!BZ945="","",Notes!BZ945)</f>
        <v/>
      </c>
      <c r="C949" s="7" t="str">
        <f>IF(Notes!CA945="","",Notes!CA945)</f>
        <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
      <c r="A950" s="7" t="str">
        <f>IF(Notes!BY946="","",Notes!BY946)</f>
        <v/>
      </c>
      <c r="B950" s="7" t="str">
        <f>IF(Notes!BZ946="","",Notes!BZ946)</f>
        <v/>
      </c>
      <c r="C950" s="7" t="str">
        <f>IF(Notes!CA946="","",Notes!CA946)</f>
        <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
      <c r="A951" s="7" t="str">
        <f>IF(Notes!BY947="","",Notes!BY947)</f>
        <v/>
      </c>
      <c r="B951" s="7" t="str">
        <f>IF(Notes!BZ947="","",Notes!BZ947)</f>
        <v/>
      </c>
      <c r="C951" s="7" t="str">
        <f>IF(Notes!CA947="","",Notes!CA947)</f>
        <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
      <c r="A952" s="7" t="str">
        <f>IF(Notes!BY948="","",Notes!BY948)</f>
        <v/>
      </c>
      <c r="B952" s="7" t="str">
        <f>IF(Notes!BZ948="","",Notes!BZ948)</f>
        <v/>
      </c>
      <c r="C952" s="7" t="str">
        <f>IF(Notes!CA948="","",Notes!CA948)</f>
        <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
      <c r="A953" s="7" t="str">
        <f>IF(Notes!BY949="","",Notes!BY949)</f>
        <v/>
      </c>
      <c r="B953" s="7" t="str">
        <f>IF(Notes!BZ949="","",Notes!BZ949)</f>
        <v/>
      </c>
      <c r="C953" s="7" t="str">
        <f>IF(Notes!CA949="","",Notes!CA949)</f>
        <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
      <c r="A954" s="7" t="str">
        <f>IF(Notes!BY950="","",Notes!BY950)</f>
        <v/>
      </c>
      <c r="B954" s="7" t="str">
        <f>IF(Notes!BZ950="","",Notes!BZ950)</f>
        <v/>
      </c>
      <c r="C954" s="7" t="str">
        <f>IF(Notes!CA950="","",Notes!CA950)</f>
        <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
      <c r="A955" s="7" t="str">
        <f>IF(Notes!BY951="","",Notes!BY951)</f>
        <v/>
      </c>
      <c r="B955" s="7" t="str">
        <f>IF(Notes!BZ951="","",Notes!BZ951)</f>
        <v/>
      </c>
      <c r="C955" s="7" t="str">
        <f>IF(Notes!CA951="","",Notes!CA951)</f>
        <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
      <c r="A956" s="7" t="str">
        <f>IF(Notes!BY952="","",Notes!BY952)</f>
        <v/>
      </c>
      <c r="B956" s="7" t="str">
        <f>IF(Notes!BZ952="","",Notes!BZ952)</f>
        <v/>
      </c>
      <c r="C956" s="7" t="str">
        <f>IF(Notes!CA952="","",Notes!CA952)</f>
        <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
      <c r="A957" s="7" t="str">
        <f>IF(Notes!BY953="","",Notes!BY953)</f>
        <v/>
      </c>
      <c r="B957" s="7" t="str">
        <f>IF(Notes!BZ953="","",Notes!BZ953)</f>
        <v/>
      </c>
      <c r="C957" s="7" t="str">
        <f>IF(Notes!CA953="","",Notes!CA953)</f>
        <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
      <c r="A958" s="7" t="str">
        <f>IF(Notes!BY954="","",Notes!BY954)</f>
        <v/>
      </c>
      <c r="B958" s="7" t="str">
        <f>IF(Notes!BZ954="","",Notes!BZ954)</f>
        <v/>
      </c>
      <c r="C958" s="7" t="str">
        <f>IF(Notes!CA954="","",Notes!CA954)</f>
        <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
      <c r="A959" s="7" t="str">
        <f>IF(Notes!BY955="","",Notes!BY955)</f>
        <v/>
      </c>
      <c r="B959" s="7" t="str">
        <f>IF(Notes!BZ955="","",Notes!BZ955)</f>
        <v/>
      </c>
      <c r="C959" s="7" t="str">
        <f>IF(Notes!CA955="","",Notes!CA955)</f>
        <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
      <c r="A960" s="7" t="str">
        <f>IF(Notes!BY956="","",Notes!BY956)</f>
        <v/>
      </c>
      <c r="B960" s="7" t="str">
        <f>IF(Notes!BZ956="","",Notes!BZ956)</f>
        <v/>
      </c>
      <c r="C960" s="7" t="str">
        <f>IF(Notes!CA956="","",Notes!CA956)</f>
        <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
      <c r="A961" s="7" t="str">
        <f>IF(Notes!BY957="","",Notes!BY957)</f>
        <v/>
      </c>
      <c r="B961" s="7" t="str">
        <f>IF(Notes!BZ957="","",Notes!BZ957)</f>
        <v/>
      </c>
      <c r="C961" s="7" t="str">
        <f>IF(Notes!CA957="","",Notes!CA957)</f>
        <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
      <c r="A962" s="7" t="str">
        <f>IF(Notes!BY958="","",Notes!BY958)</f>
        <v/>
      </c>
      <c r="B962" s="7" t="str">
        <f>IF(Notes!BZ958="","",Notes!BZ958)</f>
        <v/>
      </c>
      <c r="C962" s="7" t="str">
        <f>IF(Notes!CA958="","",Notes!CA958)</f>
        <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
      <c r="A963" s="7" t="str">
        <f>IF(Notes!BY959="","",Notes!BY959)</f>
        <v/>
      </c>
      <c r="B963" s="7" t="str">
        <f>IF(Notes!BZ959="","",Notes!BZ959)</f>
        <v/>
      </c>
      <c r="C963" s="7" t="str">
        <f>IF(Notes!CA959="","",Notes!CA959)</f>
        <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
      <c r="A964" s="7" t="str">
        <f>IF(Notes!BY960="","",Notes!BY960)</f>
        <v/>
      </c>
      <c r="B964" s="7" t="str">
        <f>IF(Notes!BZ960="","",Notes!BZ960)</f>
        <v/>
      </c>
      <c r="C964" s="7" t="str">
        <f>IF(Notes!CA960="","",Notes!CA960)</f>
        <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
      <c r="A965" s="7" t="str">
        <f>IF(Notes!BY961="","",Notes!BY961)</f>
        <v/>
      </c>
      <c r="B965" s="7" t="str">
        <f>IF(Notes!BZ961="","",Notes!BZ961)</f>
        <v/>
      </c>
      <c r="C965" s="7" t="str">
        <f>IF(Notes!CA961="","",Notes!CA961)</f>
        <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
      <c r="A966" s="7" t="str">
        <f>IF(Notes!BY962="","",Notes!BY962)</f>
        <v/>
      </c>
      <c r="B966" s="7" t="str">
        <f>IF(Notes!BZ962="","",Notes!BZ962)</f>
        <v/>
      </c>
      <c r="C966" s="7" t="str">
        <f>IF(Notes!CA962="","",Notes!CA962)</f>
        <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
      <c r="A967" s="7" t="str">
        <f>IF(Notes!BY963="","",Notes!BY963)</f>
        <v/>
      </c>
      <c r="B967" s="7" t="str">
        <f>IF(Notes!BZ963="","",Notes!BZ963)</f>
        <v/>
      </c>
      <c r="C967" s="7" t="str">
        <f>IF(Notes!CA963="","",Notes!CA963)</f>
        <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
      <c r="A968" s="7" t="str">
        <f>IF(Notes!BY964="","",Notes!BY964)</f>
        <v/>
      </c>
      <c r="B968" s="7" t="str">
        <f>IF(Notes!BZ964="","",Notes!BZ964)</f>
        <v/>
      </c>
      <c r="C968" s="7" t="str">
        <f>IF(Notes!CA964="","",Notes!CA964)</f>
        <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
      <c r="A969" s="7" t="str">
        <f>IF(Notes!BY965="","",Notes!BY965)</f>
        <v/>
      </c>
      <c r="B969" s="7" t="str">
        <f>IF(Notes!BZ965="","",Notes!BZ965)</f>
        <v/>
      </c>
      <c r="C969" s="7" t="str">
        <f>IF(Notes!CA965="","",Notes!CA965)</f>
        <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
      <c r="A970" s="7" t="str">
        <f>IF(Notes!BY966="","",Notes!BY966)</f>
        <v/>
      </c>
      <c r="B970" s="7" t="str">
        <f>IF(Notes!BZ966="","",Notes!BZ966)</f>
        <v/>
      </c>
      <c r="C970" s="7" t="str">
        <f>IF(Notes!CA966="","",Notes!CA966)</f>
        <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
      <c r="A971" s="7" t="str">
        <f>IF(Notes!BY967="","",Notes!BY967)</f>
        <v/>
      </c>
      <c r="B971" s="7" t="str">
        <f>IF(Notes!BZ967="","",Notes!BZ967)</f>
        <v/>
      </c>
      <c r="C971" s="7" t="str">
        <f>IF(Notes!CA967="","",Notes!CA967)</f>
        <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
      <c r="A972" s="7" t="str">
        <f>IF(Notes!BY968="","",Notes!BY968)</f>
        <v/>
      </c>
      <c r="B972" s="7" t="str">
        <f>IF(Notes!BZ968="","",Notes!BZ968)</f>
        <v/>
      </c>
      <c r="C972" s="7" t="str">
        <f>IF(Notes!CA968="","",Notes!CA968)</f>
        <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
      <c r="A973" s="7" t="str">
        <f>IF(Notes!BY969="","",Notes!BY969)</f>
        <v/>
      </c>
      <c r="B973" s="7" t="str">
        <f>IF(Notes!BZ969="","",Notes!BZ969)</f>
        <v/>
      </c>
      <c r="C973" s="7" t="str">
        <f>IF(Notes!CA969="","",Notes!CA969)</f>
        <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
      <c r="A974" s="7" t="str">
        <f>IF(Notes!BY970="","",Notes!BY970)</f>
        <v/>
      </c>
      <c r="B974" s="7" t="str">
        <f>IF(Notes!BZ970="","",Notes!BZ970)</f>
        <v/>
      </c>
      <c r="C974" s="7" t="str">
        <f>IF(Notes!CA970="","",Notes!CA970)</f>
        <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
      <c r="A975" s="7" t="str">
        <f>IF(Notes!BY971="","",Notes!BY971)</f>
        <v/>
      </c>
      <c r="B975" s="7" t="str">
        <f>IF(Notes!BZ971="","",Notes!BZ971)</f>
        <v/>
      </c>
      <c r="C975" s="7" t="str">
        <f>IF(Notes!CA971="","",Notes!CA971)</f>
        <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
      <c r="A976" s="7" t="str">
        <f>IF(Notes!BY972="","",Notes!BY972)</f>
        <v/>
      </c>
      <c r="B976" s="7" t="str">
        <f>IF(Notes!BZ972="","",Notes!BZ972)</f>
        <v/>
      </c>
      <c r="C976" s="7" t="str">
        <f>IF(Notes!CA972="","",Notes!CA972)</f>
        <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
      <c r="A977" s="7" t="str">
        <f>IF(Notes!BY973="","",Notes!BY973)</f>
        <v/>
      </c>
      <c r="B977" s="7" t="str">
        <f>IF(Notes!BZ973="","",Notes!BZ973)</f>
        <v/>
      </c>
      <c r="C977" s="7" t="str">
        <f>IF(Notes!CA973="","",Notes!CA973)</f>
        <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
      <c r="A978" s="7" t="str">
        <f>IF(Notes!BY974="","",Notes!BY974)</f>
        <v/>
      </c>
      <c r="B978" s="7" t="str">
        <f>IF(Notes!BZ974="","",Notes!BZ974)</f>
        <v/>
      </c>
      <c r="C978" s="7" t="str">
        <f>IF(Notes!CA974="","",Notes!CA974)</f>
        <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
      <c r="A979" s="7" t="str">
        <f>IF(Notes!BY975="","",Notes!BY975)</f>
        <v/>
      </c>
      <c r="B979" s="7" t="str">
        <f>IF(Notes!BZ975="","",Notes!BZ975)</f>
        <v/>
      </c>
      <c r="C979" s="7" t="str">
        <f>IF(Notes!CA975="","",Notes!CA975)</f>
        <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
      <c r="A980" s="7" t="str">
        <f>IF(Notes!BY976="","",Notes!BY976)</f>
        <v/>
      </c>
      <c r="B980" s="7" t="str">
        <f>IF(Notes!BZ976="","",Notes!BZ976)</f>
        <v/>
      </c>
      <c r="C980" s="7" t="str">
        <f>IF(Notes!CA976="","",Notes!CA976)</f>
        <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
      <c r="A981" s="7" t="str">
        <f>IF(Notes!BY977="","",Notes!BY977)</f>
        <v/>
      </c>
      <c r="B981" s="7" t="str">
        <f>IF(Notes!BZ977="","",Notes!BZ977)</f>
        <v/>
      </c>
      <c r="C981" s="7" t="str">
        <f>IF(Notes!CA977="","",Notes!CA977)</f>
        <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
      <c r="A982" s="7" t="str">
        <f>IF(Notes!BY978="","",Notes!BY978)</f>
        <v/>
      </c>
      <c r="B982" s="7" t="str">
        <f>IF(Notes!BZ978="","",Notes!BZ978)</f>
        <v/>
      </c>
      <c r="C982" s="7" t="str">
        <f>IF(Notes!CA978="","",Notes!CA978)</f>
        <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
      <c r="A983" s="7" t="str">
        <f>IF(Notes!BY979="","",Notes!BY979)</f>
        <v/>
      </c>
      <c r="B983" s="7" t="str">
        <f>IF(Notes!BZ979="","",Notes!BZ979)</f>
        <v/>
      </c>
      <c r="C983" s="7" t="str">
        <f>IF(Notes!CA979="","",Notes!CA979)</f>
        <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
      <c r="A984" s="7" t="str">
        <f>IF(Notes!BY980="","",Notes!BY980)</f>
        <v/>
      </c>
      <c r="B984" s="7" t="str">
        <f>IF(Notes!BZ980="","",Notes!BZ980)</f>
        <v/>
      </c>
      <c r="C984" s="7" t="str">
        <f>IF(Notes!CA980="","",Notes!CA980)</f>
        <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
      <c r="A985" s="7" t="str">
        <f>IF(Notes!BY981="","",Notes!BY981)</f>
        <v/>
      </c>
      <c r="B985" s="7" t="str">
        <f>IF(Notes!BZ981="","",Notes!BZ981)</f>
        <v/>
      </c>
      <c r="C985" s="7" t="str">
        <f>IF(Notes!CA981="","",Notes!CA981)</f>
        <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
      <c r="A986" s="7" t="str">
        <f>IF(Notes!BY982="","",Notes!BY982)</f>
        <v/>
      </c>
      <c r="B986" s="7" t="str">
        <f>IF(Notes!BZ982="","",Notes!BZ982)</f>
        <v/>
      </c>
      <c r="C986" s="7" t="str">
        <f>IF(Notes!CA982="","",Notes!CA982)</f>
        <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
      <c r="A987" s="7" t="str">
        <f>IF(Notes!BY983="","",Notes!BY983)</f>
        <v/>
      </c>
      <c r="B987" s="7" t="str">
        <f>IF(Notes!BZ983="","",Notes!BZ983)</f>
        <v/>
      </c>
      <c r="C987" s="7" t="str">
        <f>IF(Notes!CA983="","",Notes!CA983)</f>
        <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
      <c r="A988" s="7" t="str">
        <f>IF(Notes!BY984="","",Notes!BY984)</f>
        <v/>
      </c>
      <c r="B988" s="7" t="str">
        <f>IF(Notes!BZ984="","",Notes!BZ984)</f>
        <v/>
      </c>
      <c r="C988" s="7" t="str">
        <f>IF(Notes!CA984="","",Notes!CA984)</f>
        <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
      <c r="A989" s="7" t="str">
        <f>IF(Notes!BY985="","",Notes!BY985)</f>
        <v/>
      </c>
      <c r="B989" s="7" t="str">
        <f>IF(Notes!BZ985="","",Notes!BZ985)</f>
        <v/>
      </c>
      <c r="C989" s="7" t="str">
        <f>IF(Notes!CA985="","",Notes!CA985)</f>
        <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
      <c r="A990" s="7" t="str">
        <f>IF(Notes!BY986="","",Notes!BY986)</f>
        <v/>
      </c>
      <c r="B990" s="7" t="str">
        <f>IF(Notes!BZ986="","",Notes!BZ986)</f>
        <v/>
      </c>
      <c r="C990" s="7" t="str">
        <f>IF(Notes!CA986="","",Notes!CA986)</f>
        <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
      <c r="A991" s="7" t="str">
        <f>IF(Notes!BY987="","",Notes!BY987)</f>
        <v/>
      </c>
      <c r="B991" s="7" t="str">
        <f>IF(Notes!BZ987="","",Notes!BZ987)</f>
        <v/>
      </c>
      <c r="C991" s="7" t="str">
        <f>IF(Notes!CA987="","",Notes!CA987)</f>
        <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
      <c r="A992" s="7" t="str">
        <f>IF(Notes!BY988="","",Notes!BY988)</f>
        <v/>
      </c>
      <c r="B992" s="7" t="str">
        <f>IF(Notes!BZ988="","",Notes!BZ988)</f>
        <v/>
      </c>
      <c r="C992" s="7" t="str">
        <f>IF(Notes!CA988="","",Notes!CA988)</f>
        <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
      <c r="A993" s="7" t="str">
        <f>IF(Notes!BY989="","",Notes!BY989)</f>
        <v/>
      </c>
      <c r="B993" s="7" t="str">
        <f>IF(Notes!BZ989="","",Notes!BZ989)</f>
        <v/>
      </c>
      <c r="C993" s="7" t="str">
        <f>IF(Notes!CA989="","",Notes!CA989)</f>
        <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
      <c r="A994" s="7" t="str">
        <f>IF(Notes!BY990="","",Notes!BY990)</f>
        <v/>
      </c>
      <c r="B994" s="7" t="str">
        <f>IF(Notes!BZ990="","",Notes!BZ990)</f>
        <v/>
      </c>
      <c r="C994" s="7" t="str">
        <f>IF(Notes!CA990="","",Notes!CA990)</f>
        <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
      <c r="A995" s="7" t="str">
        <f>IF(Notes!BY991="","",Notes!BY991)</f>
        <v/>
      </c>
      <c r="B995" s="7" t="str">
        <f>IF(Notes!BZ991="","",Notes!BZ991)</f>
        <v/>
      </c>
      <c r="C995" s="7" t="str">
        <f>IF(Notes!CA991="","",Notes!CA991)</f>
        <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
      <c r="A996" s="7" t="str">
        <f>IF(Notes!BY992="","",Notes!BY992)</f>
        <v/>
      </c>
      <c r="B996" s="7" t="str">
        <f>IF(Notes!BZ992="","",Notes!BZ992)</f>
        <v/>
      </c>
      <c r="C996" s="7" t="str">
        <f>IF(Notes!CA992="","",Notes!CA992)</f>
        <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
      <c r="A997" s="7" t="str">
        <f>IF(Notes!BY993="","",Notes!BY993)</f>
        <v/>
      </c>
      <c r="B997" s="7" t="str">
        <f>IF(Notes!BZ993="","",Notes!BZ993)</f>
        <v/>
      </c>
      <c r="C997" s="7" t="str">
        <f>IF(Notes!CA993="","",Notes!CA993)</f>
        <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
      <c r="A998" s="7" t="str">
        <f>IF(Notes!BY994="","",Notes!BY994)</f>
        <v/>
      </c>
      <c r="B998" s="7" t="str">
        <f>IF(Notes!BZ994="","",Notes!BZ994)</f>
        <v/>
      </c>
      <c r="C998" s="7" t="str">
        <f>IF(Notes!CA994="","",Notes!CA994)</f>
        <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
      <c r="A999" s="7" t="str">
        <f>IF(Notes!BY995="","",Notes!BY995)</f>
        <v/>
      </c>
      <c r="B999" s="7" t="str">
        <f>IF(Notes!BZ995="","",Notes!BZ995)</f>
        <v/>
      </c>
      <c r="C999" s="7" t="str">
        <f>IF(Notes!CA995="","",Notes!CA995)</f>
        <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
      <c r="A1000" s="7" t="str">
        <f>IF(Notes!BY996="","",Notes!BY996)</f>
        <v/>
      </c>
      <c r="B1000" s="7" t="str">
        <f>IF(Notes!BZ996="","",Notes!BZ996)</f>
        <v/>
      </c>
      <c r="C1000" s="7" t="str">
        <f>IF(Notes!CA996="","",Notes!CA996)</f>
        <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
      <c r="A1001" s="7" t="str">
        <f>IF(Notes!BY997="","",Notes!BY997)</f>
        <v/>
      </c>
      <c r="B1001" s="7" t="str">
        <f>IF(Notes!BZ997="","",Notes!BZ997)</f>
        <v/>
      </c>
      <c r="C1001" s="7" t="str">
        <f>IF(Notes!CA997="","",Notes!CA997)</f>
        <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
      <c r="A1002" s="7" t="str">
        <f>IF(Notes!BY998="","",Notes!BY998)</f>
        <v/>
      </c>
      <c r="B1002" s="7" t="str">
        <f>IF(Notes!BZ998="","",Notes!BZ998)</f>
        <v/>
      </c>
      <c r="C1002" s="7" t="str">
        <f>IF(Notes!CA998="","",Notes!CA998)</f>
        <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
      <c r="A1003" s="7" t="str">
        <f>IF(Notes!BY999="","",Notes!BY999)</f>
        <v/>
      </c>
      <c r="B1003" s="7" t="str">
        <f>IF(Notes!BZ999="","",Notes!BZ999)</f>
        <v/>
      </c>
      <c r="C1003" s="7" t="str">
        <f>IF(Notes!CA999="","",Notes!CA999)</f>
        <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
      <c r="A1004" s="7" t="str">
        <f>IF(Notes!BY1000="","",Notes!BY1000)</f>
        <v/>
      </c>
      <c r="B1004" s="7" t="str">
        <f>IF(Notes!BZ1000="","",Notes!BZ1000)</f>
        <v/>
      </c>
      <c r="C1004" s="7" t="str">
        <f>IF(Notes!CA1000="","",Notes!CA1000)</f>
        <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
      <c r="A1005" s="7" t="str">
        <f>IF(Notes!BY1001="","",Notes!BY1001)</f>
        <v/>
      </c>
      <c r="B1005" s="7" t="str">
        <f>IF(Notes!BZ1001="","",Notes!BZ1001)</f>
        <v/>
      </c>
      <c r="C1005" s="7" t="str">
        <f>IF(Notes!CA1001="","",Notes!CA1001)</f>
        <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
      <c r="A1006" s="7" t="str">
        <f>IF(Notes!BY1002="","",Notes!BY1002)</f>
        <v/>
      </c>
      <c r="B1006" s="7" t="str">
        <f>IF(Notes!BZ1002="","",Notes!BZ1002)</f>
        <v/>
      </c>
      <c r="C1006" s="7" t="str">
        <f>IF(Notes!CA1002="","",Notes!CA1002)</f>
        <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
      <c r="A1007" s="7" t="str">
        <f>IF(Notes!BY1003="","",Notes!BY1003)</f>
        <v/>
      </c>
      <c r="B1007" s="7" t="str">
        <f>IF(Notes!BZ1003="","",Notes!BZ1003)</f>
        <v/>
      </c>
      <c r="C1007" s="7" t="str">
        <f>IF(Notes!CA1003="","",Notes!CA1003)</f>
        <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
      <c r="A1008" s="7" t="str">
        <f>IF(Notes!BY1004="","",Notes!BY1004)</f>
        <v/>
      </c>
      <c r="B1008" s="7" t="str">
        <f>IF(Notes!BZ1004="","",Notes!BZ1004)</f>
        <v/>
      </c>
      <c r="C1008" s="7" t="str">
        <f>IF(Notes!CA1004="","",Notes!CA1004)</f>
        <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
      <c r="A1009" s="7" t="str">
        <f>IF(Notes!BY1005="","",Notes!BY1005)</f>
        <v/>
      </c>
      <c r="B1009" s="7" t="str">
        <f>IF(Notes!BZ1005="","",Notes!BZ1005)</f>
        <v/>
      </c>
      <c r="C1009" s="7" t="str">
        <f>IF(Notes!CA1005="","",Notes!CA1005)</f>
        <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
      <c r="A1010" s="7" t="str">
        <f>IF(Notes!BY1006="","",Notes!BY1006)</f>
        <v/>
      </c>
      <c r="B1010" s="7" t="str">
        <f>IF(Notes!BZ1006="","",Notes!BZ1006)</f>
        <v/>
      </c>
      <c r="C1010" s="7" t="str">
        <f>IF(Notes!CA1006="","",Notes!CA1006)</f>
        <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
      <c r="A1011" s="7" t="str">
        <f>IF(Notes!BY1007="","",Notes!BY1007)</f>
        <v/>
      </c>
      <c r="B1011" s="7" t="str">
        <f>IF(Notes!BZ1007="","",Notes!BZ1007)</f>
        <v/>
      </c>
      <c r="C1011" s="7" t="str">
        <f>IF(Notes!CA1007="","",Notes!CA1007)</f>
        <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
      <c r="A1012" s="7" t="str">
        <f>IF(Notes!BY1008="","",Notes!BY1008)</f>
        <v/>
      </c>
      <c r="B1012" s="7" t="str">
        <f>IF(Notes!BZ1008="","",Notes!BZ1008)</f>
        <v/>
      </c>
      <c r="C1012" s="7" t="str">
        <f>IF(Notes!CA1008="","",Notes!CA1008)</f>
        <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
      <c r="A1013" s="7" t="str">
        <f>IF(Notes!BY1009="","",Notes!BY1009)</f>
        <v/>
      </c>
      <c r="B1013" s="7" t="str">
        <f>IF(Notes!BZ1009="","",Notes!BZ1009)</f>
        <v/>
      </c>
      <c r="C1013" s="7" t="str">
        <f>IF(Notes!CA1009="","",Notes!CA1009)</f>
        <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
      <c r="A1014" s="7" t="str">
        <f>IF(Notes!BY1010="","",Notes!BY1010)</f>
        <v/>
      </c>
      <c r="B1014" s="7" t="str">
        <f>IF(Notes!BZ1010="","",Notes!BZ1010)</f>
        <v/>
      </c>
      <c r="C1014" s="7" t="str">
        <f>IF(Notes!CA1010="","",Notes!CA1010)</f>
        <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
      <c r="A1015" s="7" t="str">
        <f>IF(Notes!BY1011="","",Notes!BY1011)</f>
        <v/>
      </c>
      <c r="B1015" s="7" t="str">
        <f>IF(Notes!BZ1011="","",Notes!BZ1011)</f>
        <v/>
      </c>
      <c r="C1015" s="7" t="str">
        <f>IF(Notes!CA1011="","",Notes!CA1011)</f>
        <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
      <c r="A1016" s="7" t="str">
        <f>IF(Notes!BY1012="","",Notes!BY1012)</f>
        <v/>
      </c>
      <c r="B1016" s="7" t="str">
        <f>IF(Notes!BZ1012="","",Notes!BZ1012)</f>
        <v/>
      </c>
      <c r="C1016" s="7" t="str">
        <f>IF(Notes!CA1012="","",Notes!CA1012)</f>
        <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
      <c r="A1017" s="7" t="str">
        <f>IF(Notes!BY1013="","",Notes!BY1013)</f>
        <v/>
      </c>
      <c r="B1017" s="7" t="str">
        <f>IF(Notes!BZ1013="","",Notes!BZ1013)</f>
        <v/>
      </c>
      <c r="C1017" s="7" t="str">
        <f>IF(Notes!CA1013="","",Notes!CA1013)</f>
        <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
      <c r="A1018" s="7" t="str">
        <f>IF(Notes!BY1014="","",Notes!BY1014)</f>
        <v/>
      </c>
      <c r="B1018" s="7" t="str">
        <f>IF(Notes!BZ1014="","",Notes!BZ1014)</f>
        <v/>
      </c>
      <c r="C1018" s="7" t="str">
        <f>IF(Notes!CA1014="","",Notes!CA1014)</f>
        <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
      <c r="A1019" s="7" t="str">
        <f>IF(Notes!BY1015="","",Notes!BY1015)</f>
        <v/>
      </c>
      <c r="B1019" s="7" t="str">
        <f>IF(Notes!BZ1015="","",Notes!BZ1015)</f>
        <v/>
      </c>
      <c r="C1019" s="7" t="str">
        <f>IF(Notes!CA1015="","",Notes!CA1015)</f>
        <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
      <c r="A1020" s="7" t="str">
        <f>IF(Notes!BY1016="","",Notes!BY1016)</f>
        <v/>
      </c>
      <c r="B1020" s="7" t="str">
        <f>IF(Notes!BZ1016="","",Notes!BZ1016)</f>
        <v/>
      </c>
      <c r="C1020" s="7" t="str">
        <f>IF(Notes!CA1016="","",Notes!CA1016)</f>
        <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
      <c r="A1021" s="7" t="str">
        <f>IF(Notes!BY1017="","",Notes!BY1017)</f>
        <v/>
      </c>
      <c r="B1021" s="7" t="str">
        <f>IF(Notes!BZ1017="","",Notes!BZ1017)</f>
        <v/>
      </c>
      <c r="C1021" s="7" t="str">
        <f>IF(Notes!CA1017="","",Notes!CA1017)</f>
        <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
      <c r="A1022" s="7" t="str">
        <f>IF(Notes!BY1018="","",Notes!BY1018)</f>
        <v/>
      </c>
      <c r="B1022" s="7" t="str">
        <f>IF(Notes!BZ1018="","",Notes!BZ1018)</f>
        <v/>
      </c>
      <c r="C1022" s="7" t="str">
        <f>IF(Notes!CA1018="","",Notes!CA1018)</f>
        <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
      <c r="A1023" s="7" t="str">
        <f>IF(Notes!BY1019="","",Notes!BY1019)</f>
        <v/>
      </c>
      <c r="B1023" s="7" t="str">
        <f>IF(Notes!BZ1019="","",Notes!BZ1019)</f>
        <v/>
      </c>
      <c r="C1023" s="7" t="str">
        <f>IF(Notes!CA1019="","",Notes!CA1019)</f>
        <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
      <c r="A1024" s="7" t="str">
        <f>IF(Notes!BY1020="","",Notes!BY1020)</f>
        <v/>
      </c>
      <c r="B1024" s="7" t="str">
        <f>IF(Notes!BZ1020="","",Notes!BZ1020)</f>
        <v/>
      </c>
      <c r="C1024" s="7" t="str">
        <f>IF(Notes!CA1020="","",Notes!CA1020)</f>
        <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
      <c r="A1025" s="7" t="str">
        <f>IF(Notes!BY1021="","",Notes!BY1021)</f>
        <v/>
      </c>
      <c r="B1025" s="7" t="str">
        <f>IF(Notes!BZ1021="","",Notes!BZ1021)</f>
        <v/>
      </c>
      <c r="C1025" s="7" t="str">
        <f>IF(Notes!CA1021="","",Notes!CA1021)</f>
        <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
      <c r="A1026" s="7" t="str">
        <f>IF(Notes!BY1022="","",Notes!BY1022)</f>
        <v/>
      </c>
      <c r="B1026" s="7" t="str">
        <f>IF(Notes!BZ1022="","",Notes!BZ1022)</f>
        <v/>
      </c>
      <c r="C1026" s="7" t="str">
        <f>IF(Notes!CA1022="","",Notes!CA1022)</f>
        <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
      <c r="A1027" s="7" t="str">
        <f>IF(Notes!BY1023="","",Notes!BY1023)</f>
        <v/>
      </c>
      <c r="B1027" s="7" t="str">
        <f>IF(Notes!BZ1023="","",Notes!BZ1023)</f>
        <v/>
      </c>
      <c r="C1027" s="7" t="str">
        <f>IF(Notes!CA1023="","",Notes!CA1023)</f>
        <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
      <c r="A1028" s="7" t="str">
        <f>IF(Notes!BY1024="","",Notes!BY1024)</f>
        <v/>
      </c>
      <c r="B1028" s="7" t="str">
        <f>IF(Notes!BZ1024="","",Notes!BZ1024)</f>
        <v/>
      </c>
      <c r="C1028" s="7" t="str">
        <f>IF(Notes!CA1024="","",Notes!CA1024)</f>
        <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
      <c r="A1029" s="7" t="str">
        <f>IF(Notes!BY1025="","",Notes!BY1025)</f>
        <v/>
      </c>
      <c r="B1029" s="7" t="str">
        <f>IF(Notes!BZ1025="","",Notes!BZ1025)</f>
        <v/>
      </c>
      <c r="C1029" s="7" t="str">
        <f>IF(Notes!CA1025="","",Notes!CA1025)</f>
        <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
      <c r="A1030" s="7" t="str">
        <f>IF(Notes!BY1026="","",Notes!BY1026)</f>
        <v/>
      </c>
      <c r="B1030" s="7" t="str">
        <f>IF(Notes!BZ1026="","",Notes!BZ1026)</f>
        <v/>
      </c>
      <c r="C1030" s="7" t="str">
        <f>IF(Notes!CA1026="","",Notes!CA1026)</f>
        <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
      <c r="A1031" s="7" t="str">
        <f>IF(Notes!BY1027="","",Notes!BY1027)</f>
        <v/>
      </c>
      <c r="B1031" s="7" t="str">
        <f>IF(Notes!BZ1027="","",Notes!BZ1027)</f>
        <v/>
      </c>
      <c r="C1031" s="7" t="str">
        <f>IF(Notes!CA1027="","",Notes!CA1027)</f>
        <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
      <c r="A1032" s="7" t="str">
        <f>IF(Notes!BY1028="","",Notes!BY1028)</f>
        <v/>
      </c>
      <c r="B1032" s="7" t="str">
        <f>IF(Notes!BZ1028="","",Notes!BZ1028)</f>
        <v/>
      </c>
      <c r="C1032" s="7" t="str">
        <f>IF(Notes!CA1028="","",Notes!CA1028)</f>
        <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
      <c r="A1033" s="7" t="str">
        <f>IF(Notes!BY1029="","",Notes!BY1029)</f>
        <v/>
      </c>
      <c r="B1033" s="7" t="str">
        <f>IF(Notes!BZ1029="","",Notes!BZ1029)</f>
        <v/>
      </c>
      <c r="C1033" s="7" t="str">
        <f>IF(Notes!CA1029="","",Notes!CA1029)</f>
        <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
      <c r="A1034" s="7" t="str">
        <f>IF(Notes!BY1030="","",Notes!BY1030)</f>
        <v/>
      </c>
      <c r="B1034" s="7" t="str">
        <f>IF(Notes!BZ1030="","",Notes!BZ1030)</f>
        <v/>
      </c>
      <c r="C1034" s="7" t="str">
        <f>IF(Notes!CA1030="","",Notes!CA1030)</f>
        <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
      <c r="A1035" s="7" t="str">
        <f>IF(Notes!BY1031="","",Notes!BY1031)</f>
        <v/>
      </c>
      <c r="B1035" s="7" t="str">
        <f>IF(Notes!BZ1031="","",Notes!BZ1031)</f>
        <v/>
      </c>
      <c r="C1035" s="7" t="str">
        <f>IF(Notes!CA1031="","",Notes!CA1031)</f>
        <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
      <c r="A1036" s="7" t="str">
        <f>IF(Notes!BY1032="","",Notes!BY1032)</f>
        <v/>
      </c>
      <c r="B1036" s="7" t="str">
        <f>IF(Notes!BZ1032="","",Notes!BZ1032)</f>
        <v/>
      </c>
      <c r="C1036" s="7" t="str">
        <f>IF(Notes!CA1032="","",Notes!CA1032)</f>
        <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
      <c r="A1037" s="7" t="str">
        <f>IF(Notes!BY1033="","",Notes!BY1033)</f>
        <v/>
      </c>
      <c r="B1037" s="7" t="str">
        <f>IF(Notes!BZ1033="","",Notes!BZ1033)</f>
        <v/>
      </c>
      <c r="C1037" s="7" t="str">
        <f>IF(Notes!CA1033="","",Notes!CA1033)</f>
        <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
      <c r="A1038" s="7" t="str">
        <f>IF(Notes!BY1034="","",Notes!BY1034)</f>
        <v/>
      </c>
      <c r="B1038" s="7" t="str">
        <f>IF(Notes!BZ1034="","",Notes!BZ1034)</f>
        <v/>
      </c>
      <c r="C1038" s="7" t="str">
        <f>IF(Notes!CA1034="","",Notes!CA1034)</f>
        <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
      <c r="A1039" s="7" t="str">
        <f>IF(Notes!BY1035="","",Notes!BY1035)</f>
        <v/>
      </c>
      <c r="B1039" s="7" t="str">
        <f>IF(Notes!BZ1035="","",Notes!BZ1035)</f>
        <v/>
      </c>
      <c r="C1039" s="7" t="str">
        <f>IF(Notes!CA1035="","",Notes!CA1035)</f>
        <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
      <c r="A1040" s="7" t="str">
        <f>IF(Notes!BY1036="","",Notes!BY1036)</f>
        <v/>
      </c>
      <c r="B1040" s="7" t="str">
        <f>IF(Notes!BZ1036="","",Notes!BZ1036)</f>
        <v/>
      </c>
      <c r="C1040" s="7" t="str">
        <f>IF(Notes!CA1036="","",Notes!CA1036)</f>
        <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
      <c r="A1041" s="7" t="str">
        <f>IF(Notes!BY1037="","",Notes!BY1037)</f>
        <v/>
      </c>
      <c r="B1041" s="7" t="str">
        <f>IF(Notes!BZ1037="","",Notes!BZ1037)</f>
        <v/>
      </c>
      <c r="C1041" s="7" t="str">
        <f>IF(Notes!CA1037="","",Notes!CA1037)</f>
        <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
      <c r="A1042" s="7" t="str">
        <f>IF(Notes!BY1038="","",Notes!BY1038)</f>
        <v/>
      </c>
      <c r="B1042" s="7" t="str">
        <f>IF(Notes!BZ1038="","",Notes!BZ1038)</f>
        <v/>
      </c>
      <c r="C1042" s="7" t="str">
        <f>IF(Notes!CA1038="","",Notes!CA1038)</f>
        <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
      <c r="A1043" s="7" t="str">
        <f>IF(Notes!BY1039="","",Notes!BY1039)</f>
        <v/>
      </c>
      <c r="B1043" s="7" t="str">
        <f>IF(Notes!BZ1039="","",Notes!BZ1039)</f>
        <v/>
      </c>
      <c r="C1043" s="7" t="str">
        <f>IF(Notes!CA1039="","",Notes!CA1039)</f>
        <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
      <c r="A1044" s="7" t="str">
        <f>IF(Notes!BY1040="","",Notes!BY1040)</f>
        <v/>
      </c>
      <c r="B1044" s="7" t="str">
        <f>IF(Notes!BZ1040="","",Notes!BZ1040)</f>
        <v/>
      </c>
      <c r="C1044" s="7" t="str">
        <f>IF(Notes!CA1040="","",Notes!CA1040)</f>
        <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
      <c r="A1045" s="7" t="str">
        <f>IF(Notes!BY1041="","",Notes!BY1041)</f>
        <v/>
      </c>
      <c r="B1045" s="7" t="str">
        <f>IF(Notes!BZ1041="","",Notes!BZ1041)</f>
        <v/>
      </c>
      <c r="C1045" s="7" t="str">
        <f>IF(Notes!CA1041="","",Notes!CA1041)</f>
        <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
      <c r="A1046" s="7" t="str">
        <f>IF(Notes!BY1042="","",Notes!BY1042)</f>
        <v/>
      </c>
      <c r="B1046" s="7" t="str">
        <f>IF(Notes!BZ1042="","",Notes!BZ1042)</f>
        <v/>
      </c>
      <c r="C1046" s="7" t="str">
        <f>IF(Notes!CA1042="","",Notes!CA1042)</f>
        <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
      <c r="A1047" s="7" t="str">
        <f>IF(Notes!BY1043="","",Notes!BY1043)</f>
        <v/>
      </c>
      <c r="B1047" s="7" t="str">
        <f>IF(Notes!BZ1043="","",Notes!BZ1043)</f>
        <v/>
      </c>
      <c r="C1047" s="7" t="str">
        <f>IF(Notes!CA1043="","",Notes!CA1043)</f>
        <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
      <c r="A1048" s="7" t="str">
        <f>IF(Notes!BY1044="","",Notes!BY1044)</f>
        <v/>
      </c>
      <c r="B1048" s="7" t="str">
        <f>IF(Notes!BZ1044="","",Notes!BZ1044)</f>
        <v/>
      </c>
      <c r="C1048" s="7" t="str">
        <f>IF(Notes!CA1044="","",Notes!CA1044)</f>
        <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
      <c r="A1049" s="7" t="str">
        <f>IF(Notes!BY1045="","",Notes!BY1045)</f>
        <v/>
      </c>
      <c r="B1049" s="7" t="str">
        <f>IF(Notes!BZ1045="","",Notes!BZ1045)</f>
        <v/>
      </c>
      <c r="C1049" s="7" t="str">
        <f>IF(Notes!CA1045="","",Notes!CA1045)</f>
        <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
      <c r="A1050" s="7" t="str">
        <f>IF(Notes!BY1046="","",Notes!BY1046)</f>
        <v/>
      </c>
      <c r="B1050" s="7" t="str">
        <f>IF(Notes!BZ1046="","",Notes!BZ1046)</f>
        <v/>
      </c>
      <c r="C1050" s="7" t="str">
        <f>IF(Notes!CA1046="","",Notes!CA1046)</f>
        <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
      <c r="A1051" s="7" t="str">
        <f>IF(Notes!BY1047="","",Notes!BY1047)</f>
        <v/>
      </c>
      <c r="B1051" s="7" t="str">
        <f>IF(Notes!BZ1047="","",Notes!BZ1047)</f>
        <v/>
      </c>
      <c r="C1051" s="7" t="str">
        <f>IF(Notes!CA1047="","",Notes!CA1047)</f>
        <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
      <c r="A1052" s="7" t="str">
        <f>IF(Notes!BY1048="","",Notes!BY1048)</f>
        <v/>
      </c>
      <c r="B1052" s="7" t="str">
        <f>IF(Notes!BZ1048="","",Notes!BZ1048)</f>
        <v/>
      </c>
      <c r="C1052" s="7" t="str">
        <f>IF(Notes!CA1048="","",Notes!CA1048)</f>
        <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
      <c r="A1053" s="7" t="str">
        <f>IF(Notes!BY1049="","",Notes!BY1049)</f>
        <v/>
      </c>
      <c r="B1053" s="7" t="str">
        <f>IF(Notes!BZ1049="","",Notes!BZ1049)</f>
        <v/>
      </c>
      <c r="C1053" s="7" t="str">
        <f>IF(Notes!CA1049="","",Notes!CA1049)</f>
        <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
      <c r="A1054" s="7" t="str">
        <f>IF(Notes!BY1050="","",Notes!BY1050)</f>
        <v/>
      </c>
      <c r="B1054" s="7" t="str">
        <f>IF(Notes!BZ1050="","",Notes!BZ1050)</f>
        <v/>
      </c>
      <c r="C1054" s="7" t="str">
        <f>IF(Notes!CA1050="","",Notes!CA1050)</f>
        <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
      <c r="A1055" s="7" t="str">
        <f>IF(Notes!BY1051="","",Notes!BY1051)</f>
        <v/>
      </c>
      <c r="B1055" s="7" t="str">
        <f>IF(Notes!BZ1051="","",Notes!BZ1051)</f>
        <v/>
      </c>
      <c r="C1055" s="7" t="str">
        <f>IF(Notes!CA1051="","",Notes!CA1051)</f>
        <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
      <c r="A1056" s="7" t="str">
        <f>IF(Notes!BY1052="","",Notes!BY1052)</f>
        <v/>
      </c>
      <c r="B1056" s="7" t="str">
        <f>IF(Notes!BZ1052="","",Notes!BZ1052)</f>
        <v/>
      </c>
      <c r="C1056" s="7" t="str">
        <f>IF(Notes!CA1052="","",Notes!CA1052)</f>
        <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
      <c r="A1057" s="7" t="str">
        <f>IF(Notes!BY1053="","",Notes!BY1053)</f>
        <v/>
      </c>
      <c r="B1057" s="7" t="str">
        <f>IF(Notes!BZ1053="","",Notes!BZ1053)</f>
        <v/>
      </c>
      <c r="C1057" s="7" t="str">
        <f>IF(Notes!CA1053="","",Notes!CA1053)</f>
        <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
      <c r="A1058" s="7" t="str">
        <f>IF(Notes!BY1054="","",Notes!BY1054)</f>
        <v/>
      </c>
      <c r="B1058" s="7" t="str">
        <f>IF(Notes!BZ1054="","",Notes!BZ1054)</f>
        <v/>
      </c>
      <c r="C1058" s="7" t="str">
        <f>IF(Notes!CA1054="","",Notes!CA1054)</f>
        <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
      <c r="A1059" s="7" t="str">
        <f>IF(Notes!BY1055="","",Notes!BY1055)</f>
        <v/>
      </c>
      <c r="B1059" s="7" t="str">
        <f>IF(Notes!BZ1055="","",Notes!BZ1055)</f>
        <v/>
      </c>
      <c r="C1059" s="7" t="str">
        <f>IF(Notes!CA1055="","",Notes!CA1055)</f>
        <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
      <c r="A1060" s="7" t="str">
        <f>IF(Notes!BY1056="","",Notes!BY1056)</f>
        <v/>
      </c>
      <c r="B1060" s="7" t="str">
        <f>IF(Notes!BZ1056="","",Notes!BZ1056)</f>
        <v/>
      </c>
      <c r="C1060" s="7" t="str">
        <f>IF(Notes!CA1056="","",Notes!CA1056)</f>
        <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
      <c r="A1061" s="7" t="str">
        <f>IF(Notes!BY1057="","",Notes!BY1057)</f>
        <v/>
      </c>
      <c r="B1061" s="7" t="str">
        <f>IF(Notes!BZ1057="","",Notes!BZ1057)</f>
        <v/>
      </c>
      <c r="C1061" s="7" t="str">
        <f>IF(Notes!CA1057="","",Notes!CA1057)</f>
        <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
      <c r="A1062" s="7" t="str">
        <f>IF(Notes!BY1058="","",Notes!BY1058)</f>
        <v/>
      </c>
      <c r="B1062" s="7" t="str">
        <f>IF(Notes!BZ1058="","",Notes!BZ1058)</f>
        <v/>
      </c>
      <c r="C1062" s="7" t="str">
        <f>IF(Notes!CA1058="","",Notes!CA1058)</f>
        <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
      <c r="A1063" s="7" t="str">
        <f>IF(Notes!BY1059="","",Notes!BY1059)</f>
        <v/>
      </c>
      <c r="B1063" s="7" t="str">
        <f>IF(Notes!BZ1059="","",Notes!BZ1059)</f>
        <v/>
      </c>
      <c r="C1063" s="7" t="str">
        <f>IF(Notes!CA1059="","",Notes!CA1059)</f>
        <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
      <c r="A1064" s="7" t="str">
        <f>IF(Notes!BY1060="","",Notes!BY1060)</f>
        <v/>
      </c>
      <c r="B1064" s="7" t="str">
        <f>IF(Notes!BZ1060="","",Notes!BZ1060)</f>
        <v/>
      </c>
      <c r="C1064" s="7" t="str">
        <f>IF(Notes!CA1060="","",Notes!CA1060)</f>
        <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
      <c r="A1065" s="7" t="str">
        <f>IF(Notes!BY1061="","",Notes!BY1061)</f>
        <v/>
      </c>
      <c r="B1065" s="7" t="str">
        <f>IF(Notes!BZ1061="","",Notes!BZ1061)</f>
        <v/>
      </c>
      <c r="C1065" s="7" t="str">
        <f>IF(Notes!CA1061="","",Notes!CA1061)</f>
        <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
      <c r="A1066" s="7" t="str">
        <f>IF(Notes!BY1062="","",Notes!BY1062)</f>
        <v/>
      </c>
      <c r="B1066" s="7" t="str">
        <f>IF(Notes!BZ1062="","",Notes!BZ1062)</f>
        <v/>
      </c>
      <c r="C1066" s="7" t="str">
        <f>IF(Notes!CA1062="","",Notes!CA1062)</f>
        <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
      <c r="A1067" s="7" t="str">
        <f>IF(Notes!BY1063="","",Notes!BY1063)</f>
        <v/>
      </c>
      <c r="B1067" s="7" t="str">
        <f>IF(Notes!BZ1063="","",Notes!BZ1063)</f>
        <v/>
      </c>
      <c r="C1067" s="7" t="str">
        <f>IF(Notes!CA1063="","",Notes!CA1063)</f>
        <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
      <c r="A1068" s="7" t="str">
        <f>IF(Notes!BY1064="","",Notes!BY1064)</f>
        <v/>
      </c>
      <c r="B1068" s="7" t="str">
        <f>IF(Notes!BZ1064="","",Notes!BZ1064)</f>
        <v/>
      </c>
      <c r="C1068" s="7" t="str">
        <f>IF(Notes!CA1064="","",Notes!CA1064)</f>
        <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
      <c r="A1069" s="7" t="str">
        <f>IF(Notes!BY1065="","",Notes!BY1065)</f>
        <v/>
      </c>
      <c r="B1069" s="7" t="str">
        <f>IF(Notes!BZ1065="","",Notes!BZ1065)</f>
        <v/>
      </c>
      <c r="C1069" s="7" t="str">
        <f>IF(Notes!CA1065="","",Notes!CA1065)</f>
        <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
      <c r="A1070" s="7" t="str">
        <f>IF(Notes!BY1066="","",Notes!BY1066)</f>
        <v/>
      </c>
      <c r="B1070" s="7" t="str">
        <f>IF(Notes!BZ1066="","",Notes!BZ1066)</f>
        <v/>
      </c>
      <c r="C1070" s="7" t="str">
        <f>IF(Notes!CA1066="","",Notes!CA1066)</f>
        <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
      <c r="A1071" s="7" t="str">
        <f>IF(Notes!BY1067="","",Notes!BY1067)</f>
        <v/>
      </c>
      <c r="B1071" s="7" t="str">
        <f>IF(Notes!BZ1067="","",Notes!BZ1067)</f>
        <v/>
      </c>
      <c r="C1071" s="7" t="str">
        <f>IF(Notes!CA1067="","",Notes!CA1067)</f>
        <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
      <c r="A1072" s="7" t="str">
        <f>IF(Notes!BY1068="","",Notes!BY1068)</f>
        <v/>
      </c>
      <c r="B1072" s="7" t="str">
        <f>IF(Notes!BZ1068="","",Notes!BZ1068)</f>
        <v/>
      </c>
      <c r="C1072" s="7" t="str">
        <f>IF(Notes!CA1068="","",Notes!CA1068)</f>
        <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
      <c r="A1073" s="7" t="str">
        <f>IF(Notes!BY1069="","",Notes!BY1069)</f>
        <v/>
      </c>
      <c r="B1073" s="7" t="str">
        <f>IF(Notes!BZ1069="","",Notes!BZ1069)</f>
        <v/>
      </c>
      <c r="C1073" s="7" t="str">
        <f>IF(Notes!CA1069="","",Notes!CA1069)</f>
        <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
      <c r="A1074" s="7" t="str">
        <f>IF(Notes!BY1070="","",Notes!BY1070)</f>
        <v/>
      </c>
      <c r="B1074" s="7" t="str">
        <f>IF(Notes!BZ1070="","",Notes!BZ1070)</f>
        <v/>
      </c>
      <c r="C1074" s="7" t="str">
        <f>IF(Notes!CA1070="","",Notes!CA1070)</f>
        <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
      <c r="A1075" s="7" t="str">
        <f>IF(Notes!BY1071="","",Notes!BY1071)</f>
        <v/>
      </c>
      <c r="B1075" s="7" t="str">
        <f>IF(Notes!BZ1071="","",Notes!BZ1071)</f>
        <v/>
      </c>
      <c r="C1075" s="7" t="str">
        <f>IF(Notes!CA1071="","",Notes!CA1071)</f>
        <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
      <c r="A1076" s="7" t="str">
        <f>IF(Notes!BY1072="","",Notes!BY1072)</f>
        <v/>
      </c>
      <c r="B1076" s="7" t="str">
        <f>IF(Notes!BZ1072="","",Notes!BZ1072)</f>
        <v/>
      </c>
      <c r="C1076" s="7" t="str">
        <f>IF(Notes!CA1072="","",Notes!CA1072)</f>
        <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
      <c r="A1077" s="7" t="str">
        <f>IF(Notes!BY1073="","",Notes!BY1073)</f>
        <v/>
      </c>
      <c r="B1077" s="7" t="str">
        <f>IF(Notes!BZ1073="","",Notes!BZ1073)</f>
        <v/>
      </c>
      <c r="C1077" s="7" t="str">
        <f>IF(Notes!CA1073="","",Notes!CA1073)</f>
        <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
      <c r="A1078" s="7" t="str">
        <f>IF(Notes!BY1074="","",Notes!BY1074)</f>
        <v/>
      </c>
      <c r="B1078" s="7" t="str">
        <f>IF(Notes!BZ1074="","",Notes!BZ1074)</f>
        <v/>
      </c>
      <c r="C1078" s="7" t="str">
        <f>IF(Notes!CA1074="","",Notes!CA1074)</f>
        <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
      <c r="A1079" s="7" t="str">
        <f>IF(Notes!BY1075="","",Notes!BY1075)</f>
        <v/>
      </c>
      <c r="B1079" s="7" t="str">
        <f>IF(Notes!BZ1075="","",Notes!BZ1075)</f>
        <v/>
      </c>
      <c r="C1079" s="7" t="str">
        <f>IF(Notes!CA1075="","",Notes!CA1075)</f>
        <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
      <c r="A1080" s="7" t="str">
        <f>IF(Notes!BY1076="","",Notes!BY1076)</f>
        <v/>
      </c>
      <c r="B1080" s="7" t="str">
        <f>IF(Notes!BZ1076="","",Notes!BZ1076)</f>
        <v/>
      </c>
      <c r="C1080" s="7" t="str">
        <f>IF(Notes!CA1076="","",Notes!CA1076)</f>
        <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
      <c r="A1081" s="7" t="str">
        <f>IF(Notes!BY1077="","",Notes!BY1077)</f>
        <v/>
      </c>
      <c r="B1081" s="7" t="str">
        <f>IF(Notes!BZ1077="","",Notes!BZ1077)</f>
        <v/>
      </c>
      <c r="C1081" s="7" t="str">
        <f>IF(Notes!CA1077="","",Notes!CA1077)</f>
        <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
      <c r="A1082" s="7" t="str">
        <f>IF(Notes!BY1078="","",Notes!BY1078)</f>
        <v/>
      </c>
      <c r="B1082" s="7" t="str">
        <f>IF(Notes!BZ1078="","",Notes!BZ1078)</f>
        <v/>
      </c>
      <c r="C1082" s="7" t="str">
        <f>IF(Notes!CA1078="","",Notes!CA1078)</f>
        <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
      <c r="A1083" s="7" t="str">
        <f>IF(Notes!BY1079="","",Notes!BY1079)</f>
        <v/>
      </c>
      <c r="B1083" s="7" t="str">
        <f>IF(Notes!BZ1079="","",Notes!BZ1079)</f>
        <v/>
      </c>
      <c r="C1083" s="7" t="str">
        <f>IF(Notes!CA1079="","",Notes!CA1079)</f>
        <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
      <c r="A1084" s="7" t="str">
        <f>IF(Notes!BY1080="","",Notes!BY1080)</f>
        <v/>
      </c>
      <c r="B1084" s="7" t="str">
        <f>IF(Notes!BZ1080="","",Notes!BZ1080)</f>
        <v/>
      </c>
      <c r="C1084" s="7" t="str">
        <f>IF(Notes!CA1080="","",Notes!CA1080)</f>
        <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
      <c r="A1085" s="7" t="str">
        <f>IF(Notes!BY1081="","",Notes!BY1081)</f>
        <v/>
      </c>
      <c r="B1085" s="7" t="str">
        <f>IF(Notes!BZ1081="","",Notes!BZ1081)</f>
        <v/>
      </c>
      <c r="C1085" s="7" t="str">
        <f>IF(Notes!CA1081="","",Notes!CA1081)</f>
        <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
      <c r="A1086" s="7" t="str">
        <f>IF(Notes!BY1082="","",Notes!BY1082)</f>
        <v/>
      </c>
      <c r="B1086" s="7" t="str">
        <f>IF(Notes!BZ1082="","",Notes!BZ1082)</f>
        <v/>
      </c>
      <c r="C1086" s="7" t="str">
        <f>IF(Notes!CA1082="","",Notes!CA1082)</f>
        <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
      <c r="A1087" s="7" t="str">
        <f>IF(Notes!BY1083="","",Notes!BY1083)</f>
        <v/>
      </c>
      <c r="B1087" s="7" t="str">
        <f>IF(Notes!BZ1083="","",Notes!BZ1083)</f>
        <v/>
      </c>
      <c r="C1087" s="7" t="str">
        <f>IF(Notes!CA1083="","",Notes!CA1083)</f>
        <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
      <c r="A1088" s="7" t="str">
        <f>IF(Notes!BY1084="","",Notes!BY1084)</f>
        <v/>
      </c>
      <c r="B1088" s="7" t="str">
        <f>IF(Notes!BZ1084="","",Notes!BZ1084)</f>
        <v/>
      </c>
      <c r="C1088" s="7" t="str">
        <f>IF(Notes!CA1084="","",Notes!CA1084)</f>
        <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
      <c r="A1089" s="7" t="str">
        <f>IF(Notes!BY1085="","",Notes!BY1085)</f>
        <v/>
      </c>
      <c r="B1089" s="7" t="str">
        <f>IF(Notes!BZ1085="","",Notes!BZ1085)</f>
        <v/>
      </c>
      <c r="C1089" s="7" t="str">
        <f>IF(Notes!CA1085="","",Notes!CA1085)</f>
        <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
      <c r="A1090" s="7" t="str">
        <f>IF(Notes!BY1086="","",Notes!BY1086)</f>
        <v/>
      </c>
      <c r="B1090" s="7" t="str">
        <f>IF(Notes!BZ1086="","",Notes!BZ1086)</f>
        <v/>
      </c>
      <c r="C1090" s="7" t="str">
        <f>IF(Notes!CA1086="","",Notes!CA1086)</f>
        <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
      <c r="A1091" s="7" t="str">
        <f>IF(Notes!BY1087="","",Notes!BY1087)</f>
        <v/>
      </c>
      <c r="B1091" s="7" t="str">
        <f>IF(Notes!BZ1087="","",Notes!BZ1087)</f>
        <v/>
      </c>
      <c r="C1091" s="7" t="str">
        <f>IF(Notes!CA1087="","",Notes!CA1087)</f>
        <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
      <c r="A1092" s="7" t="str">
        <f>IF(Notes!BY1088="","",Notes!BY1088)</f>
        <v/>
      </c>
      <c r="B1092" s="7" t="str">
        <f>IF(Notes!BZ1088="","",Notes!BZ1088)</f>
        <v/>
      </c>
      <c r="C1092" s="7" t="str">
        <f>IF(Notes!CA1088="","",Notes!CA1088)</f>
        <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
      <c r="A1093" s="7" t="str">
        <f>IF(Notes!BY1089="","",Notes!BY1089)</f>
        <v/>
      </c>
      <c r="B1093" s="7" t="str">
        <f>IF(Notes!BZ1089="","",Notes!BZ1089)</f>
        <v/>
      </c>
      <c r="C1093" s="7" t="str">
        <f>IF(Notes!CA1089="","",Notes!CA1089)</f>
        <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
      <c r="A1094" s="7" t="str">
        <f>IF(Notes!BY1090="","",Notes!BY1090)</f>
        <v/>
      </c>
      <c r="B1094" s="7" t="str">
        <f>IF(Notes!BZ1090="","",Notes!BZ1090)</f>
        <v/>
      </c>
      <c r="C1094" s="7" t="str">
        <f>IF(Notes!CA1090="","",Notes!CA1090)</f>
        <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
      <c r="A1095" s="7" t="str">
        <f>IF(Notes!BY1091="","",Notes!BY1091)</f>
        <v/>
      </c>
      <c r="B1095" s="7" t="str">
        <f>IF(Notes!BZ1091="","",Notes!BZ1091)</f>
        <v/>
      </c>
      <c r="C1095" s="7" t="str">
        <f>IF(Notes!CA1091="","",Notes!CA1091)</f>
        <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
      <c r="A1096" s="7" t="str">
        <f>IF(Notes!BY1092="","",Notes!BY1092)</f>
        <v/>
      </c>
      <c r="B1096" s="7" t="str">
        <f>IF(Notes!BZ1092="","",Notes!BZ1092)</f>
        <v/>
      </c>
      <c r="C1096" s="7" t="str">
        <f>IF(Notes!CA1092="","",Notes!CA1092)</f>
        <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
      <c r="A1097" s="7" t="str">
        <f>IF(Notes!BY1093="","",Notes!BY1093)</f>
        <v/>
      </c>
      <c r="B1097" s="7" t="str">
        <f>IF(Notes!BZ1093="","",Notes!BZ1093)</f>
        <v/>
      </c>
      <c r="C1097" s="7" t="str">
        <f>IF(Notes!CA1093="","",Notes!CA1093)</f>
        <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
      <c r="A1098" s="7" t="str">
        <f>IF(Notes!BY1094="","",Notes!BY1094)</f>
        <v/>
      </c>
      <c r="B1098" s="7" t="str">
        <f>IF(Notes!BZ1094="","",Notes!BZ1094)</f>
        <v/>
      </c>
      <c r="C1098" s="7" t="str">
        <f>IF(Notes!CA1094="","",Notes!CA1094)</f>
        <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
      <c r="A1099" s="7" t="str">
        <f>IF(Notes!BY1095="","",Notes!BY1095)</f>
        <v/>
      </c>
      <c r="B1099" s="7" t="str">
        <f>IF(Notes!BZ1095="","",Notes!BZ1095)</f>
        <v/>
      </c>
      <c r="C1099" s="7" t="str">
        <f>IF(Notes!CA1095="","",Notes!CA1095)</f>
        <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
      <c r="A1100" s="7" t="str">
        <f>IF(Notes!BY1096="","",Notes!BY1096)</f>
        <v/>
      </c>
      <c r="B1100" s="7" t="str">
        <f>IF(Notes!BZ1096="","",Notes!BZ1096)</f>
        <v/>
      </c>
      <c r="C1100" s="7" t="str">
        <f>IF(Notes!CA1096="","",Notes!CA1096)</f>
        <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
      <c r="A1101" s="7" t="str">
        <f>IF(Notes!BY1097="","",Notes!BY1097)</f>
        <v/>
      </c>
      <c r="B1101" s="7" t="str">
        <f>IF(Notes!BZ1097="","",Notes!BZ1097)</f>
        <v/>
      </c>
      <c r="C1101" s="7" t="str">
        <f>IF(Notes!CA1097="","",Notes!CA1097)</f>
        <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
      <c r="A1102" s="7" t="str">
        <f>IF(Notes!BY1098="","",Notes!BY1098)</f>
        <v/>
      </c>
      <c r="B1102" s="7" t="str">
        <f>IF(Notes!BZ1098="","",Notes!BZ1098)</f>
        <v/>
      </c>
      <c r="C1102" s="7" t="str">
        <f>IF(Notes!CA1098="","",Notes!CA1098)</f>
        <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
      <c r="A1103" s="7" t="str">
        <f>IF(Notes!BY1099="","",Notes!BY1099)</f>
        <v/>
      </c>
      <c r="B1103" s="7" t="str">
        <f>IF(Notes!BZ1099="","",Notes!BZ1099)</f>
        <v/>
      </c>
      <c r="C1103" s="7" t="str">
        <f>IF(Notes!CA1099="","",Notes!CA1099)</f>
        <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
      <c r="A1104" s="7" t="str">
        <f>IF(Notes!BY1100="","",Notes!BY1100)</f>
        <v/>
      </c>
      <c r="B1104" s="7" t="str">
        <f>IF(Notes!BZ1100="","",Notes!BZ1100)</f>
        <v/>
      </c>
      <c r="C1104" s="7" t="str">
        <f>IF(Notes!CA1100="","",Notes!CA1100)</f>
        <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
      <c r="A1105" s="7" t="str">
        <f>IF(Notes!BY1101="","",Notes!BY1101)</f>
        <v/>
      </c>
      <c r="B1105" s="7" t="str">
        <f>IF(Notes!BZ1101="","",Notes!BZ1101)</f>
        <v/>
      </c>
      <c r="C1105" s="7" t="str">
        <f>IF(Notes!CA1101="","",Notes!CA1101)</f>
        <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
      <c r="A1106" s="7" t="str">
        <f>IF(Notes!BY1102="","",Notes!BY1102)</f>
        <v/>
      </c>
      <c r="B1106" s="7" t="str">
        <f>IF(Notes!BZ1102="","",Notes!BZ1102)</f>
        <v/>
      </c>
      <c r="C1106" s="7" t="str">
        <f>IF(Notes!CA1102="","",Notes!CA1102)</f>
        <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
      <c r="A1107" s="7" t="str">
        <f>IF(Notes!BY1103="","",Notes!BY1103)</f>
        <v/>
      </c>
      <c r="B1107" s="7" t="str">
        <f>IF(Notes!BZ1103="","",Notes!BZ1103)</f>
        <v/>
      </c>
      <c r="C1107" s="7" t="str">
        <f>IF(Notes!CA1103="","",Notes!CA1103)</f>
        <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
      <c r="A1108" s="7" t="str">
        <f>IF(Notes!BY1104="","",Notes!BY1104)</f>
        <v/>
      </c>
      <c r="B1108" s="7" t="str">
        <f>IF(Notes!BZ1104="","",Notes!BZ1104)</f>
        <v/>
      </c>
      <c r="C1108" s="7" t="str">
        <f>IF(Notes!CA1104="","",Notes!CA1104)</f>
        <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
      <c r="A1109" s="7" t="str">
        <f>IF(Notes!BY1105="","",Notes!BY1105)</f>
        <v/>
      </c>
      <c r="B1109" s="7" t="str">
        <f>IF(Notes!BZ1105="","",Notes!BZ1105)</f>
        <v/>
      </c>
      <c r="C1109" s="7" t="str">
        <f>IF(Notes!CA1105="","",Notes!CA1105)</f>
        <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
      <c r="A1110" s="7" t="str">
        <f>IF(Notes!BY1106="","",Notes!BY1106)</f>
        <v/>
      </c>
      <c r="B1110" s="7" t="str">
        <f>IF(Notes!BZ1106="","",Notes!BZ1106)</f>
        <v/>
      </c>
      <c r="C1110" s="7" t="str">
        <f>IF(Notes!CA1106="","",Notes!CA1106)</f>
        <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
      <c r="A1111" s="7" t="str">
        <f>IF(Notes!BY1107="","",Notes!BY1107)</f>
        <v/>
      </c>
      <c r="B1111" s="7" t="str">
        <f>IF(Notes!BZ1107="","",Notes!BZ1107)</f>
        <v/>
      </c>
      <c r="C1111" s="7" t="str">
        <f>IF(Notes!CA1107="","",Notes!CA1107)</f>
        <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
      <c r="A1112" s="7" t="str">
        <f>IF(Notes!BY1108="","",Notes!BY1108)</f>
        <v/>
      </c>
      <c r="B1112" s="7" t="str">
        <f>IF(Notes!BZ1108="","",Notes!BZ1108)</f>
        <v/>
      </c>
      <c r="C1112" s="7" t="str">
        <f>IF(Notes!CA1108="","",Notes!CA1108)</f>
        <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
      <c r="A1113" s="7" t="str">
        <f>IF(Notes!BY1109="","",Notes!BY1109)</f>
        <v/>
      </c>
      <c r="B1113" s="7" t="str">
        <f>IF(Notes!BZ1109="","",Notes!BZ1109)</f>
        <v/>
      </c>
      <c r="C1113" s="7" t="str">
        <f>IF(Notes!CA1109="","",Notes!CA1109)</f>
        <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
      <c r="A1114" s="7" t="str">
        <f>IF(Notes!BY1110="","",Notes!BY1110)</f>
        <v/>
      </c>
      <c r="B1114" s="7" t="str">
        <f>IF(Notes!BZ1110="","",Notes!BZ1110)</f>
        <v/>
      </c>
      <c r="C1114" s="7" t="str">
        <f>IF(Notes!CA1110="","",Notes!CA1110)</f>
        <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
      <c r="A1115" s="7" t="str">
        <f>IF(Notes!BY1111="","",Notes!BY1111)</f>
        <v/>
      </c>
      <c r="B1115" s="7" t="str">
        <f>IF(Notes!BZ1111="","",Notes!BZ1111)</f>
        <v/>
      </c>
      <c r="C1115" s="7" t="str">
        <f>IF(Notes!CA1111="","",Notes!CA1111)</f>
        <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
      <c r="A1116" s="7" t="str">
        <f>IF(Notes!BY1112="","",Notes!BY1112)</f>
        <v/>
      </c>
      <c r="B1116" s="7" t="str">
        <f>IF(Notes!BZ1112="","",Notes!BZ1112)</f>
        <v/>
      </c>
      <c r="C1116" s="7" t="str">
        <f>IF(Notes!CA1112="","",Notes!CA1112)</f>
        <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
      <c r="A1117" s="7" t="str">
        <f>IF(Notes!BY1113="","",Notes!BY1113)</f>
        <v/>
      </c>
      <c r="B1117" s="7" t="str">
        <f>IF(Notes!BZ1113="","",Notes!BZ1113)</f>
        <v/>
      </c>
      <c r="C1117" s="7" t="str">
        <f>IF(Notes!CA1113="","",Notes!CA1113)</f>
        <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
      <c r="A1118" s="7" t="str">
        <f>IF(Notes!BY1114="","",Notes!BY1114)</f>
        <v/>
      </c>
      <c r="B1118" s="7" t="str">
        <f>IF(Notes!BZ1114="","",Notes!BZ1114)</f>
        <v/>
      </c>
      <c r="C1118" s="7" t="str">
        <f>IF(Notes!CA1114="","",Notes!CA1114)</f>
        <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
      <c r="A1119" s="7" t="str">
        <f>IF(Notes!BY1115="","",Notes!BY1115)</f>
        <v/>
      </c>
      <c r="B1119" s="7" t="str">
        <f>IF(Notes!BZ1115="","",Notes!BZ1115)</f>
        <v/>
      </c>
      <c r="C1119" s="7" t="str">
        <f>IF(Notes!CA1115="","",Notes!CA1115)</f>
        <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
      <c r="A1120" s="7" t="str">
        <f>IF(Notes!BY1116="","",Notes!BY1116)</f>
        <v/>
      </c>
      <c r="B1120" s="7" t="str">
        <f>IF(Notes!BZ1116="","",Notes!BZ1116)</f>
        <v/>
      </c>
      <c r="C1120" s="7" t="str">
        <f>IF(Notes!CA1116="","",Notes!CA1116)</f>
        <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
      <c r="A1121" s="7" t="str">
        <f>IF(Notes!BY1117="","",Notes!BY1117)</f>
        <v/>
      </c>
      <c r="B1121" s="7" t="str">
        <f>IF(Notes!BZ1117="","",Notes!BZ1117)</f>
        <v/>
      </c>
      <c r="C1121" s="7" t="str">
        <f>IF(Notes!CA1117="","",Notes!CA1117)</f>
        <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
      <c r="A1122" s="7" t="str">
        <f>IF(Notes!BY1118="","",Notes!BY1118)</f>
        <v/>
      </c>
      <c r="B1122" s="7" t="str">
        <f>IF(Notes!BZ1118="","",Notes!BZ1118)</f>
        <v/>
      </c>
      <c r="C1122" s="7" t="str">
        <f>IF(Notes!CA1118="","",Notes!CA1118)</f>
        <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
      <c r="A1123" s="7" t="str">
        <f>IF(Notes!BY1119="","",Notes!BY1119)</f>
        <v/>
      </c>
      <c r="B1123" s="7" t="str">
        <f>IF(Notes!BZ1119="","",Notes!BZ1119)</f>
        <v/>
      </c>
      <c r="C1123" s="7" t="str">
        <f>IF(Notes!CA1119="","",Notes!CA1119)</f>
        <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
      <c r="A1124" s="7" t="str">
        <f>IF(Notes!BY1120="","",Notes!BY1120)</f>
        <v/>
      </c>
      <c r="B1124" s="7" t="str">
        <f>IF(Notes!BZ1120="","",Notes!BZ1120)</f>
        <v/>
      </c>
      <c r="C1124" s="7" t="str">
        <f>IF(Notes!CA1120="","",Notes!CA1120)</f>
        <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
      <c r="A1125" s="7" t="str">
        <f>IF(Notes!BY1121="","",Notes!BY1121)</f>
        <v/>
      </c>
      <c r="B1125" s="7" t="str">
        <f>IF(Notes!BZ1121="","",Notes!BZ1121)</f>
        <v/>
      </c>
      <c r="C1125" s="7" t="str">
        <f>IF(Notes!CA1121="","",Notes!CA1121)</f>
        <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
      <c r="A1126" s="7" t="str">
        <f>IF(Notes!BY1122="","",Notes!BY1122)</f>
        <v/>
      </c>
      <c r="B1126" s="7" t="str">
        <f>IF(Notes!BZ1122="","",Notes!BZ1122)</f>
        <v/>
      </c>
      <c r="C1126" s="7" t="str">
        <f>IF(Notes!CA1122="","",Notes!CA1122)</f>
        <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
      <c r="A1127" s="7" t="str">
        <f>IF(Notes!BY1123="","",Notes!BY1123)</f>
        <v/>
      </c>
      <c r="B1127" s="7" t="str">
        <f>IF(Notes!BZ1123="","",Notes!BZ1123)</f>
        <v/>
      </c>
      <c r="C1127" s="7" t="str">
        <f>IF(Notes!CA1123="","",Notes!CA1123)</f>
        <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
      <c r="A1128" s="7" t="str">
        <f>IF(Notes!BY1124="","",Notes!BY1124)</f>
        <v/>
      </c>
      <c r="B1128" s="7" t="str">
        <f>IF(Notes!BZ1124="","",Notes!BZ1124)</f>
        <v/>
      </c>
      <c r="C1128" s="7" t="str">
        <f>IF(Notes!CA1124="","",Notes!CA1124)</f>
        <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
      <c r="A1129" s="7" t="str">
        <f>IF(Notes!BY1125="","",Notes!BY1125)</f>
        <v/>
      </c>
      <c r="B1129" s="7" t="str">
        <f>IF(Notes!BZ1125="","",Notes!BZ1125)</f>
        <v/>
      </c>
      <c r="C1129" s="7" t="str">
        <f>IF(Notes!CA1125="","",Notes!CA1125)</f>
        <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
      <c r="A1130" s="7" t="str">
        <f>IF(Notes!BY1126="","",Notes!BY1126)</f>
        <v/>
      </c>
      <c r="B1130" s="7" t="str">
        <f>IF(Notes!BZ1126="","",Notes!BZ1126)</f>
        <v/>
      </c>
      <c r="C1130" s="7" t="str">
        <f>IF(Notes!CA1126="","",Notes!CA1126)</f>
        <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
      <c r="A1131" s="7" t="str">
        <f>IF(Notes!BY1127="","",Notes!BY1127)</f>
        <v/>
      </c>
      <c r="B1131" s="7" t="str">
        <f>IF(Notes!BZ1127="","",Notes!BZ1127)</f>
        <v/>
      </c>
      <c r="C1131" s="7" t="str">
        <f>IF(Notes!CA1127="","",Notes!CA1127)</f>
        <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
      <c r="A1132" s="7" t="str">
        <f>IF(Notes!BY1128="","",Notes!BY1128)</f>
        <v/>
      </c>
      <c r="B1132" s="7" t="str">
        <f>IF(Notes!BZ1128="","",Notes!BZ1128)</f>
        <v/>
      </c>
      <c r="C1132" s="7" t="str">
        <f>IF(Notes!CA1128="","",Notes!CA1128)</f>
        <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
      <c r="A1133" s="7" t="str">
        <f>IF(Notes!BY1129="","",Notes!BY1129)</f>
        <v/>
      </c>
      <c r="B1133" s="7" t="str">
        <f>IF(Notes!BZ1129="","",Notes!BZ1129)</f>
        <v/>
      </c>
      <c r="C1133" s="7" t="str">
        <f>IF(Notes!CA1129="","",Notes!CA1129)</f>
        <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
      <c r="A1134" s="7" t="str">
        <f>IF(Notes!BY1130="","",Notes!BY1130)</f>
        <v/>
      </c>
      <c r="B1134" s="7" t="str">
        <f>IF(Notes!BZ1130="","",Notes!BZ1130)</f>
        <v/>
      </c>
      <c r="C1134" s="7" t="str">
        <f>IF(Notes!CA1130="","",Notes!CA1130)</f>
        <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
      <c r="A1135" s="7" t="str">
        <f>IF(Notes!BY1131="","",Notes!BY1131)</f>
        <v/>
      </c>
      <c r="B1135" s="7" t="str">
        <f>IF(Notes!BZ1131="","",Notes!BZ1131)</f>
        <v/>
      </c>
      <c r="C1135" s="7" t="str">
        <f>IF(Notes!CA1131="","",Notes!CA1131)</f>
        <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
      <c r="A1136" s="7" t="str">
        <f>IF(Notes!BY1132="","",Notes!BY1132)</f>
        <v/>
      </c>
      <c r="B1136" s="7" t="str">
        <f>IF(Notes!BZ1132="","",Notes!BZ1132)</f>
        <v/>
      </c>
      <c r="C1136" s="7" t="str">
        <f>IF(Notes!CA1132="","",Notes!CA1132)</f>
        <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
      <c r="A1137" s="7" t="str">
        <f>IF(Notes!BY1133="","",Notes!BY1133)</f>
        <v/>
      </c>
      <c r="B1137" s="7" t="str">
        <f>IF(Notes!BZ1133="","",Notes!BZ1133)</f>
        <v/>
      </c>
      <c r="C1137" s="7" t="str">
        <f>IF(Notes!CA1133="","",Notes!CA1133)</f>
        <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
      <c r="A1138" s="7" t="str">
        <f>IF(Notes!BY1134="","",Notes!BY1134)</f>
        <v/>
      </c>
      <c r="B1138" s="7" t="str">
        <f>IF(Notes!BZ1134="","",Notes!BZ1134)</f>
        <v/>
      </c>
      <c r="C1138" s="7" t="str">
        <f>IF(Notes!CA1134="","",Notes!CA1134)</f>
        <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
      <c r="A1139" s="7" t="str">
        <f>IF(Notes!BY1135="","",Notes!BY1135)</f>
        <v/>
      </c>
      <c r="B1139" s="7" t="str">
        <f>IF(Notes!BZ1135="","",Notes!BZ1135)</f>
        <v/>
      </c>
      <c r="C1139" s="7" t="str">
        <f>IF(Notes!CA1135="","",Notes!CA1135)</f>
        <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
      <c r="A1140" s="7" t="str">
        <f>IF(Notes!BY1136="","",Notes!BY1136)</f>
        <v/>
      </c>
      <c r="B1140" s="7" t="str">
        <f>IF(Notes!BZ1136="","",Notes!BZ1136)</f>
        <v/>
      </c>
      <c r="C1140" s="7" t="str">
        <f>IF(Notes!CA1136="","",Notes!CA1136)</f>
        <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
      <c r="A1141" s="7" t="str">
        <f>IF(Notes!BY1137="","",Notes!BY1137)</f>
        <v/>
      </c>
      <c r="B1141" s="7" t="str">
        <f>IF(Notes!BZ1137="","",Notes!BZ1137)</f>
        <v/>
      </c>
      <c r="C1141" s="7" t="str">
        <f>IF(Notes!CA1137="","",Notes!CA1137)</f>
        <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
      <c r="A1142" s="7" t="str">
        <f>IF(Notes!BY1138="","",Notes!BY1138)</f>
        <v/>
      </c>
      <c r="B1142" s="7" t="str">
        <f>IF(Notes!BZ1138="","",Notes!BZ1138)</f>
        <v/>
      </c>
      <c r="C1142" s="7" t="str">
        <f>IF(Notes!CA1138="","",Notes!CA1138)</f>
        <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
      <c r="A1143" s="7" t="str">
        <f>IF(Notes!BY1139="","",Notes!BY1139)</f>
        <v/>
      </c>
      <c r="B1143" s="7" t="str">
        <f>IF(Notes!BZ1139="","",Notes!BZ1139)</f>
        <v/>
      </c>
      <c r="C1143" s="7" t="str">
        <f>IF(Notes!CA1139="","",Notes!CA1139)</f>
        <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
      <c r="A1144" s="7" t="str">
        <f>IF(Notes!BY1140="","",Notes!BY1140)</f>
        <v/>
      </c>
      <c r="B1144" s="7" t="str">
        <f>IF(Notes!BZ1140="","",Notes!BZ1140)</f>
        <v/>
      </c>
      <c r="C1144" s="7" t="str">
        <f>IF(Notes!CA1140="","",Notes!CA1140)</f>
        <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
      <c r="A1145" s="7" t="str">
        <f>IF(Notes!BY1141="","",Notes!BY1141)</f>
        <v/>
      </c>
      <c r="B1145" s="7" t="str">
        <f>IF(Notes!BZ1141="","",Notes!BZ1141)</f>
        <v/>
      </c>
      <c r="C1145" s="7" t="str">
        <f>IF(Notes!CA1141="","",Notes!CA1141)</f>
        <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
      <c r="A1146" s="7" t="str">
        <f>IF(Notes!BY1142="","",Notes!BY1142)</f>
        <v/>
      </c>
      <c r="B1146" s="7" t="str">
        <f>IF(Notes!BZ1142="","",Notes!BZ1142)</f>
        <v/>
      </c>
      <c r="C1146" s="7" t="str">
        <f>IF(Notes!CA1142="","",Notes!CA1142)</f>
        <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
      <c r="A1147" s="7" t="str">
        <f>IF(Notes!BY1143="","",Notes!BY1143)</f>
        <v/>
      </c>
      <c r="B1147" s="7" t="str">
        <f>IF(Notes!BZ1143="","",Notes!BZ1143)</f>
        <v/>
      </c>
      <c r="C1147" s="7" t="str">
        <f>IF(Notes!CA1143="","",Notes!CA1143)</f>
        <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
      <c r="A1148" s="7" t="str">
        <f>IF(Notes!BY1144="","",Notes!BY1144)</f>
        <v/>
      </c>
      <c r="B1148" s="7" t="str">
        <f>IF(Notes!BZ1144="","",Notes!BZ1144)</f>
        <v/>
      </c>
      <c r="C1148" s="7" t="str">
        <f>IF(Notes!CA1144="","",Notes!CA1144)</f>
        <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
      <c r="A1149" s="7" t="str">
        <f>IF(Notes!BY1145="","",Notes!BY1145)</f>
        <v/>
      </c>
      <c r="B1149" s="7" t="str">
        <f>IF(Notes!BZ1145="","",Notes!BZ1145)</f>
        <v/>
      </c>
      <c r="C1149" s="7" t="str">
        <f>IF(Notes!CA1145="","",Notes!CA1145)</f>
        <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
      <c r="A1150" s="7" t="str">
        <f>IF(Notes!BY1146="","",Notes!BY1146)</f>
        <v/>
      </c>
      <c r="B1150" s="7" t="str">
        <f>IF(Notes!BZ1146="","",Notes!BZ1146)</f>
        <v/>
      </c>
      <c r="C1150" s="7" t="str">
        <f>IF(Notes!CA1146="","",Notes!CA1146)</f>
        <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
      <c r="A1151" s="7" t="str">
        <f>IF(Notes!BY1147="","",Notes!BY1147)</f>
        <v/>
      </c>
      <c r="B1151" s="7" t="str">
        <f>IF(Notes!BZ1147="","",Notes!BZ1147)</f>
        <v/>
      </c>
      <c r="C1151" s="7" t="str">
        <f>IF(Notes!CA1147="","",Notes!CA1147)</f>
        <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
      <c r="A1152" s="7" t="str">
        <f>IF(Notes!BY1148="","",Notes!BY1148)</f>
        <v/>
      </c>
      <c r="B1152" s="7" t="str">
        <f>IF(Notes!BZ1148="","",Notes!BZ1148)</f>
        <v/>
      </c>
      <c r="C1152" s="7" t="str">
        <f>IF(Notes!CA1148="","",Notes!CA1148)</f>
        <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
      <c r="A1153" s="7" t="str">
        <f>IF(Notes!BY1149="","",Notes!BY1149)</f>
        <v/>
      </c>
      <c r="B1153" s="7" t="str">
        <f>IF(Notes!BZ1149="","",Notes!BZ1149)</f>
        <v/>
      </c>
      <c r="C1153" s="7" t="str">
        <f>IF(Notes!CA1149="","",Notes!CA1149)</f>
        <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
      <c r="A1154" s="7" t="str">
        <f>IF(Notes!BY1150="","",Notes!BY1150)</f>
        <v/>
      </c>
      <c r="B1154" s="7" t="str">
        <f>IF(Notes!BZ1150="","",Notes!BZ1150)</f>
        <v/>
      </c>
      <c r="C1154" s="7" t="str">
        <f>IF(Notes!CA1150="","",Notes!CA1150)</f>
        <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
      <c r="A1155" s="7" t="str">
        <f>IF(Notes!BY1151="","",Notes!BY1151)</f>
        <v/>
      </c>
      <c r="B1155" s="7" t="str">
        <f>IF(Notes!BZ1151="","",Notes!BZ1151)</f>
        <v/>
      </c>
      <c r="C1155" s="7" t="str">
        <f>IF(Notes!CA1151="","",Notes!CA1151)</f>
        <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
      <c r="A1156" s="7" t="str">
        <f>IF(Notes!BY1152="","",Notes!BY1152)</f>
        <v/>
      </c>
      <c r="B1156" s="7" t="str">
        <f>IF(Notes!BZ1152="","",Notes!BZ1152)</f>
        <v/>
      </c>
      <c r="C1156" s="7" t="str">
        <f>IF(Notes!CA1152="","",Notes!CA1152)</f>
        <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
      <c r="A1157" s="7" t="str">
        <f>IF(Notes!BY1153="","",Notes!BY1153)</f>
        <v/>
      </c>
      <c r="B1157" s="7" t="str">
        <f>IF(Notes!BZ1153="","",Notes!BZ1153)</f>
        <v/>
      </c>
      <c r="C1157" s="7" t="str">
        <f>IF(Notes!CA1153="","",Notes!CA1153)</f>
        <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
      <c r="A1158" s="7" t="str">
        <f>IF(Notes!BY1154="","",Notes!BY1154)</f>
        <v/>
      </c>
      <c r="B1158" s="7" t="str">
        <f>IF(Notes!BZ1154="","",Notes!BZ1154)</f>
        <v/>
      </c>
      <c r="C1158" s="7" t="str">
        <f>IF(Notes!CA1154="","",Notes!CA1154)</f>
        <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
      <c r="A1159" s="7" t="str">
        <f>IF(Notes!BY1155="","",Notes!BY1155)</f>
        <v/>
      </c>
      <c r="B1159" s="7" t="str">
        <f>IF(Notes!BZ1155="","",Notes!BZ1155)</f>
        <v/>
      </c>
      <c r="C1159" s="7" t="str">
        <f>IF(Notes!CA1155="","",Notes!CA1155)</f>
        <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
      <c r="A1160" s="7" t="str">
        <f>IF(Notes!BY1156="","",Notes!BY1156)</f>
        <v/>
      </c>
      <c r="B1160" s="7" t="str">
        <f>IF(Notes!BZ1156="","",Notes!BZ1156)</f>
        <v/>
      </c>
      <c r="C1160" s="7" t="str">
        <f>IF(Notes!CA1156="","",Notes!CA1156)</f>
        <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
      <c r="A1161" s="7" t="str">
        <f>IF(Notes!BY1157="","",Notes!BY1157)</f>
        <v/>
      </c>
      <c r="B1161" s="7" t="str">
        <f>IF(Notes!BZ1157="","",Notes!BZ1157)</f>
        <v/>
      </c>
      <c r="C1161" s="7" t="str">
        <f>IF(Notes!CA1157="","",Notes!CA1157)</f>
        <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
      <c r="A1162" s="7" t="str">
        <f>IF(Notes!BY1158="","",Notes!BY1158)</f>
        <v/>
      </c>
      <c r="B1162" s="7" t="str">
        <f>IF(Notes!BZ1158="","",Notes!BZ1158)</f>
        <v/>
      </c>
      <c r="C1162" s="7" t="str">
        <f>IF(Notes!CA1158="","",Notes!CA1158)</f>
        <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
      <c r="A1163" s="7" t="str">
        <f>IF(Notes!BY1159="","",Notes!BY1159)</f>
        <v/>
      </c>
      <c r="B1163" s="7" t="str">
        <f>IF(Notes!BZ1159="","",Notes!BZ1159)</f>
        <v/>
      </c>
      <c r="C1163" s="7" t="str">
        <f>IF(Notes!CA1159="","",Notes!CA1159)</f>
        <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
      <c r="A1164" s="7" t="str">
        <f>IF(Notes!BY1160="","",Notes!BY1160)</f>
        <v/>
      </c>
      <c r="B1164" s="7" t="str">
        <f>IF(Notes!BZ1160="","",Notes!BZ1160)</f>
        <v/>
      </c>
      <c r="C1164" s="7" t="str">
        <f>IF(Notes!CA1160="","",Notes!CA1160)</f>
        <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
      <c r="A1165" s="7" t="str">
        <f>IF(Notes!BY1161="","",Notes!BY1161)</f>
        <v/>
      </c>
      <c r="B1165" s="7" t="str">
        <f>IF(Notes!BZ1161="","",Notes!BZ1161)</f>
        <v/>
      </c>
      <c r="C1165" s="7" t="str">
        <f>IF(Notes!CA1161="","",Notes!CA1161)</f>
        <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
      <c r="A1166" s="7" t="str">
        <f>IF(Notes!BY1162="","",Notes!BY1162)</f>
        <v/>
      </c>
      <c r="B1166" s="7" t="str">
        <f>IF(Notes!BZ1162="","",Notes!BZ1162)</f>
        <v/>
      </c>
      <c r="C1166" s="7" t="str">
        <f>IF(Notes!CA1162="","",Notes!CA1162)</f>
        <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
      <c r="A1167" s="7" t="str">
        <f>IF(Notes!BY1163="","",Notes!BY1163)</f>
        <v/>
      </c>
      <c r="B1167" s="7" t="str">
        <f>IF(Notes!BZ1163="","",Notes!BZ1163)</f>
        <v/>
      </c>
      <c r="C1167" s="7" t="str">
        <f>IF(Notes!CA1163="","",Notes!CA1163)</f>
        <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
      <c r="A1168" s="7" t="str">
        <f>IF(Notes!BY1164="","",Notes!BY1164)</f>
        <v/>
      </c>
      <c r="B1168" s="7" t="str">
        <f>IF(Notes!BZ1164="","",Notes!BZ1164)</f>
        <v/>
      </c>
      <c r="C1168" s="7" t="str">
        <f>IF(Notes!CA1164="","",Notes!CA1164)</f>
        <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
      <c r="A1169" s="7" t="str">
        <f>IF(Notes!BY1165="","",Notes!BY1165)</f>
        <v/>
      </c>
      <c r="B1169" s="7" t="str">
        <f>IF(Notes!BZ1165="","",Notes!BZ1165)</f>
        <v/>
      </c>
      <c r="C1169" s="7" t="str">
        <f>IF(Notes!CA1165="","",Notes!CA1165)</f>
        <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
      <c r="A1170" s="7" t="str">
        <f>IF(Notes!BY1166="","",Notes!BY1166)</f>
        <v/>
      </c>
      <c r="B1170" s="7" t="str">
        <f>IF(Notes!BZ1166="","",Notes!BZ1166)</f>
        <v/>
      </c>
      <c r="C1170" s="7" t="str">
        <f>IF(Notes!CA1166="","",Notes!CA1166)</f>
        <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
      <c r="A1171" s="7" t="str">
        <f>IF(Notes!BY1167="","",Notes!BY1167)</f>
        <v/>
      </c>
      <c r="B1171" s="7" t="str">
        <f>IF(Notes!BZ1167="","",Notes!BZ1167)</f>
        <v/>
      </c>
      <c r="C1171" s="7" t="str">
        <f>IF(Notes!CA1167="","",Notes!CA1167)</f>
        <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
      <c r="A1172" s="7" t="str">
        <f>IF(Notes!BY1168="","",Notes!BY1168)</f>
        <v/>
      </c>
      <c r="B1172" s="7" t="str">
        <f>IF(Notes!BZ1168="","",Notes!BZ1168)</f>
        <v/>
      </c>
      <c r="C1172" s="7" t="str">
        <f>IF(Notes!CA1168="","",Notes!CA1168)</f>
        <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
      <c r="A1173" s="7" t="str">
        <f>IF(Notes!BY1169="","",Notes!BY1169)</f>
        <v/>
      </c>
      <c r="B1173" s="7" t="str">
        <f>IF(Notes!BZ1169="","",Notes!BZ1169)</f>
        <v/>
      </c>
      <c r="C1173" s="7" t="str">
        <f>IF(Notes!CA1169="","",Notes!CA1169)</f>
        <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
      <c r="A1174" s="7" t="str">
        <f>IF(Notes!BY1170="","",Notes!BY1170)</f>
        <v/>
      </c>
      <c r="B1174" s="7" t="str">
        <f>IF(Notes!BZ1170="","",Notes!BZ1170)</f>
        <v/>
      </c>
      <c r="C1174" s="7" t="str">
        <f>IF(Notes!CA1170="","",Notes!CA1170)</f>
        <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
      <c r="A1175" s="7" t="str">
        <f>IF(Notes!BY1171="","",Notes!BY1171)</f>
        <v/>
      </c>
      <c r="B1175" s="7" t="str">
        <f>IF(Notes!BZ1171="","",Notes!BZ1171)</f>
        <v/>
      </c>
      <c r="C1175" s="7" t="str">
        <f>IF(Notes!CA1171="","",Notes!CA1171)</f>
        <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
      <c r="A1176" s="7" t="str">
        <f>IF(Notes!BY1172="","",Notes!BY1172)</f>
        <v/>
      </c>
      <c r="B1176" s="7" t="str">
        <f>IF(Notes!BZ1172="","",Notes!BZ1172)</f>
        <v/>
      </c>
      <c r="C1176" s="7" t="str">
        <f>IF(Notes!CA1172="","",Notes!CA1172)</f>
        <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
      <c r="A1177" s="7" t="str">
        <f>IF(Notes!BY1173="","",Notes!BY1173)</f>
        <v/>
      </c>
      <c r="B1177" s="7" t="str">
        <f>IF(Notes!BZ1173="","",Notes!BZ1173)</f>
        <v/>
      </c>
      <c r="C1177" s="7" t="str">
        <f>IF(Notes!CA1173="","",Notes!CA1173)</f>
        <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
      <c r="A1178" s="7" t="str">
        <f>IF(Notes!BY1174="","",Notes!BY1174)</f>
        <v/>
      </c>
      <c r="B1178" s="7" t="str">
        <f>IF(Notes!BZ1174="","",Notes!BZ1174)</f>
        <v/>
      </c>
      <c r="C1178" s="7" t="str">
        <f>IF(Notes!CA1174="","",Notes!CA1174)</f>
        <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
      <c r="A1179" s="7" t="str">
        <f>IF(Notes!BY1175="","",Notes!BY1175)</f>
        <v/>
      </c>
      <c r="B1179" s="7" t="str">
        <f>IF(Notes!BZ1175="","",Notes!BZ1175)</f>
        <v/>
      </c>
      <c r="C1179" s="7" t="str">
        <f>IF(Notes!CA1175="","",Notes!CA1175)</f>
        <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
      <c r="A1180" s="7" t="str">
        <f>IF(Notes!BY1176="","",Notes!BY1176)</f>
        <v/>
      </c>
      <c r="B1180" s="7" t="str">
        <f>IF(Notes!BZ1176="","",Notes!BZ1176)</f>
        <v/>
      </c>
      <c r="C1180" s="7" t="str">
        <f>IF(Notes!CA1176="","",Notes!CA1176)</f>
        <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
      <c r="A1181" s="7" t="str">
        <f>IF(Notes!BY1177="","",Notes!BY1177)</f>
        <v/>
      </c>
      <c r="B1181" s="7" t="str">
        <f>IF(Notes!BZ1177="","",Notes!BZ1177)</f>
        <v/>
      </c>
      <c r="C1181" s="7" t="str">
        <f>IF(Notes!CA1177="","",Notes!CA1177)</f>
        <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
      <c r="A1182" s="7" t="str">
        <f>IF(Notes!BY1178="","",Notes!BY1178)</f>
        <v/>
      </c>
      <c r="B1182" s="7" t="str">
        <f>IF(Notes!BZ1178="","",Notes!BZ1178)</f>
        <v/>
      </c>
      <c r="C1182" s="7" t="str">
        <f>IF(Notes!CA1178="","",Notes!CA1178)</f>
        <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
      <c r="A1183" s="7" t="str">
        <f>IF(Notes!BY1179="","",Notes!BY1179)</f>
        <v/>
      </c>
      <c r="B1183" s="7" t="str">
        <f>IF(Notes!BZ1179="","",Notes!BZ1179)</f>
        <v/>
      </c>
      <c r="C1183" s="7" t="str">
        <f>IF(Notes!CA1179="","",Notes!CA1179)</f>
        <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
      <c r="A1184" s="7" t="str">
        <f>IF(Notes!BY1180="","",Notes!BY1180)</f>
        <v/>
      </c>
      <c r="B1184" s="7" t="str">
        <f>IF(Notes!BZ1180="","",Notes!BZ1180)</f>
        <v/>
      </c>
      <c r="C1184" s="7" t="str">
        <f>IF(Notes!CA1180="","",Notes!CA1180)</f>
        <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
      <c r="A1185" s="7" t="str">
        <f>IF(Notes!BY1181="","",Notes!BY1181)</f>
        <v/>
      </c>
      <c r="B1185" s="7" t="str">
        <f>IF(Notes!BZ1181="","",Notes!BZ1181)</f>
        <v/>
      </c>
      <c r="C1185" s="7" t="str">
        <f>IF(Notes!CA1181="","",Notes!CA1181)</f>
        <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
      <c r="A1186" s="7" t="str">
        <f>IF(Notes!BY1182="","",Notes!BY1182)</f>
        <v/>
      </c>
      <c r="B1186" s="7" t="str">
        <f>IF(Notes!BZ1182="","",Notes!BZ1182)</f>
        <v/>
      </c>
      <c r="C1186" s="7" t="str">
        <f>IF(Notes!CA1182="","",Notes!CA1182)</f>
        <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
      <c r="A1187" s="7" t="str">
        <f>IF(Notes!BY1183="","",Notes!BY1183)</f>
        <v/>
      </c>
      <c r="B1187" s="7" t="str">
        <f>IF(Notes!BZ1183="","",Notes!BZ1183)</f>
        <v/>
      </c>
      <c r="C1187" s="7" t="str">
        <f>IF(Notes!CA1183="","",Notes!CA1183)</f>
        <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
      <c r="A1188" s="7" t="str">
        <f>IF(Notes!BY1184="","",Notes!BY1184)</f>
        <v/>
      </c>
      <c r="B1188" s="7" t="str">
        <f>IF(Notes!BZ1184="","",Notes!BZ1184)</f>
        <v/>
      </c>
      <c r="C1188" s="7" t="str">
        <f>IF(Notes!CA1184="","",Notes!CA1184)</f>
        <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
      <c r="A1189" s="7" t="str">
        <f>IF(Notes!BY1185="","",Notes!BY1185)</f>
        <v/>
      </c>
      <c r="B1189" s="7" t="str">
        <f>IF(Notes!BZ1185="","",Notes!BZ1185)</f>
        <v/>
      </c>
      <c r="C1189" s="7" t="str">
        <f>IF(Notes!CA1185="","",Notes!CA1185)</f>
        <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
      <c r="A1190" s="7" t="str">
        <f>IF(Notes!BY1186="","",Notes!BY1186)</f>
        <v/>
      </c>
      <c r="B1190" s="7" t="str">
        <f>IF(Notes!BZ1186="","",Notes!BZ1186)</f>
        <v/>
      </c>
      <c r="C1190" s="7" t="str">
        <f>IF(Notes!CA1186="","",Notes!CA1186)</f>
        <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
      <c r="A1191" s="7" t="str">
        <f>IF(Notes!BY1187="","",Notes!BY1187)</f>
        <v/>
      </c>
      <c r="B1191" s="7" t="str">
        <f>IF(Notes!BZ1187="","",Notes!BZ1187)</f>
        <v/>
      </c>
      <c r="C1191" s="7" t="str">
        <f>IF(Notes!CA1187="","",Notes!CA1187)</f>
        <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
      <c r="A1192" s="7" t="str">
        <f>IF(Notes!BY1188="","",Notes!BY1188)</f>
        <v/>
      </c>
      <c r="B1192" s="7" t="str">
        <f>IF(Notes!BZ1188="","",Notes!BZ1188)</f>
        <v/>
      </c>
      <c r="C1192" s="7" t="str">
        <f>IF(Notes!CA1188="","",Notes!CA1188)</f>
        <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
      <c r="A1193" s="7" t="str">
        <f>IF(Notes!BY1189="","",Notes!BY1189)</f>
        <v/>
      </c>
      <c r="B1193" s="7" t="str">
        <f>IF(Notes!BZ1189="","",Notes!BZ1189)</f>
        <v/>
      </c>
      <c r="C1193" s="7" t="str">
        <f>IF(Notes!CA1189="","",Notes!CA1189)</f>
        <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
      <c r="A1194" s="7" t="str">
        <f>IF(Notes!BY1190="","",Notes!BY1190)</f>
        <v/>
      </c>
      <c r="B1194" s="7" t="str">
        <f>IF(Notes!BZ1190="","",Notes!BZ1190)</f>
        <v/>
      </c>
      <c r="C1194" s="7" t="str">
        <f>IF(Notes!CA1190="","",Notes!CA1190)</f>
        <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
      <c r="A1195" s="7" t="str">
        <f>IF(Notes!BY1191="","",Notes!BY1191)</f>
        <v/>
      </c>
      <c r="B1195" s="7" t="str">
        <f>IF(Notes!BZ1191="","",Notes!BZ1191)</f>
        <v/>
      </c>
      <c r="C1195" s="7" t="str">
        <f>IF(Notes!CA1191="","",Notes!CA1191)</f>
        <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
      <c r="A1196" s="7" t="str">
        <f>IF(Notes!BY1192="","",Notes!BY1192)</f>
        <v/>
      </c>
      <c r="B1196" s="7" t="str">
        <f>IF(Notes!BZ1192="","",Notes!BZ1192)</f>
        <v/>
      </c>
      <c r="C1196" s="7" t="str">
        <f>IF(Notes!CA1192="","",Notes!CA1192)</f>
        <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
      <c r="A1197" s="7" t="str">
        <f>IF(Notes!BY1193="","",Notes!BY1193)</f>
        <v/>
      </c>
      <c r="B1197" s="7" t="str">
        <f>IF(Notes!BZ1193="","",Notes!BZ1193)</f>
        <v/>
      </c>
      <c r="C1197" s="7" t="str">
        <f>IF(Notes!CA1193="","",Notes!CA1193)</f>
        <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
      <c r="A1198" s="7" t="str">
        <f>IF(Notes!BY1194="","",Notes!BY1194)</f>
        <v/>
      </c>
      <c r="B1198" s="7" t="str">
        <f>IF(Notes!BZ1194="","",Notes!BZ1194)</f>
        <v/>
      </c>
      <c r="C1198" s="7" t="str">
        <f>IF(Notes!CA1194="","",Notes!CA1194)</f>
        <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
      <c r="A1199" s="7" t="str">
        <f>IF(Notes!BY1195="","",Notes!BY1195)</f>
        <v/>
      </c>
      <c r="B1199" s="7" t="str">
        <f>IF(Notes!BZ1195="","",Notes!BZ1195)</f>
        <v/>
      </c>
      <c r="C1199" s="7" t="str">
        <f>IF(Notes!CA1195="","",Notes!CA1195)</f>
        <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
      <c r="A1200" s="7" t="str">
        <f>IF(Notes!BY1196="","",Notes!BY1196)</f>
        <v/>
      </c>
      <c r="B1200" s="7" t="str">
        <f>IF(Notes!BZ1196="","",Notes!BZ1196)</f>
        <v/>
      </c>
      <c r="C1200" s="7" t="str">
        <f>IF(Notes!CA1196="","",Notes!CA1196)</f>
        <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
      <c r="A1201" s="7" t="str">
        <f>IF(Notes!BY1197="","",Notes!BY1197)</f>
        <v/>
      </c>
      <c r="B1201" s="7" t="str">
        <f>IF(Notes!BZ1197="","",Notes!BZ1197)</f>
        <v/>
      </c>
      <c r="C1201" s="7" t="str">
        <f>IF(Notes!CA1197="","",Notes!CA1197)</f>
        <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
      <c r="A1202" s="7" t="str">
        <f>IF(Notes!BY1198="","",Notes!BY1198)</f>
        <v/>
      </c>
      <c r="B1202" s="7" t="str">
        <f>IF(Notes!BZ1198="","",Notes!BZ1198)</f>
        <v/>
      </c>
      <c r="C1202" s="7" t="str">
        <f>IF(Notes!CA1198="","",Notes!CA1198)</f>
        <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
      <c r="A1203" s="7" t="str">
        <f>IF(Notes!BY1199="","",Notes!BY1199)</f>
        <v/>
      </c>
      <c r="B1203" s="7" t="str">
        <f>IF(Notes!BZ1199="","",Notes!BZ1199)</f>
        <v/>
      </c>
      <c r="C1203" s="7" t="str">
        <f>IF(Notes!CA1199="","",Notes!CA1199)</f>
        <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
      <c r="A1204" s="7" t="str">
        <f>IF(Notes!BY1200="","",Notes!BY1200)</f>
        <v/>
      </c>
      <c r="B1204" s="7" t="str">
        <f>IF(Notes!BZ1200="","",Notes!BZ1200)</f>
        <v/>
      </c>
      <c r="C1204" s="7" t="str">
        <f>IF(Notes!CA1200="","",Notes!CA1200)</f>
        <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
      <c r="A1205" s="7" t="str">
        <f>IF(Notes!BY1201="","",Notes!BY1201)</f>
        <v/>
      </c>
      <c r="B1205" s="7" t="str">
        <f>IF(Notes!BZ1201="","",Notes!BZ1201)</f>
        <v/>
      </c>
      <c r="C1205" s="7" t="str">
        <f>IF(Notes!CA1201="","",Notes!CA1201)</f>
        <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
      <c r="A1206" s="7" t="str">
        <f>IF(Notes!BY1202="","",Notes!BY1202)</f>
        <v/>
      </c>
      <c r="B1206" s="7" t="str">
        <f>IF(Notes!BZ1202="","",Notes!BZ1202)</f>
        <v/>
      </c>
      <c r="C1206" s="7" t="str">
        <f>IF(Notes!CA1202="","",Notes!CA1202)</f>
        <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
      <c r="A1207" s="7" t="str">
        <f>IF(Notes!BY1203="","",Notes!BY1203)</f>
        <v/>
      </c>
      <c r="B1207" s="7" t="str">
        <f>IF(Notes!BZ1203="","",Notes!BZ1203)</f>
        <v/>
      </c>
      <c r="C1207" s="7" t="str">
        <f>IF(Notes!CA1203="","",Notes!CA1203)</f>
        <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
      <c r="A1208" s="7" t="str">
        <f>IF(Notes!BY1204="","",Notes!BY1204)</f>
        <v/>
      </c>
      <c r="B1208" s="7" t="str">
        <f>IF(Notes!BZ1204="","",Notes!BZ1204)</f>
        <v/>
      </c>
      <c r="C1208" s="7" t="str">
        <f>IF(Notes!CA1204="","",Notes!CA1204)</f>
        <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
      <c r="A1209" s="7" t="str">
        <f>IF(Notes!BY1205="","",Notes!BY1205)</f>
        <v/>
      </c>
      <c r="B1209" s="7" t="str">
        <f>IF(Notes!BZ1205="","",Notes!BZ1205)</f>
        <v/>
      </c>
      <c r="C1209" s="7" t="str">
        <f>IF(Notes!CA1205="","",Notes!CA1205)</f>
        <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
      <c r="A1210" s="7" t="str">
        <f>IF(Notes!BY1206="","",Notes!BY1206)</f>
        <v/>
      </c>
      <c r="B1210" s="7" t="str">
        <f>IF(Notes!BZ1206="","",Notes!BZ1206)</f>
        <v/>
      </c>
      <c r="C1210" s="7" t="str">
        <f>IF(Notes!CA1206="","",Notes!CA1206)</f>
        <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
      <c r="A1211" s="7" t="str">
        <f>IF(Notes!BY1207="","",Notes!BY1207)</f>
        <v/>
      </c>
      <c r="B1211" s="7" t="str">
        <f>IF(Notes!BZ1207="","",Notes!BZ1207)</f>
        <v/>
      </c>
      <c r="C1211" s="7" t="str">
        <f>IF(Notes!CA1207="","",Notes!CA1207)</f>
        <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
      <c r="A1212" s="7" t="str">
        <f>IF(Notes!BY1208="","",Notes!BY1208)</f>
        <v/>
      </c>
      <c r="B1212" s="7" t="str">
        <f>IF(Notes!BZ1208="","",Notes!BZ1208)</f>
        <v/>
      </c>
      <c r="C1212" s="7" t="str">
        <f>IF(Notes!CA1208="","",Notes!CA1208)</f>
        <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
      <c r="A1213" s="7" t="str">
        <f>IF(Notes!BY1209="","",Notes!BY1209)</f>
        <v/>
      </c>
      <c r="B1213" s="7" t="str">
        <f>IF(Notes!BZ1209="","",Notes!BZ1209)</f>
        <v/>
      </c>
      <c r="C1213" s="7" t="str">
        <f>IF(Notes!CA1209="","",Notes!CA1209)</f>
        <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
      <c r="A1214" s="7" t="str">
        <f>IF(Notes!BY1210="","",Notes!BY1210)</f>
        <v/>
      </c>
      <c r="B1214" s="7" t="str">
        <f>IF(Notes!BZ1210="","",Notes!BZ1210)</f>
        <v/>
      </c>
      <c r="C1214" s="7" t="str">
        <f>IF(Notes!CA1210="","",Notes!CA1210)</f>
        <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
      <c r="A1215" s="7" t="str">
        <f>IF(Notes!BY1211="","",Notes!BY1211)</f>
        <v/>
      </c>
      <c r="B1215" s="7" t="str">
        <f>IF(Notes!BZ1211="","",Notes!BZ1211)</f>
        <v/>
      </c>
      <c r="C1215" s="7" t="str">
        <f>IF(Notes!CA1211="","",Notes!CA1211)</f>
        <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
      <c r="A1216" s="7" t="str">
        <f>IF(Notes!BY1212="","",Notes!BY1212)</f>
        <v/>
      </c>
      <c r="B1216" s="7" t="str">
        <f>IF(Notes!BZ1212="","",Notes!BZ1212)</f>
        <v/>
      </c>
      <c r="C1216" s="7" t="str">
        <f>IF(Notes!CA1212="","",Notes!CA1212)</f>
        <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
      <c r="A1217" s="7" t="str">
        <f>IF(Notes!BY1213="","",Notes!BY1213)</f>
        <v/>
      </c>
      <c r="B1217" s="7" t="str">
        <f>IF(Notes!BZ1213="","",Notes!BZ1213)</f>
        <v/>
      </c>
      <c r="C1217" s="7" t="str">
        <f>IF(Notes!CA1213="","",Notes!CA1213)</f>
        <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
      <c r="A1218" s="7" t="str">
        <f>IF(Notes!BY1214="","",Notes!BY1214)</f>
        <v/>
      </c>
      <c r="B1218" s="7" t="str">
        <f>IF(Notes!BZ1214="","",Notes!BZ1214)</f>
        <v/>
      </c>
      <c r="C1218" s="7" t="str">
        <f>IF(Notes!CA1214="","",Notes!CA1214)</f>
        <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
      <c r="A1219" s="7" t="str">
        <f>IF(Notes!BY1215="","",Notes!BY1215)</f>
        <v/>
      </c>
      <c r="B1219" s="7" t="str">
        <f>IF(Notes!BZ1215="","",Notes!BZ1215)</f>
        <v/>
      </c>
      <c r="C1219" s="7" t="str">
        <f>IF(Notes!CA1215="","",Notes!CA1215)</f>
        <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
      <c r="A1220" s="7" t="str">
        <f>IF(Notes!BY1216="","",Notes!BY1216)</f>
        <v/>
      </c>
      <c r="B1220" s="7" t="str">
        <f>IF(Notes!BZ1216="","",Notes!BZ1216)</f>
        <v/>
      </c>
      <c r="C1220" s="7" t="str">
        <f>IF(Notes!CA1216="","",Notes!CA1216)</f>
        <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
      <c r="A1221" s="7" t="str">
        <f>IF(Notes!BY1217="","",Notes!BY1217)</f>
        <v/>
      </c>
      <c r="B1221" s="7" t="str">
        <f>IF(Notes!BZ1217="","",Notes!BZ1217)</f>
        <v/>
      </c>
      <c r="C1221" s="7" t="str">
        <f>IF(Notes!CA1217="","",Notes!CA1217)</f>
        <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
      <c r="A1222" s="7" t="str">
        <f>IF(Notes!BY1218="","",Notes!BY1218)</f>
        <v/>
      </c>
      <c r="B1222" s="7" t="str">
        <f>IF(Notes!BZ1218="","",Notes!BZ1218)</f>
        <v/>
      </c>
      <c r="C1222" s="7" t="str">
        <f>IF(Notes!CA1218="","",Notes!CA1218)</f>
        <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
      <c r="A1223" s="7" t="str">
        <f>IF(Notes!BY1219="","",Notes!BY1219)</f>
        <v/>
      </c>
      <c r="B1223" s="7" t="str">
        <f>IF(Notes!BZ1219="","",Notes!BZ1219)</f>
        <v/>
      </c>
      <c r="C1223" s="7" t="str">
        <f>IF(Notes!CA1219="","",Notes!CA1219)</f>
        <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
      <c r="A1224" s="7" t="str">
        <f>IF(Notes!BY1220="","",Notes!BY1220)</f>
        <v/>
      </c>
      <c r="B1224" s="7" t="str">
        <f>IF(Notes!BZ1220="","",Notes!BZ1220)</f>
        <v/>
      </c>
      <c r="C1224" s="7" t="str">
        <f>IF(Notes!CA1220="","",Notes!CA1220)</f>
        <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
      <c r="A1225" s="7" t="str">
        <f>IF(Notes!BY1221="","",Notes!BY1221)</f>
        <v/>
      </c>
      <c r="B1225" s="7" t="str">
        <f>IF(Notes!BZ1221="","",Notes!BZ1221)</f>
        <v/>
      </c>
      <c r="C1225" s="7" t="str">
        <f>IF(Notes!CA1221="","",Notes!CA1221)</f>
        <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
      <c r="A1226" s="7" t="str">
        <f>IF(Notes!BY1222="","",Notes!BY1222)</f>
        <v/>
      </c>
      <c r="B1226" s="7" t="str">
        <f>IF(Notes!BZ1222="","",Notes!BZ1222)</f>
        <v/>
      </c>
      <c r="C1226" s="7" t="str">
        <f>IF(Notes!CA1222="","",Notes!CA1222)</f>
        <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
      <c r="A1227" s="7" t="str">
        <f>IF(Notes!BY1223="","",Notes!BY1223)</f>
        <v/>
      </c>
      <c r="B1227" s="7" t="str">
        <f>IF(Notes!BZ1223="","",Notes!BZ1223)</f>
        <v/>
      </c>
      <c r="C1227" s="7" t="str">
        <f>IF(Notes!CA1223="","",Notes!CA1223)</f>
        <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
      <c r="A1228" s="7" t="str">
        <f>IF(Notes!BY1224="","",Notes!BY1224)</f>
        <v/>
      </c>
      <c r="B1228" s="7" t="str">
        <f>IF(Notes!BZ1224="","",Notes!BZ1224)</f>
        <v/>
      </c>
      <c r="C1228" s="7" t="str">
        <f>IF(Notes!CA1224="","",Notes!CA1224)</f>
        <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
      <c r="A1229" s="7" t="str">
        <f>IF(Notes!BY1225="","",Notes!BY1225)</f>
        <v/>
      </c>
      <c r="B1229" s="7" t="str">
        <f>IF(Notes!BZ1225="","",Notes!BZ1225)</f>
        <v/>
      </c>
      <c r="C1229" s="7" t="str">
        <f>IF(Notes!CA1225="","",Notes!CA1225)</f>
        <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
      <c r="A1230" s="7" t="str">
        <f>IF(Notes!BY1226="","",Notes!BY1226)</f>
        <v/>
      </c>
      <c r="B1230" s="7" t="str">
        <f>IF(Notes!BZ1226="","",Notes!BZ1226)</f>
        <v/>
      </c>
      <c r="C1230" s="7" t="str">
        <f>IF(Notes!CA1226="","",Notes!CA1226)</f>
        <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
      <c r="A1231" s="7" t="str">
        <f>IF(Notes!BY1227="","",Notes!BY1227)</f>
        <v/>
      </c>
      <c r="B1231" s="7" t="str">
        <f>IF(Notes!BZ1227="","",Notes!BZ1227)</f>
        <v/>
      </c>
      <c r="C1231" s="7" t="str">
        <f>IF(Notes!CA1227="","",Notes!CA1227)</f>
        <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
      <c r="A1232" s="7" t="str">
        <f>IF(Notes!BY1228="","",Notes!BY1228)</f>
        <v/>
      </c>
      <c r="B1232" s="7" t="str">
        <f>IF(Notes!BZ1228="","",Notes!BZ1228)</f>
        <v/>
      </c>
      <c r="C1232" s="7" t="str">
        <f>IF(Notes!CA1228="","",Notes!CA1228)</f>
        <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
      <c r="A1233" s="7" t="str">
        <f>IF(Notes!BY1229="","",Notes!BY1229)</f>
        <v/>
      </c>
      <c r="B1233" s="7" t="str">
        <f>IF(Notes!BZ1229="","",Notes!BZ1229)</f>
        <v/>
      </c>
      <c r="C1233" s="7" t="str">
        <f>IF(Notes!CA1229="","",Notes!CA1229)</f>
        <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
      <c r="A1234" s="7" t="str">
        <f>IF(Notes!BY1230="","",Notes!BY1230)</f>
        <v/>
      </c>
      <c r="B1234" s="7" t="str">
        <f>IF(Notes!BZ1230="","",Notes!BZ1230)</f>
        <v/>
      </c>
      <c r="C1234" s="7" t="str">
        <f>IF(Notes!CA1230="","",Notes!CA1230)</f>
        <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
      <c r="A1235" s="7" t="str">
        <f>IF(Notes!BY1231="","",Notes!BY1231)</f>
        <v/>
      </c>
      <c r="B1235" s="7" t="str">
        <f>IF(Notes!BZ1231="","",Notes!BZ1231)</f>
        <v/>
      </c>
      <c r="C1235" s="7" t="str">
        <f>IF(Notes!CA1231="","",Notes!CA1231)</f>
        <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
      <c r="A1236" s="7" t="str">
        <f>IF(Notes!BY1232="","",Notes!BY1232)</f>
        <v/>
      </c>
      <c r="B1236" s="7" t="str">
        <f>IF(Notes!BZ1232="","",Notes!BZ1232)</f>
        <v/>
      </c>
      <c r="C1236" s="7" t="str">
        <f>IF(Notes!CA1232="","",Notes!CA1232)</f>
        <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
      <c r="A1237" s="7" t="str">
        <f>IF(Notes!BY1233="","",Notes!BY1233)</f>
        <v/>
      </c>
      <c r="B1237" s="7" t="str">
        <f>IF(Notes!BZ1233="","",Notes!BZ1233)</f>
        <v/>
      </c>
      <c r="C1237" s="7" t="str">
        <f>IF(Notes!CA1233="","",Notes!CA1233)</f>
        <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
      <c r="A1238" s="7" t="str">
        <f>IF(Notes!BY1234="","",Notes!BY1234)</f>
        <v/>
      </c>
      <c r="B1238" s="7" t="str">
        <f>IF(Notes!BZ1234="","",Notes!BZ1234)</f>
        <v/>
      </c>
      <c r="C1238" s="7" t="str">
        <f>IF(Notes!CA1234="","",Notes!CA1234)</f>
        <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
      <c r="A1239" s="7" t="str">
        <f>IF(Notes!BY1235="","",Notes!BY1235)</f>
        <v/>
      </c>
      <c r="B1239" s="7" t="str">
        <f>IF(Notes!BZ1235="","",Notes!BZ1235)</f>
        <v/>
      </c>
      <c r="C1239" s="7" t="str">
        <f>IF(Notes!CA1235="","",Notes!CA1235)</f>
        <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
      <c r="A1240" s="7" t="str">
        <f>IF(Notes!BY1236="","",Notes!BY1236)</f>
        <v/>
      </c>
      <c r="B1240" s="7" t="str">
        <f>IF(Notes!BZ1236="","",Notes!BZ1236)</f>
        <v/>
      </c>
      <c r="C1240" s="7" t="str">
        <f>IF(Notes!CA1236="","",Notes!CA1236)</f>
        <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
      <c r="A1241" s="7" t="str">
        <f>IF(Notes!BY1237="","",Notes!BY1237)</f>
        <v/>
      </c>
      <c r="B1241" s="7" t="str">
        <f>IF(Notes!BZ1237="","",Notes!BZ1237)</f>
        <v/>
      </c>
      <c r="C1241" s="7" t="str">
        <f>IF(Notes!CA1237="","",Notes!CA1237)</f>
        <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
      <c r="A1242" s="7" t="str">
        <f>IF(Notes!BY1238="","",Notes!BY1238)</f>
        <v/>
      </c>
      <c r="B1242" s="7" t="str">
        <f>IF(Notes!BZ1238="","",Notes!BZ1238)</f>
        <v/>
      </c>
      <c r="C1242" s="7" t="str">
        <f>IF(Notes!CA1238="","",Notes!CA1238)</f>
        <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
      <c r="A1243" s="7" t="str">
        <f>IF(Notes!BY1239="","",Notes!BY1239)</f>
        <v/>
      </c>
      <c r="B1243" s="7" t="str">
        <f>IF(Notes!BZ1239="","",Notes!BZ1239)</f>
        <v/>
      </c>
      <c r="C1243" s="7" t="str">
        <f>IF(Notes!CA1239="","",Notes!CA1239)</f>
        <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
      <c r="A1244" s="7" t="str">
        <f>IF(Notes!BY1240="","",Notes!BY1240)</f>
        <v/>
      </c>
      <c r="B1244" s="7" t="str">
        <f>IF(Notes!BZ1240="","",Notes!BZ1240)</f>
        <v/>
      </c>
      <c r="C1244" s="7" t="str">
        <f>IF(Notes!CA1240="","",Notes!CA1240)</f>
        <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
      <c r="A1245" s="7" t="str">
        <f>IF(Notes!BY1241="","",Notes!BY1241)</f>
        <v/>
      </c>
      <c r="B1245" s="7" t="str">
        <f>IF(Notes!BZ1241="","",Notes!BZ1241)</f>
        <v/>
      </c>
      <c r="C1245" s="7" t="str">
        <f>IF(Notes!CA1241="","",Notes!CA1241)</f>
        <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
      <c r="A1246" s="7" t="str">
        <f>IF(Notes!BY1242="","",Notes!BY1242)</f>
        <v/>
      </c>
      <c r="B1246" s="7" t="str">
        <f>IF(Notes!BZ1242="","",Notes!BZ1242)</f>
        <v/>
      </c>
      <c r="C1246" s="7" t="str">
        <f>IF(Notes!CA1242="","",Notes!CA1242)</f>
        <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
      <c r="A1247" s="7" t="str">
        <f>IF(Notes!BY1243="","",Notes!BY1243)</f>
        <v/>
      </c>
      <c r="B1247" s="7" t="str">
        <f>IF(Notes!BZ1243="","",Notes!BZ1243)</f>
        <v/>
      </c>
      <c r="C1247" s="7" t="str">
        <f>IF(Notes!CA1243="","",Notes!CA1243)</f>
        <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
      <c r="A1248" s="7" t="str">
        <f>IF(Notes!BY1244="","",Notes!BY1244)</f>
        <v/>
      </c>
      <c r="B1248" s="7" t="str">
        <f>IF(Notes!BZ1244="","",Notes!BZ1244)</f>
        <v/>
      </c>
      <c r="C1248" s="7" t="str">
        <f>IF(Notes!CA1244="","",Notes!CA1244)</f>
        <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
      <c r="A1249" s="7" t="str">
        <f>IF(Notes!BY1245="","",Notes!BY1245)</f>
        <v/>
      </c>
      <c r="B1249" s="7" t="str">
        <f>IF(Notes!BZ1245="","",Notes!BZ1245)</f>
        <v/>
      </c>
      <c r="C1249" s="7" t="str">
        <f>IF(Notes!CA1245="","",Notes!CA1245)</f>
        <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
      <c r="A1250" s="7" t="str">
        <f>IF(Notes!BY1246="","",Notes!BY1246)</f>
        <v/>
      </c>
      <c r="B1250" s="7" t="str">
        <f>IF(Notes!BZ1246="","",Notes!BZ1246)</f>
        <v/>
      </c>
      <c r="C1250" s="7" t="str">
        <f>IF(Notes!CA1246="","",Notes!CA1246)</f>
        <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
      <c r="A1251" s="7" t="str">
        <f>IF(Notes!BY1247="","",Notes!BY1247)</f>
        <v/>
      </c>
      <c r="B1251" s="7" t="str">
        <f>IF(Notes!BZ1247="","",Notes!BZ1247)</f>
        <v/>
      </c>
      <c r="C1251" s="7" t="str">
        <f>IF(Notes!CA1247="","",Notes!CA1247)</f>
        <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
      <c r="A1252" s="7" t="str">
        <f>IF(Notes!BY1248="","",Notes!BY1248)</f>
        <v/>
      </c>
      <c r="B1252" s="7" t="str">
        <f>IF(Notes!BZ1248="","",Notes!BZ1248)</f>
        <v/>
      </c>
      <c r="C1252" s="7" t="str">
        <f>IF(Notes!CA1248="","",Notes!CA1248)</f>
        <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
      <c r="A1253" s="7" t="str">
        <f>IF(Notes!BY1249="","",Notes!BY1249)</f>
        <v/>
      </c>
      <c r="B1253" s="7" t="str">
        <f>IF(Notes!BZ1249="","",Notes!BZ1249)</f>
        <v/>
      </c>
      <c r="C1253" s="7" t="str">
        <f>IF(Notes!CA1249="","",Notes!CA1249)</f>
        <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
      <c r="A1254" s="7" t="str">
        <f>IF(Notes!BY1250="","",Notes!BY1250)</f>
        <v/>
      </c>
      <c r="B1254" s="7" t="str">
        <f>IF(Notes!BZ1250="","",Notes!BZ1250)</f>
        <v/>
      </c>
      <c r="C1254" s="7" t="str">
        <f>IF(Notes!CA1250="","",Notes!CA1250)</f>
        <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
      <c r="A1255" s="7" t="str">
        <f>IF(Notes!BY1251="","",Notes!BY1251)</f>
        <v/>
      </c>
      <c r="B1255" s="7" t="str">
        <f>IF(Notes!BZ1251="","",Notes!BZ1251)</f>
        <v/>
      </c>
      <c r="C1255" s="7" t="str">
        <f>IF(Notes!CA1251="","",Notes!CA1251)</f>
        <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
      <c r="A1256" s="7" t="str">
        <f>IF(Notes!BY1252="","",Notes!BY1252)</f>
        <v/>
      </c>
      <c r="B1256" s="7" t="str">
        <f>IF(Notes!BZ1252="","",Notes!BZ1252)</f>
        <v/>
      </c>
      <c r="C1256" s="7" t="str">
        <f>IF(Notes!CA1252="","",Notes!CA1252)</f>
        <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
      <c r="A1257" s="7" t="str">
        <f>IF(Notes!BY1253="","",Notes!BY1253)</f>
        <v/>
      </c>
      <c r="B1257" s="7" t="str">
        <f>IF(Notes!BZ1253="","",Notes!BZ1253)</f>
        <v/>
      </c>
      <c r="C1257" s="7" t="str">
        <f>IF(Notes!CA1253="","",Notes!CA1253)</f>
        <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
      <c r="A1258" s="7" t="str">
        <f>IF(Notes!BY1254="","",Notes!BY1254)</f>
        <v/>
      </c>
      <c r="B1258" s="7" t="str">
        <f>IF(Notes!BZ1254="","",Notes!BZ1254)</f>
        <v/>
      </c>
      <c r="C1258" s="7" t="str">
        <f>IF(Notes!CA1254="","",Notes!CA1254)</f>
        <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
      <c r="A1259" s="7" t="str">
        <f>IF(Notes!BY1255="","",Notes!BY1255)</f>
        <v/>
      </c>
      <c r="B1259" s="7" t="str">
        <f>IF(Notes!BZ1255="","",Notes!BZ1255)</f>
        <v/>
      </c>
      <c r="C1259" s="7" t="str">
        <f>IF(Notes!CA1255="","",Notes!CA1255)</f>
        <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
      <c r="A1260" s="7" t="str">
        <f>IF(Notes!BY1256="","",Notes!BY1256)</f>
        <v/>
      </c>
      <c r="B1260" s="7" t="str">
        <f>IF(Notes!BZ1256="","",Notes!BZ1256)</f>
        <v/>
      </c>
      <c r="C1260" s="7" t="str">
        <f>IF(Notes!CA1256="","",Notes!CA1256)</f>
        <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
      <c r="A1261" s="7" t="str">
        <f>IF(Notes!BY1257="","",Notes!BY1257)</f>
        <v/>
      </c>
      <c r="B1261" s="7" t="str">
        <f>IF(Notes!BZ1257="","",Notes!BZ1257)</f>
        <v/>
      </c>
      <c r="C1261" s="7" t="str">
        <f>IF(Notes!CA1257="","",Notes!CA1257)</f>
        <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
      <c r="A1262" s="7" t="str">
        <f>IF(Notes!BY1258="","",Notes!BY1258)</f>
        <v/>
      </c>
      <c r="B1262" s="7" t="str">
        <f>IF(Notes!BZ1258="","",Notes!BZ1258)</f>
        <v/>
      </c>
      <c r="C1262" s="7" t="str">
        <f>IF(Notes!CA1258="","",Notes!CA1258)</f>
        <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
      <c r="A1263" s="7" t="str">
        <f>IF(Notes!BY1259="","",Notes!BY1259)</f>
        <v/>
      </c>
      <c r="B1263" s="7" t="str">
        <f>IF(Notes!BZ1259="","",Notes!BZ1259)</f>
        <v/>
      </c>
      <c r="C1263" s="7" t="str">
        <f>IF(Notes!CA1259="","",Notes!CA1259)</f>
        <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
      <c r="A1264" s="7" t="str">
        <f>IF(Notes!BY1260="","",Notes!BY1260)</f>
        <v/>
      </c>
      <c r="B1264" s="7" t="str">
        <f>IF(Notes!BZ1260="","",Notes!BZ1260)</f>
        <v/>
      </c>
      <c r="C1264" s="7" t="str">
        <f>IF(Notes!CA1260="","",Notes!CA1260)</f>
        <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
      <c r="A1265" s="7" t="str">
        <f>IF(Notes!BY1261="","",Notes!BY1261)</f>
        <v/>
      </c>
      <c r="B1265" s="7" t="str">
        <f>IF(Notes!BZ1261="","",Notes!BZ1261)</f>
        <v/>
      </c>
      <c r="C1265" s="7" t="str">
        <f>IF(Notes!CA1261="","",Notes!CA1261)</f>
        <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
      <c r="A1266" s="7" t="str">
        <f>IF(Notes!BY1262="","",Notes!BY1262)</f>
        <v/>
      </c>
      <c r="B1266" s="7" t="str">
        <f>IF(Notes!BZ1262="","",Notes!BZ1262)</f>
        <v/>
      </c>
      <c r="C1266" s="7" t="str">
        <f>IF(Notes!CA1262="","",Notes!CA1262)</f>
        <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
      <c r="A1267" s="7" t="str">
        <f>IF(Notes!BY1263="","",Notes!BY1263)</f>
        <v/>
      </c>
      <c r="B1267" s="7" t="str">
        <f>IF(Notes!BZ1263="","",Notes!BZ1263)</f>
        <v/>
      </c>
      <c r="C1267" s="7" t="str">
        <f>IF(Notes!CA1263="","",Notes!CA1263)</f>
        <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
      <c r="A1268" s="7" t="str">
        <f>IF(Notes!BY1264="","",Notes!BY1264)</f>
        <v/>
      </c>
      <c r="B1268" s="7" t="str">
        <f>IF(Notes!BZ1264="","",Notes!BZ1264)</f>
        <v/>
      </c>
      <c r="C1268" s="7" t="str">
        <f>IF(Notes!CA1264="","",Notes!CA1264)</f>
        <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
      <c r="A1269" s="7" t="str">
        <f>IF(Notes!BY1265="","",Notes!BY1265)</f>
        <v/>
      </c>
      <c r="B1269" s="7" t="str">
        <f>IF(Notes!BZ1265="","",Notes!BZ1265)</f>
        <v/>
      </c>
      <c r="C1269" s="7" t="str">
        <f>IF(Notes!CA1265="","",Notes!CA1265)</f>
        <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
      <c r="A1270" s="7" t="str">
        <f>IF(Notes!BY1266="","",Notes!BY1266)</f>
        <v/>
      </c>
      <c r="B1270" s="7" t="str">
        <f>IF(Notes!BZ1266="","",Notes!BZ1266)</f>
        <v/>
      </c>
      <c r="C1270" s="7" t="str">
        <f>IF(Notes!CA1266="","",Notes!CA1266)</f>
        <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
      <c r="A1271" s="7" t="str">
        <f>IF(Notes!BY1267="","",Notes!BY1267)</f>
        <v/>
      </c>
      <c r="B1271" s="7" t="str">
        <f>IF(Notes!BZ1267="","",Notes!BZ1267)</f>
        <v/>
      </c>
      <c r="C1271" s="7" t="str">
        <f>IF(Notes!CA1267="","",Notes!CA1267)</f>
        <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
      <c r="A1272" s="7" t="str">
        <f>IF(Notes!BY1268="","",Notes!BY1268)</f>
        <v/>
      </c>
      <c r="B1272" s="7" t="str">
        <f>IF(Notes!BZ1268="","",Notes!BZ1268)</f>
        <v/>
      </c>
      <c r="C1272" s="7" t="str">
        <f>IF(Notes!CA1268="","",Notes!CA1268)</f>
        <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
      <c r="A1273" s="7" t="str">
        <f>IF(Notes!BY1269="","",Notes!BY1269)</f>
        <v/>
      </c>
      <c r="B1273" s="7" t="str">
        <f>IF(Notes!BZ1269="","",Notes!BZ1269)</f>
        <v/>
      </c>
      <c r="C1273" s="7" t="str">
        <f>IF(Notes!CA1269="","",Notes!CA1269)</f>
        <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
      <c r="A1274" s="7" t="str">
        <f>IF(Notes!BY1270="","",Notes!BY1270)</f>
        <v/>
      </c>
      <c r="B1274" s="7" t="str">
        <f>IF(Notes!BZ1270="","",Notes!BZ1270)</f>
        <v/>
      </c>
      <c r="C1274" s="7" t="str">
        <f>IF(Notes!CA1270="","",Notes!CA1270)</f>
        <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
      <c r="A1275" s="7" t="str">
        <f>IF(Notes!BY1271="","",Notes!BY1271)</f>
        <v/>
      </c>
      <c r="B1275" s="7" t="str">
        <f>IF(Notes!BZ1271="","",Notes!BZ1271)</f>
        <v/>
      </c>
      <c r="C1275" s="7" t="str">
        <f>IF(Notes!CA1271="","",Notes!CA1271)</f>
        <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
      <c r="A1276" s="7" t="str">
        <f>IF(Notes!BY1272="","",Notes!BY1272)</f>
        <v/>
      </c>
      <c r="B1276" s="7" t="str">
        <f>IF(Notes!BZ1272="","",Notes!BZ1272)</f>
        <v/>
      </c>
      <c r="C1276" s="7" t="str">
        <f>IF(Notes!CA1272="","",Notes!CA1272)</f>
        <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
      <c r="A1277" s="7" t="str">
        <f>IF(Notes!BY1273="","",Notes!BY1273)</f>
        <v/>
      </c>
      <c r="B1277" s="7" t="str">
        <f>IF(Notes!BZ1273="","",Notes!BZ1273)</f>
        <v/>
      </c>
      <c r="C1277" s="7" t="str">
        <f>IF(Notes!CA1273="","",Notes!CA1273)</f>
        <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
      <c r="A1278" s="7" t="str">
        <f>IF(Notes!BY1274="","",Notes!BY1274)</f>
        <v/>
      </c>
      <c r="B1278" s="7" t="str">
        <f>IF(Notes!BZ1274="","",Notes!BZ1274)</f>
        <v/>
      </c>
      <c r="C1278" s="7" t="str">
        <f>IF(Notes!CA1274="","",Notes!CA1274)</f>
        <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
      <c r="A1279" s="7" t="str">
        <f>IF(Notes!BY1275="","",Notes!BY1275)</f>
        <v/>
      </c>
      <c r="B1279" s="7" t="str">
        <f>IF(Notes!BZ1275="","",Notes!BZ1275)</f>
        <v/>
      </c>
      <c r="C1279" s="7" t="str">
        <f>IF(Notes!CA1275="","",Notes!CA1275)</f>
        <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
      <c r="A1280" s="7" t="str">
        <f>IF(Notes!BY1276="","",Notes!BY1276)</f>
        <v/>
      </c>
      <c r="B1280" s="7" t="str">
        <f>IF(Notes!BZ1276="","",Notes!BZ1276)</f>
        <v/>
      </c>
      <c r="C1280" s="7" t="str">
        <f>IF(Notes!CA1276="","",Notes!CA1276)</f>
        <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
      <c r="A1281" s="7" t="str">
        <f>IF(Notes!BY1277="","",Notes!BY1277)</f>
        <v/>
      </c>
      <c r="B1281" s="7" t="str">
        <f>IF(Notes!BZ1277="","",Notes!BZ1277)</f>
        <v/>
      </c>
      <c r="C1281" s="7" t="str">
        <f>IF(Notes!CA1277="","",Notes!CA1277)</f>
        <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
      <c r="A1282" s="7" t="str">
        <f>IF(Notes!BY1278="","",Notes!BY1278)</f>
        <v/>
      </c>
      <c r="B1282" s="7" t="str">
        <f>IF(Notes!BZ1278="","",Notes!BZ1278)</f>
        <v/>
      </c>
      <c r="C1282" s="7" t="str">
        <f>IF(Notes!CA1278="","",Notes!CA1278)</f>
        <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
      <c r="A1283" s="7" t="str">
        <f>IF(Notes!BY1279="","",Notes!BY1279)</f>
        <v/>
      </c>
      <c r="B1283" s="7" t="str">
        <f>IF(Notes!BZ1279="","",Notes!BZ1279)</f>
        <v/>
      </c>
      <c r="C1283" s="7" t="str">
        <f>IF(Notes!CA1279="","",Notes!CA1279)</f>
        <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
      <c r="A1284" s="7" t="str">
        <f>IF(Notes!BY1280="","",Notes!BY1280)</f>
        <v/>
      </c>
      <c r="B1284" s="7" t="str">
        <f>IF(Notes!BZ1280="","",Notes!BZ1280)</f>
        <v/>
      </c>
      <c r="C1284" s="7" t="str">
        <f>IF(Notes!CA1280="","",Notes!CA1280)</f>
        <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
      <c r="A1285" s="7" t="str">
        <f>IF(Notes!BY1281="","",Notes!BY1281)</f>
        <v/>
      </c>
      <c r="B1285" s="7" t="str">
        <f>IF(Notes!BZ1281="","",Notes!BZ1281)</f>
        <v/>
      </c>
      <c r="C1285" s="7" t="str">
        <f>IF(Notes!CA1281="","",Notes!CA1281)</f>
        <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
      <c r="A1286" s="7" t="str">
        <f>IF(Notes!BY1282="","",Notes!BY1282)</f>
        <v/>
      </c>
      <c r="B1286" s="7" t="str">
        <f>IF(Notes!BZ1282="","",Notes!BZ1282)</f>
        <v/>
      </c>
      <c r="C1286" s="7" t="str">
        <f>IF(Notes!CA1282="","",Notes!CA1282)</f>
        <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
      <c r="A1287" s="7" t="str">
        <f>IF(Notes!BY1283="","",Notes!BY1283)</f>
        <v/>
      </c>
      <c r="B1287" s="7" t="str">
        <f>IF(Notes!BZ1283="","",Notes!BZ1283)</f>
        <v/>
      </c>
      <c r="C1287" s="7" t="str">
        <f>IF(Notes!CA1283="","",Notes!CA1283)</f>
        <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
      <c r="A1288" s="7" t="str">
        <f>IF(Notes!BY1284="","",Notes!BY1284)</f>
        <v/>
      </c>
      <c r="B1288" s="7" t="str">
        <f>IF(Notes!BZ1284="","",Notes!BZ1284)</f>
        <v/>
      </c>
      <c r="C1288" s="7" t="str">
        <f>IF(Notes!CA1284="","",Notes!CA1284)</f>
        <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
      <c r="A1289" s="7" t="str">
        <f>IF(Notes!BY1285="","",Notes!BY1285)</f>
        <v/>
      </c>
      <c r="B1289" s="7" t="str">
        <f>IF(Notes!BZ1285="","",Notes!BZ1285)</f>
        <v/>
      </c>
      <c r="C1289" s="7" t="str">
        <f>IF(Notes!CA1285="","",Notes!CA1285)</f>
        <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
      <c r="A1290" s="7" t="str">
        <f>IF(Notes!BY1286="","",Notes!BY1286)</f>
        <v/>
      </c>
      <c r="B1290" s="7" t="str">
        <f>IF(Notes!BZ1286="","",Notes!BZ1286)</f>
        <v/>
      </c>
      <c r="C1290" s="7" t="str">
        <f>IF(Notes!CA1286="","",Notes!CA1286)</f>
        <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
      <c r="A1291" s="7" t="str">
        <f>IF(Notes!BY1287="","",Notes!BY1287)</f>
        <v/>
      </c>
      <c r="B1291" s="7" t="str">
        <f>IF(Notes!BZ1287="","",Notes!BZ1287)</f>
        <v/>
      </c>
      <c r="C1291" s="7" t="str">
        <f>IF(Notes!CA1287="","",Notes!CA1287)</f>
        <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
      <c r="A1292" s="7" t="str">
        <f>IF(Notes!BY1288="","",Notes!BY1288)</f>
        <v/>
      </c>
      <c r="B1292" s="7" t="str">
        <f>IF(Notes!BZ1288="","",Notes!BZ1288)</f>
        <v/>
      </c>
      <c r="C1292" s="7" t="str">
        <f>IF(Notes!CA1288="","",Notes!CA1288)</f>
        <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
      <c r="A1293" s="7" t="str">
        <f>IF(Notes!BY1289="","",Notes!BY1289)</f>
        <v/>
      </c>
      <c r="B1293" s="7" t="str">
        <f>IF(Notes!BZ1289="","",Notes!BZ1289)</f>
        <v/>
      </c>
      <c r="C1293" s="7" t="str">
        <f>IF(Notes!CA1289="","",Notes!CA1289)</f>
        <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
      <c r="A1294" s="7" t="str">
        <f>IF(Notes!BY1290="","",Notes!BY1290)</f>
        <v/>
      </c>
      <c r="B1294" s="7" t="str">
        <f>IF(Notes!BZ1290="","",Notes!BZ1290)</f>
        <v/>
      </c>
      <c r="C1294" s="7" t="str">
        <f>IF(Notes!CA1290="","",Notes!CA1290)</f>
        <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
      <c r="A1295" s="7" t="str">
        <f>IF(Notes!BY1291="","",Notes!BY1291)</f>
        <v/>
      </c>
      <c r="B1295" s="7" t="str">
        <f>IF(Notes!BZ1291="","",Notes!BZ1291)</f>
        <v/>
      </c>
      <c r="C1295" s="7" t="str">
        <f>IF(Notes!CA1291="","",Notes!CA1291)</f>
        <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
      <c r="A1296" s="7" t="str">
        <f>IF(Notes!BY1292="","",Notes!BY1292)</f>
        <v/>
      </c>
      <c r="B1296" s="7" t="str">
        <f>IF(Notes!BZ1292="","",Notes!BZ1292)</f>
        <v/>
      </c>
      <c r="C1296" s="7" t="str">
        <f>IF(Notes!CA1292="","",Notes!CA1292)</f>
        <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
      <c r="A1297" s="7" t="str">
        <f>IF(Notes!BY1293="","",Notes!BY1293)</f>
        <v/>
      </c>
      <c r="B1297" s="7" t="str">
        <f>IF(Notes!BZ1293="","",Notes!BZ1293)</f>
        <v/>
      </c>
      <c r="C1297" s="7" t="str">
        <f>IF(Notes!CA1293="","",Notes!CA1293)</f>
        <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
      <c r="A1298" s="7" t="str">
        <f>IF(Notes!BY1294="","",Notes!BY1294)</f>
        <v/>
      </c>
      <c r="B1298" s="7" t="str">
        <f>IF(Notes!BZ1294="","",Notes!BZ1294)</f>
        <v/>
      </c>
      <c r="C1298" s="7" t="str">
        <f>IF(Notes!CA1294="","",Notes!CA1294)</f>
        <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
      <c r="A1299" s="7" t="str">
        <f>IF(Notes!BY1295="","",Notes!BY1295)</f>
        <v/>
      </c>
      <c r="B1299" s="7" t="str">
        <f>IF(Notes!BZ1295="","",Notes!BZ1295)</f>
        <v/>
      </c>
      <c r="C1299" s="7" t="str">
        <f>IF(Notes!CA1295="","",Notes!CA1295)</f>
        <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
      <c r="A1300" s="7" t="str">
        <f>IF(Notes!BY1296="","",Notes!BY1296)</f>
        <v/>
      </c>
      <c r="B1300" s="7" t="str">
        <f>IF(Notes!BZ1296="","",Notes!BZ1296)</f>
        <v/>
      </c>
      <c r="C1300" s="7" t="str">
        <f>IF(Notes!CA1296="","",Notes!CA1296)</f>
        <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
      <c r="A1301" s="7" t="str">
        <f>IF(Notes!BY1297="","",Notes!BY1297)</f>
        <v/>
      </c>
      <c r="B1301" s="7" t="str">
        <f>IF(Notes!BZ1297="","",Notes!BZ1297)</f>
        <v/>
      </c>
      <c r="C1301" s="7" t="str">
        <f>IF(Notes!CA1297="","",Notes!CA1297)</f>
        <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
      <c r="A1302" s="7" t="str">
        <f>IF(Notes!BY1298="","",Notes!BY1298)</f>
        <v/>
      </c>
      <c r="B1302" s="7" t="str">
        <f>IF(Notes!BZ1298="","",Notes!BZ1298)</f>
        <v/>
      </c>
      <c r="C1302" s="7" t="str">
        <f>IF(Notes!CA1298="","",Notes!CA1298)</f>
        <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
      <c r="A1303" s="7" t="str">
        <f>IF(Notes!BY1299="","",Notes!BY1299)</f>
        <v/>
      </c>
      <c r="B1303" s="7" t="str">
        <f>IF(Notes!BZ1299="","",Notes!BZ1299)</f>
        <v/>
      </c>
      <c r="C1303" s="7" t="str">
        <f>IF(Notes!CA1299="","",Notes!CA1299)</f>
        <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
      <c r="A1304" s="7" t="str">
        <f>IF(Notes!BY1300="","",Notes!BY1300)</f>
        <v/>
      </c>
      <c r="B1304" s="7" t="str">
        <f>IF(Notes!BZ1300="","",Notes!BZ1300)</f>
        <v/>
      </c>
      <c r="C1304" s="7" t="str">
        <f>IF(Notes!CA1300="","",Notes!CA1300)</f>
        <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
      <c r="A1305" s="7" t="str">
        <f>IF(Notes!BY1301="","",Notes!BY1301)</f>
        <v/>
      </c>
      <c r="B1305" s="7" t="str">
        <f>IF(Notes!BZ1301="","",Notes!BZ1301)</f>
        <v/>
      </c>
      <c r="C1305" s="7" t="str">
        <f>IF(Notes!CA1301="","",Notes!CA1301)</f>
        <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
      <c r="A1306" s="7" t="str">
        <f>IF(Notes!BY1302="","",Notes!BY1302)</f>
        <v/>
      </c>
      <c r="B1306" s="7" t="str">
        <f>IF(Notes!BZ1302="","",Notes!BZ1302)</f>
        <v/>
      </c>
      <c r="C1306" s="7" t="str">
        <f>IF(Notes!CA1302="","",Notes!CA1302)</f>
        <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
      <c r="A1307" s="7" t="str">
        <f>IF(Notes!BY1303="","",Notes!BY1303)</f>
        <v/>
      </c>
      <c r="B1307" s="7" t="str">
        <f>IF(Notes!BZ1303="","",Notes!BZ1303)</f>
        <v/>
      </c>
      <c r="C1307" s="7" t="str">
        <f>IF(Notes!CA1303="","",Notes!CA1303)</f>
        <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
      <c r="A1308" s="7" t="str">
        <f>IF(Notes!BY1304="","",Notes!BY1304)</f>
        <v/>
      </c>
      <c r="B1308" s="7" t="str">
        <f>IF(Notes!BZ1304="","",Notes!BZ1304)</f>
        <v/>
      </c>
      <c r="C1308" s="7" t="str">
        <f>IF(Notes!CA1304="","",Notes!CA1304)</f>
        <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
      <c r="A1309" s="7" t="str">
        <f>IF(Notes!BY1305="","",Notes!BY1305)</f>
        <v/>
      </c>
      <c r="B1309" s="7" t="str">
        <f>IF(Notes!BZ1305="","",Notes!BZ1305)</f>
        <v/>
      </c>
      <c r="C1309" s="7" t="str">
        <f>IF(Notes!CA1305="","",Notes!CA1305)</f>
        <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
      <c r="A1310" s="7" t="str">
        <f>IF(Notes!BY1306="","",Notes!BY1306)</f>
        <v/>
      </c>
      <c r="B1310" s="7" t="str">
        <f>IF(Notes!BZ1306="","",Notes!BZ1306)</f>
        <v/>
      </c>
      <c r="C1310" s="7" t="str">
        <f>IF(Notes!CA1306="","",Notes!CA1306)</f>
        <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
      <c r="A1311" s="7" t="str">
        <f>IF(Notes!BY1307="","",Notes!BY1307)</f>
        <v/>
      </c>
      <c r="B1311" s="7" t="str">
        <f>IF(Notes!BZ1307="","",Notes!BZ1307)</f>
        <v/>
      </c>
      <c r="C1311" s="7" t="str">
        <f>IF(Notes!CA1307="","",Notes!CA1307)</f>
        <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
      <c r="A1312" s="7" t="str">
        <f>IF(Notes!BY1308="","",Notes!BY1308)</f>
        <v/>
      </c>
      <c r="B1312" s="7" t="str">
        <f>IF(Notes!BZ1308="","",Notes!BZ1308)</f>
        <v/>
      </c>
      <c r="C1312" s="7" t="str">
        <f>IF(Notes!CA1308="","",Notes!CA1308)</f>
        <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
      <c r="A1313" s="7" t="str">
        <f>IF(Notes!BY1309="","",Notes!BY1309)</f>
        <v/>
      </c>
      <c r="B1313" s="7" t="str">
        <f>IF(Notes!BZ1309="","",Notes!BZ1309)</f>
        <v/>
      </c>
      <c r="C1313" s="7" t="str">
        <f>IF(Notes!CA1309="","",Notes!CA1309)</f>
        <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
      <c r="A1314" s="7" t="str">
        <f>IF(Notes!BY1310="","",Notes!BY1310)</f>
        <v/>
      </c>
      <c r="B1314" s="7" t="str">
        <f>IF(Notes!BZ1310="","",Notes!BZ1310)</f>
        <v/>
      </c>
      <c r="C1314" s="7" t="str">
        <f>IF(Notes!CA1310="","",Notes!CA1310)</f>
        <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
      <c r="A1315" s="7" t="str">
        <f>IF(Notes!BY1311="","",Notes!BY1311)</f>
        <v/>
      </c>
      <c r="B1315" s="7" t="str">
        <f>IF(Notes!BZ1311="","",Notes!BZ1311)</f>
        <v/>
      </c>
      <c r="C1315" s="7" t="str">
        <f>IF(Notes!CA1311="","",Notes!CA1311)</f>
        <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
      <c r="A1316" s="7" t="str">
        <f>IF(Notes!BY1312="","",Notes!BY1312)</f>
        <v/>
      </c>
      <c r="B1316" s="7" t="str">
        <f>IF(Notes!BZ1312="","",Notes!BZ1312)</f>
        <v/>
      </c>
      <c r="C1316" s="7" t="str">
        <f>IF(Notes!CA1312="","",Notes!CA1312)</f>
        <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
      <c r="A1317" s="7" t="str">
        <f>IF(Notes!BY1313="","",Notes!BY1313)</f>
        <v/>
      </c>
      <c r="B1317" s="7" t="str">
        <f>IF(Notes!BZ1313="","",Notes!BZ1313)</f>
        <v/>
      </c>
      <c r="C1317" s="7" t="str">
        <f>IF(Notes!CA1313="","",Notes!CA1313)</f>
        <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
      <c r="A1318" s="7" t="str">
        <f>IF(Notes!BY1314="","",Notes!BY1314)</f>
        <v/>
      </c>
      <c r="B1318" s="7" t="str">
        <f>IF(Notes!BZ1314="","",Notes!BZ1314)</f>
        <v/>
      </c>
      <c r="C1318" s="7" t="str">
        <f>IF(Notes!CA1314="","",Notes!CA1314)</f>
        <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
      <c r="A1319" s="7" t="str">
        <f>IF(Notes!BY1315="","",Notes!BY1315)</f>
        <v/>
      </c>
      <c r="B1319" s="7" t="str">
        <f>IF(Notes!BZ1315="","",Notes!BZ1315)</f>
        <v/>
      </c>
      <c r="C1319" s="7" t="str">
        <f>IF(Notes!CA1315="","",Notes!CA1315)</f>
        <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
      <c r="A1320" s="7" t="str">
        <f>IF(Notes!BY1316="","",Notes!BY1316)</f>
        <v/>
      </c>
      <c r="B1320" s="7" t="str">
        <f>IF(Notes!BZ1316="","",Notes!BZ1316)</f>
        <v/>
      </c>
      <c r="C1320" s="7" t="str">
        <f>IF(Notes!CA1316="","",Notes!CA1316)</f>
        <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
      <c r="A1321" s="7" t="str">
        <f>IF(Notes!BY1317="","",Notes!BY1317)</f>
        <v/>
      </c>
      <c r="B1321" s="7" t="str">
        <f>IF(Notes!BZ1317="","",Notes!BZ1317)</f>
        <v/>
      </c>
      <c r="C1321" s="7" t="str">
        <f>IF(Notes!CA1317="","",Notes!CA1317)</f>
        <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
      <c r="A1322" s="7" t="str">
        <f>IF(Notes!BY1318="","",Notes!BY1318)</f>
        <v/>
      </c>
      <c r="B1322" s="7" t="str">
        <f>IF(Notes!BZ1318="","",Notes!BZ1318)</f>
        <v/>
      </c>
      <c r="C1322" s="7" t="str">
        <f>IF(Notes!CA1318="","",Notes!CA1318)</f>
        <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
      <c r="A1323" s="7" t="str">
        <f>IF(Notes!BY1319="","",Notes!BY1319)</f>
        <v/>
      </c>
      <c r="B1323" s="7" t="str">
        <f>IF(Notes!BZ1319="","",Notes!BZ1319)</f>
        <v/>
      </c>
      <c r="C1323" s="7" t="str">
        <f>IF(Notes!CA1319="","",Notes!CA1319)</f>
        <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
      <c r="A1324" s="7" t="str">
        <f>IF(Notes!BY1320="","",Notes!BY1320)</f>
        <v/>
      </c>
      <c r="B1324" s="7" t="str">
        <f>IF(Notes!BZ1320="","",Notes!BZ1320)</f>
        <v/>
      </c>
      <c r="C1324" s="7" t="str">
        <f>IF(Notes!CA1320="","",Notes!CA1320)</f>
        <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
      <c r="A1325" s="7" t="str">
        <f>IF(Notes!BY1321="","",Notes!BY1321)</f>
        <v/>
      </c>
      <c r="B1325" s="7" t="str">
        <f>IF(Notes!BZ1321="","",Notes!BZ1321)</f>
        <v/>
      </c>
      <c r="C1325" s="7" t="str">
        <f>IF(Notes!CA1321="","",Notes!CA1321)</f>
        <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
      <c r="A1326" s="7" t="str">
        <f>IF(Notes!BY1322="","",Notes!BY1322)</f>
        <v/>
      </c>
      <c r="B1326" s="7" t="str">
        <f>IF(Notes!BZ1322="","",Notes!BZ1322)</f>
        <v/>
      </c>
      <c r="C1326" s="7" t="str">
        <f>IF(Notes!CA1322="","",Notes!CA1322)</f>
        <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
      <c r="A1327" s="7" t="str">
        <f>IF(Notes!BY1323="","",Notes!BY1323)</f>
        <v/>
      </c>
      <c r="B1327" s="7" t="str">
        <f>IF(Notes!BZ1323="","",Notes!BZ1323)</f>
        <v/>
      </c>
      <c r="C1327" s="7" t="str">
        <f>IF(Notes!CA1323="","",Notes!CA1323)</f>
        <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
      <c r="A1328" s="7" t="str">
        <f>IF(Notes!BY1324="","",Notes!BY1324)</f>
        <v/>
      </c>
      <c r="B1328" s="7" t="str">
        <f>IF(Notes!BZ1324="","",Notes!BZ1324)</f>
        <v/>
      </c>
      <c r="C1328" s="7" t="str">
        <f>IF(Notes!CA1324="","",Notes!CA1324)</f>
        <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
      <c r="A1329" s="7" t="str">
        <f>IF(Notes!BY1325="","",Notes!BY1325)</f>
        <v/>
      </c>
      <c r="B1329" s="7" t="str">
        <f>IF(Notes!BZ1325="","",Notes!BZ1325)</f>
        <v/>
      </c>
      <c r="C1329" s="7" t="str">
        <f>IF(Notes!CA1325="","",Notes!CA1325)</f>
        <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
      <c r="A1330" s="7" t="str">
        <f>IF(Notes!BY1326="","",Notes!BY1326)</f>
        <v/>
      </c>
      <c r="B1330" s="7" t="str">
        <f>IF(Notes!BZ1326="","",Notes!BZ1326)</f>
        <v/>
      </c>
      <c r="C1330" s="7" t="str">
        <f>IF(Notes!CA1326="","",Notes!CA1326)</f>
        <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
      <c r="A1331" s="7" t="str">
        <f>IF(Notes!BY1327="","",Notes!BY1327)</f>
        <v/>
      </c>
      <c r="B1331" s="7" t="str">
        <f>IF(Notes!BZ1327="","",Notes!BZ1327)</f>
        <v/>
      </c>
      <c r="C1331" s="7" t="str">
        <f>IF(Notes!CA1327="","",Notes!CA1327)</f>
        <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
      <c r="A1332" s="7" t="str">
        <f>IF(Notes!BY1328="","",Notes!BY1328)</f>
        <v/>
      </c>
      <c r="B1332" s="7" t="str">
        <f>IF(Notes!BZ1328="","",Notes!BZ1328)</f>
        <v/>
      </c>
      <c r="C1332" s="7" t="str">
        <f>IF(Notes!CA1328="","",Notes!CA1328)</f>
        <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
      <c r="A1333" s="7" t="str">
        <f>IF(Notes!BY1329="","",Notes!BY1329)</f>
        <v/>
      </c>
      <c r="B1333" s="7" t="str">
        <f>IF(Notes!BZ1329="","",Notes!BZ1329)</f>
        <v/>
      </c>
      <c r="C1333" s="7" t="str">
        <f>IF(Notes!CA1329="","",Notes!CA1329)</f>
        <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
      <c r="A1334" s="7" t="str">
        <f>IF(Notes!BY1330="","",Notes!BY1330)</f>
        <v/>
      </c>
      <c r="B1334" s="7" t="str">
        <f>IF(Notes!BZ1330="","",Notes!BZ1330)</f>
        <v/>
      </c>
      <c r="C1334" s="7" t="str">
        <f>IF(Notes!CA1330="","",Notes!CA1330)</f>
        <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
      <c r="A1335" s="7" t="str">
        <f>IF(Notes!BY1331="","",Notes!BY1331)</f>
        <v/>
      </c>
      <c r="B1335" s="7" t="str">
        <f>IF(Notes!BZ1331="","",Notes!BZ1331)</f>
        <v/>
      </c>
      <c r="C1335" s="7" t="str">
        <f>IF(Notes!CA1331="","",Notes!CA1331)</f>
        <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
      <c r="A1336" s="7" t="str">
        <f>IF(Notes!BY1332="","",Notes!BY1332)</f>
        <v/>
      </c>
      <c r="B1336" s="7" t="str">
        <f>IF(Notes!BZ1332="","",Notes!BZ1332)</f>
        <v/>
      </c>
      <c r="C1336" s="7" t="str">
        <f>IF(Notes!CA1332="","",Notes!CA1332)</f>
        <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
      <c r="A1337" s="7" t="str">
        <f>IF(Notes!BY1333="","",Notes!BY1333)</f>
        <v/>
      </c>
      <c r="B1337" s="7" t="str">
        <f>IF(Notes!BZ1333="","",Notes!BZ1333)</f>
        <v/>
      </c>
      <c r="C1337" s="7" t="str">
        <f>IF(Notes!CA1333="","",Notes!CA1333)</f>
        <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
      <c r="A1338" s="7" t="str">
        <f>IF(Notes!BY1334="","",Notes!BY1334)</f>
        <v/>
      </c>
      <c r="B1338" s="7" t="str">
        <f>IF(Notes!BZ1334="","",Notes!BZ1334)</f>
        <v/>
      </c>
      <c r="C1338" s="7" t="str">
        <f>IF(Notes!CA1334="","",Notes!CA1334)</f>
        <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
      <c r="A1339" s="7" t="str">
        <f>IF(Notes!BY1335="","",Notes!BY1335)</f>
        <v/>
      </c>
      <c r="B1339" s="7" t="str">
        <f>IF(Notes!BZ1335="","",Notes!BZ1335)</f>
        <v/>
      </c>
      <c r="C1339" s="7" t="str">
        <f>IF(Notes!CA1335="","",Notes!CA1335)</f>
        <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
      <c r="A1340" s="7" t="str">
        <f>IF(Notes!BY1336="","",Notes!BY1336)</f>
        <v/>
      </c>
      <c r="B1340" s="7" t="str">
        <f>IF(Notes!BZ1336="","",Notes!BZ1336)</f>
        <v/>
      </c>
      <c r="C1340" s="7" t="str">
        <f>IF(Notes!CA1336="","",Notes!CA1336)</f>
        <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
      <c r="A1341" s="7" t="str">
        <f>IF(Notes!BY1337="","",Notes!BY1337)</f>
        <v/>
      </c>
      <c r="B1341" s="7" t="str">
        <f>IF(Notes!BZ1337="","",Notes!BZ1337)</f>
        <v/>
      </c>
      <c r="C1341" s="7" t="str">
        <f>IF(Notes!CA1337="","",Notes!CA1337)</f>
        <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
      <c r="A1342" s="7" t="str">
        <f>IF(Notes!BY1338="","",Notes!BY1338)</f>
        <v/>
      </c>
      <c r="B1342" s="7" t="str">
        <f>IF(Notes!BZ1338="","",Notes!BZ1338)</f>
        <v/>
      </c>
      <c r="C1342" s="7" t="str">
        <f>IF(Notes!CA1338="","",Notes!CA1338)</f>
        <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
      <c r="A1343" s="7" t="str">
        <f>IF(Notes!BY1339="","",Notes!BY1339)</f>
        <v/>
      </c>
      <c r="B1343" s="7" t="str">
        <f>IF(Notes!BZ1339="","",Notes!BZ1339)</f>
        <v/>
      </c>
      <c r="C1343" s="7" t="str">
        <f>IF(Notes!CA1339="","",Notes!CA1339)</f>
        <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
      <c r="A1344" s="7" t="str">
        <f>IF(Notes!BY1340="","",Notes!BY1340)</f>
        <v/>
      </c>
      <c r="B1344" s="7" t="str">
        <f>IF(Notes!BZ1340="","",Notes!BZ1340)</f>
        <v/>
      </c>
      <c r="C1344" s="7" t="str">
        <f>IF(Notes!CA1340="","",Notes!CA1340)</f>
        <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
      <c r="A1345" s="7" t="str">
        <f>IF(Notes!BY1341="","",Notes!BY1341)</f>
        <v/>
      </c>
      <c r="B1345" s="7" t="str">
        <f>IF(Notes!BZ1341="","",Notes!BZ1341)</f>
        <v/>
      </c>
      <c r="C1345" s="7" t="str">
        <f>IF(Notes!CA1341="","",Notes!CA1341)</f>
        <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
      <c r="A1346" s="7" t="str">
        <f>IF(Notes!BY1342="","",Notes!BY1342)</f>
        <v/>
      </c>
      <c r="B1346" s="7" t="str">
        <f>IF(Notes!BZ1342="","",Notes!BZ1342)</f>
        <v/>
      </c>
      <c r="C1346" s="7" t="str">
        <f>IF(Notes!CA1342="","",Notes!CA1342)</f>
        <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
      <c r="A1347" s="7" t="str">
        <f>IF(Notes!BY1343="","",Notes!BY1343)</f>
        <v/>
      </c>
      <c r="B1347" s="7" t="str">
        <f>IF(Notes!BZ1343="","",Notes!BZ1343)</f>
        <v/>
      </c>
      <c r="C1347" s="7" t="str">
        <f>IF(Notes!CA1343="","",Notes!CA1343)</f>
        <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
      <c r="A1348" s="7" t="str">
        <f>IF(Notes!BY1344="","",Notes!BY1344)</f>
        <v/>
      </c>
      <c r="B1348" s="7" t="str">
        <f>IF(Notes!BZ1344="","",Notes!BZ1344)</f>
        <v/>
      </c>
      <c r="C1348" s="7" t="str">
        <f>IF(Notes!CA1344="","",Notes!CA1344)</f>
        <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
      <c r="A1349" s="7" t="str">
        <f>IF(Notes!BY1345="","",Notes!BY1345)</f>
        <v/>
      </c>
      <c r="B1349" s="7" t="str">
        <f>IF(Notes!BZ1345="","",Notes!BZ1345)</f>
        <v/>
      </c>
      <c r="C1349" s="7" t="str">
        <f>IF(Notes!CA1345="","",Notes!CA1345)</f>
        <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
      <c r="A1350" s="7" t="str">
        <f>IF(Notes!BY1346="","",Notes!BY1346)</f>
        <v/>
      </c>
      <c r="B1350" s="7" t="str">
        <f>IF(Notes!BZ1346="","",Notes!BZ1346)</f>
        <v/>
      </c>
      <c r="C1350" s="7" t="str">
        <f>IF(Notes!CA1346="","",Notes!CA1346)</f>
        <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
      <c r="A1351" s="7" t="str">
        <f>IF(Notes!BY1347="","",Notes!BY1347)</f>
        <v/>
      </c>
      <c r="B1351" s="7" t="str">
        <f>IF(Notes!BZ1347="","",Notes!BZ1347)</f>
        <v/>
      </c>
      <c r="C1351" s="7" t="str">
        <f>IF(Notes!CA1347="","",Notes!CA1347)</f>
        <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
      <c r="A1352" s="7" t="str">
        <f>IF(Notes!BY1348="","",Notes!BY1348)</f>
        <v/>
      </c>
      <c r="B1352" s="7" t="str">
        <f>IF(Notes!BZ1348="","",Notes!BZ1348)</f>
        <v/>
      </c>
      <c r="C1352" s="7" t="str">
        <f>IF(Notes!CA1348="","",Notes!CA1348)</f>
        <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
      <c r="A1353" s="7" t="str">
        <f>IF(Notes!BY1349="","",Notes!BY1349)</f>
        <v/>
      </c>
      <c r="B1353" s="7" t="str">
        <f>IF(Notes!BZ1349="","",Notes!BZ1349)</f>
        <v/>
      </c>
      <c r="C1353" s="7" t="str">
        <f>IF(Notes!CA1349="","",Notes!CA1349)</f>
        <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
      <c r="A1354" s="7" t="str">
        <f>IF(Notes!BY1350="","",Notes!BY1350)</f>
        <v/>
      </c>
      <c r="B1354" s="7" t="str">
        <f>IF(Notes!BZ1350="","",Notes!BZ1350)</f>
        <v/>
      </c>
      <c r="C1354" s="7" t="str">
        <f>IF(Notes!CA1350="","",Notes!CA1350)</f>
        <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
      <c r="A1355" s="7" t="str">
        <f>IF(Notes!BY1351="","",Notes!BY1351)</f>
        <v/>
      </c>
      <c r="B1355" s="7" t="str">
        <f>IF(Notes!BZ1351="","",Notes!BZ1351)</f>
        <v/>
      </c>
      <c r="C1355" s="7" t="str">
        <f>IF(Notes!CA1351="","",Notes!CA1351)</f>
        <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
      <c r="A1356" s="7" t="str">
        <f>IF(Notes!BY1352="","",Notes!BY1352)</f>
        <v/>
      </c>
      <c r="B1356" s="7" t="str">
        <f>IF(Notes!BZ1352="","",Notes!BZ1352)</f>
        <v/>
      </c>
      <c r="C1356" s="7" t="str">
        <f>IF(Notes!CA1352="","",Notes!CA1352)</f>
        <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
      <c r="A1357" s="7" t="str">
        <f>IF(Notes!BY1353="","",Notes!BY1353)</f>
        <v/>
      </c>
      <c r="B1357" s="7" t="str">
        <f>IF(Notes!BZ1353="","",Notes!BZ1353)</f>
        <v/>
      </c>
      <c r="C1357" s="7" t="str">
        <f>IF(Notes!CA1353="","",Notes!CA1353)</f>
        <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
      <c r="A1358" s="7" t="str">
        <f>IF(Notes!BY1354="","",Notes!BY1354)</f>
        <v/>
      </c>
      <c r="B1358" s="7" t="str">
        <f>IF(Notes!BZ1354="","",Notes!BZ1354)</f>
        <v/>
      </c>
      <c r="C1358" s="7" t="str">
        <f>IF(Notes!CA1354="","",Notes!CA1354)</f>
        <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
      <c r="A1359" s="7" t="str">
        <f>IF(Notes!BY1355="","",Notes!BY1355)</f>
        <v/>
      </c>
      <c r="B1359" s="7" t="str">
        <f>IF(Notes!BZ1355="","",Notes!BZ1355)</f>
        <v/>
      </c>
      <c r="C1359" s="7" t="str">
        <f>IF(Notes!CA1355="","",Notes!CA1355)</f>
        <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
      <c r="A1360" s="7" t="str">
        <f>IF(Notes!BY1356="","",Notes!BY1356)</f>
        <v/>
      </c>
      <c r="B1360" s="7" t="str">
        <f>IF(Notes!BZ1356="","",Notes!BZ1356)</f>
        <v/>
      </c>
      <c r="C1360" s="7" t="str">
        <f>IF(Notes!CA1356="","",Notes!CA1356)</f>
        <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
      <c r="A1361" s="7" t="str">
        <f>IF(Notes!BY1357="","",Notes!BY1357)</f>
        <v/>
      </c>
      <c r="B1361" s="7" t="str">
        <f>IF(Notes!BZ1357="","",Notes!BZ1357)</f>
        <v/>
      </c>
      <c r="C1361" s="7" t="str">
        <f>IF(Notes!CA1357="","",Notes!CA1357)</f>
        <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
      <c r="A1362" s="7" t="str">
        <f>IF(Notes!BY1358="","",Notes!BY1358)</f>
        <v/>
      </c>
      <c r="B1362" s="7" t="str">
        <f>IF(Notes!BZ1358="","",Notes!BZ1358)</f>
        <v/>
      </c>
      <c r="C1362" s="7" t="str">
        <f>IF(Notes!CA1358="","",Notes!CA1358)</f>
        <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
      <c r="A1363" s="7" t="str">
        <f>IF(Notes!BY1359="","",Notes!BY1359)</f>
        <v/>
      </c>
      <c r="B1363" s="7" t="str">
        <f>IF(Notes!BZ1359="","",Notes!BZ1359)</f>
        <v/>
      </c>
      <c r="C1363" s="7" t="str">
        <f>IF(Notes!CA1359="","",Notes!CA1359)</f>
        <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
      <c r="A1364" s="7" t="str">
        <f>IF(Notes!BY1360="","",Notes!BY1360)</f>
        <v/>
      </c>
      <c r="B1364" s="7" t="str">
        <f>IF(Notes!BZ1360="","",Notes!BZ1360)</f>
        <v/>
      </c>
      <c r="C1364" s="7" t="str">
        <f>IF(Notes!CA1360="","",Notes!CA1360)</f>
        <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
      <c r="A1365" s="7" t="str">
        <f>IF(Notes!BY1361="","",Notes!BY1361)</f>
        <v/>
      </c>
      <c r="B1365" s="7" t="str">
        <f>IF(Notes!BZ1361="","",Notes!BZ1361)</f>
        <v/>
      </c>
      <c r="C1365" s="7" t="str">
        <f>IF(Notes!CA1361="","",Notes!CA1361)</f>
        <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
      <c r="A1366" s="7" t="str">
        <f>IF(Notes!BY1362="","",Notes!BY1362)</f>
        <v/>
      </c>
      <c r="B1366" s="7" t="str">
        <f>IF(Notes!BZ1362="","",Notes!BZ1362)</f>
        <v/>
      </c>
      <c r="C1366" s="7" t="str">
        <f>IF(Notes!CA1362="","",Notes!CA1362)</f>
        <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
      <c r="A1367" s="7" t="str">
        <f>IF(Notes!BY1363="","",Notes!BY1363)</f>
        <v/>
      </c>
      <c r="B1367" s="7" t="str">
        <f>IF(Notes!BZ1363="","",Notes!BZ1363)</f>
        <v/>
      </c>
      <c r="C1367" s="7" t="str">
        <f>IF(Notes!CA1363="","",Notes!CA1363)</f>
        <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
      <c r="A1368" s="7" t="str">
        <f>IF(Notes!BY1364="","",Notes!BY1364)</f>
        <v/>
      </c>
      <c r="B1368" s="7" t="str">
        <f>IF(Notes!BZ1364="","",Notes!BZ1364)</f>
        <v/>
      </c>
      <c r="C1368" s="7" t="str">
        <f>IF(Notes!CA1364="","",Notes!CA1364)</f>
        <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
      <c r="A1369" s="7" t="str">
        <f>IF(Notes!BY1365="","",Notes!BY1365)</f>
        <v/>
      </c>
      <c r="B1369" s="7" t="str">
        <f>IF(Notes!BZ1365="","",Notes!BZ1365)</f>
        <v/>
      </c>
      <c r="C1369" s="7" t="str">
        <f>IF(Notes!CA1365="","",Notes!CA1365)</f>
        <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
      <c r="A1370" s="7" t="str">
        <f>IF(Notes!BY1366="","",Notes!BY1366)</f>
        <v/>
      </c>
      <c r="B1370" s="7" t="str">
        <f>IF(Notes!BZ1366="","",Notes!BZ1366)</f>
        <v/>
      </c>
      <c r="C1370" s="7" t="str">
        <f>IF(Notes!CA1366="","",Notes!CA1366)</f>
        <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
      <c r="A1371" s="7" t="str">
        <f>IF(Notes!BY1367="","",Notes!BY1367)</f>
        <v/>
      </c>
      <c r="B1371" s="7" t="str">
        <f>IF(Notes!BZ1367="","",Notes!BZ1367)</f>
        <v/>
      </c>
      <c r="C1371" s="7" t="str">
        <f>IF(Notes!CA1367="","",Notes!CA1367)</f>
        <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
      <c r="A1372" s="7" t="str">
        <f>IF(Notes!BY1368="","",Notes!BY1368)</f>
        <v/>
      </c>
      <c r="B1372" s="7" t="str">
        <f>IF(Notes!BZ1368="","",Notes!BZ1368)</f>
        <v/>
      </c>
      <c r="C1372" s="7" t="str">
        <f>IF(Notes!CA1368="","",Notes!CA1368)</f>
        <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
      <c r="A1373" s="7" t="str">
        <f>IF(Notes!BY1369="","",Notes!BY1369)</f>
        <v/>
      </c>
      <c r="B1373" s="7" t="str">
        <f>IF(Notes!BZ1369="","",Notes!BZ1369)</f>
        <v/>
      </c>
      <c r="C1373" s="7" t="str">
        <f>IF(Notes!CA1369="","",Notes!CA1369)</f>
        <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
      <c r="A1374" s="7" t="str">
        <f>IF(Notes!BY1370="","",Notes!BY1370)</f>
        <v/>
      </c>
      <c r="B1374" s="7" t="str">
        <f>IF(Notes!BZ1370="","",Notes!BZ1370)</f>
        <v/>
      </c>
      <c r="C1374" s="7" t="str">
        <f>IF(Notes!CA1370="","",Notes!CA1370)</f>
        <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
      <c r="A1375" s="7" t="str">
        <f>IF(Notes!BY1371="","",Notes!BY1371)</f>
        <v/>
      </c>
      <c r="B1375" s="7" t="str">
        <f>IF(Notes!BZ1371="","",Notes!BZ1371)</f>
        <v/>
      </c>
      <c r="C1375" s="7" t="str">
        <f>IF(Notes!CA1371="","",Notes!CA1371)</f>
        <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
      <c r="A1376" s="7" t="str">
        <f>IF(Notes!BY1372="","",Notes!BY1372)</f>
        <v/>
      </c>
      <c r="B1376" s="7" t="str">
        <f>IF(Notes!BZ1372="","",Notes!BZ1372)</f>
        <v/>
      </c>
      <c r="C1376" s="7" t="str">
        <f>IF(Notes!CA1372="","",Notes!CA1372)</f>
        <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
      <c r="A1377" s="7" t="str">
        <f>IF(Notes!BY1373="","",Notes!BY1373)</f>
        <v/>
      </c>
      <c r="B1377" s="7" t="str">
        <f>IF(Notes!BZ1373="","",Notes!BZ1373)</f>
        <v/>
      </c>
      <c r="C1377" s="7" t="str">
        <f>IF(Notes!CA1373="","",Notes!CA1373)</f>
        <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
      <c r="A1378" s="7" t="str">
        <f>IF(Notes!BY1374="","",Notes!BY1374)</f>
        <v/>
      </c>
      <c r="B1378" s="7" t="str">
        <f>IF(Notes!BZ1374="","",Notes!BZ1374)</f>
        <v/>
      </c>
      <c r="C1378" s="7" t="str">
        <f>IF(Notes!CA1374="","",Notes!CA1374)</f>
        <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
      <c r="A1379" s="7" t="str">
        <f>IF(Notes!BY1375="","",Notes!BY1375)</f>
        <v/>
      </c>
      <c r="B1379" s="7" t="str">
        <f>IF(Notes!BZ1375="","",Notes!BZ1375)</f>
        <v/>
      </c>
      <c r="C1379" s="7" t="str">
        <f>IF(Notes!CA1375="","",Notes!CA1375)</f>
        <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
      <c r="A1380" s="7" t="str">
        <f>IF(Notes!BY1376="","",Notes!BY1376)</f>
        <v/>
      </c>
      <c r="B1380" s="7" t="str">
        <f>IF(Notes!BZ1376="","",Notes!BZ1376)</f>
        <v/>
      </c>
      <c r="C1380" s="7" t="str">
        <f>IF(Notes!CA1376="","",Notes!CA1376)</f>
        <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
      <c r="A1381" s="7" t="str">
        <f>IF(Notes!BY1377="","",Notes!BY1377)</f>
        <v/>
      </c>
      <c r="B1381" s="7" t="str">
        <f>IF(Notes!BZ1377="","",Notes!BZ1377)</f>
        <v/>
      </c>
      <c r="C1381" s="7" t="str">
        <f>IF(Notes!CA1377="","",Notes!CA1377)</f>
        <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
      <c r="A1382" s="7" t="str">
        <f>IF(Notes!BY1378="","",Notes!BY1378)</f>
        <v/>
      </c>
      <c r="B1382" s="7" t="str">
        <f>IF(Notes!BZ1378="","",Notes!BZ1378)</f>
        <v/>
      </c>
      <c r="C1382" s="7" t="str">
        <f>IF(Notes!CA1378="","",Notes!CA1378)</f>
        <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
      <c r="A1383" s="7" t="str">
        <f>IF(Notes!BY1379="","",Notes!BY1379)</f>
        <v/>
      </c>
      <c r="B1383" s="7" t="str">
        <f>IF(Notes!BZ1379="","",Notes!BZ1379)</f>
        <v/>
      </c>
      <c r="C1383" s="7" t="str">
        <f>IF(Notes!CA1379="","",Notes!CA1379)</f>
        <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
      <c r="A1384" s="7" t="str">
        <f>IF(Notes!BY1380="","",Notes!BY1380)</f>
        <v/>
      </c>
      <c r="B1384" s="7" t="str">
        <f>IF(Notes!BZ1380="","",Notes!BZ1380)</f>
        <v/>
      </c>
      <c r="C1384" s="7" t="str">
        <f>IF(Notes!CA1380="","",Notes!CA1380)</f>
        <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
      <c r="A1385" s="7" t="str">
        <f>IF(Notes!BY1381="","",Notes!BY1381)</f>
        <v/>
      </c>
      <c r="B1385" s="7" t="str">
        <f>IF(Notes!BZ1381="","",Notes!BZ1381)</f>
        <v/>
      </c>
      <c r="C1385" s="7" t="str">
        <f>IF(Notes!CA1381="","",Notes!CA1381)</f>
        <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
      <c r="A1386" s="7" t="str">
        <f>IF(Notes!BY1382="","",Notes!BY1382)</f>
        <v/>
      </c>
      <c r="B1386" s="7" t="str">
        <f>IF(Notes!BZ1382="","",Notes!BZ1382)</f>
        <v/>
      </c>
      <c r="C1386" s="7" t="str">
        <f>IF(Notes!CA1382="","",Notes!CA1382)</f>
        <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
      <c r="A1387" s="7" t="str">
        <f>IF(Notes!BY1383="","",Notes!BY1383)</f>
        <v/>
      </c>
      <c r="B1387" s="7" t="str">
        <f>IF(Notes!BZ1383="","",Notes!BZ1383)</f>
        <v/>
      </c>
      <c r="C1387" s="7" t="str">
        <f>IF(Notes!CA1383="","",Notes!CA1383)</f>
        <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
      <c r="A1388" s="7" t="str">
        <f>IF(Notes!BY1384="","",Notes!BY1384)</f>
        <v/>
      </c>
      <c r="B1388" s="7" t="str">
        <f>IF(Notes!BZ1384="","",Notes!BZ1384)</f>
        <v/>
      </c>
      <c r="C1388" s="7" t="str">
        <f>IF(Notes!CA1384="","",Notes!CA1384)</f>
        <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
      <c r="A1389" s="7" t="str">
        <f>IF(Notes!BY1385="","",Notes!BY1385)</f>
        <v/>
      </c>
      <c r="B1389" s="7" t="str">
        <f>IF(Notes!BZ1385="","",Notes!BZ1385)</f>
        <v/>
      </c>
      <c r="C1389" s="7" t="str">
        <f>IF(Notes!CA1385="","",Notes!CA1385)</f>
        <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
      <c r="A1390" s="7" t="str">
        <f>IF(Notes!BY1386="","",Notes!BY1386)</f>
        <v/>
      </c>
      <c r="B1390" s="7" t="str">
        <f>IF(Notes!BZ1386="","",Notes!BZ1386)</f>
        <v/>
      </c>
      <c r="C1390" s="7" t="str">
        <f>IF(Notes!CA1386="","",Notes!CA1386)</f>
        <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
      <c r="A1391" s="7" t="str">
        <f>IF(Notes!BY1387="","",Notes!BY1387)</f>
        <v/>
      </c>
      <c r="B1391" s="7" t="str">
        <f>IF(Notes!BZ1387="","",Notes!BZ1387)</f>
        <v/>
      </c>
      <c r="C1391" s="7" t="str">
        <f>IF(Notes!CA1387="","",Notes!CA1387)</f>
        <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
      <c r="A1392" s="7" t="str">
        <f>IF(Notes!BY1388="","",Notes!BY1388)</f>
        <v/>
      </c>
      <c r="B1392" s="7" t="str">
        <f>IF(Notes!BZ1388="","",Notes!BZ1388)</f>
        <v/>
      </c>
      <c r="C1392" s="7" t="str">
        <f>IF(Notes!CA1388="","",Notes!CA1388)</f>
        <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
      <c r="A1393" s="7" t="str">
        <f>IF(Notes!BY1389="","",Notes!BY1389)</f>
        <v/>
      </c>
      <c r="B1393" s="7" t="str">
        <f>IF(Notes!BZ1389="","",Notes!BZ1389)</f>
        <v/>
      </c>
      <c r="C1393" s="7" t="str">
        <f>IF(Notes!CA1389="","",Notes!CA1389)</f>
        <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
      <c r="A1394" s="7" t="str">
        <f>IF(Notes!BY1390="","",Notes!BY1390)</f>
        <v/>
      </c>
      <c r="B1394" s="7" t="str">
        <f>IF(Notes!BZ1390="","",Notes!BZ1390)</f>
        <v/>
      </c>
      <c r="C1394" s="7" t="str">
        <f>IF(Notes!CA1390="","",Notes!CA1390)</f>
        <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
      <c r="A1395" s="7" t="str">
        <f>IF(Notes!BY1391="","",Notes!BY1391)</f>
        <v/>
      </c>
      <c r="B1395" s="7" t="str">
        <f>IF(Notes!BZ1391="","",Notes!BZ1391)</f>
        <v/>
      </c>
      <c r="C1395" s="7" t="str">
        <f>IF(Notes!CA1391="","",Notes!CA1391)</f>
        <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
      <c r="A1396" s="7" t="str">
        <f>IF(Notes!BY1392="","",Notes!BY1392)</f>
        <v/>
      </c>
      <c r="B1396" s="7" t="str">
        <f>IF(Notes!BZ1392="","",Notes!BZ1392)</f>
        <v/>
      </c>
      <c r="C1396" s="7" t="str">
        <f>IF(Notes!CA1392="","",Notes!CA1392)</f>
        <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
      <c r="A1397" s="7" t="str">
        <f>IF(Notes!BY1393="","",Notes!BY1393)</f>
        <v/>
      </c>
      <c r="B1397" s="7" t="str">
        <f>IF(Notes!BZ1393="","",Notes!BZ1393)</f>
        <v/>
      </c>
      <c r="C1397" s="7" t="str">
        <f>IF(Notes!CA1393="","",Notes!CA1393)</f>
        <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
      <c r="A1398" s="7" t="str">
        <f>IF(Notes!BY1394="","",Notes!BY1394)</f>
        <v/>
      </c>
      <c r="B1398" s="7" t="str">
        <f>IF(Notes!BZ1394="","",Notes!BZ1394)</f>
        <v/>
      </c>
      <c r="C1398" s="7" t="str">
        <f>IF(Notes!CA1394="","",Notes!CA1394)</f>
        <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
      <c r="A1399" s="7" t="str">
        <f>IF(Notes!BY1395="","",Notes!BY1395)</f>
        <v/>
      </c>
      <c r="B1399" s="7" t="str">
        <f>IF(Notes!BZ1395="","",Notes!BZ1395)</f>
        <v/>
      </c>
      <c r="C1399" s="7" t="str">
        <f>IF(Notes!CA1395="","",Notes!CA1395)</f>
        <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
      <c r="A1400" s="7" t="str">
        <f>IF(Notes!BY1396="","",Notes!BY1396)</f>
        <v/>
      </c>
      <c r="B1400" s="7" t="str">
        <f>IF(Notes!BZ1396="","",Notes!BZ1396)</f>
        <v/>
      </c>
      <c r="C1400" s="7" t="str">
        <f>IF(Notes!CA1396="","",Notes!CA1396)</f>
        <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
      <c r="A1401" s="7" t="str">
        <f>IF(Notes!BY1397="","",Notes!BY1397)</f>
        <v/>
      </c>
      <c r="B1401" s="7" t="str">
        <f>IF(Notes!BZ1397="","",Notes!BZ1397)</f>
        <v/>
      </c>
      <c r="C1401" s="7" t="str">
        <f>IF(Notes!CA1397="","",Notes!CA1397)</f>
        <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
      <c r="A1402" s="7" t="str">
        <f>IF(Notes!BY1398="","",Notes!BY1398)</f>
        <v/>
      </c>
      <c r="B1402" s="7" t="str">
        <f>IF(Notes!BZ1398="","",Notes!BZ1398)</f>
        <v/>
      </c>
      <c r="C1402" s="7" t="str">
        <f>IF(Notes!CA1398="","",Notes!CA1398)</f>
        <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
      <c r="A1403" s="7" t="str">
        <f>IF(Notes!BY1399="","",Notes!BY1399)</f>
        <v/>
      </c>
      <c r="B1403" s="7" t="str">
        <f>IF(Notes!BZ1399="","",Notes!BZ1399)</f>
        <v/>
      </c>
      <c r="C1403" s="7" t="str">
        <f>IF(Notes!CA1399="","",Notes!CA1399)</f>
        <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
      <c r="A1404" s="7" t="str">
        <f>IF(Notes!BY1400="","",Notes!BY1400)</f>
        <v/>
      </c>
      <c r="B1404" s="7" t="str">
        <f>IF(Notes!BZ1400="","",Notes!BZ1400)</f>
        <v/>
      </c>
      <c r="C1404" s="7" t="str">
        <f>IF(Notes!CA1400="","",Notes!CA1400)</f>
        <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
      <c r="A1405" s="7" t="str">
        <f>IF(Notes!BY1401="","",Notes!BY1401)</f>
        <v/>
      </c>
      <c r="B1405" s="7" t="str">
        <f>IF(Notes!BZ1401="","",Notes!BZ1401)</f>
        <v/>
      </c>
      <c r="C1405" s="7" t="str">
        <f>IF(Notes!CA1401="","",Notes!CA1401)</f>
        <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
      <c r="A1406" s="7" t="str">
        <f>IF(Notes!BY1402="","",Notes!BY1402)</f>
        <v/>
      </c>
      <c r="B1406" s="7" t="str">
        <f>IF(Notes!BZ1402="","",Notes!BZ1402)</f>
        <v/>
      </c>
      <c r="C1406" s="7" t="str">
        <f>IF(Notes!CA1402="","",Notes!CA1402)</f>
        <v/>
      </c>
      <c r="D1406" s="7" t="str">
        <f>IF(Notes!CB1402="","",Notes!CB1402)</f>
        <v/>
      </c>
      <c r="E1406" s="7" t="str">
        <f>IF(Notes!CC1402="","",Notes!CC1402)</f>
        <v/>
      </c>
      <c r="F1406" s="7" t="str">
        <f>IF(Notes!CD1402="","",Notes!CD1402)</f>
        <v/>
      </c>
      <c r="G1406" s="7" t="str">
        <f>IF(Notes!CE1402="","",Notes!CE1402)</f>
        <v/>
      </c>
      <c r="H1406" s="7" t="str">
        <f>IF(Notes!CF1402="","",Notes!CF1402)</f>
        <v/>
      </c>
      <c r="I1406" s="7"/>
      <c r="J1406" s="7"/>
      <c r="K1406" s="7"/>
    </row>
    <row r="1407" spans="1:11" x14ac:dyDescent="0.3">
      <c r="A1407" s="7" t="str">
        <f>IF(Notes!BY1403="","",Notes!BY1403)</f>
        <v/>
      </c>
      <c r="B1407" s="7" t="str">
        <f>IF(Notes!BZ1403="","",Notes!BZ1403)</f>
        <v/>
      </c>
      <c r="C1407" s="7" t="str">
        <f>IF(Notes!CA1403="","",Notes!CA1403)</f>
        <v/>
      </c>
      <c r="D1407" s="7" t="str">
        <f>IF(Notes!CB1403="","",Notes!CB1403)</f>
        <v/>
      </c>
      <c r="E1407" s="7" t="str">
        <f>IF(Notes!CC1403="","",Notes!CC1403)</f>
        <v/>
      </c>
      <c r="F1407" s="7" t="str">
        <f>IF(Notes!CD1403="","",Notes!CD1403)</f>
        <v/>
      </c>
      <c r="G1407" s="7" t="str">
        <f>IF(Notes!CE1403="","",Notes!CE1403)</f>
        <v/>
      </c>
      <c r="H1407" s="7" t="str">
        <f>IF(Notes!CF1403="","",Notes!CF1403)</f>
        <v/>
      </c>
      <c r="I1407" s="7"/>
      <c r="J1407" s="7"/>
      <c r="K1407" s="7"/>
    </row>
    <row r="1408" spans="1:11" x14ac:dyDescent="0.3">
      <c r="A1408" s="7" t="str">
        <f>IF(Notes!BY1404="","",Notes!BY1404)</f>
        <v/>
      </c>
      <c r="B1408" s="7" t="str">
        <f>IF(Notes!BZ1404="","",Notes!BZ1404)</f>
        <v/>
      </c>
      <c r="C1408" s="7" t="str">
        <f>IF(Notes!CA1404="","",Notes!CA1404)</f>
        <v/>
      </c>
      <c r="D1408" s="7" t="str">
        <f>IF(Notes!CB1404="","",Notes!CB1404)</f>
        <v/>
      </c>
      <c r="E1408" s="7" t="str">
        <f>IF(Notes!CC1404="","",Notes!CC1404)</f>
        <v/>
      </c>
      <c r="F1408" s="7" t="str">
        <f>IF(Notes!CD1404="","",Notes!CD1404)</f>
        <v/>
      </c>
      <c r="G1408" s="7" t="str">
        <f>IF(Notes!CE1404="","",Notes!CE1404)</f>
        <v/>
      </c>
      <c r="H1408" s="7" t="str">
        <f>IF(Notes!CF1404="","",Notes!CF1404)</f>
        <v/>
      </c>
      <c r="I1408" s="7"/>
      <c r="J1408" s="7"/>
      <c r="K1408" s="7"/>
    </row>
    <row r="1409" spans="1:11" x14ac:dyDescent="0.3">
      <c r="A1409" s="7" t="str">
        <f>IF(Notes!BY1405="","",Notes!BY1405)</f>
        <v/>
      </c>
      <c r="B1409" s="7" t="str">
        <f>IF(Notes!BZ1405="","",Notes!BZ1405)</f>
        <v/>
      </c>
      <c r="C1409" s="7" t="str">
        <f>IF(Notes!CA1405="","",Notes!CA1405)</f>
        <v/>
      </c>
      <c r="D1409" s="7" t="str">
        <f>IF(Notes!CB1405="","",Notes!CB1405)</f>
        <v/>
      </c>
      <c r="E1409" s="7" t="str">
        <f>IF(Notes!CC1405="","",Notes!CC1405)</f>
        <v/>
      </c>
      <c r="F1409" s="7" t="str">
        <f>IF(Notes!CD1405="","",Notes!CD1405)</f>
        <v/>
      </c>
      <c r="G1409" s="7" t="str">
        <f>IF(Notes!CE1405="","",Notes!CE1405)</f>
        <v/>
      </c>
      <c r="H1409" s="7" t="str">
        <f>IF(Notes!CF1405="","",Notes!CF1405)</f>
        <v/>
      </c>
      <c r="I1409" s="7"/>
      <c r="J1409" s="7"/>
      <c r="K1409" s="7"/>
    </row>
    <row r="1410" spans="1:11" x14ac:dyDescent="0.3">
      <c r="A1410" s="7" t="str">
        <f>IF(Notes!BY1406="","",Notes!BY1406)</f>
        <v/>
      </c>
      <c r="B1410" s="7" t="str">
        <f>IF(Notes!BZ1406="","",Notes!BZ1406)</f>
        <v/>
      </c>
      <c r="C1410" s="7" t="str">
        <f>IF(Notes!CA1406="","",Notes!CA1406)</f>
        <v/>
      </c>
      <c r="D1410" s="7" t="str">
        <f>IF(Notes!CB1406="","",Notes!CB1406)</f>
        <v/>
      </c>
      <c r="E1410" s="7" t="str">
        <f>IF(Notes!CC1406="","",Notes!CC1406)</f>
        <v/>
      </c>
      <c r="F1410" s="7" t="str">
        <f>IF(Notes!CD1406="","",Notes!CD1406)</f>
        <v/>
      </c>
      <c r="G1410" s="7" t="str">
        <f>IF(Notes!CE1406="","",Notes!CE1406)</f>
        <v/>
      </c>
      <c r="H1410" s="7" t="str">
        <f>IF(Notes!CF1406="","",Notes!CF1406)</f>
        <v/>
      </c>
      <c r="I1410" s="7"/>
      <c r="J1410" s="7"/>
      <c r="K1410" s="7"/>
    </row>
    <row r="1411" spans="1:11" x14ac:dyDescent="0.3">
      <c r="A1411" s="7" t="str">
        <f>IF(Notes!BY1407="","",Notes!BY1407)</f>
        <v/>
      </c>
      <c r="B1411" s="7" t="str">
        <f>IF(Notes!BZ1407="","",Notes!BZ1407)</f>
        <v/>
      </c>
      <c r="C1411" s="7" t="str">
        <f>IF(Notes!CA1407="","",Notes!CA1407)</f>
        <v/>
      </c>
      <c r="D1411" s="7" t="str">
        <f>IF(Notes!CB1407="","",Notes!CB1407)</f>
        <v/>
      </c>
      <c r="E1411" s="7" t="str">
        <f>IF(Notes!CC1407="","",Notes!CC1407)</f>
        <v/>
      </c>
      <c r="F1411" s="7" t="str">
        <f>IF(Notes!CD1407="","",Notes!CD1407)</f>
        <v/>
      </c>
      <c r="G1411" s="7" t="str">
        <f>IF(Notes!CE1407="","",Notes!CE1407)</f>
        <v/>
      </c>
      <c r="H1411" s="7" t="str">
        <f>IF(Notes!CF1407="","",Notes!CF1407)</f>
        <v/>
      </c>
      <c r="I1411" s="7"/>
      <c r="J1411" s="7"/>
      <c r="K1411" s="7"/>
    </row>
    <row r="1412" spans="1:11" x14ac:dyDescent="0.3">
      <c r="A1412" s="7" t="str">
        <f>IF(Notes!BY1408="","",Notes!BY1408)</f>
        <v/>
      </c>
      <c r="B1412" s="7" t="str">
        <f>IF(Notes!BZ1408="","",Notes!BZ1408)</f>
        <v/>
      </c>
      <c r="C1412" s="7" t="str">
        <f>IF(Notes!CA1408="","",Notes!CA1408)</f>
        <v/>
      </c>
      <c r="D1412" s="7" t="str">
        <f>IF(Notes!CB1408="","",Notes!CB1408)</f>
        <v/>
      </c>
      <c r="E1412" s="7" t="str">
        <f>IF(Notes!CC1408="","",Notes!CC1408)</f>
        <v/>
      </c>
      <c r="F1412" s="7" t="str">
        <f>IF(Notes!CD1408="","",Notes!CD1408)</f>
        <v/>
      </c>
      <c r="G1412" s="7" t="str">
        <f>IF(Notes!CE1408="","",Notes!CE1408)</f>
        <v/>
      </c>
      <c r="H1412" s="7" t="str">
        <f>IF(Notes!CF1408="","",Notes!CF1408)</f>
        <v/>
      </c>
      <c r="I1412" s="7"/>
      <c r="J1412" s="7"/>
      <c r="K1412" s="7"/>
    </row>
    <row r="1413" spans="1:11" x14ac:dyDescent="0.3">
      <c r="A1413" s="7" t="str">
        <f>IF(Notes!BY1409="","",Notes!BY1409)</f>
        <v/>
      </c>
      <c r="B1413" s="7" t="str">
        <f>IF(Notes!BZ1409="","",Notes!BZ1409)</f>
        <v/>
      </c>
      <c r="C1413" s="7" t="str">
        <f>IF(Notes!CA1409="","",Notes!CA1409)</f>
        <v/>
      </c>
      <c r="D1413" s="7" t="str">
        <f>IF(Notes!CB1409="","",Notes!CB1409)</f>
        <v/>
      </c>
      <c r="E1413" s="7" t="str">
        <f>IF(Notes!CC1409="","",Notes!CC1409)</f>
        <v/>
      </c>
      <c r="F1413" s="7" t="str">
        <f>IF(Notes!CD1409="","",Notes!CD1409)</f>
        <v/>
      </c>
      <c r="G1413" s="7" t="str">
        <f>IF(Notes!CE1409="","",Notes!CE1409)</f>
        <v/>
      </c>
      <c r="H1413" s="7" t="str">
        <f>IF(Notes!CF1409="","",Notes!CF1409)</f>
        <v/>
      </c>
      <c r="I1413" s="7"/>
      <c r="J1413" s="7"/>
      <c r="K1413" s="7"/>
    </row>
    <row r="1414" spans="1:11" x14ac:dyDescent="0.3">
      <c r="A1414" s="7" t="str">
        <f>IF(Notes!BY1410="","",Notes!BY1410)</f>
        <v/>
      </c>
      <c r="B1414" s="7" t="str">
        <f>IF(Notes!BZ1410="","",Notes!BZ1410)</f>
        <v/>
      </c>
      <c r="C1414" s="7" t="str">
        <f>IF(Notes!CA1410="","",Notes!CA1410)</f>
        <v/>
      </c>
      <c r="D1414" s="7" t="str">
        <f>IF(Notes!CB1410="","",Notes!CB1410)</f>
        <v/>
      </c>
      <c r="E1414" s="7" t="str">
        <f>IF(Notes!CC1410="","",Notes!CC1410)</f>
        <v/>
      </c>
      <c r="F1414" s="7" t="str">
        <f>IF(Notes!CD1410="","",Notes!CD1410)</f>
        <v/>
      </c>
      <c r="G1414" s="7" t="str">
        <f>IF(Notes!CE1410="","",Notes!CE1410)</f>
        <v/>
      </c>
      <c r="H1414" s="7" t="str">
        <f>IF(Notes!CF1410="","",Notes!CF1410)</f>
        <v/>
      </c>
      <c r="I1414" s="7"/>
      <c r="J1414" s="7"/>
      <c r="K1414" s="7"/>
    </row>
    <row r="1415" spans="1:11" x14ac:dyDescent="0.3">
      <c r="A1415" s="7" t="str">
        <f>IF(Notes!BY1411="","",Notes!BY1411)</f>
        <v/>
      </c>
      <c r="B1415" s="7" t="str">
        <f>IF(Notes!BZ1411="","",Notes!BZ1411)</f>
        <v/>
      </c>
      <c r="C1415" s="7" t="str">
        <f>IF(Notes!CA1411="","",Notes!CA1411)</f>
        <v/>
      </c>
      <c r="D1415" s="7" t="str">
        <f>IF(Notes!CB1411="","",Notes!CB1411)</f>
        <v/>
      </c>
      <c r="E1415" s="7" t="str">
        <f>IF(Notes!CC1411="","",Notes!CC1411)</f>
        <v/>
      </c>
      <c r="F1415" s="7" t="str">
        <f>IF(Notes!CD1411="","",Notes!CD1411)</f>
        <v/>
      </c>
      <c r="G1415" s="7" t="str">
        <f>IF(Notes!CE1411="","",Notes!CE1411)</f>
        <v/>
      </c>
      <c r="H1415" s="7" t="str">
        <f>IF(Notes!CF1411="","",Notes!CF1411)</f>
        <v/>
      </c>
      <c r="I1415" s="7"/>
      <c r="J1415" s="7"/>
      <c r="K1415" s="7"/>
    </row>
    <row r="1416" spans="1:11" x14ac:dyDescent="0.3">
      <c r="A1416" s="7" t="str">
        <f>IF(Notes!BY1412="","",Notes!BY1412)</f>
        <v/>
      </c>
      <c r="B1416" s="7" t="str">
        <f>IF(Notes!BZ1412="","",Notes!BZ1412)</f>
        <v/>
      </c>
      <c r="C1416" s="7" t="str">
        <f>IF(Notes!CA1412="","",Notes!CA1412)</f>
        <v/>
      </c>
      <c r="D1416" s="7" t="str">
        <f>IF(Notes!CB1412="","",Notes!CB1412)</f>
        <v/>
      </c>
      <c r="E1416" s="7" t="str">
        <f>IF(Notes!CC1412="","",Notes!CC1412)</f>
        <v/>
      </c>
      <c r="F1416" s="7" t="str">
        <f>IF(Notes!CD1412="","",Notes!CD1412)</f>
        <v/>
      </c>
      <c r="G1416" s="7" t="str">
        <f>IF(Notes!CE1412="","",Notes!CE1412)</f>
        <v/>
      </c>
      <c r="H1416" s="7" t="str">
        <f>IF(Notes!CF1412="","",Notes!CF1412)</f>
        <v/>
      </c>
      <c r="I1416" s="7"/>
      <c r="J1416" s="7"/>
      <c r="K1416" s="7"/>
    </row>
    <row r="1417" spans="1:11" x14ac:dyDescent="0.3">
      <c r="A1417" s="7" t="str">
        <f>IF(Notes!BY1413="","",Notes!BY1413)</f>
        <v/>
      </c>
      <c r="B1417" s="7" t="str">
        <f>IF(Notes!BZ1413="","",Notes!BZ1413)</f>
        <v/>
      </c>
      <c r="C1417" s="7" t="str">
        <f>IF(Notes!CA1413="","",Notes!CA1413)</f>
        <v/>
      </c>
      <c r="D1417" s="7" t="str">
        <f>IF(Notes!CB1413="","",Notes!CB1413)</f>
        <v/>
      </c>
      <c r="E1417" s="7" t="str">
        <f>IF(Notes!CC1413="","",Notes!CC1413)</f>
        <v/>
      </c>
      <c r="F1417" s="7" t="str">
        <f>IF(Notes!CD1413="","",Notes!CD1413)</f>
        <v/>
      </c>
      <c r="G1417" s="7" t="str">
        <f>IF(Notes!CE1413="","",Notes!CE1413)</f>
        <v/>
      </c>
      <c r="H1417" s="7" t="str">
        <f>IF(Notes!CF1413="","",Notes!CF1413)</f>
        <v/>
      </c>
      <c r="I1417" s="7"/>
      <c r="J1417" s="7"/>
      <c r="K1417" s="7"/>
    </row>
    <row r="1418" spans="1:11" x14ac:dyDescent="0.3">
      <c r="A1418" s="7" t="str">
        <f>IF(Notes!BY1414="","",Notes!BY1414)</f>
        <v/>
      </c>
      <c r="B1418" s="7" t="str">
        <f>IF(Notes!BZ1414="","",Notes!BZ1414)</f>
        <v/>
      </c>
      <c r="C1418" s="7" t="str">
        <f>IF(Notes!CA1414="","",Notes!CA1414)</f>
        <v/>
      </c>
      <c r="D1418" s="7" t="str">
        <f>IF(Notes!CB1414="","",Notes!CB1414)</f>
        <v/>
      </c>
      <c r="E1418" s="7" t="str">
        <f>IF(Notes!CC1414="","",Notes!CC1414)</f>
        <v/>
      </c>
      <c r="F1418" s="7" t="str">
        <f>IF(Notes!CD1414="","",Notes!CD1414)</f>
        <v/>
      </c>
      <c r="G1418" s="7" t="str">
        <f>IF(Notes!CE1414="","",Notes!CE1414)</f>
        <v/>
      </c>
      <c r="H1418" s="7" t="str">
        <f>IF(Notes!CF1414="","",Notes!CF1414)</f>
        <v/>
      </c>
      <c r="I1418" s="7"/>
      <c r="J1418" s="7"/>
      <c r="K1418" s="7"/>
    </row>
    <row r="1419" spans="1:11" x14ac:dyDescent="0.3">
      <c r="A1419" s="7" t="str">
        <f>IF(Notes!BY1415="","",Notes!BY1415)</f>
        <v/>
      </c>
      <c r="B1419" s="7" t="str">
        <f>IF(Notes!BZ1415="","",Notes!BZ1415)</f>
        <v/>
      </c>
      <c r="C1419" s="7" t="str">
        <f>IF(Notes!CA1415="","",Notes!CA1415)</f>
        <v/>
      </c>
      <c r="D1419" s="7" t="str">
        <f>IF(Notes!CB1415="","",Notes!CB1415)</f>
        <v/>
      </c>
      <c r="E1419" s="7" t="str">
        <f>IF(Notes!CC1415="","",Notes!CC1415)</f>
        <v/>
      </c>
      <c r="F1419" s="7" t="str">
        <f>IF(Notes!CD1415="","",Notes!CD1415)</f>
        <v/>
      </c>
      <c r="G1419" s="7" t="str">
        <f>IF(Notes!CE1415="","",Notes!CE1415)</f>
        <v/>
      </c>
      <c r="H1419" s="7" t="str">
        <f>IF(Notes!CF1415="","",Notes!CF1415)</f>
        <v/>
      </c>
      <c r="I1419" s="7"/>
      <c r="J1419" s="7"/>
      <c r="K1419" s="7"/>
    </row>
    <row r="1420" spans="1:11" x14ac:dyDescent="0.3">
      <c r="A1420" s="7" t="str">
        <f>IF(Notes!BY1416="","",Notes!BY1416)</f>
        <v/>
      </c>
      <c r="B1420" s="7" t="str">
        <f>IF(Notes!BZ1416="","",Notes!BZ1416)</f>
        <v/>
      </c>
      <c r="C1420" s="7" t="str">
        <f>IF(Notes!CA1416="","",Notes!CA1416)</f>
        <v/>
      </c>
      <c r="D1420" s="7" t="str">
        <f>IF(Notes!CB1416="","",Notes!CB1416)</f>
        <v/>
      </c>
      <c r="E1420" s="7" t="str">
        <f>IF(Notes!CC1416="","",Notes!CC1416)</f>
        <v/>
      </c>
      <c r="F1420" s="7" t="str">
        <f>IF(Notes!CD1416="","",Notes!CD1416)</f>
        <v/>
      </c>
      <c r="G1420" s="7" t="str">
        <f>IF(Notes!CE1416="","",Notes!CE1416)</f>
        <v/>
      </c>
      <c r="H1420" s="7" t="str">
        <f>IF(Notes!CF1416="","",Notes!CF1416)</f>
        <v/>
      </c>
      <c r="I1420" s="7"/>
      <c r="J1420" s="7"/>
      <c r="K1420" s="7"/>
    </row>
    <row r="1421" spans="1:11" x14ac:dyDescent="0.3">
      <c r="A1421" s="7" t="str">
        <f>IF(Notes!BY1417="","",Notes!BY1417)</f>
        <v/>
      </c>
      <c r="B1421" s="7" t="str">
        <f>IF(Notes!BZ1417="","",Notes!BZ1417)</f>
        <v/>
      </c>
      <c r="C1421" s="7" t="str">
        <f>IF(Notes!CA1417="","",Notes!CA1417)</f>
        <v/>
      </c>
      <c r="D1421" s="7" t="str">
        <f>IF(Notes!CB1417="","",Notes!CB1417)</f>
        <v/>
      </c>
      <c r="E1421" s="7" t="str">
        <f>IF(Notes!CC1417="","",Notes!CC1417)</f>
        <v/>
      </c>
      <c r="F1421" s="7" t="str">
        <f>IF(Notes!CD1417="","",Notes!CD1417)</f>
        <v/>
      </c>
      <c r="G1421" s="7" t="str">
        <f>IF(Notes!CE1417="","",Notes!CE1417)</f>
        <v/>
      </c>
      <c r="H1421" s="7" t="str">
        <f>IF(Notes!CF1417="","",Notes!CF1417)</f>
        <v/>
      </c>
      <c r="I1421" s="7"/>
      <c r="J1421" s="7"/>
      <c r="K1421" s="7"/>
    </row>
    <row r="1422" spans="1:11" x14ac:dyDescent="0.3">
      <c r="A1422" s="7" t="str">
        <f>IF(Notes!BY1418="","",Notes!BY1418)</f>
        <v/>
      </c>
      <c r="B1422" s="7" t="str">
        <f>IF(Notes!BZ1418="","",Notes!BZ1418)</f>
        <v/>
      </c>
      <c r="C1422" s="7" t="str">
        <f>IF(Notes!CA1418="","",Notes!CA1418)</f>
        <v/>
      </c>
      <c r="D1422" s="7" t="str">
        <f>IF(Notes!CB1418="","",Notes!CB1418)</f>
        <v/>
      </c>
      <c r="E1422" s="7" t="str">
        <f>IF(Notes!CC1418="","",Notes!CC1418)</f>
        <v/>
      </c>
      <c r="F1422" s="7" t="str">
        <f>IF(Notes!CD1418="","",Notes!CD1418)</f>
        <v/>
      </c>
      <c r="G1422" s="7" t="str">
        <f>IF(Notes!CE1418="","",Notes!CE1418)</f>
        <v/>
      </c>
      <c r="H1422" s="7" t="str">
        <f>IF(Notes!CF1418="","",Notes!CF1418)</f>
        <v/>
      </c>
      <c r="I1422" s="7"/>
      <c r="J1422" s="7"/>
      <c r="K1422" s="7"/>
    </row>
    <row r="1423" spans="1:11" x14ac:dyDescent="0.3">
      <c r="A1423" s="7" t="str">
        <f>IF(Notes!BY1419="","",Notes!BY1419)</f>
        <v/>
      </c>
      <c r="B1423" s="7" t="str">
        <f>IF(Notes!BZ1419="","",Notes!BZ1419)</f>
        <v/>
      </c>
      <c r="C1423" s="7" t="str">
        <f>IF(Notes!CA1419="","",Notes!CA1419)</f>
        <v/>
      </c>
      <c r="D1423" s="7" t="str">
        <f>IF(Notes!CB1419="","",Notes!CB1419)</f>
        <v/>
      </c>
      <c r="E1423" s="7" t="str">
        <f>IF(Notes!CC1419="","",Notes!CC1419)</f>
        <v/>
      </c>
      <c r="F1423" s="7" t="str">
        <f>IF(Notes!CD1419="","",Notes!CD1419)</f>
        <v/>
      </c>
      <c r="G1423" s="7" t="str">
        <f>IF(Notes!CE1419="","",Notes!CE1419)</f>
        <v/>
      </c>
      <c r="H1423" s="7" t="str">
        <f>IF(Notes!CF1419="","",Notes!CF1419)</f>
        <v/>
      </c>
      <c r="I1423" s="7"/>
      <c r="J1423" s="7"/>
      <c r="K1423" s="7"/>
    </row>
    <row r="1424" spans="1:11" x14ac:dyDescent="0.3">
      <c r="A1424" s="7" t="str">
        <f>IF(Notes!BY1420="","",Notes!BY1420)</f>
        <v/>
      </c>
      <c r="B1424" s="7" t="str">
        <f>IF(Notes!BZ1420="","",Notes!BZ1420)</f>
        <v/>
      </c>
      <c r="C1424" s="7" t="str">
        <f>IF(Notes!CA1420="","",Notes!CA1420)</f>
        <v/>
      </c>
      <c r="D1424" s="7" t="str">
        <f>IF(Notes!CB1420="","",Notes!CB1420)</f>
        <v/>
      </c>
      <c r="E1424" s="7" t="str">
        <f>IF(Notes!CC1420="","",Notes!CC1420)</f>
        <v/>
      </c>
      <c r="F1424" s="7" t="str">
        <f>IF(Notes!CD1420="","",Notes!CD1420)</f>
        <v/>
      </c>
      <c r="G1424" s="7" t="str">
        <f>IF(Notes!CE1420="","",Notes!CE1420)</f>
        <v/>
      </c>
      <c r="H1424" s="7" t="str">
        <f>IF(Notes!CF1420="","",Notes!CF1420)</f>
        <v/>
      </c>
      <c r="I1424" s="7"/>
      <c r="J1424" s="7"/>
      <c r="K1424" s="7"/>
    </row>
    <row r="1425" spans="1:11" x14ac:dyDescent="0.3">
      <c r="A1425" s="7" t="str">
        <f>IF(Notes!BY1421="","",Notes!BY1421)</f>
        <v/>
      </c>
      <c r="B1425" s="7" t="str">
        <f>IF(Notes!BZ1421="","",Notes!BZ1421)</f>
        <v/>
      </c>
      <c r="C1425" s="7" t="str">
        <f>IF(Notes!CA1421="","",Notes!CA1421)</f>
        <v/>
      </c>
      <c r="D1425" s="7" t="str">
        <f>IF(Notes!CB1421="","",Notes!CB1421)</f>
        <v/>
      </c>
      <c r="E1425" s="7" t="str">
        <f>IF(Notes!CC1421="","",Notes!CC1421)</f>
        <v/>
      </c>
      <c r="F1425" s="7" t="str">
        <f>IF(Notes!CD1421="","",Notes!CD1421)</f>
        <v/>
      </c>
      <c r="G1425" s="7" t="str">
        <f>IF(Notes!CE1421="","",Notes!CE1421)</f>
        <v/>
      </c>
      <c r="H1425" s="7" t="str">
        <f>IF(Notes!CF1421="","",Notes!CF1421)</f>
        <v/>
      </c>
      <c r="I1425" s="7"/>
      <c r="J1425" s="7"/>
      <c r="K1425" s="7"/>
    </row>
    <row r="1426" spans="1:11" x14ac:dyDescent="0.3">
      <c r="A1426" s="7" t="str">
        <f>IF(Notes!BY1422="","",Notes!BY1422)</f>
        <v/>
      </c>
      <c r="B1426" s="7" t="str">
        <f>IF(Notes!BZ1422="","",Notes!BZ1422)</f>
        <v/>
      </c>
      <c r="C1426" s="7" t="str">
        <f>IF(Notes!CA1422="","",Notes!CA1422)</f>
        <v/>
      </c>
      <c r="D1426" s="7" t="str">
        <f>IF(Notes!CB1422="","",Notes!CB1422)</f>
        <v/>
      </c>
      <c r="E1426" s="7" t="str">
        <f>IF(Notes!CC1422="","",Notes!CC1422)</f>
        <v/>
      </c>
      <c r="F1426" s="7" t="str">
        <f>IF(Notes!CD1422="","",Notes!CD1422)</f>
        <v/>
      </c>
      <c r="G1426" s="7" t="str">
        <f>IF(Notes!CE1422="","",Notes!CE1422)</f>
        <v/>
      </c>
      <c r="H1426" s="7" t="str">
        <f>IF(Notes!CF1422="","",Notes!CF1422)</f>
        <v/>
      </c>
      <c r="I1426" s="7"/>
      <c r="J1426" s="7"/>
      <c r="K1426" s="7"/>
    </row>
    <row r="1427" spans="1:11" x14ac:dyDescent="0.3">
      <c r="A1427" s="7" t="str">
        <f>IF(Notes!BY1423="","",Notes!BY1423)</f>
        <v/>
      </c>
      <c r="B1427" s="7" t="str">
        <f>IF(Notes!BZ1423="","",Notes!BZ1423)</f>
        <v/>
      </c>
      <c r="C1427" s="7" t="str">
        <f>IF(Notes!CA1423="","",Notes!CA1423)</f>
        <v/>
      </c>
      <c r="D1427" s="7" t="str">
        <f>IF(Notes!CB1423="","",Notes!CB1423)</f>
        <v/>
      </c>
      <c r="E1427" s="7" t="str">
        <f>IF(Notes!CC1423="","",Notes!CC1423)</f>
        <v/>
      </c>
      <c r="F1427" s="7" t="str">
        <f>IF(Notes!CD1423="","",Notes!CD1423)</f>
        <v/>
      </c>
      <c r="G1427" s="7" t="str">
        <f>IF(Notes!CE1423="","",Notes!CE1423)</f>
        <v/>
      </c>
      <c r="H1427" s="7" t="str">
        <f>IF(Notes!CF1423="","",Notes!CF1423)</f>
        <v/>
      </c>
      <c r="I1427" s="7"/>
      <c r="J1427" s="7"/>
      <c r="K1427" s="7"/>
    </row>
    <row r="1428" spans="1:11" x14ac:dyDescent="0.3">
      <c r="A1428" s="7" t="str">
        <f>IF(Notes!BY1424="","",Notes!BY1424)</f>
        <v/>
      </c>
      <c r="B1428" s="7" t="str">
        <f>IF(Notes!BZ1424="","",Notes!BZ1424)</f>
        <v/>
      </c>
      <c r="C1428" s="7" t="str">
        <f>IF(Notes!CA1424="","",Notes!CA1424)</f>
        <v/>
      </c>
      <c r="D1428" s="7" t="str">
        <f>IF(Notes!CB1424="","",Notes!CB1424)</f>
        <v/>
      </c>
      <c r="E1428" s="7" t="str">
        <f>IF(Notes!CC1424="","",Notes!CC1424)</f>
        <v/>
      </c>
      <c r="F1428" s="7" t="str">
        <f>IF(Notes!CD1424="","",Notes!CD1424)</f>
        <v/>
      </c>
      <c r="G1428" s="7" t="str">
        <f>IF(Notes!CE1424="","",Notes!CE1424)</f>
        <v/>
      </c>
      <c r="H1428" s="7" t="str">
        <f>IF(Notes!CF1424="","",Notes!CF1424)</f>
        <v/>
      </c>
      <c r="I1428" s="7"/>
      <c r="J1428" s="7"/>
      <c r="K1428" s="7"/>
    </row>
    <row r="1429" spans="1:11" x14ac:dyDescent="0.3">
      <c r="A1429" s="7" t="str">
        <f>IF(Notes!BY1425="","",Notes!BY1425)</f>
        <v/>
      </c>
      <c r="B1429" s="7" t="str">
        <f>IF(Notes!BZ1425="","",Notes!BZ1425)</f>
        <v/>
      </c>
      <c r="C1429" s="7" t="str">
        <f>IF(Notes!CA1425="","",Notes!CA1425)</f>
        <v/>
      </c>
      <c r="D1429" s="7" t="str">
        <f>IF(Notes!CB1425="","",Notes!CB1425)</f>
        <v/>
      </c>
      <c r="E1429" s="7" t="str">
        <f>IF(Notes!CC1425="","",Notes!CC1425)</f>
        <v/>
      </c>
      <c r="F1429" s="7" t="str">
        <f>IF(Notes!CD1425="","",Notes!CD1425)</f>
        <v/>
      </c>
      <c r="G1429" s="7" t="str">
        <f>IF(Notes!CE1425="","",Notes!CE1425)</f>
        <v/>
      </c>
      <c r="H1429" s="7" t="str">
        <f>IF(Notes!CF1425="","",Notes!CF1425)</f>
        <v/>
      </c>
      <c r="I1429" s="7"/>
      <c r="J1429" s="7"/>
      <c r="K1429" s="7"/>
    </row>
    <row r="1430" spans="1:11" x14ac:dyDescent="0.3">
      <c r="A1430" s="7" t="str">
        <f>IF(Notes!BY1426="","",Notes!BY1426)</f>
        <v/>
      </c>
      <c r="B1430" s="7" t="str">
        <f>IF(Notes!BZ1426="","",Notes!BZ1426)</f>
        <v/>
      </c>
      <c r="C1430" s="7" t="str">
        <f>IF(Notes!CA1426="","",Notes!CA1426)</f>
        <v/>
      </c>
      <c r="D1430" s="7" t="str">
        <f>IF(Notes!CB1426="","",Notes!CB1426)</f>
        <v/>
      </c>
      <c r="E1430" s="7" t="str">
        <f>IF(Notes!CC1426="","",Notes!CC1426)</f>
        <v/>
      </c>
      <c r="F1430" s="7" t="str">
        <f>IF(Notes!CD1426="","",Notes!CD1426)</f>
        <v/>
      </c>
      <c r="G1430" s="7" t="str">
        <f>IF(Notes!CE1426="","",Notes!CE1426)</f>
        <v/>
      </c>
      <c r="H1430" s="7" t="str">
        <f>IF(Notes!CF1426="","",Notes!CF1426)</f>
        <v/>
      </c>
      <c r="I1430" s="7"/>
      <c r="J1430" s="7"/>
      <c r="K1430" s="7"/>
    </row>
    <row r="1431" spans="1:11" x14ac:dyDescent="0.3">
      <c r="A1431" s="7" t="str">
        <f>IF(Notes!BY1427="","",Notes!BY1427)</f>
        <v/>
      </c>
      <c r="B1431" s="7" t="str">
        <f>IF(Notes!BZ1427="","",Notes!BZ1427)</f>
        <v/>
      </c>
      <c r="C1431" s="7" t="str">
        <f>IF(Notes!CA1427="","",Notes!CA1427)</f>
        <v/>
      </c>
      <c r="D1431" s="7" t="str">
        <f>IF(Notes!CB1427="","",Notes!CB1427)</f>
        <v/>
      </c>
      <c r="E1431" s="7" t="str">
        <f>IF(Notes!CC1427="","",Notes!CC1427)</f>
        <v/>
      </c>
      <c r="F1431" s="7" t="str">
        <f>IF(Notes!CD1427="","",Notes!CD1427)</f>
        <v/>
      </c>
      <c r="G1431" s="7" t="str">
        <f>IF(Notes!CE1427="","",Notes!CE1427)</f>
        <v/>
      </c>
      <c r="H1431" s="7" t="str">
        <f>IF(Notes!CF1427="","",Notes!CF1427)</f>
        <v/>
      </c>
      <c r="I1431" s="7"/>
      <c r="J1431" s="7"/>
      <c r="K1431" s="7"/>
    </row>
    <row r="1432" spans="1:11" x14ac:dyDescent="0.3">
      <c r="A1432" s="7" t="str">
        <f>IF(Notes!BY1428="","",Notes!BY1428)</f>
        <v/>
      </c>
      <c r="B1432" s="7" t="str">
        <f>IF(Notes!BZ1428="","",Notes!BZ1428)</f>
        <v/>
      </c>
      <c r="C1432" s="7" t="str">
        <f>IF(Notes!CA1428="","",Notes!CA1428)</f>
        <v/>
      </c>
      <c r="D1432" s="7" t="str">
        <f>IF(Notes!CB1428="","",Notes!CB1428)</f>
        <v/>
      </c>
      <c r="E1432" s="7" t="str">
        <f>IF(Notes!CC1428="","",Notes!CC1428)</f>
        <v/>
      </c>
      <c r="F1432" s="7" t="str">
        <f>IF(Notes!CD1428="","",Notes!CD1428)</f>
        <v/>
      </c>
      <c r="G1432" s="7" t="str">
        <f>IF(Notes!CE1428="","",Notes!CE1428)</f>
        <v/>
      </c>
      <c r="H1432" s="7" t="str">
        <f>IF(Notes!CF1428="","",Notes!CF1428)</f>
        <v/>
      </c>
      <c r="I1432" s="7"/>
      <c r="J1432" s="7"/>
      <c r="K1432" s="7"/>
    </row>
    <row r="1433" spans="1:11" x14ac:dyDescent="0.3">
      <c r="A1433" s="7" t="str">
        <f>IF(Notes!BY1429="","",Notes!BY1429)</f>
        <v/>
      </c>
      <c r="B1433" s="7" t="str">
        <f>IF(Notes!BZ1429="","",Notes!BZ1429)</f>
        <v/>
      </c>
      <c r="C1433" s="7" t="str">
        <f>IF(Notes!CA1429="","",Notes!CA1429)</f>
        <v/>
      </c>
      <c r="D1433" s="7" t="str">
        <f>IF(Notes!CB1429="","",Notes!CB1429)</f>
        <v/>
      </c>
      <c r="E1433" s="7" t="str">
        <f>IF(Notes!CC1429="","",Notes!CC1429)</f>
        <v/>
      </c>
      <c r="F1433" s="7" t="str">
        <f>IF(Notes!CD1429="","",Notes!CD1429)</f>
        <v/>
      </c>
      <c r="G1433" s="7" t="str">
        <f>IF(Notes!CE1429="","",Notes!CE1429)</f>
        <v/>
      </c>
      <c r="H1433" s="7" t="str">
        <f>IF(Notes!CF1429="","",Notes!CF1429)</f>
        <v/>
      </c>
      <c r="I1433" s="7"/>
      <c r="J1433" s="7"/>
      <c r="K1433" s="7"/>
    </row>
    <row r="1434" spans="1:11" x14ac:dyDescent="0.3">
      <c r="A1434" s="7" t="str">
        <f>IF(Notes!BY1430="","",Notes!BY1430)</f>
        <v/>
      </c>
      <c r="B1434" s="7" t="str">
        <f>IF(Notes!BZ1430="","",Notes!BZ1430)</f>
        <v/>
      </c>
      <c r="C1434" s="7" t="str">
        <f>IF(Notes!CA1430="","",Notes!CA1430)</f>
        <v/>
      </c>
      <c r="D1434" s="7" t="str">
        <f>IF(Notes!CB1430="","",Notes!CB1430)</f>
        <v/>
      </c>
      <c r="E1434" s="7" t="str">
        <f>IF(Notes!CC1430="","",Notes!CC1430)</f>
        <v/>
      </c>
      <c r="F1434" s="7" t="str">
        <f>IF(Notes!CD1430="","",Notes!CD1430)</f>
        <v/>
      </c>
      <c r="G1434" s="7" t="str">
        <f>IF(Notes!CE1430="","",Notes!CE1430)</f>
        <v/>
      </c>
      <c r="H1434" s="7" t="str">
        <f>IF(Notes!CF1430="","",Notes!CF1430)</f>
        <v/>
      </c>
      <c r="I1434" s="7"/>
      <c r="J1434" s="7"/>
      <c r="K1434" s="7"/>
    </row>
    <row r="1435" spans="1:11" x14ac:dyDescent="0.3">
      <c r="A1435" s="7" t="str">
        <f>IF(Notes!BY1431="","",Notes!BY1431)</f>
        <v/>
      </c>
      <c r="B1435" s="7" t="str">
        <f>IF(Notes!BZ1431="","",Notes!BZ1431)</f>
        <v/>
      </c>
      <c r="C1435" s="7" t="str">
        <f>IF(Notes!CA1431="","",Notes!CA1431)</f>
        <v/>
      </c>
      <c r="D1435" s="7" t="str">
        <f>IF(Notes!CB1431="","",Notes!CB1431)</f>
        <v/>
      </c>
      <c r="E1435" s="7" t="str">
        <f>IF(Notes!CC1431="","",Notes!CC1431)</f>
        <v/>
      </c>
      <c r="F1435" s="7" t="str">
        <f>IF(Notes!CD1431="","",Notes!CD1431)</f>
        <v/>
      </c>
      <c r="G1435" s="7" t="str">
        <f>IF(Notes!CE1431="","",Notes!CE1431)</f>
        <v/>
      </c>
      <c r="H1435" s="7" t="str">
        <f>IF(Notes!CF1431="","",Notes!CF1431)</f>
        <v/>
      </c>
      <c r="I1435" s="7"/>
      <c r="J1435" s="7"/>
      <c r="K1435" s="7"/>
    </row>
    <row r="1436" spans="1:11" x14ac:dyDescent="0.3">
      <c r="A1436" s="7" t="str">
        <f>IF(Notes!BY1432="","",Notes!BY1432)</f>
        <v/>
      </c>
      <c r="B1436" s="7" t="str">
        <f>IF(Notes!BZ1432="","",Notes!BZ1432)</f>
        <v/>
      </c>
      <c r="C1436" s="7" t="str">
        <f>IF(Notes!CA1432="","",Notes!CA1432)</f>
        <v/>
      </c>
      <c r="D1436" s="7" t="str">
        <f>IF(Notes!CB1432="","",Notes!CB1432)</f>
        <v/>
      </c>
      <c r="E1436" s="7" t="str">
        <f>IF(Notes!CC1432="","",Notes!CC1432)</f>
        <v/>
      </c>
      <c r="F1436" s="7" t="str">
        <f>IF(Notes!CD1432="","",Notes!CD1432)</f>
        <v/>
      </c>
      <c r="G1436" s="7" t="str">
        <f>IF(Notes!CE1432="","",Notes!CE1432)</f>
        <v/>
      </c>
      <c r="H1436" s="7" t="str">
        <f>IF(Notes!CF1432="","",Notes!CF1432)</f>
        <v/>
      </c>
      <c r="I1436" s="7"/>
      <c r="J1436" s="7"/>
      <c r="K1436" s="7"/>
    </row>
    <row r="1437" spans="1:11" x14ac:dyDescent="0.3">
      <c r="A1437" s="7" t="str">
        <f>IF(Notes!BY1433="","",Notes!BY1433)</f>
        <v/>
      </c>
      <c r="B1437" s="7" t="str">
        <f>IF(Notes!BZ1433="","",Notes!BZ1433)</f>
        <v/>
      </c>
      <c r="C1437" s="7" t="str">
        <f>IF(Notes!CA1433="","",Notes!CA1433)</f>
        <v/>
      </c>
      <c r="D1437" s="7" t="str">
        <f>IF(Notes!CB1433="","",Notes!CB1433)</f>
        <v/>
      </c>
      <c r="E1437" s="7" t="str">
        <f>IF(Notes!CC1433="","",Notes!CC1433)</f>
        <v/>
      </c>
      <c r="F1437" s="7" t="str">
        <f>IF(Notes!CD1433="","",Notes!CD1433)</f>
        <v/>
      </c>
      <c r="G1437" s="7" t="str">
        <f>IF(Notes!CE1433="","",Notes!CE1433)</f>
        <v/>
      </c>
      <c r="H1437" s="7" t="str">
        <f>IF(Notes!CF1433="","",Notes!CF1433)</f>
        <v/>
      </c>
      <c r="I1437" s="7"/>
      <c r="J1437" s="7"/>
      <c r="K1437" s="7"/>
    </row>
    <row r="1438" spans="1:11" x14ac:dyDescent="0.3">
      <c r="A1438" s="7" t="str">
        <f>IF(Notes!BY1434="","",Notes!BY1434)</f>
        <v/>
      </c>
      <c r="B1438" s="7" t="str">
        <f>IF(Notes!BZ1434="","",Notes!BZ1434)</f>
        <v/>
      </c>
      <c r="C1438" s="7" t="str">
        <f>IF(Notes!CA1434="","",Notes!CA1434)</f>
        <v/>
      </c>
      <c r="D1438" s="7" t="str">
        <f>IF(Notes!CB1434="","",Notes!CB1434)</f>
        <v/>
      </c>
      <c r="E1438" s="7" t="str">
        <f>IF(Notes!CC1434="","",Notes!CC1434)</f>
        <v/>
      </c>
      <c r="F1438" s="7" t="str">
        <f>IF(Notes!CD1434="","",Notes!CD1434)</f>
        <v/>
      </c>
      <c r="G1438" s="7" t="str">
        <f>IF(Notes!CE1434="","",Notes!CE1434)</f>
        <v/>
      </c>
      <c r="H1438" s="7" t="str">
        <f>IF(Notes!CF1434="","",Notes!CF1434)</f>
        <v/>
      </c>
      <c r="I1438" s="7"/>
      <c r="J1438" s="7"/>
      <c r="K1438" s="7"/>
    </row>
    <row r="1439" spans="1:11" x14ac:dyDescent="0.3">
      <c r="A1439" s="7" t="str">
        <f>IF(Notes!BY1435="","",Notes!BY1435)</f>
        <v/>
      </c>
      <c r="B1439" s="7" t="str">
        <f>IF(Notes!BZ1435="","",Notes!BZ1435)</f>
        <v/>
      </c>
      <c r="C1439" s="7" t="str">
        <f>IF(Notes!CA1435="","",Notes!CA1435)</f>
        <v/>
      </c>
      <c r="D1439" s="7" t="str">
        <f>IF(Notes!CB1435="","",Notes!CB1435)</f>
        <v/>
      </c>
      <c r="E1439" s="7" t="str">
        <f>IF(Notes!CC1435="","",Notes!CC1435)</f>
        <v/>
      </c>
      <c r="F1439" s="7" t="str">
        <f>IF(Notes!CD1435="","",Notes!CD1435)</f>
        <v/>
      </c>
      <c r="G1439" s="7" t="str">
        <f>IF(Notes!CE1435="","",Notes!CE1435)</f>
        <v/>
      </c>
      <c r="H1439" s="7" t="str">
        <f>IF(Notes!CF1435="","",Notes!CF1435)</f>
        <v/>
      </c>
      <c r="I1439" s="7"/>
      <c r="J1439" s="7"/>
      <c r="K1439" s="7"/>
    </row>
    <row r="1440" spans="1:11" x14ac:dyDescent="0.3">
      <c r="A1440" s="7" t="str">
        <f>IF(Notes!BY1436="","",Notes!BY1436)</f>
        <v/>
      </c>
      <c r="B1440" s="7" t="str">
        <f>IF(Notes!BZ1436="","",Notes!BZ1436)</f>
        <v/>
      </c>
      <c r="C1440" s="7" t="str">
        <f>IF(Notes!CA1436="","",Notes!CA1436)</f>
        <v/>
      </c>
      <c r="D1440" s="7" t="str">
        <f>IF(Notes!CB1436="","",Notes!CB1436)</f>
        <v/>
      </c>
      <c r="E1440" s="7" t="str">
        <f>IF(Notes!CC1436="","",Notes!CC1436)</f>
        <v/>
      </c>
      <c r="F1440" s="7" t="str">
        <f>IF(Notes!CD1436="","",Notes!CD1436)</f>
        <v/>
      </c>
      <c r="G1440" s="7" t="str">
        <f>IF(Notes!CE1436="","",Notes!CE1436)</f>
        <v/>
      </c>
      <c r="H1440" s="7" t="str">
        <f>IF(Notes!CF1436="","",Notes!CF1436)</f>
        <v/>
      </c>
      <c r="I1440" s="7"/>
      <c r="J1440" s="7"/>
      <c r="K1440" s="7"/>
    </row>
    <row r="1441" spans="1:11" x14ac:dyDescent="0.3">
      <c r="A1441" s="7" t="str">
        <f>IF(Notes!BY1437="","",Notes!BY1437)</f>
        <v/>
      </c>
      <c r="B1441" s="7" t="str">
        <f>IF(Notes!BZ1437="","",Notes!BZ1437)</f>
        <v/>
      </c>
      <c r="C1441" s="7" t="str">
        <f>IF(Notes!CA1437="","",Notes!CA1437)</f>
        <v/>
      </c>
      <c r="D1441" s="7" t="str">
        <f>IF(Notes!CB1437="","",Notes!CB1437)</f>
        <v/>
      </c>
      <c r="E1441" s="7" t="str">
        <f>IF(Notes!CC1437="","",Notes!CC1437)</f>
        <v/>
      </c>
      <c r="F1441" s="7" t="str">
        <f>IF(Notes!CD1437="","",Notes!CD1437)</f>
        <v/>
      </c>
      <c r="G1441" s="7" t="str">
        <f>IF(Notes!CE1437="","",Notes!CE1437)</f>
        <v/>
      </c>
      <c r="H1441" s="7" t="str">
        <f>IF(Notes!CF1437="","",Notes!CF1437)</f>
        <v/>
      </c>
      <c r="I1441" s="7"/>
      <c r="J1441" s="7"/>
      <c r="K1441" s="7"/>
    </row>
    <row r="1442" spans="1:11" x14ac:dyDescent="0.3">
      <c r="A1442" s="7" t="str">
        <f>IF(Notes!BY1438="","",Notes!BY1438)</f>
        <v/>
      </c>
      <c r="B1442" s="7" t="str">
        <f>IF(Notes!BZ1438="","",Notes!BZ1438)</f>
        <v/>
      </c>
      <c r="C1442" s="7" t="str">
        <f>IF(Notes!CA1438="","",Notes!CA1438)</f>
        <v/>
      </c>
      <c r="D1442" s="7" t="str">
        <f>IF(Notes!CB1438="","",Notes!CB1438)</f>
        <v/>
      </c>
      <c r="E1442" s="7" t="str">
        <f>IF(Notes!CC1438="","",Notes!CC1438)</f>
        <v/>
      </c>
      <c r="F1442" s="7" t="str">
        <f>IF(Notes!CD1438="","",Notes!CD1438)</f>
        <v/>
      </c>
      <c r="G1442" s="7" t="str">
        <f>IF(Notes!CE1438="","",Notes!CE1438)</f>
        <v/>
      </c>
      <c r="H1442" s="7" t="str">
        <f>IF(Notes!CF1438="","",Notes!CF1438)</f>
        <v/>
      </c>
      <c r="I1442" s="7"/>
      <c r="J1442" s="7"/>
      <c r="K1442" s="7"/>
    </row>
    <row r="1443" spans="1:11" x14ac:dyDescent="0.3">
      <c r="A1443" s="7" t="str">
        <f>IF(Notes!BY1439="","",Notes!BY1439)</f>
        <v/>
      </c>
      <c r="B1443" s="7" t="str">
        <f>IF(Notes!BZ1439="","",Notes!BZ1439)</f>
        <v/>
      </c>
      <c r="C1443" s="7" t="str">
        <f>IF(Notes!CA1439="","",Notes!CA1439)</f>
        <v/>
      </c>
      <c r="D1443" s="7" t="str">
        <f>IF(Notes!CB1439="","",Notes!CB1439)</f>
        <v/>
      </c>
      <c r="E1443" s="7" t="str">
        <f>IF(Notes!CC1439="","",Notes!CC1439)</f>
        <v/>
      </c>
      <c r="F1443" s="7" t="str">
        <f>IF(Notes!CD1439="","",Notes!CD1439)</f>
        <v/>
      </c>
      <c r="G1443" s="7" t="str">
        <f>IF(Notes!CE1439="","",Notes!CE1439)</f>
        <v/>
      </c>
      <c r="H1443" s="7" t="str">
        <f>IF(Notes!CF1439="","",Notes!CF1439)</f>
        <v/>
      </c>
      <c r="I1443" s="7"/>
      <c r="J1443" s="7"/>
      <c r="K1443" s="7"/>
    </row>
    <row r="1444" spans="1:11" x14ac:dyDescent="0.3">
      <c r="A1444" s="7" t="str">
        <f>IF(Notes!BY1440="","",Notes!BY1440)</f>
        <v/>
      </c>
      <c r="B1444" s="7" t="str">
        <f>IF(Notes!BZ1440="","",Notes!BZ1440)</f>
        <v/>
      </c>
      <c r="C1444" s="7" t="str">
        <f>IF(Notes!CA1440="","",Notes!CA1440)</f>
        <v/>
      </c>
      <c r="D1444" s="7" t="str">
        <f>IF(Notes!CB1440="","",Notes!CB1440)</f>
        <v/>
      </c>
      <c r="E1444" s="7" t="str">
        <f>IF(Notes!CC1440="","",Notes!CC1440)</f>
        <v/>
      </c>
      <c r="F1444" s="7" t="str">
        <f>IF(Notes!CD1440="","",Notes!CD1440)</f>
        <v/>
      </c>
      <c r="G1444" s="7" t="str">
        <f>IF(Notes!CE1440="","",Notes!CE1440)</f>
        <v/>
      </c>
      <c r="H1444" s="7" t="str">
        <f>IF(Notes!CF1440="","",Notes!CF1440)</f>
        <v/>
      </c>
      <c r="I1444" s="7"/>
      <c r="J1444" s="7"/>
      <c r="K1444" s="7"/>
    </row>
    <row r="1445" spans="1:11" x14ac:dyDescent="0.3">
      <c r="A1445" s="7" t="str">
        <f>IF(Notes!BY1441="","",Notes!BY1441)</f>
        <v/>
      </c>
      <c r="B1445" s="7" t="str">
        <f>IF(Notes!BZ1441="","",Notes!BZ1441)</f>
        <v/>
      </c>
      <c r="C1445" s="7" t="str">
        <f>IF(Notes!CA1441="","",Notes!CA1441)</f>
        <v/>
      </c>
      <c r="D1445" s="7" t="str">
        <f>IF(Notes!CB1441="","",Notes!CB1441)</f>
        <v/>
      </c>
      <c r="E1445" s="7" t="str">
        <f>IF(Notes!CC1441="","",Notes!CC1441)</f>
        <v/>
      </c>
      <c r="F1445" s="7" t="str">
        <f>IF(Notes!CD1441="","",Notes!CD1441)</f>
        <v/>
      </c>
      <c r="G1445" s="7" t="str">
        <f>IF(Notes!CE1441="","",Notes!CE1441)</f>
        <v/>
      </c>
      <c r="H1445" s="7" t="str">
        <f>IF(Notes!CF1441="","",Notes!CF1441)</f>
        <v/>
      </c>
      <c r="I1445" s="7"/>
      <c r="J1445" s="7"/>
      <c r="K1445" s="7"/>
    </row>
    <row r="1446" spans="1:11" x14ac:dyDescent="0.3">
      <c r="A1446" s="7" t="str">
        <f>IF(Notes!BY1442="","",Notes!BY1442)</f>
        <v/>
      </c>
      <c r="B1446" s="7" t="str">
        <f>IF(Notes!BZ1442="","",Notes!BZ1442)</f>
        <v/>
      </c>
      <c r="C1446" s="7" t="str">
        <f>IF(Notes!CA1442="","",Notes!CA1442)</f>
        <v/>
      </c>
      <c r="D1446" s="7" t="str">
        <f>IF(Notes!CB1442="","",Notes!CB1442)</f>
        <v/>
      </c>
      <c r="E1446" s="7" t="str">
        <f>IF(Notes!CC1442="","",Notes!CC1442)</f>
        <v/>
      </c>
      <c r="F1446" s="7" t="str">
        <f>IF(Notes!CD1442="","",Notes!CD1442)</f>
        <v/>
      </c>
      <c r="G1446" s="7" t="str">
        <f>IF(Notes!CE1442="","",Notes!CE1442)</f>
        <v/>
      </c>
      <c r="H1446" s="7" t="str">
        <f>IF(Notes!CF1442="","",Notes!CF1442)</f>
        <v/>
      </c>
      <c r="I1446" s="7"/>
      <c r="J1446" s="7"/>
      <c r="K1446" s="7"/>
    </row>
    <row r="1447" spans="1:11" x14ac:dyDescent="0.3">
      <c r="A1447" s="7" t="str">
        <f>IF(Notes!BY1443="","",Notes!BY1443)</f>
        <v/>
      </c>
      <c r="B1447" s="7" t="str">
        <f>IF(Notes!BZ1443="","",Notes!BZ1443)</f>
        <v/>
      </c>
      <c r="C1447" s="7" t="str">
        <f>IF(Notes!CA1443="","",Notes!CA1443)</f>
        <v/>
      </c>
      <c r="D1447" s="7" t="str">
        <f>IF(Notes!CB1443="","",Notes!CB1443)</f>
        <v/>
      </c>
      <c r="E1447" s="7" t="str">
        <f>IF(Notes!CC1443="","",Notes!CC1443)</f>
        <v/>
      </c>
      <c r="F1447" s="7" t="str">
        <f>IF(Notes!CD1443="","",Notes!CD1443)</f>
        <v/>
      </c>
      <c r="G1447" s="7" t="str">
        <f>IF(Notes!CE1443="","",Notes!CE1443)</f>
        <v/>
      </c>
      <c r="H1447" s="7" t="str">
        <f>IF(Notes!CF1443="","",Notes!CF1443)</f>
        <v/>
      </c>
      <c r="I1447" s="7"/>
      <c r="J1447" s="7"/>
      <c r="K1447" s="7"/>
    </row>
    <row r="1448" spans="1:11" x14ac:dyDescent="0.3">
      <c r="A1448" s="7" t="str">
        <f>IF(Notes!BY1444="","",Notes!BY1444)</f>
        <v/>
      </c>
      <c r="B1448" s="7" t="str">
        <f>IF(Notes!BZ1444="","",Notes!BZ1444)</f>
        <v/>
      </c>
      <c r="C1448" s="7" t="str">
        <f>IF(Notes!CA1444="","",Notes!CA1444)</f>
        <v/>
      </c>
      <c r="D1448" s="7" t="str">
        <f>IF(Notes!CB1444="","",Notes!CB1444)</f>
        <v/>
      </c>
      <c r="E1448" s="7" t="str">
        <f>IF(Notes!CC1444="","",Notes!CC1444)</f>
        <v/>
      </c>
      <c r="F1448" s="7" t="str">
        <f>IF(Notes!CD1444="","",Notes!CD1444)</f>
        <v/>
      </c>
      <c r="G1448" s="7" t="str">
        <f>IF(Notes!CE1444="","",Notes!CE1444)</f>
        <v/>
      </c>
      <c r="H1448" s="7" t="str">
        <f>IF(Notes!CF1444="","",Notes!CF1444)</f>
        <v/>
      </c>
      <c r="I1448" s="7"/>
      <c r="J1448" s="7"/>
      <c r="K1448" s="7"/>
    </row>
    <row r="1449" spans="1:11" x14ac:dyDescent="0.3">
      <c r="A1449" s="7" t="str">
        <f>IF(Notes!BY1445="","",Notes!BY1445)</f>
        <v/>
      </c>
      <c r="B1449" s="7" t="str">
        <f>IF(Notes!BZ1445="","",Notes!BZ1445)</f>
        <v/>
      </c>
      <c r="C1449" s="7" t="str">
        <f>IF(Notes!CA1445="","",Notes!CA1445)</f>
        <v/>
      </c>
      <c r="D1449" s="7" t="str">
        <f>IF(Notes!CB1445="","",Notes!CB1445)</f>
        <v/>
      </c>
      <c r="E1449" s="7" t="str">
        <f>IF(Notes!CC1445="","",Notes!CC1445)</f>
        <v/>
      </c>
      <c r="F1449" s="7" t="str">
        <f>IF(Notes!CD1445="","",Notes!CD1445)</f>
        <v/>
      </c>
      <c r="G1449" s="7" t="str">
        <f>IF(Notes!CE1445="","",Notes!CE1445)</f>
        <v/>
      </c>
      <c r="H1449" s="7" t="str">
        <f>IF(Notes!CF1445="","",Notes!CF1445)</f>
        <v/>
      </c>
      <c r="I1449" s="7"/>
      <c r="J1449" s="7"/>
      <c r="K1449" s="7"/>
    </row>
    <row r="1450" spans="1:11" x14ac:dyDescent="0.3">
      <c r="A1450" s="7" t="str">
        <f>IF(Notes!BY1446="","",Notes!BY1446)</f>
        <v/>
      </c>
      <c r="B1450" s="7" t="str">
        <f>IF(Notes!BZ1446="","",Notes!BZ1446)</f>
        <v/>
      </c>
      <c r="C1450" s="7" t="str">
        <f>IF(Notes!CA1446="","",Notes!CA1446)</f>
        <v/>
      </c>
      <c r="D1450" s="7" t="str">
        <f>IF(Notes!CB1446="","",Notes!CB1446)</f>
        <v/>
      </c>
      <c r="E1450" s="7" t="str">
        <f>IF(Notes!CC1446="","",Notes!CC1446)</f>
        <v/>
      </c>
      <c r="F1450" s="7" t="str">
        <f>IF(Notes!CD1446="","",Notes!CD1446)</f>
        <v/>
      </c>
      <c r="G1450" s="7" t="str">
        <f>IF(Notes!CE1446="","",Notes!CE1446)</f>
        <v/>
      </c>
      <c r="H1450" s="7" t="str">
        <f>IF(Notes!CF1446="","",Notes!CF1446)</f>
        <v/>
      </c>
      <c r="I1450" s="7"/>
      <c r="J1450" s="7"/>
      <c r="K1450" s="7"/>
    </row>
    <row r="1451" spans="1:11" x14ac:dyDescent="0.3">
      <c r="A1451" s="7" t="str">
        <f>IF(Notes!BY1447="","",Notes!BY1447)</f>
        <v/>
      </c>
      <c r="B1451" s="7" t="str">
        <f>IF(Notes!BZ1447="","",Notes!BZ1447)</f>
        <v/>
      </c>
      <c r="C1451" s="7" t="str">
        <f>IF(Notes!CA1447="","",Notes!CA1447)</f>
        <v/>
      </c>
      <c r="D1451" s="7" t="str">
        <f>IF(Notes!CB1447="","",Notes!CB1447)</f>
        <v/>
      </c>
      <c r="E1451" s="7" t="str">
        <f>IF(Notes!CC1447="","",Notes!CC1447)</f>
        <v/>
      </c>
      <c r="F1451" s="7" t="str">
        <f>IF(Notes!CD1447="","",Notes!CD1447)</f>
        <v/>
      </c>
      <c r="G1451" s="7" t="str">
        <f>IF(Notes!CE1447="","",Notes!CE1447)</f>
        <v/>
      </c>
      <c r="H1451" s="7" t="str">
        <f>IF(Notes!CF1447="","",Notes!CF1447)</f>
        <v/>
      </c>
      <c r="I1451" s="7"/>
      <c r="J1451" s="7"/>
      <c r="K1451" s="7"/>
    </row>
    <row r="1452" spans="1:11" x14ac:dyDescent="0.3">
      <c r="A1452" s="7" t="str">
        <f>IF(Notes!BY1448="","",Notes!BY1448)</f>
        <v/>
      </c>
      <c r="B1452" s="7" t="str">
        <f>IF(Notes!BZ1448="","",Notes!BZ1448)</f>
        <v/>
      </c>
      <c r="C1452" s="7" t="str">
        <f>IF(Notes!CA1448="","",Notes!CA1448)</f>
        <v/>
      </c>
      <c r="D1452" s="7" t="str">
        <f>IF(Notes!CB1448="","",Notes!CB1448)</f>
        <v/>
      </c>
      <c r="E1452" s="7" t="str">
        <f>IF(Notes!CC1448="","",Notes!CC1448)</f>
        <v/>
      </c>
      <c r="F1452" s="7" t="str">
        <f>IF(Notes!CD1448="","",Notes!CD1448)</f>
        <v/>
      </c>
      <c r="G1452" s="7" t="str">
        <f>IF(Notes!CE1448="","",Notes!CE1448)</f>
        <v/>
      </c>
      <c r="H1452" s="7" t="str">
        <f>IF(Notes!CF1448="","",Notes!CF1448)</f>
        <v/>
      </c>
      <c r="I1452" s="7"/>
      <c r="J1452" s="7"/>
      <c r="K1452" s="7"/>
    </row>
    <row r="1453" spans="1:11" x14ac:dyDescent="0.3">
      <c r="A1453" s="7" t="str">
        <f>IF(Notes!BY1449="","",Notes!BY1449)</f>
        <v/>
      </c>
      <c r="B1453" s="7" t="str">
        <f>IF(Notes!BZ1449="","",Notes!BZ1449)</f>
        <v/>
      </c>
      <c r="C1453" s="7" t="str">
        <f>IF(Notes!CA1449="","",Notes!CA1449)</f>
        <v/>
      </c>
      <c r="D1453" s="7" t="str">
        <f>IF(Notes!CB1449="","",Notes!CB1449)</f>
        <v/>
      </c>
      <c r="E1453" s="7" t="str">
        <f>IF(Notes!CC1449="","",Notes!CC1449)</f>
        <v/>
      </c>
      <c r="F1453" s="7" t="str">
        <f>IF(Notes!CD1449="","",Notes!CD1449)</f>
        <v/>
      </c>
      <c r="G1453" s="7" t="str">
        <f>IF(Notes!CE1449="","",Notes!CE1449)</f>
        <v/>
      </c>
      <c r="H1453" s="7" t="str">
        <f>IF(Notes!CF1449="","",Notes!CF1449)</f>
        <v/>
      </c>
      <c r="I1453" s="7"/>
      <c r="J1453" s="7"/>
      <c r="K1453" s="7"/>
    </row>
    <row r="1454" spans="1:11" x14ac:dyDescent="0.3">
      <c r="A1454" s="7" t="str">
        <f>IF(Notes!BY1450="","",Notes!BY1450)</f>
        <v/>
      </c>
      <c r="B1454" s="7" t="str">
        <f>IF(Notes!BZ1450="","",Notes!BZ1450)</f>
        <v/>
      </c>
      <c r="C1454" s="7" t="str">
        <f>IF(Notes!CA1450="","",Notes!CA1450)</f>
        <v/>
      </c>
      <c r="D1454" s="7" t="str">
        <f>IF(Notes!CB1450="","",Notes!CB1450)</f>
        <v/>
      </c>
      <c r="E1454" s="7" t="str">
        <f>IF(Notes!CC1450="","",Notes!CC1450)</f>
        <v/>
      </c>
      <c r="F1454" s="7" t="str">
        <f>IF(Notes!CD1450="","",Notes!CD1450)</f>
        <v/>
      </c>
      <c r="G1454" s="7" t="str">
        <f>IF(Notes!CE1450="","",Notes!CE1450)</f>
        <v/>
      </c>
      <c r="H1454" s="7" t="str">
        <f>IF(Notes!CF1450="","",Notes!CF1450)</f>
        <v/>
      </c>
      <c r="I1454" s="7"/>
      <c r="J1454" s="7"/>
      <c r="K1454" s="7"/>
    </row>
    <row r="1455" spans="1:11" x14ac:dyDescent="0.3">
      <c r="A1455" s="7" t="str">
        <f>IF(Notes!BY1451="","",Notes!BY1451)</f>
        <v/>
      </c>
      <c r="B1455" s="7" t="str">
        <f>IF(Notes!BZ1451="","",Notes!BZ1451)</f>
        <v/>
      </c>
      <c r="C1455" s="7" t="str">
        <f>IF(Notes!CA1451="","",Notes!CA1451)</f>
        <v/>
      </c>
      <c r="D1455" s="7" t="str">
        <f>IF(Notes!CB1451="","",Notes!CB1451)</f>
        <v/>
      </c>
      <c r="E1455" s="7" t="str">
        <f>IF(Notes!CC1451="","",Notes!CC1451)</f>
        <v/>
      </c>
      <c r="F1455" s="7" t="str">
        <f>IF(Notes!CD1451="","",Notes!CD1451)</f>
        <v/>
      </c>
      <c r="G1455" s="7" t="str">
        <f>IF(Notes!CE1451="","",Notes!CE1451)</f>
        <v/>
      </c>
      <c r="H1455" s="7" t="str">
        <f>IF(Notes!CF1451="","",Notes!CF1451)</f>
        <v/>
      </c>
      <c r="I1455" s="7"/>
      <c r="J1455" s="7"/>
      <c r="K1455" s="7"/>
    </row>
    <row r="1456" spans="1:11" x14ac:dyDescent="0.3">
      <c r="A1456" s="7" t="str">
        <f>IF(Notes!BY1452="","",Notes!BY1452)</f>
        <v/>
      </c>
      <c r="B1456" s="7" t="str">
        <f>IF(Notes!BZ1452="","",Notes!BZ1452)</f>
        <v/>
      </c>
      <c r="C1456" s="7" t="str">
        <f>IF(Notes!CA1452="","",Notes!CA1452)</f>
        <v/>
      </c>
      <c r="D1456" s="7" t="str">
        <f>IF(Notes!CB1452="","",Notes!CB1452)</f>
        <v/>
      </c>
      <c r="E1456" s="7" t="str">
        <f>IF(Notes!CC1452="","",Notes!CC1452)</f>
        <v/>
      </c>
      <c r="F1456" s="7" t="str">
        <f>IF(Notes!CD1452="","",Notes!CD1452)</f>
        <v/>
      </c>
      <c r="G1456" s="7" t="str">
        <f>IF(Notes!CE1452="","",Notes!CE1452)</f>
        <v/>
      </c>
      <c r="H1456" s="7" t="str">
        <f>IF(Notes!CF1452="","",Notes!CF1452)</f>
        <v/>
      </c>
      <c r="I1456" s="7"/>
      <c r="J1456" s="7"/>
      <c r="K1456" s="7"/>
    </row>
    <row r="1457" spans="1:11" x14ac:dyDescent="0.3">
      <c r="A1457" s="7" t="str">
        <f>IF(Notes!BY1453="","",Notes!BY1453)</f>
        <v/>
      </c>
      <c r="B1457" s="7" t="str">
        <f>IF(Notes!BZ1453="","",Notes!BZ1453)</f>
        <v/>
      </c>
      <c r="C1457" s="7" t="str">
        <f>IF(Notes!CA1453="","",Notes!CA1453)</f>
        <v/>
      </c>
      <c r="D1457" s="7" t="str">
        <f>IF(Notes!CB1453="","",Notes!CB1453)</f>
        <v/>
      </c>
      <c r="E1457" s="7" t="str">
        <f>IF(Notes!CC1453="","",Notes!CC1453)</f>
        <v/>
      </c>
      <c r="F1457" s="7" t="str">
        <f>IF(Notes!CD1453="","",Notes!CD1453)</f>
        <v/>
      </c>
      <c r="G1457" s="7" t="str">
        <f>IF(Notes!CE1453="","",Notes!CE1453)</f>
        <v/>
      </c>
      <c r="H1457" s="7" t="str">
        <f>IF(Notes!CF1453="","",Notes!CF1453)</f>
        <v/>
      </c>
      <c r="I1457" s="7"/>
      <c r="J1457" s="7"/>
      <c r="K1457" s="7"/>
    </row>
    <row r="1458" spans="1:11" x14ac:dyDescent="0.3">
      <c r="A1458" s="7" t="str">
        <f>IF(Notes!BY1454="","",Notes!BY1454)</f>
        <v/>
      </c>
      <c r="B1458" s="7" t="str">
        <f>IF(Notes!BZ1454="","",Notes!BZ1454)</f>
        <v/>
      </c>
      <c r="C1458" s="7" t="str">
        <f>IF(Notes!CA1454="","",Notes!CA1454)</f>
        <v/>
      </c>
      <c r="D1458" s="7" t="str">
        <f>IF(Notes!CB1454="","",Notes!CB1454)</f>
        <v/>
      </c>
      <c r="E1458" s="7" t="str">
        <f>IF(Notes!CC1454="","",Notes!CC1454)</f>
        <v/>
      </c>
      <c r="F1458" s="7" t="str">
        <f>IF(Notes!CD1454="","",Notes!CD1454)</f>
        <v/>
      </c>
      <c r="G1458" s="7" t="str">
        <f>IF(Notes!CE1454="","",Notes!CE1454)</f>
        <v/>
      </c>
      <c r="H1458" s="7" t="str">
        <f>IF(Notes!CF1454="","",Notes!CF1454)</f>
        <v/>
      </c>
      <c r="I1458" s="7"/>
      <c r="J1458" s="7"/>
      <c r="K1458" s="7"/>
    </row>
    <row r="1459" spans="1:11" x14ac:dyDescent="0.3">
      <c r="A1459" s="7" t="str">
        <f>IF(Notes!BY1455="","",Notes!BY1455)</f>
        <v/>
      </c>
      <c r="B1459" s="7" t="str">
        <f>IF(Notes!BZ1455="","",Notes!BZ1455)</f>
        <v/>
      </c>
      <c r="C1459" s="7" t="str">
        <f>IF(Notes!CA1455="","",Notes!CA1455)</f>
        <v/>
      </c>
      <c r="D1459" s="7" t="str">
        <f>IF(Notes!CB1455="","",Notes!CB1455)</f>
        <v/>
      </c>
      <c r="E1459" s="7" t="str">
        <f>IF(Notes!CC1455="","",Notes!CC1455)</f>
        <v/>
      </c>
      <c r="F1459" s="7" t="str">
        <f>IF(Notes!CD1455="","",Notes!CD1455)</f>
        <v/>
      </c>
      <c r="G1459" s="7" t="str">
        <f>IF(Notes!CE1455="","",Notes!CE1455)</f>
        <v/>
      </c>
      <c r="H1459" s="7" t="str">
        <f>IF(Notes!CF1455="","",Notes!CF1455)</f>
        <v/>
      </c>
      <c r="I1459" s="7"/>
      <c r="J1459" s="7"/>
      <c r="K1459" s="7"/>
    </row>
    <row r="1460" spans="1:11" x14ac:dyDescent="0.3">
      <c r="A1460" s="7" t="str">
        <f>IF(Notes!BY1456="","",Notes!BY1456)</f>
        <v/>
      </c>
      <c r="B1460" s="7" t="str">
        <f>IF(Notes!BZ1456="","",Notes!BZ1456)</f>
        <v/>
      </c>
      <c r="C1460" s="7" t="str">
        <f>IF(Notes!CA1456="","",Notes!CA1456)</f>
        <v/>
      </c>
      <c r="D1460" s="7" t="str">
        <f>IF(Notes!CB1456="","",Notes!CB1456)</f>
        <v/>
      </c>
      <c r="E1460" s="7" t="str">
        <f>IF(Notes!CC1456="","",Notes!CC1456)</f>
        <v/>
      </c>
      <c r="F1460" s="7" t="str">
        <f>IF(Notes!CD1456="","",Notes!CD1456)</f>
        <v/>
      </c>
      <c r="G1460" s="7" t="str">
        <f>IF(Notes!CE1456="","",Notes!CE1456)</f>
        <v/>
      </c>
      <c r="H1460" s="7" t="str">
        <f>IF(Notes!CF1456="","",Notes!CF1456)</f>
        <v/>
      </c>
      <c r="I1460" s="7"/>
      <c r="J1460" s="7"/>
      <c r="K1460" s="7"/>
    </row>
    <row r="1461" spans="1:11" x14ac:dyDescent="0.3">
      <c r="A1461" s="7" t="str">
        <f>IF(Notes!BY1457="","",Notes!BY1457)</f>
        <v/>
      </c>
      <c r="B1461" s="7" t="str">
        <f>IF(Notes!BZ1457="","",Notes!BZ1457)</f>
        <v/>
      </c>
      <c r="C1461" s="7" t="str">
        <f>IF(Notes!CA1457="","",Notes!CA1457)</f>
        <v/>
      </c>
      <c r="D1461" s="7" t="str">
        <f>IF(Notes!CB1457="","",Notes!CB1457)</f>
        <v/>
      </c>
      <c r="E1461" s="7" t="str">
        <f>IF(Notes!CC1457="","",Notes!CC1457)</f>
        <v/>
      </c>
      <c r="F1461" s="7" t="str">
        <f>IF(Notes!CD1457="","",Notes!CD1457)</f>
        <v/>
      </c>
      <c r="G1461" s="7" t="str">
        <f>IF(Notes!CE1457="","",Notes!CE1457)</f>
        <v/>
      </c>
      <c r="H1461" s="7" t="str">
        <f>IF(Notes!CF1457="","",Notes!CF1457)</f>
        <v/>
      </c>
      <c r="I1461" s="7"/>
      <c r="J1461" s="7"/>
      <c r="K1461" s="7"/>
    </row>
    <row r="1462" spans="1:11" x14ac:dyDescent="0.3">
      <c r="A1462" s="7" t="str">
        <f>IF(Notes!BY1458="","",Notes!BY1458)</f>
        <v/>
      </c>
      <c r="B1462" s="7" t="str">
        <f>IF(Notes!BZ1458="","",Notes!BZ1458)</f>
        <v/>
      </c>
      <c r="C1462" s="7" t="str">
        <f>IF(Notes!CA1458="","",Notes!CA1458)</f>
        <v/>
      </c>
      <c r="D1462" s="7" t="str">
        <f>IF(Notes!CB1458="","",Notes!CB1458)</f>
        <v/>
      </c>
      <c r="E1462" s="7" t="str">
        <f>IF(Notes!CC1458="","",Notes!CC1458)</f>
        <v/>
      </c>
      <c r="F1462" s="7" t="str">
        <f>IF(Notes!CD1458="","",Notes!CD1458)</f>
        <v/>
      </c>
      <c r="G1462" s="7" t="str">
        <f>IF(Notes!CE1458="","",Notes!CE1458)</f>
        <v/>
      </c>
      <c r="H1462" s="7" t="str">
        <f>IF(Notes!CF1458="","",Notes!CF1458)</f>
        <v/>
      </c>
      <c r="I1462" s="7"/>
      <c r="J1462" s="7"/>
      <c r="K1462" s="7"/>
    </row>
    <row r="1463" spans="1:11" x14ac:dyDescent="0.3">
      <c r="A1463" s="7" t="str">
        <f>IF(Notes!BY1459="","",Notes!BY1459)</f>
        <v/>
      </c>
      <c r="B1463" s="7" t="str">
        <f>IF(Notes!BZ1459="","",Notes!BZ1459)</f>
        <v/>
      </c>
      <c r="C1463" s="7" t="str">
        <f>IF(Notes!CA1459="","",Notes!CA1459)</f>
        <v/>
      </c>
      <c r="D1463" s="7" t="str">
        <f>IF(Notes!CB1459="","",Notes!CB1459)</f>
        <v/>
      </c>
      <c r="E1463" s="7" t="str">
        <f>IF(Notes!CC1459="","",Notes!CC1459)</f>
        <v/>
      </c>
      <c r="F1463" s="7" t="str">
        <f>IF(Notes!CD1459="","",Notes!CD1459)</f>
        <v/>
      </c>
      <c r="G1463" s="7" t="str">
        <f>IF(Notes!CE1459="","",Notes!CE1459)</f>
        <v/>
      </c>
      <c r="H1463" s="7" t="str">
        <f>IF(Notes!CF1459="","",Notes!CF1459)</f>
        <v/>
      </c>
      <c r="I1463" s="7"/>
      <c r="J1463" s="7"/>
      <c r="K1463" s="7"/>
    </row>
    <row r="1464" spans="1:11" x14ac:dyDescent="0.3">
      <c r="A1464" s="7" t="str">
        <f>IF(Notes!BY1460="","",Notes!BY1460)</f>
        <v/>
      </c>
      <c r="B1464" s="7" t="str">
        <f>IF(Notes!BZ1460="","",Notes!BZ1460)</f>
        <v/>
      </c>
      <c r="C1464" s="7" t="str">
        <f>IF(Notes!CA1460="","",Notes!CA1460)</f>
        <v/>
      </c>
      <c r="D1464" s="7" t="str">
        <f>IF(Notes!CB1460="","",Notes!CB1460)</f>
        <v/>
      </c>
      <c r="E1464" s="7" t="str">
        <f>IF(Notes!CC1460="","",Notes!CC1460)</f>
        <v/>
      </c>
      <c r="F1464" s="7" t="str">
        <f>IF(Notes!CD1460="","",Notes!CD1460)</f>
        <v/>
      </c>
      <c r="G1464" s="7" t="str">
        <f>IF(Notes!CE1460="","",Notes!CE1460)</f>
        <v/>
      </c>
      <c r="H1464" s="7" t="str">
        <f>IF(Notes!CF1460="","",Notes!CF1460)</f>
        <v/>
      </c>
      <c r="I1464" s="7"/>
      <c r="J1464" s="7"/>
      <c r="K1464" s="7"/>
    </row>
    <row r="1465" spans="1:11" x14ac:dyDescent="0.3">
      <c r="A1465" s="7" t="str">
        <f>IF(Notes!BY1461="","",Notes!BY1461)</f>
        <v/>
      </c>
      <c r="B1465" s="7" t="str">
        <f>IF(Notes!BZ1461="","",Notes!BZ1461)</f>
        <v/>
      </c>
      <c r="C1465" s="7" t="str">
        <f>IF(Notes!CA1461="","",Notes!CA1461)</f>
        <v/>
      </c>
      <c r="D1465" s="7" t="str">
        <f>IF(Notes!CB1461="","",Notes!CB1461)</f>
        <v/>
      </c>
      <c r="E1465" s="7" t="str">
        <f>IF(Notes!CC1461="","",Notes!CC1461)</f>
        <v/>
      </c>
      <c r="F1465" s="7" t="str">
        <f>IF(Notes!CD1461="","",Notes!CD1461)</f>
        <v/>
      </c>
      <c r="G1465" s="7" t="str">
        <f>IF(Notes!CE1461="","",Notes!CE1461)</f>
        <v/>
      </c>
      <c r="H1465" s="7" t="str">
        <f>IF(Notes!CF1461="","",Notes!CF1461)</f>
        <v/>
      </c>
      <c r="I1465" s="7"/>
      <c r="J1465" s="7"/>
      <c r="K1465" s="7"/>
    </row>
    <row r="1466" spans="1:11" x14ac:dyDescent="0.3">
      <c r="A1466" s="7" t="str">
        <f>IF(Notes!BY1462="","",Notes!BY1462)</f>
        <v/>
      </c>
      <c r="B1466" s="7" t="str">
        <f>IF(Notes!BZ1462="","",Notes!BZ1462)</f>
        <v/>
      </c>
      <c r="C1466" s="7" t="str">
        <f>IF(Notes!CA1462="","",Notes!CA1462)</f>
        <v/>
      </c>
      <c r="D1466" s="7" t="str">
        <f>IF(Notes!CB1462="","",Notes!CB1462)</f>
        <v/>
      </c>
      <c r="E1466" s="7" t="str">
        <f>IF(Notes!CC1462="","",Notes!CC1462)</f>
        <v/>
      </c>
      <c r="F1466" s="7" t="str">
        <f>IF(Notes!CD1462="","",Notes!CD1462)</f>
        <v/>
      </c>
      <c r="G1466" s="7" t="str">
        <f>IF(Notes!CE1462="","",Notes!CE1462)</f>
        <v/>
      </c>
      <c r="H1466" s="7" t="str">
        <f>IF(Notes!CF1462="","",Notes!CF1462)</f>
        <v/>
      </c>
      <c r="I1466" s="7"/>
      <c r="J1466" s="7"/>
      <c r="K1466" s="7"/>
    </row>
    <row r="1467" spans="1:11" x14ac:dyDescent="0.3">
      <c r="A1467" s="7" t="str">
        <f>IF(Notes!BY1463="","",Notes!BY1463)</f>
        <v/>
      </c>
      <c r="B1467" s="7" t="str">
        <f>IF(Notes!BZ1463="","",Notes!BZ1463)</f>
        <v/>
      </c>
      <c r="C1467" s="7" t="str">
        <f>IF(Notes!CA1463="","",Notes!CA1463)</f>
        <v/>
      </c>
      <c r="D1467" s="7" t="str">
        <f>IF(Notes!CB1463="","",Notes!CB1463)</f>
        <v/>
      </c>
      <c r="E1467" s="7" t="str">
        <f>IF(Notes!CC1463="","",Notes!CC1463)</f>
        <v/>
      </c>
      <c r="F1467" s="7" t="str">
        <f>IF(Notes!CD1463="","",Notes!CD1463)</f>
        <v/>
      </c>
      <c r="G1467" s="7" t="str">
        <f>IF(Notes!CE1463="","",Notes!CE1463)</f>
        <v/>
      </c>
      <c r="H1467" s="7" t="str">
        <f>IF(Notes!CF1463="","",Notes!CF1463)</f>
        <v/>
      </c>
      <c r="I1467" s="7"/>
      <c r="J1467" s="7"/>
      <c r="K1467" s="7"/>
    </row>
    <row r="1468" spans="1:11" x14ac:dyDescent="0.3">
      <c r="A1468" s="7" t="str">
        <f>IF(Notes!BY1464="","",Notes!BY1464)</f>
        <v/>
      </c>
      <c r="B1468" s="7" t="str">
        <f>IF(Notes!BZ1464="","",Notes!BZ1464)</f>
        <v/>
      </c>
      <c r="C1468" s="7" t="str">
        <f>IF(Notes!CA1464="","",Notes!CA1464)</f>
        <v/>
      </c>
      <c r="D1468" s="7" t="str">
        <f>IF(Notes!CB1464="","",Notes!CB1464)</f>
        <v/>
      </c>
      <c r="E1468" s="7" t="str">
        <f>IF(Notes!CC1464="","",Notes!CC1464)</f>
        <v/>
      </c>
      <c r="F1468" s="7" t="str">
        <f>IF(Notes!CD1464="","",Notes!CD1464)</f>
        <v/>
      </c>
      <c r="G1468" s="7" t="str">
        <f>IF(Notes!CE1464="","",Notes!CE1464)</f>
        <v/>
      </c>
      <c r="H1468" s="7" t="str">
        <f>IF(Notes!CF1464="","",Notes!CF1464)</f>
        <v/>
      </c>
      <c r="I1468" s="7"/>
      <c r="J1468" s="7"/>
      <c r="K1468" s="7"/>
    </row>
    <row r="1469" spans="1:11" x14ac:dyDescent="0.3">
      <c r="A1469" s="7" t="str">
        <f>IF(Notes!BY1465="","",Notes!BY1465)</f>
        <v/>
      </c>
      <c r="B1469" s="7" t="str">
        <f>IF(Notes!BZ1465="","",Notes!BZ1465)</f>
        <v/>
      </c>
      <c r="C1469" s="7" t="str">
        <f>IF(Notes!CA1465="","",Notes!CA1465)</f>
        <v/>
      </c>
      <c r="D1469" s="7" t="str">
        <f>IF(Notes!CB1465="","",Notes!CB1465)</f>
        <v/>
      </c>
      <c r="E1469" s="7" t="str">
        <f>IF(Notes!CC1465="","",Notes!CC1465)</f>
        <v/>
      </c>
      <c r="F1469" s="7" t="str">
        <f>IF(Notes!CD1465="","",Notes!CD1465)</f>
        <v/>
      </c>
      <c r="G1469" s="7" t="str">
        <f>IF(Notes!CE1465="","",Notes!CE1465)</f>
        <v/>
      </c>
      <c r="H1469" s="7" t="str">
        <f>IF(Notes!CF1465="","",Notes!CF1465)</f>
        <v/>
      </c>
      <c r="I1469" s="7"/>
      <c r="J1469" s="7"/>
      <c r="K1469" s="7"/>
    </row>
    <row r="1470" spans="1:11" x14ac:dyDescent="0.3">
      <c r="A1470" s="7" t="str">
        <f>IF(Notes!BY1466="","",Notes!BY1466)</f>
        <v/>
      </c>
      <c r="B1470" s="7" t="str">
        <f>IF(Notes!BZ1466="","",Notes!BZ1466)</f>
        <v/>
      </c>
      <c r="C1470" s="7" t="str">
        <f>IF(Notes!CA1466="","",Notes!CA1466)</f>
        <v/>
      </c>
      <c r="D1470" s="7" t="str">
        <f>IF(Notes!CB1466="","",Notes!CB1466)</f>
        <v/>
      </c>
      <c r="E1470" s="7" t="str">
        <f>IF(Notes!CC1466="","",Notes!CC1466)</f>
        <v/>
      </c>
      <c r="F1470" s="7" t="str">
        <f>IF(Notes!CD1466="","",Notes!CD1466)</f>
        <v/>
      </c>
      <c r="G1470" s="7" t="str">
        <f>IF(Notes!CE1466="","",Notes!CE1466)</f>
        <v/>
      </c>
      <c r="H1470" s="7" t="str">
        <f>IF(Notes!CF1466="","",Notes!CF1466)</f>
        <v/>
      </c>
      <c r="I1470" s="7"/>
      <c r="J1470" s="7"/>
      <c r="K1470" s="7"/>
    </row>
    <row r="1471" spans="1:11" x14ac:dyDescent="0.3">
      <c r="A1471" s="7" t="str">
        <f>IF(Notes!BY1467="","",Notes!BY1467)</f>
        <v/>
      </c>
      <c r="B1471" s="7" t="str">
        <f>IF(Notes!BZ1467="","",Notes!BZ1467)</f>
        <v/>
      </c>
      <c r="C1471" s="7" t="str">
        <f>IF(Notes!CA1467="","",Notes!CA1467)</f>
        <v/>
      </c>
      <c r="D1471" s="7" t="str">
        <f>IF(Notes!CB1467="","",Notes!CB1467)</f>
        <v/>
      </c>
      <c r="E1471" s="7" t="str">
        <f>IF(Notes!CC1467="","",Notes!CC1467)</f>
        <v/>
      </c>
      <c r="F1471" s="7" t="str">
        <f>IF(Notes!CD1467="","",Notes!CD1467)</f>
        <v/>
      </c>
      <c r="G1471" s="7" t="str">
        <f>IF(Notes!CE1467="","",Notes!CE1467)</f>
        <v/>
      </c>
      <c r="H1471" s="7" t="str">
        <f>IF(Notes!CF1467="","",Notes!CF1467)</f>
        <v/>
      </c>
      <c r="I1471" s="7"/>
      <c r="J1471" s="7"/>
      <c r="K1471" s="7"/>
    </row>
    <row r="1472" spans="1:11" x14ac:dyDescent="0.3">
      <c r="A1472" s="7" t="str">
        <f>IF(Notes!BY1468="","",Notes!BY1468)</f>
        <v/>
      </c>
      <c r="B1472" s="7" t="str">
        <f>IF(Notes!BZ1468="","",Notes!BZ1468)</f>
        <v/>
      </c>
      <c r="C1472" s="7" t="str">
        <f>IF(Notes!CA1468="","",Notes!CA1468)</f>
        <v/>
      </c>
      <c r="D1472" s="7" t="str">
        <f>IF(Notes!CB1468="","",Notes!CB1468)</f>
        <v/>
      </c>
      <c r="E1472" s="7" t="str">
        <f>IF(Notes!CC1468="","",Notes!CC1468)</f>
        <v/>
      </c>
      <c r="F1472" s="7" t="str">
        <f>IF(Notes!CD1468="","",Notes!CD1468)</f>
        <v/>
      </c>
      <c r="G1472" s="7" t="str">
        <f>IF(Notes!CE1468="","",Notes!CE1468)</f>
        <v/>
      </c>
      <c r="H1472" s="7" t="str">
        <f>IF(Notes!CF1468="","",Notes!CF1468)</f>
        <v/>
      </c>
      <c r="I1472" s="7"/>
      <c r="J1472" s="7"/>
      <c r="K1472" s="7"/>
    </row>
    <row r="1473" spans="1:11" x14ac:dyDescent="0.3">
      <c r="A1473" s="7" t="str">
        <f>IF(Notes!BY1469="","",Notes!BY1469)</f>
        <v/>
      </c>
      <c r="B1473" s="7" t="str">
        <f>IF(Notes!BZ1469="","",Notes!BZ1469)</f>
        <v/>
      </c>
      <c r="C1473" s="7" t="str">
        <f>IF(Notes!CA1469="","",Notes!CA1469)</f>
        <v/>
      </c>
      <c r="D1473" s="7" t="str">
        <f>IF(Notes!CB1469="","",Notes!CB1469)</f>
        <v/>
      </c>
      <c r="E1473" s="7" t="str">
        <f>IF(Notes!CC1469="","",Notes!CC1469)</f>
        <v/>
      </c>
      <c r="F1473" s="7" t="str">
        <f>IF(Notes!CD1469="","",Notes!CD1469)</f>
        <v/>
      </c>
      <c r="G1473" s="7" t="str">
        <f>IF(Notes!CE1469="","",Notes!CE1469)</f>
        <v/>
      </c>
      <c r="H1473" s="7" t="str">
        <f>IF(Notes!CF1469="","",Notes!CF1469)</f>
        <v/>
      </c>
      <c r="I1473" s="7"/>
      <c r="J1473" s="7"/>
      <c r="K1473" s="7"/>
    </row>
    <row r="1474" spans="1:11" x14ac:dyDescent="0.3">
      <c r="A1474" s="7" t="str">
        <f>IF(Notes!BY1470="","",Notes!BY1470)</f>
        <v/>
      </c>
      <c r="B1474" s="7" t="str">
        <f>IF(Notes!BZ1470="","",Notes!BZ1470)</f>
        <v/>
      </c>
      <c r="C1474" s="7" t="str">
        <f>IF(Notes!CA1470="","",Notes!CA1470)</f>
        <v/>
      </c>
      <c r="D1474" s="7" t="str">
        <f>IF(Notes!CB1470="","",Notes!CB1470)</f>
        <v/>
      </c>
      <c r="E1474" s="7" t="str">
        <f>IF(Notes!CC1470="","",Notes!CC1470)</f>
        <v/>
      </c>
      <c r="F1474" s="7" t="str">
        <f>IF(Notes!CD1470="","",Notes!CD1470)</f>
        <v/>
      </c>
      <c r="G1474" s="7" t="str">
        <f>IF(Notes!CE1470="","",Notes!CE1470)</f>
        <v/>
      </c>
      <c r="H1474" s="7" t="str">
        <f>IF(Notes!CF1470="","",Notes!CF1470)</f>
        <v/>
      </c>
      <c r="I1474" s="7"/>
      <c r="J1474" s="7"/>
      <c r="K1474" s="7"/>
    </row>
    <row r="1475" spans="1:11" x14ac:dyDescent="0.3">
      <c r="A1475" s="7" t="str">
        <f>IF(Notes!BY1471="","",Notes!BY1471)</f>
        <v/>
      </c>
      <c r="B1475" s="7" t="str">
        <f>IF(Notes!BZ1471="","",Notes!BZ1471)</f>
        <v/>
      </c>
      <c r="C1475" s="7" t="str">
        <f>IF(Notes!CA1471="","",Notes!CA1471)</f>
        <v/>
      </c>
      <c r="D1475" s="7" t="str">
        <f>IF(Notes!CB1471="","",Notes!CB1471)</f>
        <v/>
      </c>
      <c r="E1475" s="7" t="str">
        <f>IF(Notes!CC1471="","",Notes!CC1471)</f>
        <v/>
      </c>
      <c r="F1475" s="7" t="str">
        <f>IF(Notes!CD1471="","",Notes!CD1471)</f>
        <v/>
      </c>
      <c r="G1475" s="7" t="str">
        <f>IF(Notes!CE1471="","",Notes!CE1471)</f>
        <v/>
      </c>
      <c r="H1475" s="7" t="str">
        <f>IF(Notes!CF1471="","",Notes!CF1471)</f>
        <v/>
      </c>
      <c r="I1475" s="7"/>
      <c r="J1475" s="7"/>
      <c r="K1475" s="7"/>
    </row>
    <row r="1476" spans="1:11" x14ac:dyDescent="0.3">
      <c r="A1476" s="7" t="str">
        <f>IF(Notes!BY1472="","",Notes!BY1472)</f>
        <v/>
      </c>
      <c r="B1476" s="7" t="str">
        <f>IF(Notes!BZ1472="","",Notes!BZ1472)</f>
        <v/>
      </c>
      <c r="C1476" s="7" t="str">
        <f>IF(Notes!CA1472="","",Notes!CA1472)</f>
        <v/>
      </c>
      <c r="D1476" s="7" t="str">
        <f>IF(Notes!CB1472="","",Notes!CB1472)</f>
        <v/>
      </c>
      <c r="E1476" s="7" t="str">
        <f>IF(Notes!CC1472="","",Notes!CC1472)</f>
        <v/>
      </c>
      <c r="F1476" s="7" t="str">
        <f>IF(Notes!CD1472="","",Notes!CD1472)</f>
        <v/>
      </c>
      <c r="G1476" s="7" t="str">
        <f>IF(Notes!CE1472="","",Notes!CE1472)</f>
        <v/>
      </c>
      <c r="H1476" s="7" t="str">
        <f>IF(Notes!CF1472="","",Notes!CF1472)</f>
        <v/>
      </c>
      <c r="I1476" s="7"/>
      <c r="J1476" s="7"/>
      <c r="K1476" s="7"/>
    </row>
    <row r="1477" spans="1:11" x14ac:dyDescent="0.3">
      <c r="A1477" s="7" t="str">
        <f>IF(Notes!BY1473="","",Notes!BY1473)</f>
        <v/>
      </c>
      <c r="B1477" s="7" t="str">
        <f>IF(Notes!BZ1473="","",Notes!BZ1473)</f>
        <v/>
      </c>
      <c r="C1477" s="7" t="str">
        <f>IF(Notes!CA1473="","",Notes!CA1473)</f>
        <v/>
      </c>
      <c r="D1477" s="7" t="str">
        <f>IF(Notes!CB1473="","",Notes!CB1473)</f>
        <v/>
      </c>
      <c r="E1477" s="7" t="str">
        <f>IF(Notes!CC1473="","",Notes!CC1473)</f>
        <v/>
      </c>
      <c r="F1477" s="7" t="str">
        <f>IF(Notes!CD1473="","",Notes!CD1473)</f>
        <v/>
      </c>
      <c r="G1477" s="7" t="str">
        <f>IF(Notes!CE1473="","",Notes!CE1473)</f>
        <v/>
      </c>
      <c r="H1477" s="7" t="str">
        <f>IF(Notes!CF1473="","",Notes!CF1473)</f>
        <v/>
      </c>
      <c r="I1477" s="7"/>
      <c r="J1477" s="7"/>
      <c r="K1477" s="7"/>
    </row>
    <row r="1478" spans="1:11" x14ac:dyDescent="0.3">
      <c r="A1478" s="7" t="str">
        <f>IF(Notes!BY1474="","",Notes!BY1474)</f>
        <v/>
      </c>
      <c r="B1478" s="7" t="str">
        <f>IF(Notes!BZ1474="","",Notes!BZ1474)</f>
        <v/>
      </c>
      <c r="C1478" s="7" t="str">
        <f>IF(Notes!CA1474="","",Notes!CA1474)</f>
        <v/>
      </c>
      <c r="D1478" s="7" t="str">
        <f>IF(Notes!CB1474="","",Notes!CB1474)</f>
        <v/>
      </c>
      <c r="E1478" s="7" t="str">
        <f>IF(Notes!CC1474="","",Notes!CC1474)</f>
        <v/>
      </c>
      <c r="F1478" s="7" t="str">
        <f>IF(Notes!CD1474="","",Notes!CD1474)</f>
        <v/>
      </c>
      <c r="G1478" s="7" t="str">
        <f>IF(Notes!CE1474="","",Notes!CE1474)</f>
        <v/>
      </c>
      <c r="H1478" s="7" t="str">
        <f>IF(Notes!CF1474="","",Notes!CF1474)</f>
        <v/>
      </c>
      <c r="I1478" s="7"/>
      <c r="J1478" s="7"/>
      <c r="K1478" s="7"/>
    </row>
    <row r="1479" spans="1:11" x14ac:dyDescent="0.3">
      <c r="A1479" s="7" t="str">
        <f>IF(Notes!BY1475="","",Notes!BY1475)</f>
        <v/>
      </c>
      <c r="B1479" s="7" t="str">
        <f>IF(Notes!BZ1475="","",Notes!BZ1475)</f>
        <v/>
      </c>
      <c r="C1479" s="7" t="str">
        <f>IF(Notes!CA1475="","",Notes!CA1475)</f>
        <v/>
      </c>
      <c r="D1479" s="7" t="str">
        <f>IF(Notes!CB1475="","",Notes!CB1475)</f>
        <v/>
      </c>
      <c r="E1479" s="7" t="str">
        <f>IF(Notes!CC1475="","",Notes!CC1475)</f>
        <v/>
      </c>
      <c r="F1479" s="7" t="str">
        <f>IF(Notes!CD1475="","",Notes!CD1475)</f>
        <v/>
      </c>
      <c r="G1479" s="7" t="str">
        <f>IF(Notes!CE1475="","",Notes!CE1475)</f>
        <v/>
      </c>
      <c r="H1479" s="7" t="str">
        <f>IF(Notes!CF1475="","",Notes!CF1475)</f>
        <v/>
      </c>
      <c r="I1479" s="7"/>
      <c r="J1479" s="7"/>
      <c r="K1479" s="7"/>
    </row>
    <row r="1480" spans="1:11" x14ac:dyDescent="0.3">
      <c r="A1480" s="7" t="str">
        <f>IF(Notes!BY1476="","",Notes!BY1476)</f>
        <v/>
      </c>
      <c r="B1480" s="7" t="str">
        <f>IF(Notes!BZ1476="","",Notes!BZ1476)</f>
        <v/>
      </c>
      <c r="C1480" s="7" t="str">
        <f>IF(Notes!CA1476="","",Notes!CA1476)</f>
        <v/>
      </c>
      <c r="D1480" s="7" t="str">
        <f>IF(Notes!CB1476="","",Notes!CB1476)</f>
        <v/>
      </c>
      <c r="E1480" s="7" t="str">
        <f>IF(Notes!CC1476="","",Notes!CC1476)</f>
        <v/>
      </c>
      <c r="F1480" s="7" t="str">
        <f>IF(Notes!CD1476="","",Notes!CD1476)</f>
        <v/>
      </c>
      <c r="G1480" s="7" t="str">
        <f>IF(Notes!CE1476="","",Notes!CE1476)</f>
        <v/>
      </c>
      <c r="H1480" s="7" t="str">
        <f>IF(Notes!CF1476="","",Notes!CF1476)</f>
        <v/>
      </c>
      <c r="I1480" s="7"/>
      <c r="J1480" s="7"/>
      <c r="K1480" s="7"/>
    </row>
    <row r="1481" spans="1:11" x14ac:dyDescent="0.3">
      <c r="A1481" s="7" t="str">
        <f>IF(Notes!BY1477="","",Notes!BY1477)</f>
        <v/>
      </c>
      <c r="B1481" s="7" t="str">
        <f>IF(Notes!BZ1477="","",Notes!BZ1477)</f>
        <v/>
      </c>
      <c r="C1481" s="7" t="str">
        <f>IF(Notes!CA1477="","",Notes!CA1477)</f>
        <v/>
      </c>
      <c r="D1481" s="7" t="str">
        <f>IF(Notes!CB1477="","",Notes!CB1477)</f>
        <v/>
      </c>
      <c r="E1481" s="7" t="str">
        <f>IF(Notes!CC1477="","",Notes!CC1477)</f>
        <v/>
      </c>
      <c r="F1481" s="7" t="str">
        <f>IF(Notes!CD1477="","",Notes!CD1477)</f>
        <v/>
      </c>
      <c r="G1481" s="7" t="str">
        <f>IF(Notes!CE1477="","",Notes!CE1477)</f>
        <v/>
      </c>
      <c r="H1481" s="7" t="str">
        <f>IF(Notes!CF1477="","",Notes!CF1477)</f>
        <v/>
      </c>
      <c r="I1481" s="7"/>
      <c r="J1481" s="7"/>
      <c r="K1481" s="7"/>
    </row>
    <row r="1482" spans="1:11" x14ac:dyDescent="0.3">
      <c r="A1482" s="7" t="str">
        <f>IF(Notes!BY1478="","",Notes!BY1478)</f>
        <v/>
      </c>
      <c r="B1482" s="7" t="str">
        <f>IF(Notes!BZ1478="","",Notes!BZ1478)</f>
        <v/>
      </c>
      <c r="C1482" s="7" t="str">
        <f>IF(Notes!CA1478="","",Notes!CA1478)</f>
        <v/>
      </c>
      <c r="D1482" s="7" t="str">
        <f>IF(Notes!CB1478="","",Notes!CB1478)</f>
        <v/>
      </c>
      <c r="E1482" s="7" t="str">
        <f>IF(Notes!CC1478="","",Notes!CC1478)</f>
        <v/>
      </c>
      <c r="F1482" s="7" t="str">
        <f>IF(Notes!CD1478="","",Notes!CD1478)</f>
        <v/>
      </c>
      <c r="G1482" s="7" t="str">
        <f>IF(Notes!CE1478="","",Notes!CE1478)</f>
        <v/>
      </c>
      <c r="H1482" s="7" t="str">
        <f>IF(Notes!CF1478="","",Notes!CF1478)</f>
        <v/>
      </c>
      <c r="I1482" s="7"/>
      <c r="J1482" s="7"/>
      <c r="K1482" s="7"/>
    </row>
    <row r="1483" spans="1:11" x14ac:dyDescent="0.3">
      <c r="A1483" s="7" t="str">
        <f>IF(Notes!BY1479="","",Notes!BY1479)</f>
        <v/>
      </c>
      <c r="B1483" s="7" t="str">
        <f>IF(Notes!BZ1479="","",Notes!BZ1479)</f>
        <v/>
      </c>
      <c r="C1483" s="7" t="str">
        <f>IF(Notes!CA1479="","",Notes!CA1479)</f>
        <v/>
      </c>
      <c r="D1483" s="7" t="str">
        <f>IF(Notes!CB1479="","",Notes!CB1479)</f>
        <v/>
      </c>
      <c r="E1483" s="7" t="str">
        <f>IF(Notes!CC1479="","",Notes!CC1479)</f>
        <v/>
      </c>
      <c r="F1483" s="7" t="str">
        <f>IF(Notes!CD1479="","",Notes!CD1479)</f>
        <v/>
      </c>
      <c r="G1483" s="7" t="str">
        <f>IF(Notes!CE1479="","",Notes!CE1479)</f>
        <v/>
      </c>
      <c r="H1483" s="7" t="str">
        <f>IF(Notes!CF1479="","",Notes!CF1479)</f>
        <v/>
      </c>
      <c r="I1483" s="7"/>
      <c r="J1483" s="7"/>
      <c r="K1483" s="7"/>
    </row>
    <row r="1484" spans="1:11" x14ac:dyDescent="0.3">
      <c r="A1484" s="7" t="str">
        <f>IF(Notes!BY1480="","",Notes!BY1480)</f>
        <v/>
      </c>
      <c r="B1484" s="7" t="str">
        <f>IF(Notes!BZ1480="","",Notes!BZ1480)</f>
        <v/>
      </c>
      <c r="C1484" s="7" t="str">
        <f>IF(Notes!CA1480="","",Notes!CA1480)</f>
        <v/>
      </c>
      <c r="D1484" s="7" t="str">
        <f>IF(Notes!CB1480="","",Notes!CB1480)</f>
        <v/>
      </c>
      <c r="E1484" s="7" t="str">
        <f>IF(Notes!CC1480="","",Notes!CC1480)</f>
        <v/>
      </c>
      <c r="F1484" s="7" t="str">
        <f>IF(Notes!CD1480="","",Notes!CD1480)</f>
        <v/>
      </c>
      <c r="G1484" s="7" t="str">
        <f>IF(Notes!CE1480="","",Notes!CE1480)</f>
        <v/>
      </c>
      <c r="H1484" s="7" t="str">
        <f>IF(Notes!CF1480="","",Notes!CF1480)</f>
        <v/>
      </c>
      <c r="I1484" s="7"/>
      <c r="J1484" s="7"/>
      <c r="K1484" s="7"/>
    </row>
    <row r="1485" spans="1:11" x14ac:dyDescent="0.3">
      <c r="A1485" s="7" t="str">
        <f>IF(Notes!BY1481="","",Notes!BY1481)</f>
        <v/>
      </c>
      <c r="B1485" s="7" t="str">
        <f>IF(Notes!BZ1481="","",Notes!BZ1481)</f>
        <v/>
      </c>
      <c r="C1485" s="7" t="str">
        <f>IF(Notes!CA1481="","",Notes!CA1481)</f>
        <v/>
      </c>
      <c r="D1485" s="7" t="str">
        <f>IF(Notes!CB1481="","",Notes!CB1481)</f>
        <v/>
      </c>
      <c r="E1485" s="7" t="str">
        <f>IF(Notes!CC1481="","",Notes!CC1481)</f>
        <v/>
      </c>
      <c r="F1485" s="7" t="str">
        <f>IF(Notes!CD1481="","",Notes!CD1481)</f>
        <v/>
      </c>
      <c r="G1485" s="7" t="str">
        <f>IF(Notes!CE1481="","",Notes!CE1481)</f>
        <v/>
      </c>
      <c r="H1485" s="7" t="str">
        <f>IF(Notes!CF1481="","",Notes!CF1481)</f>
        <v/>
      </c>
      <c r="I1485" s="7"/>
      <c r="J1485" s="7"/>
      <c r="K1485" s="7"/>
    </row>
    <row r="1486" spans="1:11" x14ac:dyDescent="0.3">
      <c r="A1486" s="7" t="str">
        <f>IF(Notes!BY1482="","",Notes!BY1482)</f>
        <v/>
      </c>
      <c r="B1486" s="7" t="str">
        <f>IF(Notes!BZ1482="","",Notes!BZ1482)</f>
        <v/>
      </c>
      <c r="C1486" s="7" t="str">
        <f>IF(Notes!CA1482="","",Notes!CA1482)</f>
        <v/>
      </c>
      <c r="D1486" s="7" t="str">
        <f>IF(Notes!CB1482="","",Notes!CB1482)</f>
        <v/>
      </c>
      <c r="E1486" s="7" t="str">
        <f>IF(Notes!CC1482="","",Notes!CC1482)</f>
        <v/>
      </c>
      <c r="F1486" s="7" t="str">
        <f>IF(Notes!CD1482="","",Notes!CD1482)</f>
        <v/>
      </c>
      <c r="G1486" s="7" t="str">
        <f>IF(Notes!CE1482="","",Notes!CE1482)</f>
        <v/>
      </c>
      <c r="H1486" s="7" t="str">
        <f>IF(Notes!CF1482="","",Notes!CF1482)</f>
        <v/>
      </c>
      <c r="I1486" s="7"/>
      <c r="J1486" s="7"/>
      <c r="K1486" s="7"/>
    </row>
    <row r="1487" spans="1:11" x14ac:dyDescent="0.3">
      <c r="A1487" s="7" t="str">
        <f>IF(Notes!BY1483="","",Notes!BY1483)</f>
        <v/>
      </c>
      <c r="B1487" s="7" t="str">
        <f>IF(Notes!BZ1483="","",Notes!BZ1483)</f>
        <v/>
      </c>
      <c r="C1487" s="7" t="str">
        <f>IF(Notes!CA1483="","",Notes!CA1483)</f>
        <v/>
      </c>
      <c r="D1487" s="7" t="str">
        <f>IF(Notes!CB1483="","",Notes!CB1483)</f>
        <v/>
      </c>
      <c r="E1487" s="7" t="str">
        <f>IF(Notes!CC1483="","",Notes!CC1483)</f>
        <v/>
      </c>
      <c r="F1487" s="7" t="str">
        <f>IF(Notes!CD1483="","",Notes!CD1483)</f>
        <v/>
      </c>
      <c r="G1487" s="7" t="str">
        <f>IF(Notes!CE1483="","",Notes!CE1483)</f>
        <v/>
      </c>
      <c r="H1487" s="7" t="str">
        <f>IF(Notes!CF1483="","",Notes!CF1483)</f>
        <v/>
      </c>
      <c r="I1487" s="7"/>
      <c r="J1487" s="7"/>
      <c r="K1487" s="7"/>
    </row>
    <row r="1488" spans="1:11" x14ac:dyDescent="0.3">
      <c r="A1488" s="7" t="str">
        <f>IF(Notes!BY1484="","",Notes!BY1484)</f>
        <v/>
      </c>
      <c r="B1488" s="7" t="str">
        <f>IF(Notes!BZ1484="","",Notes!BZ1484)</f>
        <v/>
      </c>
      <c r="C1488" s="7" t="str">
        <f>IF(Notes!CA1484="","",Notes!CA1484)</f>
        <v/>
      </c>
      <c r="D1488" s="7" t="str">
        <f>IF(Notes!CB1484="","",Notes!CB1484)</f>
        <v/>
      </c>
      <c r="E1488" s="7" t="str">
        <f>IF(Notes!CC1484="","",Notes!CC1484)</f>
        <v/>
      </c>
      <c r="F1488" s="7" t="str">
        <f>IF(Notes!CD1484="","",Notes!CD1484)</f>
        <v/>
      </c>
      <c r="G1488" s="7" t="str">
        <f>IF(Notes!CE1484="","",Notes!CE1484)</f>
        <v/>
      </c>
      <c r="H1488" s="7" t="str">
        <f>IF(Notes!CF1484="","",Notes!CF1484)</f>
        <v/>
      </c>
      <c r="I1488" s="7"/>
      <c r="J1488" s="7"/>
      <c r="K1488" s="7"/>
    </row>
    <row r="1489" spans="1:11" x14ac:dyDescent="0.3">
      <c r="A1489" s="7" t="str">
        <f>IF(Notes!BY1485="","",Notes!BY1485)</f>
        <v/>
      </c>
      <c r="B1489" s="7" t="str">
        <f>IF(Notes!BZ1485="","",Notes!BZ1485)</f>
        <v/>
      </c>
      <c r="C1489" s="7" t="str">
        <f>IF(Notes!CA1485="","",Notes!CA1485)</f>
        <v/>
      </c>
      <c r="D1489" s="7" t="str">
        <f>IF(Notes!CB1485="","",Notes!CB1485)</f>
        <v/>
      </c>
      <c r="E1489" s="7" t="str">
        <f>IF(Notes!CC1485="","",Notes!CC1485)</f>
        <v/>
      </c>
      <c r="F1489" s="7" t="str">
        <f>IF(Notes!CD1485="","",Notes!CD1485)</f>
        <v/>
      </c>
      <c r="G1489" s="7" t="str">
        <f>IF(Notes!CE1485="","",Notes!CE1485)</f>
        <v/>
      </c>
      <c r="H1489" s="7" t="str">
        <f>IF(Notes!CF1485="","",Notes!CF1485)</f>
        <v/>
      </c>
      <c r="I1489" s="7"/>
      <c r="J1489" s="7"/>
      <c r="K1489" s="7"/>
    </row>
    <row r="1490" spans="1:11" x14ac:dyDescent="0.3">
      <c r="A1490" s="7" t="str">
        <f>IF(Notes!BY1486="","",Notes!BY1486)</f>
        <v/>
      </c>
      <c r="B1490" s="7" t="str">
        <f>IF(Notes!BZ1486="","",Notes!BZ1486)</f>
        <v/>
      </c>
      <c r="C1490" s="7" t="str">
        <f>IF(Notes!CA1486="","",Notes!CA1486)</f>
        <v/>
      </c>
      <c r="D1490" s="7" t="str">
        <f>IF(Notes!CB1486="","",Notes!CB1486)</f>
        <v/>
      </c>
      <c r="E1490" s="7" t="str">
        <f>IF(Notes!CC1486="","",Notes!CC1486)</f>
        <v/>
      </c>
      <c r="F1490" s="7" t="str">
        <f>IF(Notes!CD1486="","",Notes!CD1486)</f>
        <v/>
      </c>
      <c r="G1490" s="7" t="str">
        <f>IF(Notes!CE1486="","",Notes!CE1486)</f>
        <v/>
      </c>
      <c r="H1490" s="7" t="str">
        <f>IF(Notes!CF1486="","",Notes!CF1486)</f>
        <v/>
      </c>
      <c r="I1490" s="7"/>
      <c r="J1490" s="7"/>
      <c r="K1490" s="7"/>
    </row>
    <row r="1491" spans="1:11" x14ac:dyDescent="0.3">
      <c r="A1491" s="7" t="str">
        <f>IF(Notes!BY1487="","",Notes!BY1487)</f>
        <v/>
      </c>
      <c r="B1491" s="7" t="str">
        <f>IF(Notes!BZ1487="","",Notes!BZ1487)</f>
        <v/>
      </c>
      <c r="C1491" s="7" t="str">
        <f>IF(Notes!CA1487="","",Notes!CA1487)</f>
        <v/>
      </c>
      <c r="D1491" s="7" t="str">
        <f>IF(Notes!CB1487="","",Notes!CB1487)</f>
        <v/>
      </c>
      <c r="E1491" s="7" t="str">
        <f>IF(Notes!CC1487="","",Notes!CC1487)</f>
        <v/>
      </c>
      <c r="F1491" s="7" t="str">
        <f>IF(Notes!CD1487="","",Notes!CD1487)</f>
        <v/>
      </c>
      <c r="G1491" s="7" t="str">
        <f>IF(Notes!CE1487="","",Notes!CE1487)</f>
        <v/>
      </c>
      <c r="H1491" s="7" t="str">
        <f>IF(Notes!CF1487="","",Notes!CF1487)</f>
        <v/>
      </c>
      <c r="I1491" s="7"/>
      <c r="J1491" s="7"/>
      <c r="K1491" s="7"/>
    </row>
    <row r="1492" spans="1:11" x14ac:dyDescent="0.3">
      <c r="A1492" s="7" t="str">
        <f>IF(Notes!BY1488="","",Notes!BY1488)</f>
        <v/>
      </c>
      <c r="B1492" s="7" t="str">
        <f>IF(Notes!BZ1488="","",Notes!BZ1488)</f>
        <v/>
      </c>
      <c r="C1492" s="7" t="str">
        <f>IF(Notes!CA1488="","",Notes!CA1488)</f>
        <v/>
      </c>
      <c r="D1492" s="7" t="str">
        <f>IF(Notes!CB1488="","",Notes!CB1488)</f>
        <v/>
      </c>
      <c r="E1492" s="7" t="str">
        <f>IF(Notes!CC1488="","",Notes!CC1488)</f>
        <v/>
      </c>
      <c r="F1492" s="7" t="str">
        <f>IF(Notes!CD1488="","",Notes!CD1488)</f>
        <v/>
      </c>
      <c r="G1492" s="7" t="str">
        <f>IF(Notes!CE1488="","",Notes!CE1488)</f>
        <v/>
      </c>
      <c r="H1492" s="7" t="str">
        <f>IF(Notes!CF1488="","",Notes!CF1488)</f>
        <v/>
      </c>
      <c r="I1492" s="7"/>
      <c r="J1492" s="7"/>
      <c r="K1492" s="7"/>
    </row>
    <row r="1493" spans="1:11" x14ac:dyDescent="0.3">
      <c r="A1493" s="7" t="str">
        <f>IF(Notes!BY1489="","",Notes!BY1489)</f>
        <v/>
      </c>
      <c r="B1493" s="7" t="str">
        <f>IF(Notes!BZ1489="","",Notes!BZ1489)</f>
        <v/>
      </c>
      <c r="C1493" s="7" t="str">
        <f>IF(Notes!CA1489="","",Notes!CA1489)</f>
        <v/>
      </c>
      <c r="D1493" s="7" t="str">
        <f>IF(Notes!CB1489="","",Notes!CB1489)</f>
        <v/>
      </c>
      <c r="E1493" s="7" t="str">
        <f>IF(Notes!CC1489="","",Notes!CC1489)</f>
        <v/>
      </c>
      <c r="F1493" s="7" t="str">
        <f>IF(Notes!CD1489="","",Notes!CD1489)</f>
        <v/>
      </c>
      <c r="G1493" s="7" t="str">
        <f>IF(Notes!CE1489="","",Notes!CE1489)</f>
        <v/>
      </c>
      <c r="H1493" s="7" t="str">
        <f>IF(Notes!CF1489="","",Notes!CF1489)</f>
        <v/>
      </c>
      <c r="I1493" s="7"/>
      <c r="J1493" s="7"/>
      <c r="K1493" s="7"/>
    </row>
    <row r="1494" spans="1:11" x14ac:dyDescent="0.3">
      <c r="A1494" s="7" t="str">
        <f>IF(Notes!BY1490="","",Notes!BY1490)</f>
        <v/>
      </c>
      <c r="B1494" s="7" t="str">
        <f>IF(Notes!BZ1490="","",Notes!BZ1490)</f>
        <v/>
      </c>
      <c r="C1494" s="7" t="str">
        <f>IF(Notes!CA1490="","",Notes!CA1490)</f>
        <v/>
      </c>
      <c r="D1494" s="7" t="str">
        <f>IF(Notes!CB1490="","",Notes!CB1490)</f>
        <v/>
      </c>
      <c r="E1494" s="7" t="str">
        <f>IF(Notes!CC1490="","",Notes!CC1490)</f>
        <v/>
      </c>
      <c r="F1494" s="7" t="str">
        <f>IF(Notes!CD1490="","",Notes!CD1490)</f>
        <v/>
      </c>
      <c r="G1494" s="7" t="str">
        <f>IF(Notes!CE1490="","",Notes!CE1490)</f>
        <v/>
      </c>
      <c r="H1494" s="7" t="str">
        <f>IF(Notes!CF1490="","",Notes!CF1490)</f>
        <v/>
      </c>
      <c r="I1494" s="7"/>
      <c r="J1494" s="7"/>
      <c r="K1494" s="7"/>
    </row>
    <row r="1495" spans="1:11" x14ac:dyDescent="0.3">
      <c r="A1495" s="7" t="str">
        <f>IF(Notes!BY1491="","",Notes!BY1491)</f>
        <v/>
      </c>
      <c r="B1495" s="7" t="str">
        <f>IF(Notes!BZ1491="","",Notes!BZ1491)</f>
        <v/>
      </c>
      <c r="C1495" s="7" t="str">
        <f>IF(Notes!CA1491="","",Notes!CA1491)</f>
        <v/>
      </c>
      <c r="D1495" s="7" t="str">
        <f>IF(Notes!CB1491="","",Notes!CB1491)</f>
        <v/>
      </c>
      <c r="E1495" s="7" t="str">
        <f>IF(Notes!CC1491="","",Notes!CC1491)</f>
        <v/>
      </c>
      <c r="F1495" s="7" t="str">
        <f>IF(Notes!CD1491="","",Notes!CD1491)</f>
        <v/>
      </c>
      <c r="G1495" s="7" t="str">
        <f>IF(Notes!CE1491="","",Notes!CE1491)</f>
        <v/>
      </c>
      <c r="H1495" s="7" t="str">
        <f>IF(Notes!CF1491="","",Notes!CF1491)</f>
        <v/>
      </c>
      <c r="I1495" s="7"/>
      <c r="J1495" s="7"/>
      <c r="K1495" s="7"/>
    </row>
    <row r="1496" spans="1:11" x14ac:dyDescent="0.3">
      <c r="A1496" s="7" t="str">
        <f>IF(Notes!BY1492="","",Notes!BY1492)</f>
        <v/>
      </c>
      <c r="B1496" s="7" t="str">
        <f>IF(Notes!BZ1492="","",Notes!BZ1492)</f>
        <v/>
      </c>
      <c r="C1496" s="7" t="str">
        <f>IF(Notes!CA1492="","",Notes!CA1492)</f>
        <v/>
      </c>
      <c r="D1496" s="7" t="str">
        <f>IF(Notes!CB1492="","",Notes!CB1492)</f>
        <v/>
      </c>
      <c r="E1496" s="7" t="str">
        <f>IF(Notes!CC1492="","",Notes!CC1492)</f>
        <v/>
      </c>
      <c r="F1496" s="7" t="str">
        <f>IF(Notes!CD1492="","",Notes!CD1492)</f>
        <v/>
      </c>
      <c r="G1496" s="7" t="str">
        <f>IF(Notes!CE1492="","",Notes!CE1492)</f>
        <v/>
      </c>
      <c r="H1496" s="7" t="str">
        <f>IF(Notes!CF1492="","",Notes!CF1492)</f>
        <v/>
      </c>
      <c r="I1496" s="7"/>
      <c r="J1496" s="7"/>
      <c r="K1496" s="7"/>
    </row>
    <row r="1497" spans="1:11" x14ac:dyDescent="0.3">
      <c r="A1497" s="7" t="str">
        <f>IF(Notes!BY1493="","",Notes!BY1493)</f>
        <v/>
      </c>
      <c r="B1497" s="7" t="str">
        <f>IF(Notes!BZ1493="","",Notes!BZ1493)</f>
        <v/>
      </c>
      <c r="C1497" s="7" t="str">
        <f>IF(Notes!CA1493="","",Notes!CA1493)</f>
        <v/>
      </c>
      <c r="D1497" s="7" t="str">
        <f>IF(Notes!CB1493="","",Notes!CB1493)</f>
        <v/>
      </c>
      <c r="E1497" s="7" t="str">
        <f>IF(Notes!CC1493="","",Notes!CC1493)</f>
        <v/>
      </c>
      <c r="F1497" s="7" t="str">
        <f>IF(Notes!CD1493="","",Notes!CD1493)</f>
        <v/>
      </c>
      <c r="G1497" s="7" t="str">
        <f>IF(Notes!CE1493="","",Notes!CE1493)</f>
        <v/>
      </c>
      <c r="H1497" s="7" t="str">
        <f>IF(Notes!CF1493="","",Notes!CF1493)</f>
        <v/>
      </c>
      <c r="I1497" s="7"/>
      <c r="J1497" s="7"/>
      <c r="K1497" s="7"/>
    </row>
    <row r="1498" spans="1:11" x14ac:dyDescent="0.3">
      <c r="A1498" s="7" t="str">
        <f>IF(Notes!BY1494="","",Notes!BY1494)</f>
        <v/>
      </c>
      <c r="B1498" s="7" t="str">
        <f>IF(Notes!BZ1494="","",Notes!BZ1494)</f>
        <v/>
      </c>
      <c r="C1498" s="7" t="str">
        <f>IF(Notes!CA1494="","",Notes!CA1494)</f>
        <v/>
      </c>
      <c r="D1498" s="7" t="str">
        <f>IF(Notes!CB1494="","",Notes!CB1494)</f>
        <v/>
      </c>
      <c r="E1498" s="7" t="str">
        <f>IF(Notes!CC1494="","",Notes!CC1494)</f>
        <v/>
      </c>
      <c r="F1498" s="7" t="str">
        <f>IF(Notes!CD1494="","",Notes!CD1494)</f>
        <v/>
      </c>
      <c r="G1498" s="7" t="str">
        <f>IF(Notes!CE1494="","",Notes!CE1494)</f>
        <v/>
      </c>
      <c r="H1498" s="7" t="str">
        <f>IF(Notes!CF1494="","",Notes!CF1494)</f>
        <v/>
      </c>
      <c r="I1498" s="7"/>
      <c r="J1498" s="7"/>
      <c r="K1498" s="7"/>
    </row>
    <row r="1499" spans="1:11" x14ac:dyDescent="0.3">
      <c r="A1499" s="7" t="str">
        <f>IF(Notes!BY1495="","",Notes!BY1495)</f>
        <v/>
      </c>
      <c r="B1499" s="7" t="str">
        <f>IF(Notes!BZ1495="","",Notes!BZ1495)</f>
        <v/>
      </c>
      <c r="C1499" s="7" t="str">
        <f>IF(Notes!CA1495="","",Notes!CA1495)</f>
        <v/>
      </c>
      <c r="D1499" s="7" t="str">
        <f>IF(Notes!CB1495="","",Notes!CB1495)</f>
        <v/>
      </c>
      <c r="E1499" s="7" t="str">
        <f>IF(Notes!CC1495="","",Notes!CC1495)</f>
        <v/>
      </c>
      <c r="F1499" s="7" t="str">
        <f>IF(Notes!CD1495="","",Notes!CD1495)</f>
        <v/>
      </c>
      <c r="G1499" s="7" t="str">
        <f>IF(Notes!CE1495="","",Notes!CE1495)</f>
        <v/>
      </c>
      <c r="H1499" s="7" t="str">
        <f>IF(Notes!CF1495="","",Notes!CF1495)</f>
        <v/>
      </c>
      <c r="I1499" s="7"/>
      <c r="J1499" s="7"/>
      <c r="K1499" s="7"/>
    </row>
    <row r="1500" spans="1:11" x14ac:dyDescent="0.3">
      <c r="A1500" s="7" t="str">
        <f>IF(Notes!BY1496="","",Notes!BY1496)</f>
        <v/>
      </c>
      <c r="B1500" s="7" t="str">
        <f>IF(Notes!BZ1496="","",Notes!BZ1496)</f>
        <v/>
      </c>
      <c r="C1500" s="7" t="str">
        <f>IF(Notes!CA1496="","",Notes!CA1496)</f>
        <v/>
      </c>
      <c r="D1500" s="7" t="str">
        <f>IF(Notes!CB1496="","",Notes!CB1496)</f>
        <v/>
      </c>
      <c r="E1500" s="7" t="str">
        <f>IF(Notes!CC1496="","",Notes!CC1496)</f>
        <v/>
      </c>
      <c r="F1500" s="7" t="str">
        <f>IF(Notes!CD1496="","",Notes!CD1496)</f>
        <v/>
      </c>
      <c r="G1500" s="7" t="str">
        <f>IF(Notes!CE1496="","",Notes!CE1496)</f>
        <v/>
      </c>
      <c r="H1500" s="7" t="str">
        <f>IF(Notes!CF1496="","",Notes!CF1496)</f>
        <v/>
      </c>
      <c r="I1500" s="7"/>
      <c r="J1500" s="7"/>
      <c r="K1500" s="7"/>
    </row>
    <row r="1501" spans="1:11" x14ac:dyDescent="0.3">
      <c r="A1501" s="7" t="str">
        <f>IF(Notes!BY1497="","",Notes!BY1497)</f>
        <v/>
      </c>
      <c r="B1501" s="7" t="str">
        <f>IF(Notes!BZ1497="","",Notes!BZ1497)</f>
        <v/>
      </c>
      <c r="C1501" s="7" t="str">
        <f>IF(Notes!CA1497="","",Notes!CA1497)</f>
        <v/>
      </c>
      <c r="D1501" s="7" t="str">
        <f>IF(Notes!CB1497="","",Notes!CB1497)</f>
        <v/>
      </c>
      <c r="E1501" s="7" t="str">
        <f>IF(Notes!CC1497="","",Notes!CC1497)</f>
        <v/>
      </c>
      <c r="F1501" s="7" t="str">
        <f>IF(Notes!CD1497="","",Notes!CD1497)</f>
        <v/>
      </c>
      <c r="G1501" s="7" t="str">
        <f>IF(Notes!CE1497="","",Notes!CE1497)</f>
        <v/>
      </c>
      <c r="H1501" s="7" t="str">
        <f>IF(Notes!CF1497="","",Notes!CF1497)</f>
        <v/>
      </c>
      <c r="I1501" s="7"/>
      <c r="J1501" s="7"/>
      <c r="K1501" s="7"/>
    </row>
    <row r="1502" spans="1:11" x14ac:dyDescent="0.3">
      <c r="A1502" s="7" t="str">
        <f>IF(Notes!BY1498="","",Notes!BY1498)</f>
        <v/>
      </c>
      <c r="B1502" s="7" t="str">
        <f>IF(Notes!BZ1498="","",Notes!BZ1498)</f>
        <v/>
      </c>
      <c r="C1502" s="7" t="str">
        <f>IF(Notes!CA1498="","",Notes!CA1498)</f>
        <v/>
      </c>
      <c r="D1502" s="7" t="str">
        <f>IF(Notes!CB1498="","",Notes!CB1498)</f>
        <v/>
      </c>
      <c r="E1502" s="7" t="str">
        <f>IF(Notes!CC1498="","",Notes!CC1498)</f>
        <v/>
      </c>
      <c r="F1502" s="7" t="str">
        <f>IF(Notes!CD1498="","",Notes!CD1498)</f>
        <v/>
      </c>
      <c r="G1502" s="7" t="str">
        <f>IF(Notes!CE1498="","",Notes!CE1498)</f>
        <v/>
      </c>
      <c r="H1502" s="7" t="str">
        <f>IF(Notes!CF1498="","",Notes!CF1498)</f>
        <v/>
      </c>
      <c r="I1502" s="7"/>
      <c r="J1502" s="7"/>
      <c r="K1502" s="7"/>
    </row>
    <row r="1503" spans="1:11" x14ac:dyDescent="0.3">
      <c r="A1503" s="7" t="str">
        <f>IF(Notes!BY1499="","",Notes!BY1499)</f>
        <v/>
      </c>
      <c r="B1503" s="7" t="str">
        <f>IF(Notes!BZ1499="","",Notes!BZ1499)</f>
        <v/>
      </c>
      <c r="C1503" s="7" t="str">
        <f>IF(Notes!CA1499="","",Notes!CA1499)</f>
        <v/>
      </c>
      <c r="D1503" s="7" t="str">
        <f>IF(Notes!CB1499="","",Notes!CB1499)</f>
        <v/>
      </c>
      <c r="E1503" s="7" t="str">
        <f>IF(Notes!CC1499="","",Notes!CC1499)</f>
        <v/>
      </c>
      <c r="F1503" s="7" t="str">
        <f>IF(Notes!CD1499="","",Notes!CD1499)</f>
        <v/>
      </c>
      <c r="G1503" s="7" t="str">
        <f>IF(Notes!CE1499="","",Notes!CE1499)</f>
        <v/>
      </c>
      <c r="H1503" s="7" t="str">
        <f>IF(Notes!CF1499="","",Notes!CF1499)</f>
        <v/>
      </c>
      <c r="I1503" s="7"/>
      <c r="J1503" s="7"/>
      <c r="K1503" s="7"/>
    </row>
    <row r="1504" spans="1:11" x14ac:dyDescent="0.3">
      <c r="A1504" s="7" t="str">
        <f>IF(Notes!BY1500="","",Notes!BY1500)</f>
        <v/>
      </c>
      <c r="B1504" s="7" t="str">
        <f>IF(Notes!BZ1500="","",Notes!BZ1500)</f>
        <v/>
      </c>
      <c r="C1504" s="7" t="str">
        <f>IF(Notes!CA1500="","",Notes!CA1500)</f>
        <v/>
      </c>
      <c r="D1504" s="7" t="str">
        <f>IF(Notes!CB1500="","",Notes!CB1500)</f>
        <v/>
      </c>
      <c r="E1504" s="7" t="str">
        <f>IF(Notes!CC1500="","",Notes!CC1500)</f>
        <v/>
      </c>
      <c r="F1504" s="7" t="str">
        <f>IF(Notes!CD1500="","",Notes!CD1500)</f>
        <v/>
      </c>
      <c r="G1504" s="7" t="str">
        <f>IF(Notes!CE1500="","",Notes!CE1500)</f>
        <v/>
      </c>
      <c r="H1504" s="7" t="str">
        <f>IF(Notes!CF1500="","",Notes!CF1500)</f>
        <v/>
      </c>
      <c r="I1504" s="7"/>
      <c r="J1504" s="7"/>
      <c r="K1504" s="7"/>
    </row>
    <row r="1505" spans="1:11" x14ac:dyDescent="0.3">
      <c r="A1505" s="7" t="str">
        <f>IF(Notes!BY1501="","",Notes!BY1501)</f>
        <v/>
      </c>
      <c r="B1505" s="7" t="str">
        <f>IF(Notes!BZ1501="","",Notes!BZ1501)</f>
        <v/>
      </c>
      <c r="C1505" s="7" t="str">
        <f>IF(Notes!CA1501="","",Notes!CA1501)</f>
        <v/>
      </c>
      <c r="D1505" s="7" t="str">
        <f>IF(Notes!CB1501="","",Notes!CB1501)</f>
        <v/>
      </c>
      <c r="E1505" s="7" t="str">
        <f>IF(Notes!CC1501="","",Notes!CC1501)</f>
        <v/>
      </c>
      <c r="F1505" s="7" t="str">
        <f>IF(Notes!CD1501="","",Notes!CD1501)</f>
        <v/>
      </c>
      <c r="G1505" s="7" t="str">
        <f>IF(Notes!CE1501="","",Notes!CE1501)</f>
        <v/>
      </c>
      <c r="H1505" s="7" t="str">
        <f>IF(Notes!CF1501="","",Notes!CF1501)</f>
        <v/>
      </c>
      <c r="I1505" s="7"/>
      <c r="J1505" s="7"/>
      <c r="K1505" s="7"/>
    </row>
    <row r="1506" spans="1:11" x14ac:dyDescent="0.3">
      <c r="A1506" s="7" t="str">
        <f>IF(Notes!BY1502="","",Notes!BY1502)</f>
        <v/>
      </c>
      <c r="B1506" s="7" t="str">
        <f>IF(Notes!BZ1502="","",Notes!BZ1502)</f>
        <v/>
      </c>
      <c r="C1506" s="7" t="str">
        <f>IF(Notes!CA1502="","",Notes!CA1502)</f>
        <v/>
      </c>
      <c r="D1506" s="7" t="str">
        <f>IF(Notes!CB1502="","",Notes!CB1502)</f>
        <v/>
      </c>
      <c r="E1506" s="7" t="str">
        <f>IF(Notes!CC1502="","",Notes!CC1502)</f>
        <v/>
      </c>
      <c r="F1506" s="7" t="str">
        <f>IF(Notes!CD1502="","",Notes!CD1502)</f>
        <v/>
      </c>
      <c r="G1506" s="7" t="str">
        <f>IF(Notes!CE1502="","",Notes!CE1502)</f>
        <v/>
      </c>
      <c r="H1506" s="7" t="str">
        <f>IF(Notes!CF1502="","",Notes!CF1502)</f>
        <v/>
      </c>
      <c r="I1506" s="7"/>
      <c r="J1506" s="7"/>
      <c r="K1506" s="7"/>
    </row>
    <row r="1507" spans="1:11" x14ac:dyDescent="0.3">
      <c r="A1507" s="7" t="str">
        <f>IF(Notes!BY1503="","",Notes!BY1503)</f>
        <v/>
      </c>
      <c r="B1507" s="7" t="str">
        <f>IF(Notes!BZ1503="","",Notes!BZ1503)</f>
        <v/>
      </c>
      <c r="C1507" s="7" t="str">
        <f>IF(Notes!CA1503="","",Notes!CA1503)</f>
        <v/>
      </c>
      <c r="D1507" s="7" t="str">
        <f>IF(Notes!CB1503="","",Notes!CB1503)</f>
        <v/>
      </c>
      <c r="E1507" s="7" t="str">
        <f>IF(Notes!CC1503="","",Notes!CC1503)</f>
        <v/>
      </c>
      <c r="F1507" s="7" t="str">
        <f>IF(Notes!CD1503="","",Notes!CD1503)</f>
        <v/>
      </c>
      <c r="G1507" s="7" t="str">
        <f>IF(Notes!CE1503="","",Notes!CE1503)</f>
        <v/>
      </c>
      <c r="H1507" s="7" t="str">
        <f>IF(Notes!CF1503="","",Notes!CF1503)</f>
        <v/>
      </c>
      <c r="I1507" s="7"/>
      <c r="J1507" s="7"/>
      <c r="K1507" s="7"/>
    </row>
    <row r="1508" spans="1:11" x14ac:dyDescent="0.3">
      <c r="A1508" s="7" t="str">
        <f>IF(Notes!BY1504="","",Notes!BY1504)</f>
        <v/>
      </c>
      <c r="B1508" s="7" t="str">
        <f>IF(Notes!BZ1504="","",Notes!BZ1504)</f>
        <v/>
      </c>
      <c r="C1508" s="7" t="str">
        <f>IF(Notes!CA1504="","",Notes!CA1504)</f>
        <v/>
      </c>
      <c r="D1508" s="7" t="str">
        <f>IF(Notes!CB1504="","",Notes!CB1504)</f>
        <v/>
      </c>
      <c r="E1508" s="7" t="str">
        <f>IF(Notes!CC1504="","",Notes!CC1504)</f>
        <v/>
      </c>
      <c r="F1508" s="7" t="str">
        <f>IF(Notes!CD1504="","",Notes!CD1504)</f>
        <v/>
      </c>
      <c r="G1508" s="7" t="str">
        <f>IF(Notes!CE1504="","",Notes!CE1504)</f>
        <v/>
      </c>
      <c r="H1508" s="7" t="str">
        <f>IF(Notes!CF1504="","",Notes!CF1504)</f>
        <v/>
      </c>
      <c r="I1508" s="7"/>
      <c r="J1508" s="7"/>
      <c r="K1508" s="7"/>
    </row>
    <row r="1509" spans="1:11" x14ac:dyDescent="0.3">
      <c r="A1509" s="7" t="str">
        <f>IF(Notes!BY1505="","",Notes!BY1505)</f>
        <v/>
      </c>
      <c r="B1509" s="7" t="str">
        <f>IF(Notes!BZ1505="","",Notes!BZ1505)</f>
        <v/>
      </c>
      <c r="C1509" s="7" t="str">
        <f>IF(Notes!CA1505="","",Notes!CA1505)</f>
        <v/>
      </c>
      <c r="D1509" s="7" t="str">
        <f>IF(Notes!CB1505="","",Notes!CB1505)</f>
        <v/>
      </c>
      <c r="E1509" s="7" t="str">
        <f>IF(Notes!CC1505="","",Notes!CC1505)</f>
        <v/>
      </c>
      <c r="F1509" s="7" t="str">
        <f>IF(Notes!CD1505="","",Notes!CD1505)</f>
        <v/>
      </c>
      <c r="G1509" s="7" t="str">
        <f>IF(Notes!CE1505="","",Notes!CE1505)</f>
        <v/>
      </c>
      <c r="H1509" s="7" t="str">
        <f>IF(Notes!CF1505="","",Notes!CF1505)</f>
        <v/>
      </c>
      <c r="I1509" s="7"/>
      <c r="J1509" s="7"/>
      <c r="K1509" s="7"/>
    </row>
    <row r="1510" spans="1:11" x14ac:dyDescent="0.3">
      <c r="A1510" s="7" t="str">
        <f>IF(Notes!BY1506="","",Notes!BY1506)</f>
        <v/>
      </c>
      <c r="B1510" s="7" t="str">
        <f>IF(Notes!BZ1506="","",Notes!BZ1506)</f>
        <v/>
      </c>
      <c r="C1510" s="7" t="str">
        <f>IF(Notes!CA1506="","",Notes!CA1506)</f>
        <v/>
      </c>
      <c r="D1510" s="7" t="str">
        <f>IF(Notes!CB1506="","",Notes!CB1506)</f>
        <v/>
      </c>
      <c r="E1510" s="7" t="str">
        <f>IF(Notes!CC1506="","",Notes!CC1506)</f>
        <v/>
      </c>
      <c r="F1510" s="7" t="str">
        <f>IF(Notes!CD1506="","",Notes!CD1506)</f>
        <v/>
      </c>
      <c r="G1510" s="7" t="str">
        <f>IF(Notes!CE1506="","",Notes!CE1506)</f>
        <v/>
      </c>
      <c r="H1510" s="7" t="str">
        <f>IF(Notes!CF1506="","",Notes!CF1506)</f>
        <v/>
      </c>
      <c r="I1510" s="7"/>
      <c r="J1510" s="7"/>
      <c r="K1510" s="7"/>
    </row>
    <row r="1511" spans="1:11" x14ac:dyDescent="0.3">
      <c r="A1511" s="7" t="str">
        <f>IF(Notes!BY1507="","",Notes!BY1507)</f>
        <v/>
      </c>
      <c r="B1511" s="7" t="str">
        <f>IF(Notes!BZ1507="","",Notes!BZ1507)</f>
        <v/>
      </c>
      <c r="C1511" s="7" t="str">
        <f>IF(Notes!CA1507="","",Notes!CA1507)</f>
        <v/>
      </c>
      <c r="D1511" s="7" t="str">
        <f>IF(Notes!CB1507="","",Notes!CB1507)</f>
        <v/>
      </c>
      <c r="E1511" s="7" t="str">
        <f>IF(Notes!CC1507="","",Notes!CC1507)</f>
        <v/>
      </c>
      <c r="F1511" s="7" t="str">
        <f>IF(Notes!CD1507="","",Notes!CD1507)</f>
        <v/>
      </c>
      <c r="G1511" s="7" t="str">
        <f>IF(Notes!CE1507="","",Notes!CE1507)</f>
        <v/>
      </c>
      <c r="H1511" s="7" t="str">
        <f>IF(Notes!CF1507="","",Notes!CF1507)</f>
        <v/>
      </c>
      <c r="I1511" s="7"/>
      <c r="J1511" s="7"/>
      <c r="K1511" s="7"/>
    </row>
    <row r="1512" spans="1:11" x14ac:dyDescent="0.3">
      <c r="A1512" s="7" t="str">
        <f>IF(Notes!BY1508="","",Notes!BY1508)</f>
        <v/>
      </c>
      <c r="B1512" s="7" t="str">
        <f>IF(Notes!BZ1508="","",Notes!BZ1508)</f>
        <v/>
      </c>
      <c r="C1512" s="7" t="str">
        <f>IF(Notes!CA1508="","",Notes!CA1508)</f>
        <v/>
      </c>
      <c r="D1512" s="7" t="str">
        <f>IF(Notes!CB1508="","",Notes!CB1508)</f>
        <v/>
      </c>
      <c r="E1512" s="7" t="str">
        <f>IF(Notes!CC1508="","",Notes!CC1508)</f>
        <v/>
      </c>
      <c r="F1512" s="7" t="str">
        <f>IF(Notes!CD1508="","",Notes!CD1508)</f>
        <v/>
      </c>
      <c r="G1512" s="7" t="str">
        <f>IF(Notes!CE1508="","",Notes!CE1508)</f>
        <v/>
      </c>
      <c r="H1512" s="7" t="str">
        <f>IF(Notes!CF1508="","",Notes!CF1508)</f>
        <v/>
      </c>
      <c r="I1512" s="7"/>
      <c r="J1512" s="7"/>
      <c r="K1512" s="7"/>
    </row>
    <row r="1513" spans="1:11" x14ac:dyDescent="0.3">
      <c r="A1513" s="7" t="str">
        <f>IF(Notes!BY1509="","",Notes!BY1509)</f>
        <v/>
      </c>
      <c r="B1513" s="7" t="str">
        <f>IF(Notes!BZ1509="","",Notes!BZ1509)</f>
        <v/>
      </c>
      <c r="C1513" s="7" t="str">
        <f>IF(Notes!CA1509="","",Notes!CA1509)</f>
        <v/>
      </c>
      <c r="D1513" s="7" t="str">
        <f>IF(Notes!CB1509="","",Notes!CB1509)</f>
        <v/>
      </c>
      <c r="E1513" s="7" t="str">
        <f>IF(Notes!CC1509="","",Notes!CC1509)</f>
        <v/>
      </c>
      <c r="F1513" s="7" t="str">
        <f>IF(Notes!CD1509="","",Notes!CD1509)</f>
        <v/>
      </c>
      <c r="G1513" s="7" t="str">
        <f>IF(Notes!CE1509="","",Notes!CE1509)</f>
        <v/>
      </c>
      <c r="H1513" s="7" t="str">
        <f>IF(Notes!CF1509="","",Notes!CF1509)</f>
        <v/>
      </c>
      <c r="I1513" s="7"/>
      <c r="J1513" s="7"/>
      <c r="K1513" s="7"/>
    </row>
    <row r="1514" spans="1:11" x14ac:dyDescent="0.3">
      <c r="A1514" s="7" t="str">
        <f>IF(Notes!BY1510="","",Notes!BY1510)</f>
        <v/>
      </c>
      <c r="B1514" s="7" t="str">
        <f>IF(Notes!BZ1510="","",Notes!BZ1510)</f>
        <v/>
      </c>
      <c r="C1514" s="7" t="str">
        <f>IF(Notes!CA1510="","",Notes!CA1510)</f>
        <v/>
      </c>
      <c r="D1514" s="7" t="str">
        <f>IF(Notes!CB1510="","",Notes!CB1510)</f>
        <v/>
      </c>
      <c r="E1514" s="7" t="str">
        <f>IF(Notes!CC1510="","",Notes!CC1510)</f>
        <v/>
      </c>
      <c r="F1514" s="7" t="str">
        <f>IF(Notes!CD1510="","",Notes!CD1510)</f>
        <v/>
      </c>
      <c r="G1514" s="7" t="str">
        <f>IF(Notes!CE1510="","",Notes!CE1510)</f>
        <v/>
      </c>
      <c r="H1514" s="7" t="str">
        <f>IF(Notes!CF1510="","",Notes!CF1510)</f>
        <v/>
      </c>
      <c r="I1514" s="7"/>
      <c r="J1514" s="7"/>
      <c r="K1514" s="7"/>
    </row>
    <row r="1515" spans="1:11" x14ac:dyDescent="0.3">
      <c r="A1515" s="7" t="str">
        <f>IF(Notes!BY1511="","",Notes!BY1511)</f>
        <v/>
      </c>
      <c r="B1515" s="7" t="str">
        <f>IF(Notes!BZ1511="","",Notes!BZ1511)</f>
        <v/>
      </c>
      <c r="C1515" s="7" t="str">
        <f>IF(Notes!CA1511="","",Notes!CA1511)</f>
        <v/>
      </c>
      <c r="D1515" s="7" t="str">
        <f>IF(Notes!CB1511="","",Notes!CB1511)</f>
        <v/>
      </c>
      <c r="E1515" s="7" t="str">
        <f>IF(Notes!CC1511="","",Notes!CC1511)</f>
        <v/>
      </c>
      <c r="F1515" s="7" t="str">
        <f>IF(Notes!CD1511="","",Notes!CD1511)</f>
        <v/>
      </c>
      <c r="G1515" s="7" t="str">
        <f>IF(Notes!CE1511="","",Notes!CE1511)</f>
        <v/>
      </c>
      <c r="H1515" s="7" t="str">
        <f>IF(Notes!CF1511="","",Notes!CF1511)</f>
        <v/>
      </c>
      <c r="I1515" s="7"/>
      <c r="J1515" s="7"/>
      <c r="K1515" s="7"/>
    </row>
    <row r="1516" spans="1:11" x14ac:dyDescent="0.3">
      <c r="A1516" s="7" t="str">
        <f>IF(Notes!BY1512="","",Notes!BY1512)</f>
        <v/>
      </c>
      <c r="B1516" s="7" t="str">
        <f>IF(Notes!BZ1512="","",Notes!BZ1512)</f>
        <v/>
      </c>
      <c r="C1516" s="7" t="str">
        <f>IF(Notes!CA1512="","",Notes!CA1512)</f>
        <v/>
      </c>
      <c r="D1516" s="7" t="str">
        <f>IF(Notes!CB1512="","",Notes!CB1512)</f>
        <v/>
      </c>
      <c r="E1516" s="7" t="str">
        <f>IF(Notes!CC1512="","",Notes!CC1512)</f>
        <v/>
      </c>
      <c r="F1516" s="7" t="str">
        <f>IF(Notes!CD1512="","",Notes!CD1512)</f>
        <v/>
      </c>
      <c r="G1516" s="7" t="str">
        <f>IF(Notes!CE1512="","",Notes!CE1512)</f>
        <v/>
      </c>
      <c r="H1516" s="7" t="str">
        <f>IF(Notes!CF1512="","",Notes!CF1512)</f>
        <v/>
      </c>
      <c r="I1516" s="7"/>
      <c r="J1516" s="7"/>
      <c r="K1516" s="7"/>
    </row>
    <row r="1517" spans="1:11" x14ac:dyDescent="0.3">
      <c r="A1517" s="7" t="str">
        <f>IF(Notes!BY1513="","",Notes!BY1513)</f>
        <v/>
      </c>
      <c r="B1517" s="7" t="str">
        <f>IF(Notes!BZ1513="","",Notes!BZ1513)</f>
        <v/>
      </c>
      <c r="C1517" s="7" t="str">
        <f>IF(Notes!CA1513="","",Notes!CA1513)</f>
        <v/>
      </c>
      <c r="D1517" s="7" t="str">
        <f>IF(Notes!CB1513="","",Notes!CB1513)</f>
        <v/>
      </c>
      <c r="E1517" s="7" t="str">
        <f>IF(Notes!CC1513="","",Notes!CC1513)</f>
        <v/>
      </c>
      <c r="F1517" s="7" t="str">
        <f>IF(Notes!CD1513="","",Notes!CD1513)</f>
        <v/>
      </c>
      <c r="G1517" s="7" t="str">
        <f>IF(Notes!CE1513="","",Notes!CE1513)</f>
        <v/>
      </c>
      <c r="H1517" s="7" t="str">
        <f>IF(Notes!CF1513="","",Notes!CF1513)</f>
        <v/>
      </c>
      <c r="I1517" s="7"/>
      <c r="J1517" s="7"/>
      <c r="K1517" s="7"/>
    </row>
    <row r="1518" spans="1:11" x14ac:dyDescent="0.3">
      <c r="A1518" s="7" t="str">
        <f>IF(Notes!BY1514="","",Notes!BY1514)</f>
        <v/>
      </c>
      <c r="B1518" s="7" t="str">
        <f>IF(Notes!BZ1514="","",Notes!BZ1514)</f>
        <v/>
      </c>
      <c r="C1518" s="7" t="str">
        <f>IF(Notes!CA1514="","",Notes!CA1514)</f>
        <v/>
      </c>
      <c r="D1518" s="7" t="str">
        <f>IF(Notes!CB1514="","",Notes!CB1514)</f>
        <v/>
      </c>
      <c r="E1518" s="7" t="str">
        <f>IF(Notes!CC1514="","",Notes!CC1514)</f>
        <v/>
      </c>
      <c r="F1518" s="7" t="str">
        <f>IF(Notes!CD1514="","",Notes!CD1514)</f>
        <v/>
      </c>
      <c r="G1518" s="7" t="str">
        <f>IF(Notes!CE1514="","",Notes!CE1514)</f>
        <v/>
      </c>
      <c r="H1518" s="7" t="str">
        <f>IF(Notes!CF1514="","",Notes!CF1514)</f>
        <v/>
      </c>
      <c r="I1518" s="7"/>
      <c r="J1518" s="7"/>
      <c r="K1518" s="7"/>
    </row>
    <row r="1519" spans="1:11" x14ac:dyDescent="0.3">
      <c r="A1519" s="7" t="str">
        <f>IF(Notes!BY1515="","",Notes!BY1515)</f>
        <v/>
      </c>
      <c r="B1519" s="7" t="str">
        <f>IF(Notes!BZ1515="","",Notes!BZ1515)</f>
        <v/>
      </c>
      <c r="C1519" s="7" t="str">
        <f>IF(Notes!CA1515="","",Notes!CA1515)</f>
        <v/>
      </c>
      <c r="D1519" s="7" t="str">
        <f>IF(Notes!CB1515="","",Notes!CB1515)</f>
        <v/>
      </c>
      <c r="E1519" s="7" t="str">
        <f>IF(Notes!CC1515="","",Notes!CC1515)</f>
        <v/>
      </c>
      <c r="F1519" s="7" t="str">
        <f>IF(Notes!CD1515="","",Notes!CD1515)</f>
        <v/>
      </c>
      <c r="G1519" s="7" t="str">
        <f>IF(Notes!CE1515="","",Notes!CE1515)</f>
        <v/>
      </c>
      <c r="H1519" s="7" t="str">
        <f>IF(Notes!CF1515="","",Notes!CF1515)</f>
        <v/>
      </c>
      <c r="I1519" s="7"/>
      <c r="J1519" s="7"/>
      <c r="K1519" s="7"/>
    </row>
    <row r="1520" spans="1:11" x14ac:dyDescent="0.3">
      <c r="A1520" s="7" t="str">
        <f>IF(Notes!BY1516="","",Notes!BY1516)</f>
        <v/>
      </c>
      <c r="B1520" s="7" t="str">
        <f>IF(Notes!BZ1516="","",Notes!BZ1516)</f>
        <v/>
      </c>
      <c r="C1520" s="7" t="str">
        <f>IF(Notes!CA1516="","",Notes!CA1516)</f>
        <v/>
      </c>
      <c r="D1520" s="7" t="str">
        <f>IF(Notes!CB1516="","",Notes!CB1516)</f>
        <v/>
      </c>
      <c r="E1520" s="7" t="str">
        <f>IF(Notes!CC1516="","",Notes!CC1516)</f>
        <v/>
      </c>
      <c r="F1520" s="7" t="str">
        <f>IF(Notes!CD1516="","",Notes!CD1516)</f>
        <v/>
      </c>
      <c r="G1520" s="7" t="str">
        <f>IF(Notes!CE1516="","",Notes!CE1516)</f>
        <v/>
      </c>
      <c r="H1520" s="7" t="str">
        <f>IF(Notes!CF1516="","",Notes!CF1516)</f>
        <v/>
      </c>
      <c r="I1520" s="7"/>
      <c r="J1520" s="7"/>
      <c r="K1520" s="7"/>
    </row>
    <row r="1521" spans="1:11" x14ac:dyDescent="0.3">
      <c r="A1521" s="7" t="str">
        <f>IF(Notes!BY1517="","",Notes!BY1517)</f>
        <v/>
      </c>
      <c r="B1521" s="7" t="str">
        <f>IF(Notes!BZ1517="","",Notes!BZ1517)</f>
        <v/>
      </c>
      <c r="C1521" s="7" t="str">
        <f>IF(Notes!CA1517="","",Notes!CA1517)</f>
        <v/>
      </c>
      <c r="D1521" s="7" t="str">
        <f>IF(Notes!CB1517="","",Notes!CB1517)</f>
        <v/>
      </c>
      <c r="E1521" s="7" t="str">
        <f>IF(Notes!CC1517="","",Notes!CC1517)</f>
        <v/>
      </c>
      <c r="F1521" s="7" t="str">
        <f>IF(Notes!CD1517="","",Notes!CD1517)</f>
        <v/>
      </c>
      <c r="G1521" s="7" t="str">
        <f>IF(Notes!CE1517="","",Notes!CE1517)</f>
        <v/>
      </c>
      <c r="H1521" s="7" t="str">
        <f>IF(Notes!CF1517="","",Notes!CF1517)</f>
        <v/>
      </c>
      <c r="I1521" s="7"/>
      <c r="J1521" s="7"/>
      <c r="K1521" s="7"/>
    </row>
    <row r="1522" spans="1:11" x14ac:dyDescent="0.3">
      <c r="A1522" s="7" t="str">
        <f>IF(Notes!BY1518="","",Notes!BY1518)</f>
        <v/>
      </c>
      <c r="B1522" s="7" t="str">
        <f>IF(Notes!BZ1518="","",Notes!BZ1518)</f>
        <v/>
      </c>
      <c r="C1522" s="7" t="str">
        <f>IF(Notes!CA1518="","",Notes!CA1518)</f>
        <v/>
      </c>
      <c r="D1522" s="7" t="str">
        <f>IF(Notes!CB1518="","",Notes!CB1518)</f>
        <v/>
      </c>
      <c r="E1522" s="7" t="str">
        <f>IF(Notes!CC1518="","",Notes!CC1518)</f>
        <v/>
      </c>
      <c r="F1522" s="7" t="str">
        <f>IF(Notes!CD1518="","",Notes!CD1518)</f>
        <v/>
      </c>
      <c r="G1522" s="7" t="str">
        <f>IF(Notes!CE1518="","",Notes!CE1518)</f>
        <v/>
      </c>
      <c r="H1522" s="7" t="str">
        <f>IF(Notes!CF1518="","",Notes!CF1518)</f>
        <v/>
      </c>
      <c r="I1522" s="7"/>
      <c r="J1522" s="7"/>
      <c r="K1522" s="7"/>
    </row>
    <row r="1523" spans="1:11" x14ac:dyDescent="0.3">
      <c r="A1523" s="7" t="str">
        <f>IF(Notes!BY1519="","",Notes!BY1519)</f>
        <v/>
      </c>
      <c r="B1523" s="7" t="str">
        <f>IF(Notes!BZ1519="","",Notes!BZ1519)</f>
        <v/>
      </c>
      <c r="C1523" s="7" t="str">
        <f>IF(Notes!CA1519="","",Notes!CA1519)</f>
        <v/>
      </c>
      <c r="D1523" s="7" t="str">
        <f>IF(Notes!CB1519="","",Notes!CB1519)</f>
        <v/>
      </c>
      <c r="E1523" s="7" t="str">
        <f>IF(Notes!CC1519="","",Notes!CC1519)</f>
        <v/>
      </c>
      <c r="F1523" s="7" t="str">
        <f>IF(Notes!CD1519="","",Notes!CD1519)</f>
        <v/>
      </c>
      <c r="G1523" s="7" t="str">
        <f>IF(Notes!CE1519="","",Notes!CE1519)</f>
        <v/>
      </c>
      <c r="H1523" s="7" t="str">
        <f>IF(Notes!CF1519="","",Notes!CF1519)</f>
        <v/>
      </c>
      <c r="I1523" s="7"/>
      <c r="J1523" s="7"/>
      <c r="K1523" s="7"/>
    </row>
    <row r="1524" spans="1:11" x14ac:dyDescent="0.3">
      <c r="A1524" s="7" t="str">
        <f>IF(Notes!BY1520="","",Notes!BY1520)</f>
        <v/>
      </c>
      <c r="B1524" s="7" t="str">
        <f>IF(Notes!BZ1520="","",Notes!BZ1520)</f>
        <v/>
      </c>
      <c r="C1524" s="7" t="str">
        <f>IF(Notes!CA1520="","",Notes!CA1520)</f>
        <v/>
      </c>
      <c r="D1524" s="7" t="str">
        <f>IF(Notes!CB1520="","",Notes!CB1520)</f>
        <v/>
      </c>
      <c r="E1524" s="7" t="str">
        <f>IF(Notes!CC1520="","",Notes!CC1520)</f>
        <v/>
      </c>
      <c r="F1524" s="7" t="str">
        <f>IF(Notes!CD1520="","",Notes!CD1520)</f>
        <v/>
      </c>
      <c r="G1524" s="7" t="str">
        <f>IF(Notes!CE1520="","",Notes!CE1520)</f>
        <v/>
      </c>
      <c r="H1524" s="7" t="str">
        <f>IF(Notes!CF1520="","",Notes!CF1520)</f>
        <v/>
      </c>
      <c r="I1524" s="7"/>
      <c r="J1524" s="7"/>
      <c r="K1524" s="7"/>
    </row>
    <row r="1525" spans="1:11" x14ac:dyDescent="0.3">
      <c r="A1525" s="7" t="str">
        <f>IF(Notes!BY1521="","",Notes!BY1521)</f>
        <v/>
      </c>
      <c r="B1525" s="7" t="str">
        <f>IF(Notes!BZ1521="","",Notes!BZ1521)</f>
        <v/>
      </c>
      <c r="C1525" s="7" t="str">
        <f>IF(Notes!CA1521="","",Notes!CA1521)</f>
        <v/>
      </c>
      <c r="D1525" s="7" t="str">
        <f>IF(Notes!CB1521="","",Notes!CB1521)</f>
        <v/>
      </c>
      <c r="E1525" s="7" t="str">
        <f>IF(Notes!CC1521="","",Notes!CC1521)</f>
        <v/>
      </c>
      <c r="F1525" s="7" t="str">
        <f>IF(Notes!CD1521="","",Notes!CD1521)</f>
        <v/>
      </c>
      <c r="G1525" s="7" t="str">
        <f>IF(Notes!CE1521="","",Notes!CE1521)</f>
        <v/>
      </c>
      <c r="H1525" s="7" t="str">
        <f>IF(Notes!CF1521="","",Notes!CF1521)</f>
        <v/>
      </c>
      <c r="I1525" s="7"/>
      <c r="J1525" s="7"/>
      <c r="K1525" s="7"/>
    </row>
    <row r="1526" spans="1:11" x14ac:dyDescent="0.3">
      <c r="A1526" s="7" t="str">
        <f>IF(Notes!BY1522="","",Notes!BY1522)</f>
        <v/>
      </c>
      <c r="B1526" s="7" t="str">
        <f>IF(Notes!BZ1522="","",Notes!BZ1522)</f>
        <v/>
      </c>
      <c r="C1526" s="7" t="str">
        <f>IF(Notes!CA1522="","",Notes!CA1522)</f>
        <v/>
      </c>
      <c r="D1526" s="7" t="str">
        <f>IF(Notes!CB1522="","",Notes!CB1522)</f>
        <v/>
      </c>
      <c r="E1526" s="7" t="str">
        <f>IF(Notes!CC1522="","",Notes!CC1522)</f>
        <v/>
      </c>
      <c r="F1526" s="7" t="str">
        <f>IF(Notes!CD1522="","",Notes!CD1522)</f>
        <v/>
      </c>
      <c r="G1526" s="7" t="str">
        <f>IF(Notes!CE1522="","",Notes!CE1522)</f>
        <v/>
      </c>
      <c r="H1526" s="7" t="str">
        <f>IF(Notes!CF1522="","",Notes!CF1522)</f>
        <v/>
      </c>
      <c r="I1526" s="7"/>
      <c r="J1526" s="7"/>
      <c r="K1526" s="7"/>
    </row>
    <row r="1527" spans="1:11" x14ac:dyDescent="0.3">
      <c r="A1527" s="7" t="str">
        <f>IF(Notes!BY1523="","",Notes!BY1523)</f>
        <v/>
      </c>
      <c r="B1527" s="7" t="str">
        <f>IF(Notes!BZ1523="","",Notes!BZ1523)</f>
        <v/>
      </c>
      <c r="C1527" s="7" t="str">
        <f>IF(Notes!CA1523="","",Notes!CA1523)</f>
        <v/>
      </c>
      <c r="D1527" s="7" t="str">
        <f>IF(Notes!CB1523="","",Notes!CB1523)</f>
        <v/>
      </c>
      <c r="E1527" s="7" t="str">
        <f>IF(Notes!CC1523="","",Notes!CC1523)</f>
        <v/>
      </c>
      <c r="F1527" s="7" t="str">
        <f>IF(Notes!CD1523="","",Notes!CD1523)</f>
        <v/>
      </c>
      <c r="G1527" s="7" t="str">
        <f>IF(Notes!CE1523="","",Notes!CE1523)</f>
        <v/>
      </c>
      <c r="H1527" s="7" t="str">
        <f>IF(Notes!CF1523="","",Notes!CF1523)</f>
        <v/>
      </c>
      <c r="I1527" s="7"/>
      <c r="J1527" s="7"/>
      <c r="K1527" s="7"/>
    </row>
    <row r="1528" spans="1:11" x14ac:dyDescent="0.3">
      <c r="A1528" s="7" t="str">
        <f>IF(Notes!BY1524="","",Notes!BY1524)</f>
        <v/>
      </c>
      <c r="B1528" s="7" t="str">
        <f>IF(Notes!BZ1524="","",Notes!BZ1524)</f>
        <v/>
      </c>
      <c r="C1528" s="7" t="str">
        <f>IF(Notes!CA1524="","",Notes!CA1524)</f>
        <v/>
      </c>
      <c r="D1528" s="7" t="str">
        <f>IF(Notes!CB1524="","",Notes!CB1524)</f>
        <v/>
      </c>
      <c r="E1528" s="7" t="str">
        <f>IF(Notes!CC1524="","",Notes!CC1524)</f>
        <v/>
      </c>
      <c r="F1528" s="7" t="str">
        <f>IF(Notes!CD1524="","",Notes!CD1524)</f>
        <v/>
      </c>
      <c r="G1528" s="7" t="str">
        <f>IF(Notes!CE1524="","",Notes!CE1524)</f>
        <v/>
      </c>
      <c r="H1528" s="7" t="str">
        <f>IF(Notes!CF1524="","",Notes!CF1524)</f>
        <v/>
      </c>
      <c r="I1528" s="7"/>
      <c r="J1528" s="7"/>
      <c r="K1528" s="7"/>
    </row>
    <row r="1529" spans="1:11" x14ac:dyDescent="0.3">
      <c r="A1529" s="7" t="str">
        <f>IF(Notes!BY1525="","",Notes!BY1525)</f>
        <v/>
      </c>
      <c r="B1529" s="7" t="str">
        <f>IF(Notes!BZ1525="","",Notes!BZ1525)</f>
        <v/>
      </c>
      <c r="C1529" s="7" t="str">
        <f>IF(Notes!CA1525="","",Notes!CA1525)</f>
        <v/>
      </c>
      <c r="D1529" s="7" t="str">
        <f>IF(Notes!CB1525="","",Notes!CB1525)</f>
        <v/>
      </c>
      <c r="E1529" s="7" t="str">
        <f>IF(Notes!CC1525="","",Notes!CC1525)</f>
        <v/>
      </c>
      <c r="F1529" s="7" t="str">
        <f>IF(Notes!CD1525="","",Notes!CD1525)</f>
        <v/>
      </c>
      <c r="G1529" s="7" t="str">
        <f>IF(Notes!CE1525="","",Notes!CE1525)</f>
        <v/>
      </c>
      <c r="H1529" s="7" t="str">
        <f>IF(Notes!CF1525="","",Notes!CF1525)</f>
        <v/>
      </c>
      <c r="I1529" s="7"/>
      <c r="J1529" s="7"/>
      <c r="K1529" s="7"/>
    </row>
    <row r="1530" spans="1:11" x14ac:dyDescent="0.3">
      <c r="A1530" s="7" t="str">
        <f>IF(Notes!BY1526="","",Notes!BY1526)</f>
        <v/>
      </c>
      <c r="B1530" s="7" t="str">
        <f>IF(Notes!BZ1526="","",Notes!BZ1526)</f>
        <v/>
      </c>
      <c r="C1530" s="7" t="str">
        <f>IF(Notes!CA1526="","",Notes!CA1526)</f>
        <v/>
      </c>
      <c r="D1530" s="7" t="str">
        <f>IF(Notes!CB1526="","",Notes!CB1526)</f>
        <v/>
      </c>
      <c r="E1530" s="7" t="str">
        <f>IF(Notes!CC1526="","",Notes!CC1526)</f>
        <v/>
      </c>
      <c r="F1530" s="7" t="str">
        <f>IF(Notes!CD1526="","",Notes!CD1526)</f>
        <v/>
      </c>
      <c r="G1530" s="7" t="str">
        <f>IF(Notes!CE1526="","",Notes!CE1526)</f>
        <v/>
      </c>
      <c r="H1530" s="7" t="str">
        <f>IF(Notes!CF1526="","",Notes!CF1526)</f>
        <v/>
      </c>
      <c r="I1530" s="7"/>
      <c r="J1530" s="7"/>
      <c r="K1530" s="7"/>
    </row>
    <row r="1531" spans="1:11" x14ac:dyDescent="0.3">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4" x14ac:dyDescent="0.3"/>
  <cols>
    <col min="1" max="1" width="22.77734375" bestFit="1" customWidth="1"/>
  </cols>
  <sheetData>
    <row r="1" spans="1:77" x14ac:dyDescent="0.3">
      <c r="A1" s="77" t="s">
        <v>306</v>
      </c>
      <c r="B1" s="128" t="s">
        <v>321</v>
      </c>
    </row>
    <row r="2" spans="1:77" hidden="1" x14ac:dyDescent="0.3">
      <c r="A2" t="s">
        <v>316</v>
      </c>
      <c r="B2">
        <f t="shared" ref="B2:B6" si="0">SIGN(SUBTOTAL(3,A2))</f>
        <v>0</v>
      </c>
      <c r="AD2" t="s">
        <v>3125</v>
      </c>
      <c r="AG2" t="s">
        <v>3124</v>
      </c>
      <c r="BY2" t="s">
        <v>3123</v>
      </c>
    </row>
    <row r="3" spans="1:77" hidden="1" x14ac:dyDescent="0.3">
      <c r="A3" t="s">
        <v>314</v>
      </c>
      <c r="B3">
        <f t="shared" si="0"/>
        <v>0</v>
      </c>
    </row>
    <row r="4" spans="1:77" hidden="1" x14ac:dyDescent="0.3">
      <c r="A4" t="s">
        <v>315</v>
      </c>
      <c r="B4">
        <f t="shared" si="0"/>
        <v>0</v>
      </c>
    </row>
    <row r="5" spans="1:77" x14ac:dyDescent="0.3">
      <c r="A5" t="s">
        <v>317</v>
      </c>
      <c r="B5">
        <f t="shared" si="0"/>
        <v>1</v>
      </c>
    </row>
    <row r="6" spans="1:77" hidden="1" x14ac:dyDescent="0.3">
      <c r="A6" t="s">
        <v>307</v>
      </c>
      <c r="B6">
        <f t="shared" si="0"/>
        <v>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4" x14ac:dyDescent="0.3"/>
  <cols>
    <col min="1" max="1" width="18.77734375" bestFit="1" customWidth="1"/>
  </cols>
  <sheetData>
    <row r="1" spans="1:75" x14ac:dyDescent="0.3">
      <c r="A1" s="77" t="s">
        <v>145</v>
      </c>
      <c r="B1" s="128" t="s">
        <v>321</v>
      </c>
    </row>
    <row r="2" spans="1:75" ht="16.8" hidden="1" x14ac:dyDescent="0.4">
      <c r="A2" t="s">
        <v>146</v>
      </c>
      <c r="B2">
        <f t="shared" ref="B2:B31" si="0">SIGN(SUBTOTAL(3,A2))</f>
        <v>0</v>
      </c>
      <c r="D2" s="129"/>
      <c r="AB2" t="s">
        <v>3125</v>
      </c>
      <c r="AE2" t="s">
        <v>3124</v>
      </c>
      <c r="BW2" t="s">
        <v>3123</v>
      </c>
    </row>
    <row r="3" spans="1:75" ht="16.8" hidden="1" x14ac:dyDescent="0.4">
      <c r="A3" t="s">
        <v>147</v>
      </c>
      <c r="B3">
        <f t="shared" si="0"/>
        <v>0</v>
      </c>
      <c r="D3" s="129"/>
    </row>
    <row r="4" spans="1:75" ht="16.8" hidden="1" x14ac:dyDescent="0.4">
      <c r="A4" t="s">
        <v>148</v>
      </c>
      <c r="B4">
        <f t="shared" si="0"/>
        <v>0</v>
      </c>
      <c r="D4" s="129"/>
    </row>
    <row r="5" spans="1:75" ht="16.8" hidden="1" x14ac:dyDescent="0.4">
      <c r="A5" t="s">
        <v>149</v>
      </c>
      <c r="B5">
        <f t="shared" si="0"/>
        <v>0</v>
      </c>
      <c r="D5" s="129"/>
    </row>
    <row r="6" spans="1:75" ht="16.8" hidden="1" x14ac:dyDescent="0.4">
      <c r="A6" t="s">
        <v>150</v>
      </c>
      <c r="B6">
        <f t="shared" si="0"/>
        <v>0</v>
      </c>
      <c r="D6" s="129"/>
    </row>
    <row r="7" spans="1:75" ht="16.8" hidden="1" x14ac:dyDescent="0.4">
      <c r="A7" t="s">
        <v>151</v>
      </c>
      <c r="B7">
        <f t="shared" si="0"/>
        <v>0</v>
      </c>
      <c r="D7" s="129"/>
    </row>
    <row r="8" spans="1:75" ht="16.8" hidden="1" x14ac:dyDescent="0.4">
      <c r="A8" t="s">
        <v>152</v>
      </c>
      <c r="B8">
        <f t="shared" si="0"/>
        <v>0</v>
      </c>
      <c r="D8" s="129"/>
    </row>
    <row r="9" spans="1:75" ht="16.8" hidden="1" x14ac:dyDescent="0.4">
      <c r="A9" t="s">
        <v>144</v>
      </c>
      <c r="B9">
        <f t="shared" si="0"/>
        <v>0</v>
      </c>
      <c r="D9" s="129"/>
    </row>
    <row r="10" spans="1:75" ht="16.8" hidden="1" x14ac:dyDescent="0.4">
      <c r="A10" t="s">
        <v>153</v>
      </c>
      <c r="B10">
        <f t="shared" si="0"/>
        <v>0</v>
      </c>
      <c r="D10" s="129"/>
    </row>
    <row r="11" spans="1:75" ht="16.8" hidden="1" x14ac:dyDescent="0.4">
      <c r="A11" t="s">
        <v>154</v>
      </c>
      <c r="B11">
        <f t="shared" si="0"/>
        <v>0</v>
      </c>
      <c r="D11" s="129"/>
    </row>
    <row r="12" spans="1:75" ht="16.8" x14ac:dyDescent="0.4">
      <c r="A12" t="s">
        <v>155</v>
      </c>
      <c r="B12">
        <f t="shared" si="0"/>
        <v>1</v>
      </c>
      <c r="D12" s="129"/>
    </row>
    <row r="13" spans="1:75" ht="16.8" hidden="1" x14ac:dyDescent="0.4">
      <c r="A13" t="s">
        <v>156</v>
      </c>
      <c r="B13">
        <f t="shared" si="0"/>
        <v>0</v>
      </c>
      <c r="D13" s="129"/>
    </row>
    <row r="14" spans="1:75" ht="16.8" hidden="1" x14ac:dyDescent="0.4">
      <c r="A14" t="s">
        <v>157</v>
      </c>
      <c r="B14">
        <f t="shared" si="0"/>
        <v>0</v>
      </c>
      <c r="D14" s="129"/>
    </row>
    <row r="15" spans="1:75" ht="16.8" hidden="1" x14ac:dyDescent="0.4">
      <c r="A15" t="s">
        <v>158</v>
      </c>
      <c r="B15">
        <f t="shared" si="0"/>
        <v>0</v>
      </c>
      <c r="D15" s="129"/>
    </row>
    <row r="16" spans="1:75" ht="16.8" hidden="1" x14ac:dyDescent="0.4">
      <c r="A16" t="s">
        <v>159</v>
      </c>
      <c r="B16">
        <f t="shared" si="0"/>
        <v>0</v>
      </c>
      <c r="D16" s="129"/>
    </row>
    <row r="17" spans="1:4" ht="16.8" hidden="1" x14ac:dyDescent="0.4">
      <c r="A17" t="s">
        <v>160</v>
      </c>
      <c r="B17">
        <f t="shared" si="0"/>
        <v>0</v>
      </c>
      <c r="D17" s="129"/>
    </row>
    <row r="18" spans="1:4" ht="16.8" hidden="1" x14ac:dyDescent="0.4">
      <c r="A18" t="s">
        <v>161</v>
      </c>
      <c r="B18">
        <f t="shared" si="0"/>
        <v>0</v>
      </c>
      <c r="D18" s="129"/>
    </row>
    <row r="19" spans="1:4" ht="16.8" hidden="1" x14ac:dyDescent="0.4">
      <c r="A19" t="s">
        <v>162</v>
      </c>
      <c r="B19">
        <f t="shared" si="0"/>
        <v>0</v>
      </c>
      <c r="D19" s="129"/>
    </row>
    <row r="20" spans="1:4" ht="16.8" hidden="1" x14ac:dyDescent="0.4">
      <c r="A20" t="s">
        <v>163</v>
      </c>
      <c r="B20">
        <f t="shared" si="0"/>
        <v>0</v>
      </c>
      <c r="D20" s="129"/>
    </row>
    <row r="21" spans="1:4" ht="16.8" hidden="1" x14ac:dyDescent="0.4">
      <c r="A21" t="s">
        <v>164</v>
      </c>
      <c r="B21">
        <f t="shared" si="0"/>
        <v>0</v>
      </c>
      <c r="D21" s="129"/>
    </row>
    <row r="22" spans="1:4" ht="16.8" hidden="1" x14ac:dyDescent="0.4">
      <c r="A22" t="s">
        <v>165</v>
      </c>
      <c r="B22">
        <f t="shared" si="0"/>
        <v>0</v>
      </c>
      <c r="D22" s="129"/>
    </row>
    <row r="23" spans="1:4" ht="16.8" hidden="1" x14ac:dyDescent="0.4">
      <c r="A23" t="s">
        <v>166</v>
      </c>
      <c r="B23">
        <f t="shared" si="0"/>
        <v>0</v>
      </c>
      <c r="D23" s="129"/>
    </row>
    <row r="24" spans="1:4" ht="16.8" hidden="1" x14ac:dyDescent="0.4">
      <c r="A24" t="s">
        <v>167</v>
      </c>
      <c r="B24">
        <f t="shared" si="0"/>
        <v>0</v>
      </c>
      <c r="D24" s="129"/>
    </row>
    <row r="25" spans="1:4" ht="16.8" hidden="1" x14ac:dyDescent="0.4">
      <c r="A25" t="s">
        <v>168</v>
      </c>
      <c r="B25">
        <f t="shared" si="0"/>
        <v>0</v>
      </c>
      <c r="D25" s="129"/>
    </row>
    <row r="26" spans="1:4" ht="16.8" hidden="1" x14ac:dyDescent="0.4">
      <c r="A26" t="s">
        <v>169</v>
      </c>
      <c r="B26">
        <f t="shared" si="0"/>
        <v>0</v>
      </c>
      <c r="D26" s="129"/>
    </row>
    <row r="27" spans="1:4" ht="16.8" hidden="1" x14ac:dyDescent="0.4">
      <c r="A27" t="s">
        <v>170</v>
      </c>
      <c r="B27">
        <f t="shared" si="0"/>
        <v>0</v>
      </c>
      <c r="D27" s="129"/>
    </row>
    <row r="28" spans="1:4" ht="16.8" hidden="1" x14ac:dyDescent="0.4">
      <c r="A28" t="s">
        <v>171</v>
      </c>
      <c r="B28">
        <f t="shared" si="0"/>
        <v>0</v>
      </c>
      <c r="D28" s="129"/>
    </row>
    <row r="29" spans="1:4" ht="16.8" hidden="1" x14ac:dyDescent="0.4">
      <c r="A29" t="s">
        <v>172</v>
      </c>
      <c r="B29">
        <f t="shared" si="0"/>
        <v>0</v>
      </c>
      <c r="D29" s="129"/>
    </row>
    <row r="30" spans="1:4" ht="16.8" hidden="1" x14ac:dyDescent="0.4">
      <c r="A30" t="s">
        <v>173</v>
      </c>
      <c r="B30">
        <f t="shared" si="0"/>
        <v>0</v>
      </c>
      <c r="D30" s="129"/>
    </row>
    <row r="31" spans="1:4" ht="16.8" hidden="1" x14ac:dyDescent="0.4">
      <c r="A31" t="s">
        <v>174</v>
      </c>
      <c r="B31">
        <f t="shared" si="0"/>
        <v>0</v>
      </c>
      <c r="D31" s="129"/>
    </row>
    <row r="32" spans="1:4" ht="16.8" hidden="1" x14ac:dyDescent="0.4">
      <c r="A32" t="s">
        <v>175</v>
      </c>
      <c r="B32">
        <f t="shared" ref="B32:B50" si="1">SIGN(SUBTOTAL(3,A32))</f>
        <v>0</v>
      </c>
      <c r="D32" s="129"/>
    </row>
    <row r="33" spans="1:4" ht="16.8" hidden="1" x14ac:dyDescent="0.4">
      <c r="A33" t="s">
        <v>176</v>
      </c>
      <c r="B33">
        <f t="shared" si="1"/>
        <v>0</v>
      </c>
      <c r="D33" s="129"/>
    </row>
    <row r="34" spans="1:4" ht="16.8" hidden="1" x14ac:dyDescent="0.4">
      <c r="A34" t="s">
        <v>177</v>
      </c>
      <c r="B34">
        <f t="shared" si="1"/>
        <v>0</v>
      </c>
      <c r="D34" s="129"/>
    </row>
    <row r="35" spans="1:4" ht="16.8" hidden="1" x14ac:dyDescent="0.4">
      <c r="A35" t="s">
        <v>178</v>
      </c>
      <c r="B35">
        <f t="shared" si="1"/>
        <v>0</v>
      </c>
      <c r="D35" s="129"/>
    </row>
    <row r="36" spans="1:4" ht="16.8" hidden="1" x14ac:dyDescent="0.4">
      <c r="A36" t="s">
        <v>179</v>
      </c>
      <c r="B36">
        <f t="shared" si="1"/>
        <v>0</v>
      </c>
      <c r="D36" s="129"/>
    </row>
    <row r="37" spans="1:4" ht="16.8" x14ac:dyDescent="0.4">
      <c r="A37" t="s">
        <v>180</v>
      </c>
      <c r="B37">
        <f t="shared" si="1"/>
        <v>1</v>
      </c>
      <c r="D37" s="129"/>
    </row>
    <row r="38" spans="1:4" ht="16.8" hidden="1" x14ac:dyDescent="0.4">
      <c r="A38" t="s">
        <v>181</v>
      </c>
      <c r="B38">
        <f t="shared" si="1"/>
        <v>0</v>
      </c>
      <c r="D38" s="129"/>
    </row>
    <row r="39" spans="1:4" ht="16.8" hidden="1" x14ac:dyDescent="0.4">
      <c r="A39" t="s">
        <v>182</v>
      </c>
      <c r="B39">
        <f t="shared" si="1"/>
        <v>0</v>
      </c>
      <c r="D39" s="129"/>
    </row>
    <row r="40" spans="1:4" ht="16.8" hidden="1" x14ac:dyDescent="0.4">
      <c r="A40" t="s">
        <v>183</v>
      </c>
      <c r="B40">
        <f t="shared" si="1"/>
        <v>0</v>
      </c>
      <c r="D40" s="129"/>
    </row>
    <row r="41" spans="1:4" ht="16.8" hidden="1" x14ac:dyDescent="0.4">
      <c r="A41" t="s">
        <v>184</v>
      </c>
      <c r="B41">
        <f t="shared" si="1"/>
        <v>0</v>
      </c>
      <c r="D41" s="129"/>
    </row>
    <row r="42" spans="1:4" ht="16.8" hidden="1" x14ac:dyDescent="0.4">
      <c r="A42" t="s">
        <v>185</v>
      </c>
      <c r="B42">
        <f t="shared" si="1"/>
        <v>0</v>
      </c>
      <c r="D42" s="129"/>
    </row>
    <row r="43" spans="1:4" ht="16.8" hidden="1" x14ac:dyDescent="0.4">
      <c r="A43" t="s">
        <v>186</v>
      </c>
      <c r="B43">
        <f t="shared" si="1"/>
        <v>0</v>
      </c>
      <c r="D43" s="129"/>
    </row>
    <row r="44" spans="1:4" ht="16.8" hidden="1" x14ac:dyDescent="0.4">
      <c r="A44" t="s">
        <v>187</v>
      </c>
      <c r="B44">
        <f t="shared" si="1"/>
        <v>0</v>
      </c>
      <c r="D44" s="129"/>
    </row>
    <row r="45" spans="1:4" ht="16.8" hidden="1" x14ac:dyDescent="0.4">
      <c r="A45" t="s">
        <v>188</v>
      </c>
      <c r="B45">
        <f t="shared" si="1"/>
        <v>0</v>
      </c>
      <c r="D45" s="129"/>
    </row>
    <row r="46" spans="1:4" ht="16.8" hidden="1" x14ac:dyDescent="0.4">
      <c r="A46" t="s">
        <v>189</v>
      </c>
      <c r="B46">
        <f t="shared" si="1"/>
        <v>0</v>
      </c>
      <c r="D46" s="129"/>
    </row>
    <row r="47" spans="1:4" ht="16.8" x14ac:dyDescent="0.4">
      <c r="A47" t="s">
        <v>190</v>
      </c>
      <c r="B47">
        <f t="shared" si="1"/>
        <v>1</v>
      </c>
      <c r="D47" s="129"/>
    </row>
    <row r="48" spans="1:4" ht="16.8" hidden="1" x14ac:dyDescent="0.4">
      <c r="A48" t="s">
        <v>191</v>
      </c>
      <c r="B48">
        <f t="shared" si="1"/>
        <v>0</v>
      </c>
      <c r="D48" s="129"/>
    </row>
    <row r="49" spans="1:4" ht="16.8" hidden="1" x14ac:dyDescent="0.4">
      <c r="A49" t="s">
        <v>192</v>
      </c>
      <c r="B49">
        <f t="shared" si="1"/>
        <v>0</v>
      </c>
      <c r="D49" s="129"/>
    </row>
    <row r="50" spans="1:4" ht="16.8" hidden="1" x14ac:dyDescent="0.4">
      <c r="A50" t="s">
        <v>193</v>
      </c>
      <c r="B50">
        <f t="shared" si="1"/>
        <v>0</v>
      </c>
      <c r="D50" s="12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25"/>
  <sheetViews>
    <sheetView zoomScale="85" zoomScaleNormal="85" workbookViewId="0"/>
  </sheetViews>
  <sheetFormatPr defaultRowHeight="14.4" x14ac:dyDescent="0.3"/>
  <cols>
    <col min="1" max="1" width="23.77734375" bestFit="1" customWidth="1"/>
    <col min="2" max="2" width="22.5546875" customWidth="1"/>
    <col min="3" max="3" width="12.21875" customWidth="1"/>
    <col min="4" max="4" width="20.77734375" bestFit="1" customWidth="1"/>
    <col min="5" max="5" width="15.21875" bestFit="1" customWidth="1"/>
    <col min="6" max="6" width="20.77734375" style="82" customWidth="1"/>
    <col min="7" max="10" width="20.77734375" customWidth="1"/>
    <col min="11" max="11" width="10.5546875" customWidth="1"/>
    <col min="12" max="12" width="11.77734375" customWidth="1"/>
    <col min="13" max="13" width="16.44140625" customWidth="1"/>
    <col min="14" max="14" width="12.77734375" customWidth="1"/>
    <col min="15" max="15" width="13.44140625" customWidth="1"/>
    <col min="16" max="16" width="7.5546875" customWidth="1"/>
    <col min="17" max="17" width="14.44140625" customWidth="1"/>
    <col min="18" max="18" width="16" bestFit="1" customWidth="1"/>
    <col min="19" max="19" width="19.77734375" bestFit="1" customWidth="1"/>
    <col min="20" max="20" width="15.21875" bestFit="1" customWidth="1"/>
  </cols>
  <sheetData>
    <row r="1" spans="1:76" s="102" customFormat="1" ht="41.25" customHeight="1" x14ac:dyDescent="0.3">
      <c r="A1" s="97" t="s">
        <v>313</v>
      </c>
      <c r="B1" s="97" t="s">
        <v>255</v>
      </c>
      <c r="C1" s="97" t="s">
        <v>28</v>
      </c>
      <c r="D1" s="97" t="s">
        <v>308</v>
      </c>
      <c r="E1" s="97" t="s">
        <v>312</v>
      </c>
      <c r="F1" s="98" t="s">
        <v>321</v>
      </c>
      <c r="G1" s="99" t="s">
        <v>241</v>
      </c>
      <c r="H1" s="99" t="s">
        <v>244</v>
      </c>
      <c r="I1" s="99" t="s">
        <v>3096</v>
      </c>
      <c r="J1" s="99" t="s">
        <v>243</v>
      </c>
      <c r="K1" s="99" t="s">
        <v>242</v>
      </c>
      <c r="L1" s="100" t="s">
        <v>25</v>
      </c>
      <c r="M1" s="100" t="s">
        <v>35</v>
      </c>
      <c r="N1" s="100" t="s">
        <v>31</v>
      </c>
      <c r="O1" s="101" t="s">
        <v>24</v>
      </c>
      <c r="P1" s="100" t="s">
        <v>36</v>
      </c>
      <c r="Q1" s="101" t="s">
        <v>44</v>
      </c>
      <c r="R1" s="101" t="s">
        <v>196</v>
      </c>
      <c r="S1" s="101" t="s">
        <v>45</v>
      </c>
    </row>
    <row r="2" spans="1:76" hidden="1" x14ac:dyDescent="0.3">
      <c r="A2" t="s">
        <v>288</v>
      </c>
      <c r="B2" t="s">
        <v>289</v>
      </c>
      <c r="C2" t="s">
        <v>5</v>
      </c>
      <c r="D2" s="80" t="s">
        <v>309</v>
      </c>
      <c r="E2" t="s">
        <v>3078</v>
      </c>
      <c r="F2" s="82">
        <f t="shared" ref="F2:F33" si="0">SIGN(SUBTOTAL(3,A2))</f>
        <v>0</v>
      </c>
      <c r="G2">
        <v>1</v>
      </c>
      <c r="H2" t="s">
        <v>14</v>
      </c>
      <c r="I2" t="s">
        <v>322</v>
      </c>
      <c r="J2">
        <v>15.60532807536244</v>
      </c>
      <c r="K2" t="s">
        <v>3079</v>
      </c>
      <c r="L2" t="s">
        <v>19</v>
      </c>
      <c r="M2" t="s">
        <v>3082</v>
      </c>
      <c r="N2" t="s">
        <v>323</v>
      </c>
      <c r="O2" s="81">
        <v>2031398.4971612808</v>
      </c>
      <c r="P2" t="s">
        <v>14</v>
      </c>
      <c r="Q2" s="81">
        <f>SAF_Cand_Refinery[[#This Row],[Max Amount]]*0.5</f>
        <v>1015699.2485806404</v>
      </c>
      <c r="R2" s="81">
        <f>SAF_Cand_Refinery[[#This Row],[Max Amount]]*0.1</f>
        <v>203139.84971612808</v>
      </c>
      <c r="S2" s="81">
        <v>108566609.03999999</v>
      </c>
      <c r="AC2" t="s">
        <v>3125</v>
      </c>
      <c r="AF2" t="s">
        <v>3124</v>
      </c>
      <c r="BX2" t="s">
        <v>3123</v>
      </c>
    </row>
    <row r="3" spans="1:76" hidden="1" x14ac:dyDescent="0.3">
      <c r="A3" t="s">
        <v>288</v>
      </c>
      <c r="B3" t="s">
        <v>289</v>
      </c>
      <c r="C3" t="s">
        <v>5</v>
      </c>
      <c r="D3" s="80" t="s">
        <v>309</v>
      </c>
      <c r="E3" t="s">
        <v>318</v>
      </c>
      <c r="F3" s="82">
        <f t="shared" si="0"/>
        <v>0</v>
      </c>
      <c r="G3">
        <v>1</v>
      </c>
      <c r="H3" t="s">
        <v>14</v>
      </c>
      <c r="I3" t="s">
        <v>322</v>
      </c>
      <c r="J3">
        <v>15.60532807536244</v>
      </c>
      <c r="K3" t="s">
        <v>3079</v>
      </c>
      <c r="L3" t="s">
        <v>19</v>
      </c>
      <c r="M3" t="s">
        <v>3082</v>
      </c>
      <c r="N3" t="s">
        <v>323</v>
      </c>
      <c r="O3" s="81">
        <v>677132.83238709357</v>
      </c>
      <c r="P3" t="s">
        <v>14</v>
      </c>
      <c r="Q3" s="81">
        <f>SAF_Cand_Refinery[[#This Row],[Max Amount]]*0.5</f>
        <v>338566.41619354679</v>
      </c>
      <c r="R3" s="81">
        <f>SAF_Cand_Refinery[[#This Row],[Max Amount]]*0.1</f>
        <v>67713.283238709366</v>
      </c>
      <c r="S3" s="81">
        <v>91155661.800000012</v>
      </c>
    </row>
    <row r="4" spans="1:76" hidden="1" x14ac:dyDescent="0.3">
      <c r="A4" t="s">
        <v>288</v>
      </c>
      <c r="B4" t="s">
        <v>289</v>
      </c>
      <c r="C4" t="s">
        <v>5</v>
      </c>
      <c r="D4" s="80" t="s">
        <v>311</v>
      </c>
      <c r="E4" t="s">
        <v>3078</v>
      </c>
      <c r="F4" s="82">
        <f t="shared" si="0"/>
        <v>0</v>
      </c>
      <c r="G4">
        <v>1</v>
      </c>
      <c r="H4" t="s">
        <v>14</v>
      </c>
      <c r="I4" t="s">
        <v>322</v>
      </c>
      <c r="J4">
        <v>26.333991127174112</v>
      </c>
      <c r="K4" t="s">
        <v>3079</v>
      </c>
      <c r="L4" t="s">
        <v>19</v>
      </c>
      <c r="M4" t="s">
        <v>3086</v>
      </c>
      <c r="N4" t="s">
        <v>323</v>
      </c>
      <c r="O4" s="81">
        <v>1805687.5530322497</v>
      </c>
      <c r="P4" t="s">
        <v>14</v>
      </c>
      <c r="Q4" s="81">
        <f>SAF_Cand_Refinery[[#This Row],[Max Amount]]*0.5</f>
        <v>902843.77651612484</v>
      </c>
      <c r="R4" s="81">
        <f>SAF_Cand_Refinery[[#This Row],[Max Amount]]*0.1</f>
        <v>180568.75530322499</v>
      </c>
      <c r="S4" s="81">
        <v>77989532.280000001</v>
      </c>
    </row>
    <row r="5" spans="1:76" hidden="1" x14ac:dyDescent="0.3">
      <c r="A5" t="s">
        <v>288</v>
      </c>
      <c r="B5" t="s">
        <v>289</v>
      </c>
      <c r="C5" t="s">
        <v>5</v>
      </c>
      <c r="D5" s="80" t="s">
        <v>311</v>
      </c>
      <c r="E5" t="s">
        <v>318</v>
      </c>
      <c r="F5" s="82">
        <f t="shared" si="0"/>
        <v>0</v>
      </c>
      <c r="G5">
        <v>1</v>
      </c>
      <c r="H5" t="s">
        <v>14</v>
      </c>
      <c r="I5" t="s">
        <v>322</v>
      </c>
      <c r="J5">
        <v>23.407992113043658</v>
      </c>
      <c r="K5" t="s">
        <v>3079</v>
      </c>
      <c r="L5" t="s">
        <v>19</v>
      </c>
      <c r="M5" t="s">
        <v>3086</v>
      </c>
      <c r="N5" t="s">
        <v>323</v>
      </c>
      <c r="O5" s="81">
        <v>451421.88825806242</v>
      </c>
      <c r="P5" t="s">
        <v>14</v>
      </c>
      <c r="Q5" s="81">
        <f>SAF_Cand_Refinery[[#This Row],[Max Amount]]*0.5</f>
        <v>225710.94412903121</v>
      </c>
      <c r="R5" s="81">
        <f>SAF_Cand_Refinery[[#This Row],[Max Amount]]*0.1</f>
        <v>45142.188825806246</v>
      </c>
      <c r="S5" s="81">
        <v>44534613</v>
      </c>
    </row>
    <row r="6" spans="1:76" hidden="1" x14ac:dyDescent="0.3">
      <c r="A6" t="s">
        <v>288</v>
      </c>
      <c r="B6" t="s">
        <v>292</v>
      </c>
      <c r="C6" t="s">
        <v>5</v>
      </c>
      <c r="D6" s="80" t="s">
        <v>309</v>
      </c>
      <c r="E6" t="s">
        <v>3078</v>
      </c>
      <c r="F6" s="82">
        <f t="shared" si="0"/>
        <v>0</v>
      </c>
      <c r="G6">
        <v>1</v>
      </c>
      <c r="H6" t="s">
        <v>14</v>
      </c>
      <c r="I6" t="s">
        <v>322</v>
      </c>
      <c r="J6">
        <v>15.60532807536244</v>
      </c>
      <c r="K6" t="s">
        <v>3079</v>
      </c>
      <c r="L6" t="s">
        <v>19</v>
      </c>
      <c r="M6" t="s">
        <v>3082</v>
      </c>
      <c r="N6" t="s">
        <v>323</v>
      </c>
      <c r="O6" s="81">
        <v>2031398.4971612808</v>
      </c>
      <c r="P6" t="s">
        <v>14</v>
      </c>
      <c r="Q6" s="81">
        <f>SAF_Cand_Refinery[[#This Row],[Max Amount]]*0.5</f>
        <v>1015699.2485806404</v>
      </c>
      <c r="R6" s="81">
        <f>SAF_Cand_Refinery[[#This Row],[Max Amount]]*0.1</f>
        <v>203139.84971612808</v>
      </c>
      <c r="S6" s="81">
        <v>108566609.03999999</v>
      </c>
    </row>
    <row r="7" spans="1:76" hidden="1" x14ac:dyDescent="0.3">
      <c r="A7" t="s">
        <v>288</v>
      </c>
      <c r="B7" t="s">
        <v>292</v>
      </c>
      <c r="C7" t="s">
        <v>5</v>
      </c>
      <c r="D7" s="80" t="s">
        <v>309</v>
      </c>
      <c r="E7" t="s">
        <v>318</v>
      </c>
      <c r="F7" s="82">
        <f t="shared" si="0"/>
        <v>0</v>
      </c>
      <c r="G7">
        <v>1</v>
      </c>
      <c r="H7" t="s">
        <v>14</v>
      </c>
      <c r="I7" t="s">
        <v>322</v>
      </c>
      <c r="J7">
        <v>15.60532807536244</v>
      </c>
      <c r="K7" t="s">
        <v>3079</v>
      </c>
      <c r="L7" t="s">
        <v>19</v>
      </c>
      <c r="M7" t="s">
        <v>3082</v>
      </c>
      <c r="N7" t="s">
        <v>323</v>
      </c>
      <c r="O7" s="81">
        <v>677132.83238709357</v>
      </c>
      <c r="P7" t="s">
        <v>14</v>
      </c>
      <c r="Q7" s="81">
        <f>SAF_Cand_Refinery[[#This Row],[Max Amount]]*0.5</f>
        <v>338566.41619354679</v>
      </c>
      <c r="R7" s="81">
        <f>SAF_Cand_Refinery[[#This Row],[Max Amount]]*0.1</f>
        <v>67713.283238709366</v>
      </c>
      <c r="S7" s="81">
        <v>91155661.800000012</v>
      </c>
    </row>
    <row r="8" spans="1:76" hidden="1" x14ac:dyDescent="0.3">
      <c r="A8" t="s">
        <v>288</v>
      </c>
      <c r="B8" t="s">
        <v>292</v>
      </c>
      <c r="C8" t="s">
        <v>5</v>
      </c>
      <c r="D8" s="80" t="s">
        <v>311</v>
      </c>
      <c r="E8" t="s">
        <v>3078</v>
      </c>
      <c r="F8" s="82">
        <f t="shared" si="0"/>
        <v>0</v>
      </c>
      <c r="G8">
        <v>1</v>
      </c>
      <c r="H8" t="s">
        <v>14</v>
      </c>
      <c r="I8" t="s">
        <v>322</v>
      </c>
      <c r="J8">
        <v>26.333991127174112</v>
      </c>
      <c r="K8" t="s">
        <v>3079</v>
      </c>
      <c r="L8" t="s">
        <v>19</v>
      </c>
      <c r="M8" t="s">
        <v>3086</v>
      </c>
      <c r="N8" t="s">
        <v>323</v>
      </c>
      <c r="O8" s="81">
        <v>1805687.5530322497</v>
      </c>
      <c r="P8" t="s">
        <v>14</v>
      </c>
      <c r="Q8" s="81">
        <f>SAF_Cand_Refinery[[#This Row],[Max Amount]]*0.5</f>
        <v>902843.77651612484</v>
      </c>
      <c r="R8" s="81">
        <f>SAF_Cand_Refinery[[#This Row],[Max Amount]]*0.1</f>
        <v>180568.75530322499</v>
      </c>
      <c r="S8" s="81">
        <v>77989532.280000001</v>
      </c>
    </row>
    <row r="9" spans="1:76" hidden="1" x14ac:dyDescent="0.3">
      <c r="A9" t="s">
        <v>288</v>
      </c>
      <c r="B9" t="s">
        <v>292</v>
      </c>
      <c r="C9" t="s">
        <v>5</v>
      </c>
      <c r="D9" s="80" t="s">
        <v>311</v>
      </c>
      <c r="E9" t="s">
        <v>318</v>
      </c>
      <c r="F9" s="82">
        <f t="shared" si="0"/>
        <v>0</v>
      </c>
      <c r="G9">
        <v>1</v>
      </c>
      <c r="H9" t="s">
        <v>14</v>
      </c>
      <c r="I9" t="s">
        <v>322</v>
      </c>
      <c r="J9">
        <v>23.407992113043658</v>
      </c>
      <c r="K9" t="s">
        <v>3079</v>
      </c>
      <c r="L9" t="s">
        <v>19</v>
      </c>
      <c r="M9" t="s">
        <v>3086</v>
      </c>
      <c r="N9" t="s">
        <v>323</v>
      </c>
      <c r="O9" s="81">
        <v>451421.88825806242</v>
      </c>
      <c r="P9" t="s">
        <v>14</v>
      </c>
      <c r="Q9" s="81">
        <f>SAF_Cand_Refinery[[#This Row],[Max Amount]]*0.5</f>
        <v>225710.94412903121</v>
      </c>
      <c r="R9" s="81">
        <f>SAF_Cand_Refinery[[#This Row],[Max Amount]]*0.1</f>
        <v>45142.188825806246</v>
      </c>
      <c r="S9" s="81">
        <v>44534613</v>
      </c>
    </row>
    <row r="10" spans="1:76" hidden="1" x14ac:dyDescent="0.3">
      <c r="A10" t="s">
        <v>275</v>
      </c>
      <c r="B10" t="s">
        <v>277</v>
      </c>
      <c r="C10" t="s">
        <v>5</v>
      </c>
      <c r="D10" s="80" t="s">
        <v>309</v>
      </c>
      <c r="E10" t="s">
        <v>3078</v>
      </c>
      <c r="F10" s="82">
        <f t="shared" si="0"/>
        <v>0</v>
      </c>
      <c r="G10">
        <v>1</v>
      </c>
      <c r="H10" t="s">
        <v>14</v>
      </c>
      <c r="I10" t="s">
        <v>322</v>
      </c>
      <c r="J10">
        <v>15.60532807536244</v>
      </c>
      <c r="K10" t="s">
        <v>3079</v>
      </c>
      <c r="L10" t="s">
        <v>19</v>
      </c>
      <c r="M10" t="s">
        <v>3082</v>
      </c>
      <c r="N10" t="s">
        <v>323</v>
      </c>
      <c r="O10" s="81">
        <v>2031398.4971612808</v>
      </c>
      <c r="P10" t="s">
        <v>14</v>
      </c>
      <c r="Q10" s="81">
        <f>SAF_Cand_Refinery[[#This Row],[Max Amount]]*0.5</f>
        <v>1015699.2485806404</v>
      </c>
      <c r="R10" s="81">
        <f>SAF_Cand_Refinery[[#This Row],[Max Amount]]*0.1</f>
        <v>203139.84971612808</v>
      </c>
      <c r="S10" s="81">
        <v>108566609.03999999</v>
      </c>
    </row>
    <row r="11" spans="1:76" hidden="1" x14ac:dyDescent="0.3">
      <c r="A11" t="s">
        <v>275</v>
      </c>
      <c r="B11" t="s">
        <v>277</v>
      </c>
      <c r="C11" t="s">
        <v>5</v>
      </c>
      <c r="D11" s="80" t="s">
        <v>309</v>
      </c>
      <c r="E11" t="s">
        <v>318</v>
      </c>
      <c r="F11" s="82">
        <f t="shared" si="0"/>
        <v>0</v>
      </c>
      <c r="G11">
        <v>1</v>
      </c>
      <c r="H11" t="s">
        <v>14</v>
      </c>
      <c r="I11" t="s">
        <v>322</v>
      </c>
      <c r="J11">
        <v>15.60532807536244</v>
      </c>
      <c r="K11" t="s">
        <v>3079</v>
      </c>
      <c r="L11" t="s">
        <v>19</v>
      </c>
      <c r="M11" t="s">
        <v>3082</v>
      </c>
      <c r="N11" t="s">
        <v>323</v>
      </c>
      <c r="O11" s="81">
        <v>677132.83238709357</v>
      </c>
      <c r="P11" t="s">
        <v>14</v>
      </c>
      <c r="Q11" s="81">
        <f>SAF_Cand_Refinery[[#This Row],[Max Amount]]*0.5</f>
        <v>338566.41619354679</v>
      </c>
      <c r="R11" s="81">
        <f>SAF_Cand_Refinery[[#This Row],[Max Amount]]*0.1</f>
        <v>67713.283238709366</v>
      </c>
      <c r="S11" s="81">
        <v>91155661.800000012</v>
      </c>
    </row>
    <row r="12" spans="1:76" hidden="1" x14ac:dyDescent="0.3">
      <c r="A12" t="s">
        <v>275</v>
      </c>
      <c r="B12" t="s">
        <v>277</v>
      </c>
      <c r="C12" t="s">
        <v>5</v>
      </c>
      <c r="D12" s="80" t="s">
        <v>311</v>
      </c>
      <c r="E12" t="s">
        <v>3078</v>
      </c>
      <c r="F12" s="82">
        <f t="shared" si="0"/>
        <v>0</v>
      </c>
      <c r="G12">
        <v>1</v>
      </c>
      <c r="H12" t="s">
        <v>14</v>
      </c>
      <c r="I12" t="s">
        <v>322</v>
      </c>
      <c r="J12">
        <v>26.333991127174112</v>
      </c>
      <c r="K12" t="s">
        <v>3079</v>
      </c>
      <c r="L12" t="s">
        <v>19</v>
      </c>
      <c r="M12" t="s">
        <v>3086</v>
      </c>
      <c r="N12" t="s">
        <v>323</v>
      </c>
      <c r="O12" s="81">
        <v>1805687.5530322497</v>
      </c>
      <c r="P12" t="s">
        <v>14</v>
      </c>
      <c r="Q12" s="81">
        <f>SAF_Cand_Refinery[[#This Row],[Max Amount]]*0.5</f>
        <v>902843.77651612484</v>
      </c>
      <c r="R12" s="81">
        <f>SAF_Cand_Refinery[[#This Row],[Max Amount]]*0.1</f>
        <v>180568.75530322499</v>
      </c>
      <c r="S12" s="81">
        <v>77989532.280000001</v>
      </c>
    </row>
    <row r="13" spans="1:76" hidden="1" x14ac:dyDescent="0.3">
      <c r="A13" t="s">
        <v>275</v>
      </c>
      <c r="B13" t="s">
        <v>277</v>
      </c>
      <c r="C13" t="s">
        <v>5</v>
      </c>
      <c r="D13" s="80" t="s">
        <v>311</v>
      </c>
      <c r="E13" t="s">
        <v>318</v>
      </c>
      <c r="F13" s="82">
        <f t="shared" si="0"/>
        <v>0</v>
      </c>
      <c r="G13">
        <v>1</v>
      </c>
      <c r="H13" t="s">
        <v>14</v>
      </c>
      <c r="I13" t="s">
        <v>322</v>
      </c>
      <c r="J13">
        <v>23.407992113043658</v>
      </c>
      <c r="K13" t="s">
        <v>3079</v>
      </c>
      <c r="L13" t="s">
        <v>19</v>
      </c>
      <c r="M13" t="s">
        <v>3086</v>
      </c>
      <c r="N13" t="s">
        <v>323</v>
      </c>
      <c r="O13" s="81">
        <v>451421.88825806242</v>
      </c>
      <c r="P13" t="s">
        <v>14</v>
      </c>
      <c r="Q13" s="81">
        <f>SAF_Cand_Refinery[[#This Row],[Max Amount]]*0.5</f>
        <v>225710.94412903121</v>
      </c>
      <c r="R13" s="81">
        <f>SAF_Cand_Refinery[[#This Row],[Max Amount]]*0.1</f>
        <v>45142.188825806246</v>
      </c>
      <c r="S13" s="81">
        <v>44534613</v>
      </c>
    </row>
    <row r="14" spans="1:76" hidden="1" x14ac:dyDescent="0.3">
      <c r="A14" t="s">
        <v>275</v>
      </c>
      <c r="B14" t="s">
        <v>276</v>
      </c>
      <c r="C14" t="s">
        <v>5</v>
      </c>
      <c r="D14" s="80" t="s">
        <v>309</v>
      </c>
      <c r="E14" t="s">
        <v>3078</v>
      </c>
      <c r="F14" s="82">
        <f t="shared" si="0"/>
        <v>0</v>
      </c>
      <c r="G14">
        <v>1</v>
      </c>
      <c r="H14" t="s">
        <v>14</v>
      </c>
      <c r="I14" t="s">
        <v>322</v>
      </c>
      <c r="J14">
        <v>15.60532807536244</v>
      </c>
      <c r="K14" t="s">
        <v>3079</v>
      </c>
      <c r="L14" t="s">
        <v>19</v>
      </c>
      <c r="M14" t="s">
        <v>3082</v>
      </c>
      <c r="N14" t="s">
        <v>323</v>
      </c>
      <c r="O14" s="81">
        <v>2031398.4971612808</v>
      </c>
      <c r="P14" t="s">
        <v>14</v>
      </c>
      <c r="Q14" s="81">
        <f>SAF_Cand_Refinery[[#This Row],[Max Amount]]*0.5</f>
        <v>1015699.2485806404</v>
      </c>
      <c r="R14" s="81">
        <f>SAF_Cand_Refinery[[#This Row],[Max Amount]]*0.1</f>
        <v>203139.84971612808</v>
      </c>
      <c r="S14" s="81">
        <v>108566609.03999999</v>
      </c>
    </row>
    <row r="15" spans="1:76" hidden="1" x14ac:dyDescent="0.3">
      <c r="A15" t="s">
        <v>275</v>
      </c>
      <c r="B15" t="s">
        <v>276</v>
      </c>
      <c r="C15" t="s">
        <v>5</v>
      </c>
      <c r="D15" s="80" t="s">
        <v>309</v>
      </c>
      <c r="E15" t="s">
        <v>318</v>
      </c>
      <c r="F15" s="82">
        <f t="shared" si="0"/>
        <v>0</v>
      </c>
      <c r="G15">
        <v>1</v>
      </c>
      <c r="H15" t="s">
        <v>14</v>
      </c>
      <c r="I15" t="s">
        <v>322</v>
      </c>
      <c r="J15">
        <v>15.60532807536244</v>
      </c>
      <c r="K15" t="s">
        <v>3079</v>
      </c>
      <c r="L15" t="s">
        <v>19</v>
      </c>
      <c r="M15" t="s">
        <v>3082</v>
      </c>
      <c r="N15" t="s">
        <v>323</v>
      </c>
      <c r="O15" s="81">
        <v>677132.83238709357</v>
      </c>
      <c r="P15" t="s">
        <v>14</v>
      </c>
      <c r="Q15" s="81">
        <f>SAF_Cand_Refinery[[#This Row],[Max Amount]]*0.5</f>
        <v>338566.41619354679</v>
      </c>
      <c r="R15" s="81">
        <f>SAF_Cand_Refinery[[#This Row],[Max Amount]]*0.1</f>
        <v>67713.283238709366</v>
      </c>
      <c r="S15" s="81">
        <v>91155661.800000012</v>
      </c>
    </row>
    <row r="16" spans="1:76" hidden="1" x14ac:dyDescent="0.3">
      <c r="A16" t="s">
        <v>275</v>
      </c>
      <c r="B16" t="s">
        <v>276</v>
      </c>
      <c r="C16" t="s">
        <v>5</v>
      </c>
      <c r="D16" s="80" t="s">
        <v>311</v>
      </c>
      <c r="E16" t="s">
        <v>3078</v>
      </c>
      <c r="F16" s="82">
        <f t="shared" si="0"/>
        <v>0</v>
      </c>
      <c r="G16">
        <v>1</v>
      </c>
      <c r="H16" t="s">
        <v>14</v>
      </c>
      <c r="I16" t="s">
        <v>322</v>
      </c>
      <c r="J16">
        <v>26.333991127174112</v>
      </c>
      <c r="K16" t="s">
        <v>3079</v>
      </c>
      <c r="L16" t="s">
        <v>19</v>
      </c>
      <c r="M16" t="s">
        <v>3086</v>
      </c>
      <c r="N16" t="s">
        <v>323</v>
      </c>
      <c r="O16" s="81">
        <v>1805687.5530322497</v>
      </c>
      <c r="P16" t="s">
        <v>14</v>
      </c>
      <c r="Q16" s="81">
        <f>SAF_Cand_Refinery[[#This Row],[Max Amount]]*0.5</f>
        <v>902843.77651612484</v>
      </c>
      <c r="R16" s="81">
        <f>SAF_Cand_Refinery[[#This Row],[Max Amount]]*0.1</f>
        <v>180568.75530322499</v>
      </c>
      <c r="S16" s="81">
        <v>77989532.280000001</v>
      </c>
    </row>
    <row r="17" spans="1:19" hidden="1" x14ac:dyDescent="0.3">
      <c r="A17" t="s">
        <v>275</v>
      </c>
      <c r="B17" t="s">
        <v>276</v>
      </c>
      <c r="C17" t="s">
        <v>5</v>
      </c>
      <c r="D17" s="80" t="s">
        <v>311</v>
      </c>
      <c r="E17" t="s">
        <v>318</v>
      </c>
      <c r="F17" s="82">
        <f t="shared" si="0"/>
        <v>0</v>
      </c>
      <c r="G17">
        <v>1</v>
      </c>
      <c r="H17" t="s">
        <v>14</v>
      </c>
      <c r="I17" t="s">
        <v>322</v>
      </c>
      <c r="J17">
        <v>23.407992113043658</v>
      </c>
      <c r="K17" t="s">
        <v>3079</v>
      </c>
      <c r="L17" t="s">
        <v>19</v>
      </c>
      <c r="M17" t="s">
        <v>3086</v>
      </c>
      <c r="N17" t="s">
        <v>323</v>
      </c>
      <c r="O17" s="81">
        <v>451421.88825806242</v>
      </c>
      <c r="P17" t="s">
        <v>14</v>
      </c>
      <c r="Q17" s="81">
        <f>SAF_Cand_Refinery[[#This Row],[Max Amount]]*0.5</f>
        <v>225710.94412903121</v>
      </c>
      <c r="R17" s="81">
        <f>SAF_Cand_Refinery[[#This Row],[Max Amount]]*0.1</f>
        <v>45142.188825806246</v>
      </c>
      <c r="S17" s="81">
        <v>44534613</v>
      </c>
    </row>
    <row r="18" spans="1:19" hidden="1" x14ac:dyDescent="0.3">
      <c r="A18" t="s">
        <v>275</v>
      </c>
      <c r="B18" t="s">
        <v>287</v>
      </c>
      <c r="C18" t="s">
        <v>5</v>
      </c>
      <c r="D18" s="80" t="s">
        <v>309</v>
      </c>
      <c r="E18" t="s">
        <v>3078</v>
      </c>
      <c r="F18" s="82">
        <f t="shared" si="0"/>
        <v>0</v>
      </c>
      <c r="G18">
        <v>1</v>
      </c>
      <c r="H18" t="s">
        <v>14</v>
      </c>
      <c r="I18" t="s">
        <v>322</v>
      </c>
      <c r="J18">
        <v>15.60532807536244</v>
      </c>
      <c r="K18" t="s">
        <v>3079</v>
      </c>
      <c r="L18" t="s">
        <v>19</v>
      </c>
      <c r="M18" t="s">
        <v>3082</v>
      </c>
      <c r="N18" t="s">
        <v>323</v>
      </c>
      <c r="O18" s="81">
        <v>2031398.4971612808</v>
      </c>
      <c r="P18" t="s">
        <v>14</v>
      </c>
      <c r="Q18" s="81">
        <f>SAF_Cand_Refinery[[#This Row],[Max Amount]]*0.5</f>
        <v>1015699.2485806404</v>
      </c>
      <c r="R18" s="81">
        <f>SAF_Cand_Refinery[[#This Row],[Max Amount]]*0.1</f>
        <v>203139.84971612808</v>
      </c>
      <c r="S18" s="81">
        <v>108566609.03999999</v>
      </c>
    </row>
    <row r="19" spans="1:19" hidden="1" x14ac:dyDescent="0.3">
      <c r="A19" t="s">
        <v>275</v>
      </c>
      <c r="B19" t="s">
        <v>287</v>
      </c>
      <c r="C19" t="s">
        <v>5</v>
      </c>
      <c r="D19" s="80" t="s">
        <v>309</v>
      </c>
      <c r="E19" t="s">
        <v>318</v>
      </c>
      <c r="F19" s="82">
        <f t="shared" si="0"/>
        <v>0</v>
      </c>
      <c r="G19">
        <v>1</v>
      </c>
      <c r="H19" t="s">
        <v>14</v>
      </c>
      <c r="I19" t="s">
        <v>322</v>
      </c>
      <c r="J19">
        <v>15.60532807536244</v>
      </c>
      <c r="K19" t="s">
        <v>3079</v>
      </c>
      <c r="L19" t="s">
        <v>19</v>
      </c>
      <c r="M19" t="s">
        <v>3082</v>
      </c>
      <c r="N19" t="s">
        <v>323</v>
      </c>
      <c r="O19" s="81">
        <v>677132.83238709357</v>
      </c>
      <c r="P19" t="s">
        <v>14</v>
      </c>
      <c r="Q19" s="81">
        <f>SAF_Cand_Refinery[[#This Row],[Max Amount]]*0.5</f>
        <v>338566.41619354679</v>
      </c>
      <c r="R19" s="81">
        <f>SAF_Cand_Refinery[[#This Row],[Max Amount]]*0.1</f>
        <v>67713.283238709366</v>
      </c>
      <c r="S19" s="81">
        <v>91155661.800000012</v>
      </c>
    </row>
    <row r="20" spans="1:19" hidden="1" x14ac:dyDescent="0.3">
      <c r="A20" t="s">
        <v>275</v>
      </c>
      <c r="B20" t="s">
        <v>287</v>
      </c>
      <c r="C20" t="s">
        <v>5</v>
      </c>
      <c r="D20" s="80" t="s">
        <v>311</v>
      </c>
      <c r="E20" t="s">
        <v>3078</v>
      </c>
      <c r="F20" s="82">
        <f t="shared" si="0"/>
        <v>0</v>
      </c>
      <c r="G20">
        <v>1</v>
      </c>
      <c r="H20" t="s">
        <v>14</v>
      </c>
      <c r="I20" t="s">
        <v>322</v>
      </c>
      <c r="J20">
        <v>26.333991127174112</v>
      </c>
      <c r="K20" t="s">
        <v>3079</v>
      </c>
      <c r="L20" t="s">
        <v>19</v>
      </c>
      <c r="M20" t="s">
        <v>3086</v>
      </c>
      <c r="N20" t="s">
        <v>323</v>
      </c>
      <c r="O20" s="81">
        <v>1805687.5530322497</v>
      </c>
      <c r="P20" t="s">
        <v>14</v>
      </c>
      <c r="Q20" s="81">
        <f>SAF_Cand_Refinery[[#This Row],[Max Amount]]*0.5</f>
        <v>902843.77651612484</v>
      </c>
      <c r="R20" s="81">
        <f>SAF_Cand_Refinery[[#This Row],[Max Amount]]*0.1</f>
        <v>180568.75530322499</v>
      </c>
      <c r="S20" s="81">
        <v>77989532.280000001</v>
      </c>
    </row>
    <row r="21" spans="1:19" hidden="1" x14ac:dyDescent="0.3">
      <c r="A21" t="s">
        <v>275</v>
      </c>
      <c r="B21" t="s">
        <v>287</v>
      </c>
      <c r="C21" t="s">
        <v>5</v>
      </c>
      <c r="D21" s="80" t="s">
        <v>311</v>
      </c>
      <c r="E21" t="s">
        <v>318</v>
      </c>
      <c r="F21" s="82">
        <f t="shared" si="0"/>
        <v>0</v>
      </c>
      <c r="G21">
        <v>1</v>
      </c>
      <c r="H21" t="s">
        <v>14</v>
      </c>
      <c r="I21" t="s">
        <v>322</v>
      </c>
      <c r="J21">
        <v>23.407992113043658</v>
      </c>
      <c r="K21" t="s">
        <v>3079</v>
      </c>
      <c r="L21" t="s">
        <v>19</v>
      </c>
      <c r="M21" t="s">
        <v>3086</v>
      </c>
      <c r="N21" t="s">
        <v>323</v>
      </c>
      <c r="O21" s="81">
        <v>451421.88825806242</v>
      </c>
      <c r="P21" t="s">
        <v>14</v>
      </c>
      <c r="Q21" s="81">
        <f>SAF_Cand_Refinery[[#This Row],[Max Amount]]*0.5</f>
        <v>225710.94412903121</v>
      </c>
      <c r="R21" s="81">
        <f>SAF_Cand_Refinery[[#This Row],[Max Amount]]*0.1</f>
        <v>45142.188825806246</v>
      </c>
      <c r="S21" s="81">
        <v>44534613</v>
      </c>
    </row>
    <row r="22" spans="1:19" hidden="1" x14ac:dyDescent="0.3">
      <c r="A22" t="s">
        <v>275</v>
      </c>
      <c r="B22" t="s">
        <v>278</v>
      </c>
      <c r="C22" t="s">
        <v>5</v>
      </c>
      <c r="D22" s="80" t="s">
        <v>309</v>
      </c>
      <c r="E22" t="s">
        <v>3078</v>
      </c>
      <c r="F22" s="82">
        <f t="shared" si="0"/>
        <v>0</v>
      </c>
      <c r="G22">
        <v>1</v>
      </c>
      <c r="H22" t="s">
        <v>14</v>
      </c>
      <c r="I22" t="s">
        <v>322</v>
      </c>
      <c r="J22">
        <v>15.60532807536244</v>
      </c>
      <c r="K22" t="s">
        <v>3079</v>
      </c>
      <c r="L22" t="s">
        <v>19</v>
      </c>
      <c r="M22" t="s">
        <v>3082</v>
      </c>
      <c r="N22" t="s">
        <v>323</v>
      </c>
      <c r="O22" s="81">
        <v>2031398.4971612808</v>
      </c>
      <c r="P22" t="s">
        <v>14</v>
      </c>
      <c r="Q22" s="81">
        <f>SAF_Cand_Refinery[[#This Row],[Max Amount]]*0.5</f>
        <v>1015699.2485806404</v>
      </c>
      <c r="R22" s="81">
        <f>SAF_Cand_Refinery[[#This Row],[Max Amount]]*0.1</f>
        <v>203139.84971612808</v>
      </c>
      <c r="S22" s="81">
        <v>108566609.03999999</v>
      </c>
    </row>
    <row r="23" spans="1:19" hidden="1" x14ac:dyDescent="0.3">
      <c r="A23" t="s">
        <v>275</v>
      </c>
      <c r="B23" t="s">
        <v>278</v>
      </c>
      <c r="C23" t="s">
        <v>5</v>
      </c>
      <c r="D23" s="80" t="s">
        <v>309</v>
      </c>
      <c r="E23" t="s">
        <v>318</v>
      </c>
      <c r="F23" s="82">
        <f t="shared" si="0"/>
        <v>0</v>
      </c>
      <c r="G23">
        <v>1</v>
      </c>
      <c r="H23" t="s">
        <v>14</v>
      </c>
      <c r="I23" t="s">
        <v>322</v>
      </c>
      <c r="J23">
        <v>15.60532807536244</v>
      </c>
      <c r="K23" t="s">
        <v>3079</v>
      </c>
      <c r="L23" t="s">
        <v>19</v>
      </c>
      <c r="M23" t="s">
        <v>3082</v>
      </c>
      <c r="N23" t="s">
        <v>323</v>
      </c>
      <c r="O23" s="81">
        <v>677132.83238709357</v>
      </c>
      <c r="P23" t="s">
        <v>14</v>
      </c>
      <c r="Q23" s="81">
        <f>SAF_Cand_Refinery[[#This Row],[Max Amount]]*0.5</f>
        <v>338566.41619354679</v>
      </c>
      <c r="R23" s="81">
        <f>SAF_Cand_Refinery[[#This Row],[Max Amount]]*0.1</f>
        <v>67713.283238709366</v>
      </c>
      <c r="S23" s="81">
        <v>91155661.800000012</v>
      </c>
    </row>
    <row r="24" spans="1:19" hidden="1" x14ac:dyDescent="0.3">
      <c r="A24" t="s">
        <v>275</v>
      </c>
      <c r="B24" t="s">
        <v>278</v>
      </c>
      <c r="C24" t="s">
        <v>5</v>
      </c>
      <c r="D24" s="80" t="s">
        <v>311</v>
      </c>
      <c r="E24" t="s">
        <v>3078</v>
      </c>
      <c r="F24" s="82">
        <f t="shared" si="0"/>
        <v>0</v>
      </c>
      <c r="G24">
        <v>1</v>
      </c>
      <c r="H24" t="s">
        <v>14</v>
      </c>
      <c r="I24" t="s">
        <v>322</v>
      </c>
      <c r="J24">
        <v>26.333991127174112</v>
      </c>
      <c r="K24" t="s">
        <v>3079</v>
      </c>
      <c r="L24" t="s">
        <v>19</v>
      </c>
      <c r="M24" t="s">
        <v>3086</v>
      </c>
      <c r="N24" t="s">
        <v>323</v>
      </c>
      <c r="O24" s="81">
        <v>1805687.5530322497</v>
      </c>
      <c r="P24" t="s">
        <v>14</v>
      </c>
      <c r="Q24" s="81">
        <f>SAF_Cand_Refinery[[#This Row],[Max Amount]]*0.5</f>
        <v>902843.77651612484</v>
      </c>
      <c r="R24" s="81">
        <f>SAF_Cand_Refinery[[#This Row],[Max Amount]]*0.1</f>
        <v>180568.75530322499</v>
      </c>
      <c r="S24" s="81">
        <v>77989532.280000001</v>
      </c>
    </row>
    <row r="25" spans="1:19" hidden="1" x14ac:dyDescent="0.3">
      <c r="A25" t="s">
        <v>275</v>
      </c>
      <c r="B25" t="s">
        <v>278</v>
      </c>
      <c r="C25" t="s">
        <v>5</v>
      </c>
      <c r="D25" s="80" t="s">
        <v>311</v>
      </c>
      <c r="E25" t="s">
        <v>318</v>
      </c>
      <c r="F25" s="82">
        <f t="shared" si="0"/>
        <v>0</v>
      </c>
      <c r="G25">
        <v>1</v>
      </c>
      <c r="H25" t="s">
        <v>14</v>
      </c>
      <c r="I25" t="s">
        <v>322</v>
      </c>
      <c r="J25">
        <v>23.407992113043658</v>
      </c>
      <c r="K25" t="s">
        <v>3079</v>
      </c>
      <c r="L25" t="s">
        <v>19</v>
      </c>
      <c r="M25" t="s">
        <v>3086</v>
      </c>
      <c r="N25" t="s">
        <v>323</v>
      </c>
      <c r="O25" s="81">
        <v>451421.88825806242</v>
      </c>
      <c r="P25" t="s">
        <v>14</v>
      </c>
      <c r="Q25" s="81">
        <f>SAF_Cand_Refinery[[#This Row],[Max Amount]]*0.5</f>
        <v>225710.94412903121</v>
      </c>
      <c r="R25" s="81">
        <f>SAF_Cand_Refinery[[#This Row],[Max Amount]]*0.1</f>
        <v>45142.188825806246</v>
      </c>
      <c r="S25" s="81">
        <v>44534613</v>
      </c>
    </row>
    <row r="26" spans="1:19" hidden="1" x14ac:dyDescent="0.3">
      <c r="A26" t="s">
        <v>275</v>
      </c>
      <c r="B26" t="s">
        <v>291</v>
      </c>
      <c r="C26" t="s">
        <v>5</v>
      </c>
      <c r="D26" s="80" t="s">
        <v>309</v>
      </c>
      <c r="E26" t="s">
        <v>3078</v>
      </c>
      <c r="F26" s="82">
        <f t="shared" si="0"/>
        <v>0</v>
      </c>
      <c r="G26">
        <v>1</v>
      </c>
      <c r="H26" t="s">
        <v>14</v>
      </c>
      <c r="I26" t="s">
        <v>322</v>
      </c>
      <c r="J26">
        <v>15.60532807536244</v>
      </c>
      <c r="K26" t="s">
        <v>3079</v>
      </c>
      <c r="L26" t="s">
        <v>19</v>
      </c>
      <c r="M26" t="s">
        <v>3082</v>
      </c>
      <c r="N26" t="s">
        <v>323</v>
      </c>
      <c r="O26" s="81">
        <v>2031398.4971612808</v>
      </c>
      <c r="P26" t="s">
        <v>14</v>
      </c>
      <c r="Q26" s="81">
        <f>SAF_Cand_Refinery[[#This Row],[Max Amount]]*0.5</f>
        <v>1015699.2485806404</v>
      </c>
      <c r="R26" s="81">
        <f>SAF_Cand_Refinery[[#This Row],[Max Amount]]*0.1</f>
        <v>203139.84971612808</v>
      </c>
      <c r="S26" s="81">
        <v>108566609.03999999</v>
      </c>
    </row>
    <row r="27" spans="1:19" hidden="1" x14ac:dyDescent="0.3">
      <c r="A27" t="s">
        <v>275</v>
      </c>
      <c r="B27" t="s">
        <v>291</v>
      </c>
      <c r="C27" t="s">
        <v>5</v>
      </c>
      <c r="D27" s="80" t="s">
        <v>309</v>
      </c>
      <c r="E27" t="s">
        <v>318</v>
      </c>
      <c r="F27" s="82">
        <f t="shared" si="0"/>
        <v>0</v>
      </c>
      <c r="G27">
        <v>1</v>
      </c>
      <c r="H27" t="s">
        <v>14</v>
      </c>
      <c r="I27" t="s">
        <v>322</v>
      </c>
      <c r="J27">
        <v>15.60532807536244</v>
      </c>
      <c r="K27" t="s">
        <v>3079</v>
      </c>
      <c r="L27" t="s">
        <v>19</v>
      </c>
      <c r="M27" t="s">
        <v>3082</v>
      </c>
      <c r="N27" t="s">
        <v>323</v>
      </c>
      <c r="O27" s="81">
        <v>677132.83238709357</v>
      </c>
      <c r="P27" t="s">
        <v>14</v>
      </c>
      <c r="Q27" s="81">
        <f>SAF_Cand_Refinery[[#This Row],[Max Amount]]*0.5</f>
        <v>338566.41619354679</v>
      </c>
      <c r="R27" s="81">
        <f>SAF_Cand_Refinery[[#This Row],[Max Amount]]*0.1</f>
        <v>67713.283238709366</v>
      </c>
      <c r="S27" s="81">
        <v>91155661.800000012</v>
      </c>
    </row>
    <row r="28" spans="1:19" hidden="1" x14ac:dyDescent="0.3">
      <c r="A28" t="s">
        <v>275</v>
      </c>
      <c r="B28" t="s">
        <v>291</v>
      </c>
      <c r="C28" t="s">
        <v>5</v>
      </c>
      <c r="D28" s="80" t="s">
        <v>311</v>
      </c>
      <c r="E28" t="s">
        <v>3078</v>
      </c>
      <c r="F28" s="82">
        <f t="shared" si="0"/>
        <v>0</v>
      </c>
      <c r="G28">
        <v>1</v>
      </c>
      <c r="H28" t="s">
        <v>14</v>
      </c>
      <c r="I28" t="s">
        <v>322</v>
      </c>
      <c r="J28">
        <v>26.333991127174112</v>
      </c>
      <c r="K28" t="s">
        <v>3079</v>
      </c>
      <c r="L28" t="s">
        <v>19</v>
      </c>
      <c r="M28" t="s">
        <v>3086</v>
      </c>
      <c r="N28" t="s">
        <v>323</v>
      </c>
      <c r="O28" s="81">
        <v>1805687.5530322497</v>
      </c>
      <c r="P28" t="s">
        <v>14</v>
      </c>
      <c r="Q28" s="81">
        <f>SAF_Cand_Refinery[[#This Row],[Max Amount]]*0.5</f>
        <v>902843.77651612484</v>
      </c>
      <c r="R28" s="81">
        <f>SAF_Cand_Refinery[[#This Row],[Max Amount]]*0.1</f>
        <v>180568.75530322499</v>
      </c>
      <c r="S28" s="81">
        <v>77989532.280000001</v>
      </c>
    </row>
    <row r="29" spans="1:19" hidden="1" x14ac:dyDescent="0.3">
      <c r="A29" t="s">
        <v>275</v>
      </c>
      <c r="B29" t="s">
        <v>291</v>
      </c>
      <c r="C29" t="s">
        <v>5</v>
      </c>
      <c r="D29" s="80" t="s">
        <v>311</v>
      </c>
      <c r="E29" t="s">
        <v>318</v>
      </c>
      <c r="F29" s="82">
        <f t="shared" si="0"/>
        <v>0</v>
      </c>
      <c r="G29">
        <v>1</v>
      </c>
      <c r="H29" t="s">
        <v>14</v>
      </c>
      <c r="I29" t="s">
        <v>322</v>
      </c>
      <c r="J29">
        <v>23.407992113043658</v>
      </c>
      <c r="K29" t="s">
        <v>3079</v>
      </c>
      <c r="L29" t="s">
        <v>19</v>
      </c>
      <c r="M29" t="s">
        <v>3086</v>
      </c>
      <c r="N29" t="s">
        <v>323</v>
      </c>
      <c r="O29" s="81">
        <v>451421.88825806242</v>
      </c>
      <c r="P29" t="s">
        <v>14</v>
      </c>
      <c r="Q29" s="81">
        <f>SAF_Cand_Refinery[[#This Row],[Max Amount]]*0.5</f>
        <v>225710.94412903121</v>
      </c>
      <c r="R29" s="81">
        <f>SAF_Cand_Refinery[[#This Row],[Max Amount]]*0.1</f>
        <v>45142.188825806246</v>
      </c>
      <c r="S29" s="81">
        <v>44534613</v>
      </c>
    </row>
    <row r="30" spans="1:19" hidden="1" x14ac:dyDescent="0.3">
      <c r="A30" t="s">
        <v>275</v>
      </c>
      <c r="B30" t="s">
        <v>286</v>
      </c>
      <c r="C30" t="s">
        <v>5</v>
      </c>
      <c r="D30" s="80" t="s">
        <v>309</v>
      </c>
      <c r="E30" t="s">
        <v>3078</v>
      </c>
      <c r="F30" s="82">
        <f t="shared" si="0"/>
        <v>0</v>
      </c>
      <c r="G30">
        <v>1</v>
      </c>
      <c r="H30" t="s">
        <v>14</v>
      </c>
      <c r="I30" t="s">
        <v>322</v>
      </c>
      <c r="J30">
        <v>15.60532807536244</v>
      </c>
      <c r="K30" t="s">
        <v>3079</v>
      </c>
      <c r="L30" t="s">
        <v>19</v>
      </c>
      <c r="M30" t="s">
        <v>3082</v>
      </c>
      <c r="N30" t="s">
        <v>323</v>
      </c>
      <c r="O30" s="81">
        <v>2031398.4971612808</v>
      </c>
      <c r="P30" t="s">
        <v>14</v>
      </c>
      <c r="Q30" s="81">
        <f>SAF_Cand_Refinery[[#This Row],[Max Amount]]*0.5</f>
        <v>1015699.2485806404</v>
      </c>
      <c r="R30" s="81">
        <f>SAF_Cand_Refinery[[#This Row],[Max Amount]]*0.1</f>
        <v>203139.84971612808</v>
      </c>
      <c r="S30" s="81">
        <v>108566609.03999999</v>
      </c>
    </row>
    <row r="31" spans="1:19" hidden="1" x14ac:dyDescent="0.3">
      <c r="A31" t="s">
        <v>275</v>
      </c>
      <c r="B31" t="s">
        <v>286</v>
      </c>
      <c r="C31" t="s">
        <v>5</v>
      </c>
      <c r="D31" s="80" t="s">
        <v>309</v>
      </c>
      <c r="E31" t="s">
        <v>318</v>
      </c>
      <c r="F31" s="82">
        <f t="shared" si="0"/>
        <v>0</v>
      </c>
      <c r="G31">
        <v>1</v>
      </c>
      <c r="H31" t="s">
        <v>14</v>
      </c>
      <c r="I31" t="s">
        <v>322</v>
      </c>
      <c r="J31">
        <v>15.60532807536244</v>
      </c>
      <c r="K31" t="s">
        <v>3079</v>
      </c>
      <c r="L31" t="s">
        <v>19</v>
      </c>
      <c r="M31" t="s">
        <v>3082</v>
      </c>
      <c r="N31" t="s">
        <v>323</v>
      </c>
      <c r="O31" s="81">
        <v>677132.83238709357</v>
      </c>
      <c r="P31" t="s">
        <v>14</v>
      </c>
      <c r="Q31" s="81">
        <f>SAF_Cand_Refinery[[#This Row],[Max Amount]]*0.5</f>
        <v>338566.41619354679</v>
      </c>
      <c r="R31" s="81">
        <f>SAF_Cand_Refinery[[#This Row],[Max Amount]]*0.1</f>
        <v>67713.283238709366</v>
      </c>
      <c r="S31" s="81">
        <v>91155661.800000012</v>
      </c>
    </row>
    <row r="32" spans="1:19" hidden="1" x14ac:dyDescent="0.3">
      <c r="A32" t="s">
        <v>275</v>
      </c>
      <c r="B32" t="s">
        <v>286</v>
      </c>
      <c r="C32" t="s">
        <v>5</v>
      </c>
      <c r="D32" s="80" t="s">
        <v>311</v>
      </c>
      <c r="E32" t="s">
        <v>3078</v>
      </c>
      <c r="F32" s="82">
        <f t="shared" si="0"/>
        <v>0</v>
      </c>
      <c r="G32">
        <v>1</v>
      </c>
      <c r="H32" t="s">
        <v>14</v>
      </c>
      <c r="I32" t="s">
        <v>322</v>
      </c>
      <c r="J32">
        <v>26.333991127174112</v>
      </c>
      <c r="K32" t="s">
        <v>3079</v>
      </c>
      <c r="L32" t="s">
        <v>19</v>
      </c>
      <c r="M32" t="s">
        <v>3086</v>
      </c>
      <c r="N32" t="s">
        <v>323</v>
      </c>
      <c r="O32" s="81">
        <v>1805687.5530322497</v>
      </c>
      <c r="P32" t="s">
        <v>14</v>
      </c>
      <c r="Q32" s="81">
        <f>SAF_Cand_Refinery[[#This Row],[Max Amount]]*0.5</f>
        <v>902843.77651612484</v>
      </c>
      <c r="R32" s="81">
        <f>SAF_Cand_Refinery[[#This Row],[Max Amount]]*0.1</f>
        <v>180568.75530322499</v>
      </c>
      <c r="S32" s="81">
        <v>77989532.280000001</v>
      </c>
    </row>
    <row r="33" spans="1:19" hidden="1" x14ac:dyDescent="0.3">
      <c r="A33" t="s">
        <v>275</v>
      </c>
      <c r="B33" t="s">
        <v>286</v>
      </c>
      <c r="C33" t="s">
        <v>5</v>
      </c>
      <c r="D33" s="80" t="s">
        <v>311</v>
      </c>
      <c r="E33" t="s">
        <v>318</v>
      </c>
      <c r="F33" s="82">
        <f t="shared" si="0"/>
        <v>0</v>
      </c>
      <c r="G33">
        <v>1</v>
      </c>
      <c r="H33" t="s">
        <v>14</v>
      </c>
      <c r="I33" t="s">
        <v>322</v>
      </c>
      <c r="J33">
        <v>23.407992113043658</v>
      </c>
      <c r="K33" t="s">
        <v>3079</v>
      </c>
      <c r="L33" t="s">
        <v>19</v>
      </c>
      <c r="M33" t="s">
        <v>3086</v>
      </c>
      <c r="N33" t="s">
        <v>323</v>
      </c>
      <c r="O33" s="81">
        <v>451421.88825806242</v>
      </c>
      <c r="P33" t="s">
        <v>14</v>
      </c>
      <c r="Q33" s="81">
        <f>SAF_Cand_Refinery[[#This Row],[Max Amount]]*0.5</f>
        <v>225710.94412903121</v>
      </c>
      <c r="R33" s="81">
        <f>SAF_Cand_Refinery[[#This Row],[Max Amount]]*0.1</f>
        <v>45142.188825806246</v>
      </c>
      <c r="S33" s="81">
        <v>44534613</v>
      </c>
    </row>
    <row r="34" spans="1:19" hidden="1" x14ac:dyDescent="0.3">
      <c r="A34" t="s">
        <v>275</v>
      </c>
      <c r="B34" t="s">
        <v>290</v>
      </c>
      <c r="C34" t="s">
        <v>5</v>
      </c>
      <c r="D34" s="80" t="s">
        <v>309</v>
      </c>
      <c r="E34" t="s">
        <v>3078</v>
      </c>
      <c r="F34" s="82">
        <f t="shared" ref="F34:F65" si="1">SIGN(SUBTOTAL(3,A34))</f>
        <v>0</v>
      </c>
      <c r="G34">
        <v>1</v>
      </c>
      <c r="H34" t="s">
        <v>14</v>
      </c>
      <c r="I34" t="s">
        <v>322</v>
      </c>
      <c r="J34">
        <v>15.60532807536244</v>
      </c>
      <c r="K34" t="s">
        <v>3079</v>
      </c>
      <c r="L34" t="s">
        <v>19</v>
      </c>
      <c r="M34" t="s">
        <v>3082</v>
      </c>
      <c r="N34" t="s">
        <v>323</v>
      </c>
      <c r="O34" s="81">
        <v>2031398.4971612808</v>
      </c>
      <c r="P34" t="s">
        <v>14</v>
      </c>
      <c r="Q34" s="81">
        <f>SAF_Cand_Refinery[[#This Row],[Max Amount]]*0.5</f>
        <v>1015699.2485806404</v>
      </c>
      <c r="R34" s="81">
        <f>SAF_Cand_Refinery[[#This Row],[Max Amount]]*0.1</f>
        <v>203139.84971612808</v>
      </c>
      <c r="S34" s="81">
        <v>108566609.03999999</v>
      </c>
    </row>
    <row r="35" spans="1:19" hidden="1" x14ac:dyDescent="0.3">
      <c r="A35" t="s">
        <v>275</v>
      </c>
      <c r="B35" t="s">
        <v>290</v>
      </c>
      <c r="C35" t="s">
        <v>5</v>
      </c>
      <c r="D35" s="80" t="s">
        <v>309</v>
      </c>
      <c r="E35" t="s">
        <v>318</v>
      </c>
      <c r="F35" s="82">
        <f t="shared" si="1"/>
        <v>0</v>
      </c>
      <c r="G35">
        <v>1</v>
      </c>
      <c r="H35" t="s">
        <v>14</v>
      </c>
      <c r="I35" t="s">
        <v>322</v>
      </c>
      <c r="J35">
        <v>15.60532807536244</v>
      </c>
      <c r="K35" t="s">
        <v>3079</v>
      </c>
      <c r="L35" t="s">
        <v>19</v>
      </c>
      <c r="M35" t="s">
        <v>3082</v>
      </c>
      <c r="N35" t="s">
        <v>323</v>
      </c>
      <c r="O35" s="81">
        <v>677132.83238709357</v>
      </c>
      <c r="P35" t="s">
        <v>14</v>
      </c>
      <c r="Q35" s="81">
        <f>SAF_Cand_Refinery[[#This Row],[Max Amount]]*0.5</f>
        <v>338566.41619354679</v>
      </c>
      <c r="R35" s="81">
        <f>SAF_Cand_Refinery[[#This Row],[Max Amount]]*0.1</f>
        <v>67713.283238709366</v>
      </c>
      <c r="S35" s="81">
        <v>91155661.800000012</v>
      </c>
    </row>
    <row r="36" spans="1:19" hidden="1" x14ac:dyDescent="0.3">
      <c r="A36" t="s">
        <v>275</v>
      </c>
      <c r="B36" t="s">
        <v>290</v>
      </c>
      <c r="C36" t="s">
        <v>5</v>
      </c>
      <c r="D36" s="80" t="s">
        <v>311</v>
      </c>
      <c r="E36" t="s">
        <v>3078</v>
      </c>
      <c r="F36" s="82">
        <f t="shared" si="1"/>
        <v>0</v>
      </c>
      <c r="G36">
        <v>1</v>
      </c>
      <c r="H36" t="s">
        <v>14</v>
      </c>
      <c r="I36" t="s">
        <v>322</v>
      </c>
      <c r="J36">
        <v>26.333991127174112</v>
      </c>
      <c r="K36" t="s">
        <v>3079</v>
      </c>
      <c r="L36" t="s">
        <v>19</v>
      </c>
      <c r="M36" t="s">
        <v>3086</v>
      </c>
      <c r="N36" t="s">
        <v>323</v>
      </c>
      <c r="O36" s="81">
        <v>1805687.5530322497</v>
      </c>
      <c r="P36" t="s">
        <v>14</v>
      </c>
      <c r="Q36" s="81">
        <f>SAF_Cand_Refinery[[#This Row],[Max Amount]]*0.5</f>
        <v>902843.77651612484</v>
      </c>
      <c r="R36" s="81">
        <f>SAF_Cand_Refinery[[#This Row],[Max Amount]]*0.1</f>
        <v>180568.75530322499</v>
      </c>
      <c r="S36" s="81">
        <v>77989532.280000001</v>
      </c>
    </row>
    <row r="37" spans="1:19" hidden="1" x14ac:dyDescent="0.3">
      <c r="A37" t="s">
        <v>275</v>
      </c>
      <c r="B37" t="s">
        <v>290</v>
      </c>
      <c r="C37" t="s">
        <v>5</v>
      </c>
      <c r="D37" s="80" t="s">
        <v>311</v>
      </c>
      <c r="E37" t="s">
        <v>318</v>
      </c>
      <c r="F37" s="82">
        <f t="shared" si="1"/>
        <v>0</v>
      </c>
      <c r="G37">
        <v>1</v>
      </c>
      <c r="H37" t="s">
        <v>14</v>
      </c>
      <c r="I37" t="s">
        <v>322</v>
      </c>
      <c r="J37">
        <v>23.407992113043658</v>
      </c>
      <c r="K37" t="s">
        <v>3079</v>
      </c>
      <c r="L37" t="s">
        <v>19</v>
      </c>
      <c r="M37" t="s">
        <v>3086</v>
      </c>
      <c r="N37" t="s">
        <v>323</v>
      </c>
      <c r="O37" s="81">
        <v>451421.88825806242</v>
      </c>
      <c r="P37" t="s">
        <v>14</v>
      </c>
      <c r="Q37" s="81">
        <f>SAF_Cand_Refinery[[#This Row],[Max Amount]]*0.5</f>
        <v>225710.94412903121</v>
      </c>
      <c r="R37" s="81">
        <f>SAF_Cand_Refinery[[#This Row],[Max Amount]]*0.1</f>
        <v>45142.188825806246</v>
      </c>
      <c r="S37" s="81">
        <v>44534613</v>
      </c>
    </row>
    <row r="38" spans="1:19" hidden="1" x14ac:dyDescent="0.3">
      <c r="A38" t="s">
        <v>275</v>
      </c>
      <c r="B38" t="s">
        <v>285</v>
      </c>
      <c r="C38" t="s">
        <v>5</v>
      </c>
      <c r="D38" s="80" t="s">
        <v>309</v>
      </c>
      <c r="E38" t="s">
        <v>3078</v>
      </c>
      <c r="F38" s="82">
        <f t="shared" si="1"/>
        <v>0</v>
      </c>
      <c r="G38">
        <v>1</v>
      </c>
      <c r="H38" t="s">
        <v>14</v>
      </c>
      <c r="I38" t="s">
        <v>322</v>
      </c>
      <c r="J38">
        <v>15.60532807536244</v>
      </c>
      <c r="K38" t="s">
        <v>3079</v>
      </c>
      <c r="L38" t="s">
        <v>19</v>
      </c>
      <c r="M38" t="s">
        <v>3082</v>
      </c>
      <c r="N38" t="s">
        <v>323</v>
      </c>
      <c r="O38" s="81">
        <v>2031398.4971612808</v>
      </c>
      <c r="P38" t="s">
        <v>14</v>
      </c>
      <c r="Q38" s="81">
        <f>SAF_Cand_Refinery[[#This Row],[Max Amount]]*0.5</f>
        <v>1015699.2485806404</v>
      </c>
      <c r="R38" s="81">
        <f>SAF_Cand_Refinery[[#This Row],[Max Amount]]*0.1</f>
        <v>203139.84971612808</v>
      </c>
      <c r="S38" s="81">
        <v>108566609.03999999</v>
      </c>
    </row>
    <row r="39" spans="1:19" hidden="1" x14ac:dyDescent="0.3">
      <c r="A39" t="s">
        <v>275</v>
      </c>
      <c r="B39" t="s">
        <v>285</v>
      </c>
      <c r="C39" t="s">
        <v>5</v>
      </c>
      <c r="D39" s="80" t="s">
        <v>309</v>
      </c>
      <c r="E39" t="s">
        <v>318</v>
      </c>
      <c r="F39" s="82">
        <f t="shared" si="1"/>
        <v>0</v>
      </c>
      <c r="G39">
        <v>1</v>
      </c>
      <c r="H39" t="s">
        <v>14</v>
      </c>
      <c r="I39" t="s">
        <v>322</v>
      </c>
      <c r="J39">
        <v>15.60532807536244</v>
      </c>
      <c r="K39" t="s">
        <v>3079</v>
      </c>
      <c r="L39" t="s">
        <v>19</v>
      </c>
      <c r="M39" t="s">
        <v>3082</v>
      </c>
      <c r="N39" t="s">
        <v>323</v>
      </c>
      <c r="O39" s="81">
        <v>677132.83238709357</v>
      </c>
      <c r="P39" t="s">
        <v>14</v>
      </c>
      <c r="Q39" s="81">
        <f>SAF_Cand_Refinery[[#This Row],[Max Amount]]*0.5</f>
        <v>338566.41619354679</v>
      </c>
      <c r="R39" s="81">
        <f>SAF_Cand_Refinery[[#This Row],[Max Amount]]*0.1</f>
        <v>67713.283238709366</v>
      </c>
      <c r="S39" s="81">
        <v>91155661.800000012</v>
      </c>
    </row>
    <row r="40" spans="1:19" hidden="1" x14ac:dyDescent="0.3">
      <c r="A40" t="s">
        <v>275</v>
      </c>
      <c r="B40" t="s">
        <v>285</v>
      </c>
      <c r="C40" t="s">
        <v>5</v>
      </c>
      <c r="D40" s="80" t="s">
        <v>311</v>
      </c>
      <c r="E40" t="s">
        <v>3078</v>
      </c>
      <c r="F40" s="82">
        <f t="shared" si="1"/>
        <v>0</v>
      </c>
      <c r="G40">
        <v>1</v>
      </c>
      <c r="H40" t="s">
        <v>14</v>
      </c>
      <c r="I40" t="s">
        <v>322</v>
      </c>
      <c r="J40">
        <v>26.333991127174112</v>
      </c>
      <c r="K40" t="s">
        <v>3079</v>
      </c>
      <c r="L40" t="s">
        <v>19</v>
      </c>
      <c r="M40" t="s">
        <v>3086</v>
      </c>
      <c r="N40" t="s">
        <v>323</v>
      </c>
      <c r="O40" s="81">
        <v>1805687.5530322497</v>
      </c>
      <c r="P40" t="s">
        <v>14</v>
      </c>
      <c r="Q40" s="81">
        <f>SAF_Cand_Refinery[[#This Row],[Max Amount]]*0.5</f>
        <v>902843.77651612484</v>
      </c>
      <c r="R40" s="81">
        <f>SAF_Cand_Refinery[[#This Row],[Max Amount]]*0.1</f>
        <v>180568.75530322499</v>
      </c>
      <c r="S40" s="81">
        <v>77989532.280000001</v>
      </c>
    </row>
    <row r="41" spans="1:19" hidden="1" x14ac:dyDescent="0.3">
      <c r="A41" t="s">
        <v>275</v>
      </c>
      <c r="B41" t="s">
        <v>285</v>
      </c>
      <c r="C41" t="s">
        <v>5</v>
      </c>
      <c r="D41" s="80" t="s">
        <v>311</v>
      </c>
      <c r="E41" t="s">
        <v>318</v>
      </c>
      <c r="F41" s="82">
        <f t="shared" si="1"/>
        <v>0</v>
      </c>
      <c r="G41">
        <v>1</v>
      </c>
      <c r="H41" t="s">
        <v>14</v>
      </c>
      <c r="I41" t="s">
        <v>322</v>
      </c>
      <c r="J41">
        <v>23.407992113043658</v>
      </c>
      <c r="K41" t="s">
        <v>3079</v>
      </c>
      <c r="L41" t="s">
        <v>19</v>
      </c>
      <c r="M41" t="s">
        <v>3086</v>
      </c>
      <c r="N41" t="s">
        <v>323</v>
      </c>
      <c r="O41" s="81">
        <v>451421.88825806242</v>
      </c>
      <c r="P41" t="s">
        <v>14</v>
      </c>
      <c r="Q41" s="81">
        <f>SAF_Cand_Refinery[[#This Row],[Max Amount]]*0.5</f>
        <v>225710.94412903121</v>
      </c>
      <c r="R41" s="81">
        <f>SAF_Cand_Refinery[[#This Row],[Max Amount]]*0.1</f>
        <v>45142.188825806246</v>
      </c>
      <c r="S41" s="81">
        <v>44534613</v>
      </c>
    </row>
    <row r="42" spans="1:19" hidden="1" x14ac:dyDescent="0.3">
      <c r="A42" t="s">
        <v>275</v>
      </c>
      <c r="B42" t="s">
        <v>280</v>
      </c>
      <c r="C42" t="s">
        <v>5</v>
      </c>
      <c r="D42" s="80" t="s">
        <v>309</v>
      </c>
      <c r="E42" t="s">
        <v>3078</v>
      </c>
      <c r="F42" s="82">
        <f t="shared" si="1"/>
        <v>0</v>
      </c>
      <c r="G42">
        <v>1</v>
      </c>
      <c r="H42" t="s">
        <v>14</v>
      </c>
      <c r="I42" t="s">
        <v>322</v>
      </c>
      <c r="J42">
        <v>15.60532807536244</v>
      </c>
      <c r="K42" t="s">
        <v>3079</v>
      </c>
      <c r="L42" t="s">
        <v>19</v>
      </c>
      <c r="M42" t="s">
        <v>3082</v>
      </c>
      <c r="N42" t="s">
        <v>323</v>
      </c>
      <c r="O42" s="81">
        <v>2031398.4971612808</v>
      </c>
      <c r="P42" t="s">
        <v>14</v>
      </c>
      <c r="Q42" s="81">
        <f>SAF_Cand_Refinery[[#This Row],[Max Amount]]*0.5</f>
        <v>1015699.2485806404</v>
      </c>
      <c r="R42" s="81">
        <f>SAF_Cand_Refinery[[#This Row],[Max Amount]]*0.1</f>
        <v>203139.84971612808</v>
      </c>
      <c r="S42" s="81">
        <v>108566609.03999999</v>
      </c>
    </row>
    <row r="43" spans="1:19" hidden="1" x14ac:dyDescent="0.3">
      <c r="A43" t="s">
        <v>275</v>
      </c>
      <c r="B43" t="s">
        <v>280</v>
      </c>
      <c r="C43" t="s">
        <v>5</v>
      </c>
      <c r="D43" s="80" t="s">
        <v>309</v>
      </c>
      <c r="E43" t="s">
        <v>318</v>
      </c>
      <c r="F43" s="82">
        <f t="shared" si="1"/>
        <v>0</v>
      </c>
      <c r="G43">
        <v>1</v>
      </c>
      <c r="H43" t="s">
        <v>14</v>
      </c>
      <c r="I43" t="s">
        <v>322</v>
      </c>
      <c r="J43">
        <v>15.60532807536244</v>
      </c>
      <c r="K43" t="s">
        <v>3079</v>
      </c>
      <c r="L43" t="s">
        <v>19</v>
      </c>
      <c r="M43" t="s">
        <v>3082</v>
      </c>
      <c r="N43" t="s">
        <v>323</v>
      </c>
      <c r="O43" s="81">
        <v>677132.83238709357</v>
      </c>
      <c r="P43" t="s">
        <v>14</v>
      </c>
      <c r="Q43" s="81">
        <f>SAF_Cand_Refinery[[#This Row],[Max Amount]]*0.5</f>
        <v>338566.41619354679</v>
      </c>
      <c r="R43" s="81">
        <f>SAF_Cand_Refinery[[#This Row],[Max Amount]]*0.1</f>
        <v>67713.283238709366</v>
      </c>
      <c r="S43" s="81">
        <v>91155661.800000012</v>
      </c>
    </row>
    <row r="44" spans="1:19" hidden="1" x14ac:dyDescent="0.3">
      <c r="A44" t="s">
        <v>275</v>
      </c>
      <c r="B44" t="s">
        <v>280</v>
      </c>
      <c r="C44" t="s">
        <v>5</v>
      </c>
      <c r="D44" s="80" t="s">
        <v>311</v>
      </c>
      <c r="E44" t="s">
        <v>3078</v>
      </c>
      <c r="F44" s="82">
        <f t="shared" si="1"/>
        <v>0</v>
      </c>
      <c r="G44">
        <v>1</v>
      </c>
      <c r="H44" t="s">
        <v>14</v>
      </c>
      <c r="I44" t="s">
        <v>322</v>
      </c>
      <c r="J44">
        <v>26.333991127174112</v>
      </c>
      <c r="K44" t="s">
        <v>3079</v>
      </c>
      <c r="L44" t="s">
        <v>19</v>
      </c>
      <c r="M44" t="s">
        <v>3086</v>
      </c>
      <c r="N44" t="s">
        <v>323</v>
      </c>
      <c r="O44" s="81">
        <v>1805687.5530322497</v>
      </c>
      <c r="P44" t="s">
        <v>14</v>
      </c>
      <c r="Q44" s="81">
        <f>SAF_Cand_Refinery[[#This Row],[Max Amount]]*0.5</f>
        <v>902843.77651612484</v>
      </c>
      <c r="R44" s="81">
        <f>SAF_Cand_Refinery[[#This Row],[Max Amount]]*0.1</f>
        <v>180568.75530322499</v>
      </c>
      <c r="S44" s="81">
        <v>77989532.280000001</v>
      </c>
    </row>
    <row r="45" spans="1:19" hidden="1" x14ac:dyDescent="0.3">
      <c r="A45" t="s">
        <v>275</v>
      </c>
      <c r="B45" t="s">
        <v>280</v>
      </c>
      <c r="C45" t="s">
        <v>5</v>
      </c>
      <c r="D45" s="80" t="s">
        <v>311</v>
      </c>
      <c r="E45" t="s">
        <v>318</v>
      </c>
      <c r="F45" s="82">
        <f t="shared" si="1"/>
        <v>0</v>
      </c>
      <c r="G45">
        <v>1</v>
      </c>
      <c r="H45" t="s">
        <v>14</v>
      </c>
      <c r="I45" t="s">
        <v>322</v>
      </c>
      <c r="J45">
        <v>23.407992113043658</v>
      </c>
      <c r="K45" t="s">
        <v>3079</v>
      </c>
      <c r="L45" t="s">
        <v>19</v>
      </c>
      <c r="M45" t="s">
        <v>3086</v>
      </c>
      <c r="N45" t="s">
        <v>323</v>
      </c>
      <c r="O45" s="81">
        <v>451421.88825806242</v>
      </c>
      <c r="P45" t="s">
        <v>14</v>
      </c>
      <c r="Q45" s="81">
        <f>SAF_Cand_Refinery[[#This Row],[Max Amount]]*0.5</f>
        <v>225710.94412903121</v>
      </c>
      <c r="R45" s="81">
        <f>SAF_Cand_Refinery[[#This Row],[Max Amount]]*0.1</f>
        <v>45142.188825806246</v>
      </c>
      <c r="S45" s="81">
        <v>44534613</v>
      </c>
    </row>
    <row r="46" spans="1:19" hidden="1" x14ac:dyDescent="0.3">
      <c r="A46" t="s">
        <v>275</v>
      </c>
      <c r="B46" t="s">
        <v>279</v>
      </c>
      <c r="C46" t="s">
        <v>5</v>
      </c>
      <c r="D46" s="80" t="s">
        <v>309</v>
      </c>
      <c r="E46" t="s">
        <v>3078</v>
      </c>
      <c r="F46" s="82">
        <f t="shared" si="1"/>
        <v>0</v>
      </c>
      <c r="G46">
        <v>1</v>
      </c>
      <c r="H46" t="s">
        <v>14</v>
      </c>
      <c r="I46" t="s">
        <v>322</v>
      </c>
      <c r="J46">
        <v>15.60532807536244</v>
      </c>
      <c r="K46" t="s">
        <v>3079</v>
      </c>
      <c r="L46" t="s">
        <v>19</v>
      </c>
      <c r="M46" t="s">
        <v>3082</v>
      </c>
      <c r="N46" t="s">
        <v>323</v>
      </c>
      <c r="O46" s="81">
        <v>2031398.4971612808</v>
      </c>
      <c r="P46" t="s">
        <v>14</v>
      </c>
      <c r="Q46" s="81">
        <f>SAF_Cand_Refinery[[#This Row],[Max Amount]]*0.5</f>
        <v>1015699.2485806404</v>
      </c>
      <c r="R46" s="81">
        <f>SAF_Cand_Refinery[[#This Row],[Max Amount]]*0.1</f>
        <v>203139.84971612808</v>
      </c>
      <c r="S46" s="81">
        <v>108566609.03999999</v>
      </c>
    </row>
    <row r="47" spans="1:19" hidden="1" x14ac:dyDescent="0.3">
      <c r="A47" t="s">
        <v>275</v>
      </c>
      <c r="B47" t="s">
        <v>279</v>
      </c>
      <c r="C47" t="s">
        <v>5</v>
      </c>
      <c r="D47" s="80" t="s">
        <v>309</v>
      </c>
      <c r="E47" t="s">
        <v>318</v>
      </c>
      <c r="F47" s="82">
        <f t="shared" si="1"/>
        <v>0</v>
      </c>
      <c r="G47">
        <v>1</v>
      </c>
      <c r="H47" t="s">
        <v>14</v>
      </c>
      <c r="I47" t="s">
        <v>322</v>
      </c>
      <c r="J47">
        <v>15.60532807536244</v>
      </c>
      <c r="K47" t="s">
        <v>3079</v>
      </c>
      <c r="L47" t="s">
        <v>19</v>
      </c>
      <c r="M47" t="s">
        <v>3082</v>
      </c>
      <c r="N47" t="s">
        <v>323</v>
      </c>
      <c r="O47" s="81">
        <v>677132.83238709357</v>
      </c>
      <c r="P47" t="s">
        <v>14</v>
      </c>
      <c r="Q47" s="81">
        <f>SAF_Cand_Refinery[[#This Row],[Max Amount]]*0.5</f>
        <v>338566.41619354679</v>
      </c>
      <c r="R47" s="81">
        <f>SAF_Cand_Refinery[[#This Row],[Max Amount]]*0.1</f>
        <v>67713.283238709366</v>
      </c>
      <c r="S47" s="81">
        <v>91155661.800000012</v>
      </c>
    </row>
    <row r="48" spans="1:19" hidden="1" x14ac:dyDescent="0.3">
      <c r="A48" t="s">
        <v>275</v>
      </c>
      <c r="B48" t="s">
        <v>279</v>
      </c>
      <c r="C48" t="s">
        <v>5</v>
      </c>
      <c r="D48" s="80" t="s">
        <v>311</v>
      </c>
      <c r="E48" t="s">
        <v>3078</v>
      </c>
      <c r="F48" s="82">
        <f t="shared" si="1"/>
        <v>0</v>
      </c>
      <c r="G48">
        <v>1</v>
      </c>
      <c r="H48" t="s">
        <v>14</v>
      </c>
      <c r="I48" t="s">
        <v>322</v>
      </c>
      <c r="J48">
        <v>26.333991127174112</v>
      </c>
      <c r="K48" t="s">
        <v>3079</v>
      </c>
      <c r="L48" t="s">
        <v>19</v>
      </c>
      <c r="M48" t="s">
        <v>3086</v>
      </c>
      <c r="N48" t="s">
        <v>323</v>
      </c>
      <c r="O48" s="81">
        <v>1805687.5530322497</v>
      </c>
      <c r="P48" t="s">
        <v>14</v>
      </c>
      <c r="Q48" s="81">
        <f>SAF_Cand_Refinery[[#This Row],[Max Amount]]*0.5</f>
        <v>902843.77651612484</v>
      </c>
      <c r="R48" s="81">
        <f>SAF_Cand_Refinery[[#This Row],[Max Amount]]*0.1</f>
        <v>180568.75530322499</v>
      </c>
      <c r="S48" s="81">
        <v>77989532.280000001</v>
      </c>
    </row>
    <row r="49" spans="1:19" hidden="1" x14ac:dyDescent="0.3">
      <c r="A49" t="s">
        <v>275</v>
      </c>
      <c r="B49" t="s">
        <v>279</v>
      </c>
      <c r="C49" t="s">
        <v>5</v>
      </c>
      <c r="D49" s="80" t="s">
        <v>311</v>
      </c>
      <c r="E49" t="s">
        <v>318</v>
      </c>
      <c r="F49" s="82">
        <f t="shared" si="1"/>
        <v>0</v>
      </c>
      <c r="G49">
        <v>1</v>
      </c>
      <c r="H49" t="s">
        <v>14</v>
      </c>
      <c r="I49" t="s">
        <v>322</v>
      </c>
      <c r="J49">
        <v>23.407992113043658</v>
      </c>
      <c r="K49" t="s">
        <v>3079</v>
      </c>
      <c r="L49" t="s">
        <v>19</v>
      </c>
      <c r="M49" t="s">
        <v>3086</v>
      </c>
      <c r="N49" t="s">
        <v>323</v>
      </c>
      <c r="O49" s="81">
        <v>451421.88825806242</v>
      </c>
      <c r="P49" t="s">
        <v>14</v>
      </c>
      <c r="Q49" s="81">
        <f>SAF_Cand_Refinery[[#This Row],[Max Amount]]*0.5</f>
        <v>225710.94412903121</v>
      </c>
      <c r="R49" s="81">
        <f>SAF_Cand_Refinery[[#This Row],[Max Amount]]*0.1</f>
        <v>45142.188825806246</v>
      </c>
      <c r="S49" s="81">
        <v>44534613</v>
      </c>
    </row>
    <row r="50" spans="1:19" hidden="1" x14ac:dyDescent="0.3">
      <c r="A50" t="s">
        <v>273</v>
      </c>
      <c r="B50" t="s">
        <v>274</v>
      </c>
      <c r="C50" t="s">
        <v>5</v>
      </c>
      <c r="D50" s="80" t="s">
        <v>309</v>
      </c>
      <c r="E50" t="s">
        <v>3078</v>
      </c>
      <c r="F50" s="82">
        <f t="shared" si="1"/>
        <v>0</v>
      </c>
      <c r="G50">
        <v>1</v>
      </c>
      <c r="H50" t="s">
        <v>14</v>
      </c>
      <c r="I50" t="s">
        <v>322</v>
      </c>
      <c r="J50">
        <v>20.063993239751706</v>
      </c>
      <c r="K50" t="s">
        <v>3079</v>
      </c>
      <c r="L50" t="s">
        <v>19</v>
      </c>
      <c r="M50" t="s">
        <v>3081</v>
      </c>
      <c r="N50" t="s">
        <v>323</v>
      </c>
      <c r="O50" s="81">
        <v>2106635.4785376247</v>
      </c>
      <c r="P50" t="s">
        <v>14</v>
      </c>
      <c r="Q50" s="81">
        <f>SAF_Cand_Refinery[[#This Row],[Max Amount]]*0.5</f>
        <v>1053317.7392688124</v>
      </c>
      <c r="R50" s="81">
        <f>SAF_Cand_Refinery[[#This Row],[Max Amount]]*0.1</f>
        <v>210663.54785376249</v>
      </c>
      <c r="S50" s="81">
        <v>116408730</v>
      </c>
    </row>
    <row r="51" spans="1:19" hidden="1" x14ac:dyDescent="0.3">
      <c r="A51" t="s">
        <v>273</v>
      </c>
      <c r="B51" t="s">
        <v>274</v>
      </c>
      <c r="C51" t="s">
        <v>5</v>
      </c>
      <c r="D51" s="80" t="s">
        <v>309</v>
      </c>
      <c r="E51" t="s">
        <v>318</v>
      </c>
      <c r="F51" s="82">
        <f t="shared" si="1"/>
        <v>0</v>
      </c>
      <c r="G51">
        <v>1</v>
      </c>
      <c r="H51" t="s">
        <v>14</v>
      </c>
      <c r="I51" t="s">
        <v>322</v>
      </c>
      <c r="J51">
        <v>20.063993239751706</v>
      </c>
      <c r="K51" t="s">
        <v>3079</v>
      </c>
      <c r="L51" t="s">
        <v>19</v>
      </c>
      <c r="M51" t="s">
        <v>3081</v>
      </c>
      <c r="N51" t="s">
        <v>323</v>
      </c>
      <c r="O51" s="81">
        <v>526658.86963440618</v>
      </c>
      <c r="P51" t="s">
        <v>14</v>
      </c>
      <c r="Q51" s="81">
        <f>SAF_Cand_Refinery[[#This Row],[Max Amount]]*0.5</f>
        <v>263329.43481720309</v>
      </c>
      <c r="R51" s="81">
        <f>SAF_Cand_Refinery[[#This Row],[Max Amount]]*0.1</f>
        <v>52665.886963440622</v>
      </c>
      <c r="S51" s="81">
        <v>78277316.519999996</v>
      </c>
    </row>
    <row r="52" spans="1:19" hidden="1" x14ac:dyDescent="0.3">
      <c r="A52" t="s">
        <v>273</v>
      </c>
      <c r="B52" t="s">
        <v>274</v>
      </c>
      <c r="C52" t="s">
        <v>5</v>
      </c>
      <c r="D52" s="80" t="s">
        <v>311</v>
      </c>
      <c r="E52" t="s">
        <v>3078</v>
      </c>
      <c r="F52" s="82">
        <f t="shared" si="1"/>
        <v>0</v>
      </c>
      <c r="G52">
        <v>1</v>
      </c>
      <c r="H52" t="s">
        <v>14</v>
      </c>
      <c r="I52" t="s">
        <v>322</v>
      </c>
      <c r="J52">
        <v>28.841990282143083</v>
      </c>
      <c r="K52" t="s">
        <v>3079</v>
      </c>
      <c r="L52" t="s">
        <v>19</v>
      </c>
      <c r="M52" t="s">
        <v>3085</v>
      </c>
      <c r="N52" t="s">
        <v>323</v>
      </c>
      <c r="O52" s="81">
        <v>1648671.2440729232</v>
      </c>
      <c r="P52" t="s">
        <v>14</v>
      </c>
      <c r="Q52" s="81">
        <f>SAF_Cand_Refinery[[#This Row],[Max Amount]]*0.5</f>
        <v>824335.6220364616</v>
      </c>
      <c r="R52" s="81">
        <f>SAF_Cand_Refinery[[#This Row],[Max Amount]]*0.1</f>
        <v>164867.12440729234</v>
      </c>
      <c r="S52" s="81">
        <v>74680013.400000006</v>
      </c>
    </row>
    <row r="53" spans="1:19" hidden="1" x14ac:dyDescent="0.3">
      <c r="A53" t="s">
        <v>273</v>
      </c>
      <c r="B53" t="s">
        <v>274</v>
      </c>
      <c r="C53" t="s">
        <v>5</v>
      </c>
      <c r="D53" s="80" t="s">
        <v>311</v>
      </c>
      <c r="E53" t="s">
        <v>318</v>
      </c>
      <c r="F53" s="82">
        <f t="shared" si="1"/>
        <v>0</v>
      </c>
      <c r="G53">
        <v>1</v>
      </c>
      <c r="H53" t="s">
        <v>14</v>
      </c>
      <c r="I53" t="s">
        <v>322</v>
      </c>
      <c r="J53">
        <v>25.637324695238295</v>
      </c>
      <c r="K53" t="s">
        <v>3079</v>
      </c>
      <c r="L53" t="s">
        <v>19</v>
      </c>
      <c r="M53" t="s">
        <v>3085</v>
      </c>
      <c r="N53" t="s">
        <v>323</v>
      </c>
      <c r="O53" s="81">
        <v>412167.81101823086</v>
      </c>
      <c r="P53" t="s">
        <v>14</v>
      </c>
      <c r="Q53" s="81">
        <f>SAF_Cand_Refinery[[#This Row],[Max Amount]]*0.5</f>
        <v>206083.90550911543</v>
      </c>
      <c r="R53" s="81">
        <f>SAF_Cand_Refinery[[#This Row],[Max Amount]]*0.1</f>
        <v>41216.781101823086</v>
      </c>
      <c r="S53" s="81">
        <v>42735961.439999998</v>
      </c>
    </row>
    <row r="54" spans="1:19" x14ac:dyDescent="0.3">
      <c r="A54" t="s">
        <v>293</v>
      </c>
      <c r="B54" t="s">
        <v>294</v>
      </c>
      <c r="C54" t="s">
        <v>5</v>
      </c>
      <c r="D54" s="80" t="s">
        <v>310</v>
      </c>
      <c r="E54" t="s">
        <v>3078</v>
      </c>
      <c r="F54" s="82">
        <f t="shared" si="1"/>
        <v>1</v>
      </c>
      <c r="G54">
        <v>1</v>
      </c>
      <c r="H54" t="s">
        <v>14</v>
      </c>
      <c r="I54" t="s">
        <v>322</v>
      </c>
      <c r="J54">
        <v>127.21129047148131</v>
      </c>
      <c r="K54" t="s">
        <v>3079</v>
      </c>
      <c r="L54" t="s">
        <v>19</v>
      </c>
      <c r="M54" t="s">
        <v>3083</v>
      </c>
      <c r="N54" t="s">
        <v>323</v>
      </c>
      <c r="O54" s="81">
        <v>1142151.7654722061</v>
      </c>
      <c r="P54" t="s">
        <v>14</v>
      </c>
      <c r="Q54" s="81">
        <f>SAF_Cand_Refinery[[#This Row],[Max Amount]]*0.5</f>
        <v>571075.88273610303</v>
      </c>
      <c r="R54" s="81">
        <f>SAF_Cand_Refinery[[#This Row],[Max Amount]]*0.1</f>
        <v>114215.17654722062</v>
      </c>
      <c r="S54" s="81">
        <v>32231836.200000003</v>
      </c>
    </row>
    <row r="55" spans="1:19" x14ac:dyDescent="0.3">
      <c r="A55" t="s">
        <v>293</v>
      </c>
      <c r="B55" t="s">
        <v>295</v>
      </c>
      <c r="C55" t="s">
        <v>5</v>
      </c>
      <c r="D55" s="80" t="s">
        <v>310</v>
      </c>
      <c r="E55" t="s">
        <v>3078</v>
      </c>
      <c r="F55" s="82">
        <f t="shared" si="1"/>
        <v>1</v>
      </c>
      <c r="G55">
        <v>1</v>
      </c>
      <c r="H55" t="s">
        <v>14</v>
      </c>
      <c r="I55" t="s">
        <v>322</v>
      </c>
      <c r="J55">
        <v>127.21129047148131</v>
      </c>
      <c r="K55" t="s">
        <v>3079</v>
      </c>
      <c r="L55" t="s">
        <v>19</v>
      </c>
      <c r="M55" t="s">
        <v>3083</v>
      </c>
      <c r="N55" t="s">
        <v>323</v>
      </c>
      <c r="O55" s="81">
        <v>1142151.7654722061</v>
      </c>
      <c r="P55" t="s">
        <v>14</v>
      </c>
      <c r="Q55" s="81">
        <f>SAF_Cand_Refinery[[#This Row],[Max Amount]]*0.5</f>
        <v>571075.88273610303</v>
      </c>
      <c r="R55" s="81">
        <f>SAF_Cand_Refinery[[#This Row],[Max Amount]]*0.1</f>
        <v>114215.17654722062</v>
      </c>
      <c r="S55" s="81">
        <v>32231836.200000003</v>
      </c>
    </row>
    <row r="56" spans="1:19" x14ac:dyDescent="0.3">
      <c r="A56" t="s">
        <v>293</v>
      </c>
      <c r="B56" t="s">
        <v>296</v>
      </c>
      <c r="C56" t="s">
        <v>5</v>
      </c>
      <c r="D56" s="80" t="s">
        <v>310</v>
      </c>
      <c r="E56" t="s">
        <v>3078</v>
      </c>
      <c r="F56" s="82">
        <f t="shared" si="1"/>
        <v>1</v>
      </c>
      <c r="G56">
        <v>1</v>
      </c>
      <c r="H56" t="s">
        <v>14</v>
      </c>
      <c r="I56" t="s">
        <v>322</v>
      </c>
      <c r="J56">
        <v>127.21129047148131</v>
      </c>
      <c r="K56" t="s">
        <v>3079</v>
      </c>
      <c r="L56" t="s">
        <v>19</v>
      </c>
      <c r="M56" t="s">
        <v>3083</v>
      </c>
      <c r="N56" t="s">
        <v>323</v>
      </c>
      <c r="O56" s="81">
        <v>1142151.7654722061</v>
      </c>
      <c r="P56" t="s">
        <v>14</v>
      </c>
      <c r="Q56" s="81">
        <f>SAF_Cand_Refinery[[#This Row],[Max Amount]]*0.5</f>
        <v>571075.88273610303</v>
      </c>
      <c r="R56" s="81">
        <f>SAF_Cand_Refinery[[#This Row],[Max Amount]]*0.1</f>
        <v>114215.17654722062</v>
      </c>
      <c r="S56" s="81">
        <v>32231836.200000003</v>
      </c>
    </row>
    <row r="57" spans="1:19" hidden="1" x14ac:dyDescent="0.3">
      <c r="A57" t="s">
        <v>269</v>
      </c>
      <c r="B57" t="s">
        <v>270</v>
      </c>
      <c r="C57" t="s">
        <v>5</v>
      </c>
      <c r="D57" s="80" t="s">
        <v>309</v>
      </c>
      <c r="E57" t="s">
        <v>3078</v>
      </c>
      <c r="F57" s="82">
        <f t="shared" si="1"/>
        <v>0</v>
      </c>
      <c r="G57">
        <v>1</v>
      </c>
      <c r="H57" t="s">
        <v>14</v>
      </c>
      <c r="I57" t="s">
        <v>322</v>
      </c>
      <c r="J57">
        <v>20.063993239751706</v>
      </c>
      <c r="K57" t="s">
        <v>3079</v>
      </c>
      <c r="L57" t="s">
        <v>19</v>
      </c>
      <c r="M57" t="s">
        <v>3081</v>
      </c>
      <c r="N57" t="s">
        <v>323</v>
      </c>
      <c r="O57" s="81">
        <v>2106635.4785376247</v>
      </c>
      <c r="P57" t="s">
        <v>14</v>
      </c>
      <c r="Q57" s="81">
        <f>SAF_Cand_Refinery[[#This Row],[Max Amount]]*0.5</f>
        <v>1053317.7392688124</v>
      </c>
      <c r="R57" s="81">
        <f>SAF_Cand_Refinery[[#This Row],[Max Amount]]*0.1</f>
        <v>210663.54785376249</v>
      </c>
      <c r="S57" s="81">
        <v>116408730</v>
      </c>
    </row>
    <row r="58" spans="1:19" hidden="1" x14ac:dyDescent="0.3">
      <c r="A58" t="s">
        <v>269</v>
      </c>
      <c r="B58" t="s">
        <v>270</v>
      </c>
      <c r="C58" t="s">
        <v>5</v>
      </c>
      <c r="D58" s="80" t="s">
        <v>309</v>
      </c>
      <c r="E58" t="s">
        <v>318</v>
      </c>
      <c r="F58" s="82">
        <f t="shared" si="1"/>
        <v>0</v>
      </c>
      <c r="G58">
        <v>1</v>
      </c>
      <c r="H58" t="s">
        <v>14</v>
      </c>
      <c r="I58" t="s">
        <v>322</v>
      </c>
      <c r="J58">
        <v>20.063993239751706</v>
      </c>
      <c r="K58" t="s">
        <v>3079</v>
      </c>
      <c r="L58" t="s">
        <v>19</v>
      </c>
      <c r="M58" t="s">
        <v>3081</v>
      </c>
      <c r="N58" t="s">
        <v>323</v>
      </c>
      <c r="O58" s="81">
        <v>526658.86963440618</v>
      </c>
      <c r="P58" t="s">
        <v>14</v>
      </c>
      <c r="Q58" s="81">
        <f>SAF_Cand_Refinery[[#This Row],[Max Amount]]*0.5</f>
        <v>263329.43481720309</v>
      </c>
      <c r="R58" s="81">
        <f>SAF_Cand_Refinery[[#This Row],[Max Amount]]*0.1</f>
        <v>52665.886963440622</v>
      </c>
      <c r="S58" s="81">
        <v>78277316.519999996</v>
      </c>
    </row>
    <row r="59" spans="1:19" hidden="1" x14ac:dyDescent="0.3">
      <c r="A59" t="s">
        <v>269</v>
      </c>
      <c r="B59" t="s">
        <v>270</v>
      </c>
      <c r="C59" t="s">
        <v>5</v>
      </c>
      <c r="D59" s="80" t="s">
        <v>311</v>
      </c>
      <c r="E59" t="s">
        <v>3078</v>
      </c>
      <c r="F59" s="82">
        <f t="shared" si="1"/>
        <v>0</v>
      </c>
      <c r="G59">
        <v>1</v>
      </c>
      <c r="H59" t="s">
        <v>14</v>
      </c>
      <c r="I59" t="s">
        <v>322</v>
      </c>
      <c r="J59">
        <v>28.841990282143083</v>
      </c>
      <c r="K59" t="s">
        <v>3079</v>
      </c>
      <c r="L59" t="s">
        <v>19</v>
      </c>
      <c r="M59" t="s">
        <v>3085</v>
      </c>
      <c r="N59" t="s">
        <v>323</v>
      </c>
      <c r="O59" s="81">
        <v>1648671.2440729232</v>
      </c>
      <c r="P59" t="s">
        <v>14</v>
      </c>
      <c r="Q59" s="81">
        <f>SAF_Cand_Refinery[[#This Row],[Max Amount]]*0.5</f>
        <v>824335.6220364616</v>
      </c>
      <c r="R59" s="81">
        <f>SAF_Cand_Refinery[[#This Row],[Max Amount]]*0.1</f>
        <v>164867.12440729234</v>
      </c>
      <c r="S59" s="81">
        <v>74680013.400000006</v>
      </c>
    </row>
    <row r="60" spans="1:19" hidden="1" x14ac:dyDescent="0.3">
      <c r="A60" t="s">
        <v>269</v>
      </c>
      <c r="B60" t="s">
        <v>270</v>
      </c>
      <c r="C60" t="s">
        <v>5</v>
      </c>
      <c r="D60" s="80" t="s">
        <v>311</v>
      </c>
      <c r="E60" t="s">
        <v>318</v>
      </c>
      <c r="F60" s="82">
        <f t="shared" si="1"/>
        <v>0</v>
      </c>
      <c r="G60">
        <v>1</v>
      </c>
      <c r="H60" t="s">
        <v>14</v>
      </c>
      <c r="I60" t="s">
        <v>322</v>
      </c>
      <c r="J60">
        <v>25.637324695238295</v>
      </c>
      <c r="K60" t="s">
        <v>3079</v>
      </c>
      <c r="L60" t="s">
        <v>19</v>
      </c>
      <c r="M60" t="s">
        <v>3085</v>
      </c>
      <c r="N60" t="s">
        <v>323</v>
      </c>
      <c r="O60" s="81">
        <v>412167.81101823086</v>
      </c>
      <c r="P60" t="s">
        <v>14</v>
      </c>
      <c r="Q60" s="81">
        <f>SAF_Cand_Refinery[[#This Row],[Max Amount]]*0.5</f>
        <v>206083.90550911543</v>
      </c>
      <c r="R60" s="81">
        <f>SAF_Cand_Refinery[[#This Row],[Max Amount]]*0.1</f>
        <v>41216.781101823086</v>
      </c>
      <c r="S60" s="81">
        <v>42735961.439999998</v>
      </c>
    </row>
    <row r="61" spans="1:19" hidden="1" x14ac:dyDescent="0.3">
      <c r="A61" t="s">
        <v>269</v>
      </c>
      <c r="B61" t="s">
        <v>271</v>
      </c>
      <c r="C61" t="s">
        <v>5</v>
      </c>
      <c r="D61" s="80" t="s">
        <v>309</v>
      </c>
      <c r="E61" t="s">
        <v>3078</v>
      </c>
      <c r="F61" s="82">
        <f t="shared" si="1"/>
        <v>0</v>
      </c>
      <c r="G61">
        <v>1</v>
      </c>
      <c r="H61" t="s">
        <v>14</v>
      </c>
      <c r="I61" t="s">
        <v>322</v>
      </c>
      <c r="J61">
        <v>20.063993239751706</v>
      </c>
      <c r="K61" t="s">
        <v>3079</v>
      </c>
      <c r="L61" t="s">
        <v>19</v>
      </c>
      <c r="M61" t="s">
        <v>3081</v>
      </c>
      <c r="N61" t="s">
        <v>323</v>
      </c>
      <c r="O61" s="81">
        <v>2106635.4785376247</v>
      </c>
      <c r="P61" t="s">
        <v>14</v>
      </c>
      <c r="Q61" s="81">
        <f>SAF_Cand_Refinery[[#This Row],[Max Amount]]*0.5</f>
        <v>1053317.7392688124</v>
      </c>
      <c r="R61" s="81">
        <f>SAF_Cand_Refinery[[#This Row],[Max Amount]]*0.1</f>
        <v>210663.54785376249</v>
      </c>
      <c r="S61" s="81">
        <v>116408730</v>
      </c>
    </row>
    <row r="62" spans="1:19" hidden="1" x14ac:dyDescent="0.3">
      <c r="A62" t="s">
        <v>269</v>
      </c>
      <c r="B62" t="s">
        <v>271</v>
      </c>
      <c r="C62" t="s">
        <v>5</v>
      </c>
      <c r="D62" s="80" t="s">
        <v>309</v>
      </c>
      <c r="E62" t="s">
        <v>318</v>
      </c>
      <c r="F62" s="82">
        <f t="shared" si="1"/>
        <v>0</v>
      </c>
      <c r="G62">
        <v>1</v>
      </c>
      <c r="H62" t="s">
        <v>14</v>
      </c>
      <c r="I62" t="s">
        <v>322</v>
      </c>
      <c r="J62">
        <v>20.063993239751706</v>
      </c>
      <c r="K62" t="s">
        <v>3079</v>
      </c>
      <c r="L62" t="s">
        <v>19</v>
      </c>
      <c r="M62" t="s">
        <v>3081</v>
      </c>
      <c r="N62" t="s">
        <v>323</v>
      </c>
      <c r="O62" s="81">
        <v>526658.86963440618</v>
      </c>
      <c r="P62" t="s">
        <v>14</v>
      </c>
      <c r="Q62" s="81">
        <f>SAF_Cand_Refinery[[#This Row],[Max Amount]]*0.5</f>
        <v>263329.43481720309</v>
      </c>
      <c r="R62" s="81">
        <f>SAF_Cand_Refinery[[#This Row],[Max Amount]]*0.1</f>
        <v>52665.886963440622</v>
      </c>
      <c r="S62" s="81">
        <v>78277316.519999996</v>
      </c>
    </row>
    <row r="63" spans="1:19" hidden="1" x14ac:dyDescent="0.3">
      <c r="A63" t="s">
        <v>269</v>
      </c>
      <c r="B63" t="s">
        <v>271</v>
      </c>
      <c r="C63" t="s">
        <v>5</v>
      </c>
      <c r="D63" s="80" t="s">
        <v>311</v>
      </c>
      <c r="E63" t="s">
        <v>3078</v>
      </c>
      <c r="F63" s="82">
        <f t="shared" si="1"/>
        <v>0</v>
      </c>
      <c r="G63">
        <v>1</v>
      </c>
      <c r="H63" t="s">
        <v>14</v>
      </c>
      <c r="I63" t="s">
        <v>322</v>
      </c>
      <c r="J63">
        <v>28.841990282143083</v>
      </c>
      <c r="K63" t="s">
        <v>3079</v>
      </c>
      <c r="L63" t="s">
        <v>19</v>
      </c>
      <c r="M63" t="s">
        <v>3085</v>
      </c>
      <c r="N63" t="s">
        <v>323</v>
      </c>
      <c r="O63" s="81">
        <v>1648671.2440729232</v>
      </c>
      <c r="P63" t="s">
        <v>14</v>
      </c>
      <c r="Q63" s="81">
        <f>SAF_Cand_Refinery[[#This Row],[Max Amount]]*0.5</f>
        <v>824335.6220364616</v>
      </c>
      <c r="R63" s="81">
        <f>SAF_Cand_Refinery[[#This Row],[Max Amount]]*0.1</f>
        <v>164867.12440729234</v>
      </c>
      <c r="S63" s="81">
        <v>74680013.400000006</v>
      </c>
    </row>
    <row r="64" spans="1:19" hidden="1" x14ac:dyDescent="0.3">
      <c r="A64" t="s">
        <v>269</v>
      </c>
      <c r="B64" t="s">
        <v>271</v>
      </c>
      <c r="C64" t="s">
        <v>5</v>
      </c>
      <c r="D64" s="80" t="s">
        <v>311</v>
      </c>
      <c r="E64" t="s">
        <v>318</v>
      </c>
      <c r="F64" s="82">
        <f t="shared" si="1"/>
        <v>0</v>
      </c>
      <c r="G64">
        <v>1</v>
      </c>
      <c r="H64" t="s">
        <v>14</v>
      </c>
      <c r="I64" t="s">
        <v>322</v>
      </c>
      <c r="J64">
        <v>25.637324695238295</v>
      </c>
      <c r="K64" t="s">
        <v>3079</v>
      </c>
      <c r="L64" t="s">
        <v>19</v>
      </c>
      <c r="M64" t="s">
        <v>3085</v>
      </c>
      <c r="N64" t="s">
        <v>323</v>
      </c>
      <c r="O64" s="81">
        <v>412167.81101823086</v>
      </c>
      <c r="P64" t="s">
        <v>14</v>
      </c>
      <c r="Q64" s="81">
        <f>SAF_Cand_Refinery[[#This Row],[Max Amount]]*0.5</f>
        <v>206083.90550911543</v>
      </c>
      <c r="R64" s="81">
        <f>SAF_Cand_Refinery[[#This Row],[Max Amount]]*0.1</f>
        <v>41216.781101823086</v>
      </c>
      <c r="S64" s="81">
        <v>42735961.439999998</v>
      </c>
    </row>
    <row r="65" spans="1:19" hidden="1" x14ac:dyDescent="0.3">
      <c r="A65" t="s">
        <v>281</v>
      </c>
      <c r="B65" t="s">
        <v>283</v>
      </c>
      <c r="C65" t="s">
        <v>5</v>
      </c>
      <c r="D65" s="80" t="s">
        <v>310</v>
      </c>
      <c r="E65" t="s">
        <v>3078</v>
      </c>
      <c r="F65" s="82">
        <f t="shared" si="1"/>
        <v>0</v>
      </c>
      <c r="G65">
        <v>1</v>
      </c>
      <c r="H65" t="s">
        <v>14</v>
      </c>
      <c r="I65" t="s">
        <v>322</v>
      </c>
      <c r="J65">
        <v>127.21129047148131</v>
      </c>
      <c r="K65" t="s">
        <v>3079</v>
      </c>
      <c r="L65" t="s">
        <v>19</v>
      </c>
      <c r="M65" t="s">
        <v>3084</v>
      </c>
      <c r="N65" t="s">
        <v>323</v>
      </c>
      <c r="O65" s="81">
        <v>1142151.7654722061</v>
      </c>
      <c r="P65" t="s">
        <v>14</v>
      </c>
      <c r="Q65" s="81">
        <f>SAF_Cand_Refinery[[#This Row],[Max Amount]]*0.5</f>
        <v>571075.88273610303</v>
      </c>
      <c r="R65" s="81">
        <f>SAF_Cand_Refinery[[#This Row],[Max Amount]]*0.1</f>
        <v>114215.17654722062</v>
      </c>
      <c r="S65" s="81">
        <v>32807404.68</v>
      </c>
    </row>
    <row r="66" spans="1:19" hidden="1" x14ac:dyDescent="0.3">
      <c r="A66" t="s">
        <v>281</v>
      </c>
      <c r="B66" t="s">
        <v>284</v>
      </c>
      <c r="C66" t="s">
        <v>5</v>
      </c>
      <c r="D66" s="80" t="s">
        <v>310</v>
      </c>
      <c r="E66" t="s">
        <v>3078</v>
      </c>
      <c r="F66" s="82">
        <f t="shared" ref="F66:F97" si="2">SIGN(SUBTOTAL(3,A66))</f>
        <v>0</v>
      </c>
      <c r="G66">
        <v>1</v>
      </c>
      <c r="H66" t="s">
        <v>14</v>
      </c>
      <c r="I66" t="s">
        <v>322</v>
      </c>
      <c r="J66">
        <v>127.21129047148131</v>
      </c>
      <c r="K66" t="s">
        <v>3079</v>
      </c>
      <c r="L66" t="s">
        <v>19</v>
      </c>
      <c r="M66" t="s">
        <v>3084</v>
      </c>
      <c r="N66" t="s">
        <v>323</v>
      </c>
      <c r="O66" s="81">
        <v>1142151.7654722061</v>
      </c>
      <c r="P66" t="s">
        <v>14</v>
      </c>
      <c r="Q66" s="81">
        <f>SAF_Cand_Refinery[[#This Row],[Max Amount]]*0.5</f>
        <v>571075.88273610303</v>
      </c>
      <c r="R66" s="81">
        <f>SAF_Cand_Refinery[[#This Row],[Max Amount]]*0.1</f>
        <v>114215.17654722062</v>
      </c>
      <c r="S66" s="81">
        <v>32807404.68</v>
      </c>
    </row>
    <row r="67" spans="1:19" hidden="1" x14ac:dyDescent="0.3">
      <c r="A67" t="s">
        <v>281</v>
      </c>
      <c r="B67" t="s">
        <v>282</v>
      </c>
      <c r="C67" t="s">
        <v>5</v>
      </c>
      <c r="D67" s="80" t="s">
        <v>310</v>
      </c>
      <c r="E67" t="s">
        <v>3078</v>
      </c>
      <c r="F67" s="82">
        <f t="shared" si="2"/>
        <v>0</v>
      </c>
      <c r="G67">
        <v>1</v>
      </c>
      <c r="H67" t="s">
        <v>14</v>
      </c>
      <c r="I67" t="s">
        <v>322</v>
      </c>
      <c r="J67">
        <v>127.21129047148131</v>
      </c>
      <c r="K67" t="s">
        <v>3079</v>
      </c>
      <c r="L67" t="s">
        <v>19</v>
      </c>
      <c r="M67" t="s">
        <v>3084</v>
      </c>
      <c r="N67" t="s">
        <v>323</v>
      </c>
      <c r="O67" s="81">
        <v>1142151.7654722061</v>
      </c>
      <c r="P67" t="s">
        <v>14</v>
      </c>
      <c r="Q67" s="81">
        <f>SAF_Cand_Refinery[[#This Row],[Max Amount]]*0.5</f>
        <v>571075.88273610303</v>
      </c>
      <c r="R67" s="81">
        <f>SAF_Cand_Refinery[[#This Row],[Max Amount]]*0.1</f>
        <v>114215.17654722062</v>
      </c>
      <c r="S67" s="81">
        <v>32807404.68</v>
      </c>
    </row>
    <row r="68" spans="1:19" hidden="1" x14ac:dyDescent="0.3">
      <c r="A68" t="s">
        <v>256</v>
      </c>
      <c r="B68" t="s">
        <v>257</v>
      </c>
      <c r="C68" t="s">
        <v>5</v>
      </c>
      <c r="D68" s="80" t="s">
        <v>309</v>
      </c>
      <c r="E68" t="s">
        <v>3078</v>
      </c>
      <c r="F68" s="82">
        <f t="shared" si="2"/>
        <v>0</v>
      </c>
      <c r="G68">
        <v>1</v>
      </c>
      <c r="H68" t="s">
        <v>14</v>
      </c>
      <c r="I68" t="s">
        <v>322</v>
      </c>
      <c r="J68">
        <v>20.063993239751706</v>
      </c>
      <c r="K68" t="s">
        <v>3079</v>
      </c>
      <c r="L68" t="s">
        <v>19</v>
      </c>
      <c r="M68" t="s">
        <v>3081</v>
      </c>
      <c r="N68" t="s">
        <v>323</v>
      </c>
      <c r="O68" s="81">
        <v>2106635.4785376247</v>
      </c>
      <c r="P68" t="s">
        <v>14</v>
      </c>
      <c r="Q68" s="81">
        <f>SAF_Cand_Refinery[[#This Row],[Max Amount]]*0.5</f>
        <v>1053317.7392688124</v>
      </c>
      <c r="R68" s="81">
        <f>SAF_Cand_Refinery[[#This Row],[Max Amount]]*0.1</f>
        <v>210663.54785376249</v>
      </c>
      <c r="S68" s="81">
        <v>116408730</v>
      </c>
    </row>
    <row r="69" spans="1:19" hidden="1" x14ac:dyDescent="0.3">
      <c r="A69" t="s">
        <v>256</v>
      </c>
      <c r="B69" t="s">
        <v>257</v>
      </c>
      <c r="C69" t="s">
        <v>5</v>
      </c>
      <c r="D69" s="80" t="s">
        <v>309</v>
      </c>
      <c r="E69" t="s">
        <v>318</v>
      </c>
      <c r="F69" s="82">
        <f t="shared" si="2"/>
        <v>0</v>
      </c>
      <c r="G69">
        <v>1</v>
      </c>
      <c r="H69" t="s">
        <v>14</v>
      </c>
      <c r="I69" t="s">
        <v>322</v>
      </c>
      <c r="J69">
        <v>20.063993239751706</v>
      </c>
      <c r="K69" t="s">
        <v>3079</v>
      </c>
      <c r="L69" t="s">
        <v>19</v>
      </c>
      <c r="M69" t="s">
        <v>3081</v>
      </c>
      <c r="N69" t="s">
        <v>323</v>
      </c>
      <c r="O69" s="81">
        <v>526658.86963440618</v>
      </c>
      <c r="P69" t="s">
        <v>14</v>
      </c>
      <c r="Q69" s="81">
        <f>SAF_Cand_Refinery[[#This Row],[Max Amount]]*0.5</f>
        <v>263329.43481720309</v>
      </c>
      <c r="R69" s="81">
        <f>SAF_Cand_Refinery[[#This Row],[Max Amount]]*0.1</f>
        <v>52665.886963440622</v>
      </c>
      <c r="S69" s="81">
        <v>78277316.519999996</v>
      </c>
    </row>
    <row r="70" spans="1:19" hidden="1" x14ac:dyDescent="0.3">
      <c r="A70" t="s">
        <v>256</v>
      </c>
      <c r="B70" t="s">
        <v>257</v>
      </c>
      <c r="C70" t="s">
        <v>5</v>
      </c>
      <c r="D70" s="80" t="s">
        <v>311</v>
      </c>
      <c r="E70" t="s">
        <v>3078</v>
      </c>
      <c r="F70" s="82">
        <f t="shared" si="2"/>
        <v>0</v>
      </c>
      <c r="G70">
        <v>1</v>
      </c>
      <c r="H70" t="s">
        <v>14</v>
      </c>
      <c r="I70" t="s">
        <v>322</v>
      </c>
      <c r="J70">
        <v>28.841990282143083</v>
      </c>
      <c r="K70" t="s">
        <v>3079</v>
      </c>
      <c r="L70" t="s">
        <v>19</v>
      </c>
      <c r="M70" t="s">
        <v>3085</v>
      </c>
      <c r="N70" t="s">
        <v>323</v>
      </c>
      <c r="O70" s="81">
        <v>1648671.2440729232</v>
      </c>
      <c r="P70" t="s">
        <v>14</v>
      </c>
      <c r="Q70" s="81">
        <f>SAF_Cand_Refinery[[#This Row],[Max Amount]]*0.5</f>
        <v>824335.6220364616</v>
      </c>
      <c r="R70" s="81">
        <f>SAF_Cand_Refinery[[#This Row],[Max Amount]]*0.1</f>
        <v>164867.12440729234</v>
      </c>
      <c r="S70" s="81">
        <v>74680013.400000006</v>
      </c>
    </row>
    <row r="71" spans="1:19" hidden="1" x14ac:dyDescent="0.3">
      <c r="A71" t="s">
        <v>256</v>
      </c>
      <c r="B71" t="s">
        <v>257</v>
      </c>
      <c r="C71" t="s">
        <v>5</v>
      </c>
      <c r="D71" s="80" t="s">
        <v>311</v>
      </c>
      <c r="E71" t="s">
        <v>318</v>
      </c>
      <c r="F71" s="82">
        <f t="shared" si="2"/>
        <v>0</v>
      </c>
      <c r="G71">
        <v>1</v>
      </c>
      <c r="H71" t="s">
        <v>14</v>
      </c>
      <c r="I71" t="s">
        <v>322</v>
      </c>
      <c r="J71">
        <v>25.637324695238295</v>
      </c>
      <c r="K71" t="s">
        <v>3079</v>
      </c>
      <c r="L71" t="s">
        <v>19</v>
      </c>
      <c r="M71" t="s">
        <v>3085</v>
      </c>
      <c r="N71" t="s">
        <v>323</v>
      </c>
      <c r="O71" s="81">
        <v>412167.81101823086</v>
      </c>
      <c r="P71" t="s">
        <v>14</v>
      </c>
      <c r="Q71" s="81">
        <f>SAF_Cand_Refinery[[#This Row],[Max Amount]]*0.5</f>
        <v>206083.90550911543</v>
      </c>
      <c r="R71" s="81">
        <f>SAF_Cand_Refinery[[#This Row],[Max Amount]]*0.1</f>
        <v>41216.781101823086</v>
      </c>
      <c r="S71" s="81">
        <v>42735961.439999998</v>
      </c>
    </row>
    <row r="72" spans="1:19" hidden="1" x14ac:dyDescent="0.3">
      <c r="A72" t="s">
        <v>256</v>
      </c>
      <c r="B72" t="s">
        <v>260</v>
      </c>
      <c r="C72" t="s">
        <v>5</v>
      </c>
      <c r="D72" s="80" t="s">
        <v>309</v>
      </c>
      <c r="E72" t="s">
        <v>3078</v>
      </c>
      <c r="F72" s="82">
        <f t="shared" si="2"/>
        <v>0</v>
      </c>
      <c r="G72">
        <v>1</v>
      </c>
      <c r="H72" t="s">
        <v>14</v>
      </c>
      <c r="I72" t="s">
        <v>322</v>
      </c>
      <c r="J72">
        <v>20.063993239751706</v>
      </c>
      <c r="K72" t="s">
        <v>3079</v>
      </c>
      <c r="L72" t="s">
        <v>19</v>
      </c>
      <c r="M72" t="s">
        <v>3081</v>
      </c>
      <c r="N72" t="s">
        <v>323</v>
      </c>
      <c r="O72" s="81">
        <v>2106635.4785376247</v>
      </c>
      <c r="P72" t="s">
        <v>14</v>
      </c>
      <c r="Q72" s="81">
        <f>SAF_Cand_Refinery[[#This Row],[Max Amount]]*0.5</f>
        <v>1053317.7392688124</v>
      </c>
      <c r="R72" s="81">
        <f>SAF_Cand_Refinery[[#This Row],[Max Amount]]*0.1</f>
        <v>210663.54785376249</v>
      </c>
      <c r="S72" s="81">
        <v>116408730</v>
      </c>
    </row>
    <row r="73" spans="1:19" hidden="1" x14ac:dyDescent="0.3">
      <c r="A73" t="s">
        <v>256</v>
      </c>
      <c r="B73" t="s">
        <v>260</v>
      </c>
      <c r="C73" t="s">
        <v>5</v>
      </c>
      <c r="D73" s="80" t="s">
        <v>309</v>
      </c>
      <c r="E73" t="s">
        <v>318</v>
      </c>
      <c r="F73" s="82">
        <f t="shared" si="2"/>
        <v>0</v>
      </c>
      <c r="G73">
        <v>1</v>
      </c>
      <c r="H73" t="s">
        <v>14</v>
      </c>
      <c r="I73" t="s">
        <v>322</v>
      </c>
      <c r="J73">
        <v>20.063993239751706</v>
      </c>
      <c r="K73" t="s">
        <v>3079</v>
      </c>
      <c r="L73" t="s">
        <v>19</v>
      </c>
      <c r="M73" t="s">
        <v>3081</v>
      </c>
      <c r="N73" t="s">
        <v>323</v>
      </c>
      <c r="O73" s="81">
        <v>526658.86963440618</v>
      </c>
      <c r="P73" t="s">
        <v>14</v>
      </c>
      <c r="Q73" s="81">
        <f>SAF_Cand_Refinery[[#This Row],[Max Amount]]*0.5</f>
        <v>263329.43481720309</v>
      </c>
      <c r="R73" s="81">
        <f>SAF_Cand_Refinery[[#This Row],[Max Amount]]*0.1</f>
        <v>52665.886963440622</v>
      </c>
      <c r="S73" s="81">
        <v>78277316.519999996</v>
      </c>
    </row>
    <row r="74" spans="1:19" hidden="1" x14ac:dyDescent="0.3">
      <c r="A74" t="s">
        <v>256</v>
      </c>
      <c r="B74" t="s">
        <v>260</v>
      </c>
      <c r="C74" t="s">
        <v>5</v>
      </c>
      <c r="D74" s="80" t="s">
        <v>311</v>
      </c>
      <c r="E74" t="s">
        <v>3078</v>
      </c>
      <c r="F74" s="82">
        <f t="shared" si="2"/>
        <v>0</v>
      </c>
      <c r="G74">
        <v>1</v>
      </c>
      <c r="H74" t="s">
        <v>14</v>
      </c>
      <c r="I74" t="s">
        <v>322</v>
      </c>
      <c r="J74">
        <v>28.841990282143083</v>
      </c>
      <c r="K74" t="s">
        <v>3079</v>
      </c>
      <c r="L74" t="s">
        <v>19</v>
      </c>
      <c r="M74" t="s">
        <v>3085</v>
      </c>
      <c r="N74" t="s">
        <v>323</v>
      </c>
      <c r="O74" s="81">
        <v>1648671.2440729232</v>
      </c>
      <c r="P74" t="s">
        <v>14</v>
      </c>
      <c r="Q74" s="81">
        <f>SAF_Cand_Refinery[[#This Row],[Max Amount]]*0.5</f>
        <v>824335.6220364616</v>
      </c>
      <c r="R74" s="81">
        <f>SAF_Cand_Refinery[[#This Row],[Max Amount]]*0.1</f>
        <v>164867.12440729234</v>
      </c>
      <c r="S74" s="81">
        <v>74680013.400000006</v>
      </c>
    </row>
    <row r="75" spans="1:19" hidden="1" x14ac:dyDescent="0.3">
      <c r="A75" t="s">
        <v>256</v>
      </c>
      <c r="B75" t="s">
        <v>260</v>
      </c>
      <c r="C75" t="s">
        <v>5</v>
      </c>
      <c r="D75" s="80" t="s">
        <v>311</v>
      </c>
      <c r="E75" t="s">
        <v>318</v>
      </c>
      <c r="F75" s="82">
        <f t="shared" si="2"/>
        <v>0</v>
      </c>
      <c r="G75">
        <v>1</v>
      </c>
      <c r="H75" t="s">
        <v>14</v>
      </c>
      <c r="I75" t="s">
        <v>322</v>
      </c>
      <c r="J75">
        <v>25.637324695238295</v>
      </c>
      <c r="K75" t="s">
        <v>3079</v>
      </c>
      <c r="L75" t="s">
        <v>19</v>
      </c>
      <c r="M75" t="s">
        <v>3085</v>
      </c>
      <c r="N75" t="s">
        <v>323</v>
      </c>
      <c r="O75" s="81">
        <v>412167.81101823086</v>
      </c>
      <c r="P75" t="s">
        <v>14</v>
      </c>
      <c r="Q75" s="81">
        <f>SAF_Cand_Refinery[[#This Row],[Max Amount]]*0.5</f>
        <v>206083.90550911543</v>
      </c>
      <c r="R75" s="81">
        <f>SAF_Cand_Refinery[[#This Row],[Max Amount]]*0.1</f>
        <v>41216.781101823086</v>
      </c>
      <c r="S75" s="81">
        <v>42735961.439999998</v>
      </c>
    </row>
    <row r="76" spans="1:19" hidden="1" x14ac:dyDescent="0.3">
      <c r="A76" t="s">
        <v>256</v>
      </c>
      <c r="B76" t="s">
        <v>259</v>
      </c>
      <c r="C76" t="s">
        <v>5</v>
      </c>
      <c r="D76" s="80" t="s">
        <v>309</v>
      </c>
      <c r="E76" t="s">
        <v>3078</v>
      </c>
      <c r="F76" s="82">
        <f t="shared" si="2"/>
        <v>0</v>
      </c>
      <c r="G76">
        <v>1</v>
      </c>
      <c r="H76" t="s">
        <v>14</v>
      </c>
      <c r="I76" t="s">
        <v>322</v>
      </c>
      <c r="J76">
        <v>20.063993239751706</v>
      </c>
      <c r="K76" t="s">
        <v>3079</v>
      </c>
      <c r="L76" t="s">
        <v>19</v>
      </c>
      <c r="M76" t="s">
        <v>3081</v>
      </c>
      <c r="N76" t="s">
        <v>323</v>
      </c>
      <c r="O76" s="81">
        <v>2106635.4785376247</v>
      </c>
      <c r="P76" t="s">
        <v>14</v>
      </c>
      <c r="Q76" s="81">
        <f>SAF_Cand_Refinery[[#This Row],[Max Amount]]*0.5</f>
        <v>1053317.7392688124</v>
      </c>
      <c r="R76" s="81">
        <f>SAF_Cand_Refinery[[#This Row],[Max Amount]]*0.1</f>
        <v>210663.54785376249</v>
      </c>
      <c r="S76" s="81">
        <v>116408730</v>
      </c>
    </row>
    <row r="77" spans="1:19" hidden="1" x14ac:dyDescent="0.3">
      <c r="A77" t="s">
        <v>256</v>
      </c>
      <c r="B77" t="s">
        <v>259</v>
      </c>
      <c r="C77" t="s">
        <v>5</v>
      </c>
      <c r="D77" s="80" t="s">
        <v>309</v>
      </c>
      <c r="E77" t="s">
        <v>318</v>
      </c>
      <c r="F77" s="82">
        <f t="shared" si="2"/>
        <v>0</v>
      </c>
      <c r="G77">
        <v>1</v>
      </c>
      <c r="H77" t="s">
        <v>14</v>
      </c>
      <c r="I77" t="s">
        <v>322</v>
      </c>
      <c r="J77">
        <v>20.063993239751706</v>
      </c>
      <c r="K77" t="s">
        <v>3079</v>
      </c>
      <c r="L77" t="s">
        <v>19</v>
      </c>
      <c r="M77" t="s">
        <v>3081</v>
      </c>
      <c r="N77" t="s">
        <v>323</v>
      </c>
      <c r="O77" s="81">
        <v>526658.86963440618</v>
      </c>
      <c r="P77" t="s">
        <v>14</v>
      </c>
      <c r="Q77" s="81">
        <f>SAF_Cand_Refinery[[#This Row],[Max Amount]]*0.5</f>
        <v>263329.43481720309</v>
      </c>
      <c r="R77" s="81">
        <f>SAF_Cand_Refinery[[#This Row],[Max Amount]]*0.1</f>
        <v>52665.886963440622</v>
      </c>
      <c r="S77" s="81">
        <v>78277316.519999996</v>
      </c>
    </row>
    <row r="78" spans="1:19" hidden="1" x14ac:dyDescent="0.3">
      <c r="A78" t="s">
        <v>256</v>
      </c>
      <c r="B78" t="s">
        <v>259</v>
      </c>
      <c r="C78" t="s">
        <v>5</v>
      </c>
      <c r="D78" s="80" t="s">
        <v>311</v>
      </c>
      <c r="E78" t="s">
        <v>3078</v>
      </c>
      <c r="F78" s="82">
        <f t="shared" si="2"/>
        <v>0</v>
      </c>
      <c r="G78">
        <v>1</v>
      </c>
      <c r="H78" t="s">
        <v>14</v>
      </c>
      <c r="I78" t="s">
        <v>322</v>
      </c>
      <c r="J78">
        <v>28.841990282143083</v>
      </c>
      <c r="K78" t="s">
        <v>3079</v>
      </c>
      <c r="L78" t="s">
        <v>19</v>
      </c>
      <c r="M78" t="s">
        <v>3085</v>
      </c>
      <c r="N78" t="s">
        <v>323</v>
      </c>
      <c r="O78" s="81">
        <v>1648671.2440729232</v>
      </c>
      <c r="P78" t="s">
        <v>14</v>
      </c>
      <c r="Q78" s="81">
        <f>SAF_Cand_Refinery[[#This Row],[Max Amount]]*0.5</f>
        <v>824335.6220364616</v>
      </c>
      <c r="R78" s="81">
        <f>SAF_Cand_Refinery[[#This Row],[Max Amount]]*0.1</f>
        <v>164867.12440729234</v>
      </c>
      <c r="S78" s="81">
        <v>74680013.400000006</v>
      </c>
    </row>
    <row r="79" spans="1:19" hidden="1" x14ac:dyDescent="0.3">
      <c r="A79" t="s">
        <v>256</v>
      </c>
      <c r="B79" t="s">
        <v>259</v>
      </c>
      <c r="C79" t="s">
        <v>5</v>
      </c>
      <c r="D79" s="80" t="s">
        <v>311</v>
      </c>
      <c r="E79" t="s">
        <v>318</v>
      </c>
      <c r="F79" s="82">
        <f t="shared" si="2"/>
        <v>0</v>
      </c>
      <c r="G79">
        <v>1</v>
      </c>
      <c r="H79" t="s">
        <v>14</v>
      </c>
      <c r="I79" t="s">
        <v>322</v>
      </c>
      <c r="J79">
        <v>25.637324695238295</v>
      </c>
      <c r="K79" t="s">
        <v>3079</v>
      </c>
      <c r="L79" t="s">
        <v>19</v>
      </c>
      <c r="M79" t="s">
        <v>3085</v>
      </c>
      <c r="N79" t="s">
        <v>323</v>
      </c>
      <c r="O79" s="81">
        <v>412167.81101823086</v>
      </c>
      <c r="P79" t="s">
        <v>14</v>
      </c>
      <c r="Q79" s="81">
        <f>SAF_Cand_Refinery[[#This Row],[Max Amount]]*0.5</f>
        <v>206083.90550911543</v>
      </c>
      <c r="R79" s="81">
        <f>SAF_Cand_Refinery[[#This Row],[Max Amount]]*0.1</f>
        <v>41216.781101823086</v>
      </c>
      <c r="S79" s="81">
        <v>42735961.439999998</v>
      </c>
    </row>
    <row r="80" spans="1:19" hidden="1" x14ac:dyDescent="0.3">
      <c r="A80" t="s">
        <v>256</v>
      </c>
      <c r="B80" t="s">
        <v>261</v>
      </c>
      <c r="C80" t="s">
        <v>5</v>
      </c>
      <c r="D80" s="80" t="s">
        <v>309</v>
      </c>
      <c r="E80" t="s">
        <v>3078</v>
      </c>
      <c r="F80" s="82">
        <f t="shared" si="2"/>
        <v>0</v>
      </c>
      <c r="G80">
        <v>1</v>
      </c>
      <c r="H80" t="s">
        <v>14</v>
      </c>
      <c r="I80" t="s">
        <v>322</v>
      </c>
      <c r="J80">
        <v>20.063993239751706</v>
      </c>
      <c r="K80" t="s">
        <v>3079</v>
      </c>
      <c r="L80" t="s">
        <v>19</v>
      </c>
      <c r="M80" t="s">
        <v>3081</v>
      </c>
      <c r="N80" t="s">
        <v>323</v>
      </c>
      <c r="O80" s="81">
        <v>2106635.4785376247</v>
      </c>
      <c r="P80" t="s">
        <v>14</v>
      </c>
      <c r="Q80" s="81">
        <f>SAF_Cand_Refinery[[#This Row],[Max Amount]]*0.5</f>
        <v>1053317.7392688124</v>
      </c>
      <c r="R80" s="81">
        <f>SAF_Cand_Refinery[[#This Row],[Max Amount]]*0.1</f>
        <v>210663.54785376249</v>
      </c>
      <c r="S80" s="81">
        <v>116408730</v>
      </c>
    </row>
    <row r="81" spans="1:19" hidden="1" x14ac:dyDescent="0.3">
      <c r="A81" t="s">
        <v>256</v>
      </c>
      <c r="B81" t="s">
        <v>261</v>
      </c>
      <c r="C81" t="s">
        <v>5</v>
      </c>
      <c r="D81" s="80" t="s">
        <v>309</v>
      </c>
      <c r="E81" t="s">
        <v>318</v>
      </c>
      <c r="F81" s="82">
        <f t="shared" si="2"/>
        <v>0</v>
      </c>
      <c r="G81">
        <v>1</v>
      </c>
      <c r="H81" t="s">
        <v>14</v>
      </c>
      <c r="I81" t="s">
        <v>322</v>
      </c>
      <c r="J81">
        <v>20.063993239751706</v>
      </c>
      <c r="K81" t="s">
        <v>3079</v>
      </c>
      <c r="L81" t="s">
        <v>19</v>
      </c>
      <c r="M81" t="s">
        <v>3081</v>
      </c>
      <c r="N81" t="s">
        <v>323</v>
      </c>
      <c r="O81" s="81">
        <v>526658.86963440618</v>
      </c>
      <c r="P81" t="s">
        <v>14</v>
      </c>
      <c r="Q81" s="81">
        <f>SAF_Cand_Refinery[[#This Row],[Max Amount]]*0.5</f>
        <v>263329.43481720309</v>
      </c>
      <c r="R81" s="81">
        <f>SAF_Cand_Refinery[[#This Row],[Max Amount]]*0.1</f>
        <v>52665.886963440622</v>
      </c>
      <c r="S81" s="81">
        <v>78277316.519999996</v>
      </c>
    </row>
    <row r="82" spans="1:19" hidden="1" x14ac:dyDescent="0.3">
      <c r="A82" t="s">
        <v>256</v>
      </c>
      <c r="B82" t="s">
        <v>261</v>
      </c>
      <c r="C82" t="s">
        <v>5</v>
      </c>
      <c r="D82" s="80" t="s">
        <v>311</v>
      </c>
      <c r="E82" t="s">
        <v>3078</v>
      </c>
      <c r="F82" s="82">
        <f t="shared" si="2"/>
        <v>0</v>
      </c>
      <c r="G82">
        <v>1</v>
      </c>
      <c r="H82" t="s">
        <v>14</v>
      </c>
      <c r="I82" t="s">
        <v>322</v>
      </c>
      <c r="J82">
        <v>28.841990282143083</v>
      </c>
      <c r="K82" t="s">
        <v>3079</v>
      </c>
      <c r="L82" t="s">
        <v>19</v>
      </c>
      <c r="M82" t="s">
        <v>3085</v>
      </c>
      <c r="N82" t="s">
        <v>323</v>
      </c>
      <c r="O82" s="81">
        <v>1648671.2440729232</v>
      </c>
      <c r="P82" t="s">
        <v>14</v>
      </c>
      <c r="Q82" s="81">
        <f>SAF_Cand_Refinery[[#This Row],[Max Amount]]*0.5</f>
        <v>824335.6220364616</v>
      </c>
      <c r="R82" s="81">
        <f>SAF_Cand_Refinery[[#This Row],[Max Amount]]*0.1</f>
        <v>164867.12440729234</v>
      </c>
      <c r="S82" s="81">
        <v>74680013.400000006</v>
      </c>
    </row>
    <row r="83" spans="1:19" hidden="1" x14ac:dyDescent="0.3">
      <c r="A83" t="s">
        <v>256</v>
      </c>
      <c r="B83" t="s">
        <v>261</v>
      </c>
      <c r="C83" t="s">
        <v>5</v>
      </c>
      <c r="D83" s="80" t="s">
        <v>311</v>
      </c>
      <c r="E83" t="s">
        <v>318</v>
      </c>
      <c r="F83" s="82">
        <f t="shared" si="2"/>
        <v>0</v>
      </c>
      <c r="G83">
        <v>1</v>
      </c>
      <c r="H83" t="s">
        <v>14</v>
      </c>
      <c r="I83" t="s">
        <v>322</v>
      </c>
      <c r="J83">
        <v>25.637324695238295</v>
      </c>
      <c r="K83" t="s">
        <v>3079</v>
      </c>
      <c r="L83" t="s">
        <v>19</v>
      </c>
      <c r="M83" t="s">
        <v>3085</v>
      </c>
      <c r="N83" t="s">
        <v>323</v>
      </c>
      <c r="O83" s="81">
        <v>412167.81101823086</v>
      </c>
      <c r="P83" t="s">
        <v>14</v>
      </c>
      <c r="Q83" s="81">
        <f>SAF_Cand_Refinery[[#This Row],[Max Amount]]*0.5</f>
        <v>206083.90550911543</v>
      </c>
      <c r="R83" s="81">
        <f>SAF_Cand_Refinery[[#This Row],[Max Amount]]*0.1</f>
        <v>41216.781101823086</v>
      </c>
      <c r="S83" s="81">
        <v>42735961.439999998</v>
      </c>
    </row>
    <row r="84" spans="1:19" hidden="1" x14ac:dyDescent="0.3">
      <c r="A84" t="s">
        <v>256</v>
      </c>
      <c r="B84" t="s">
        <v>258</v>
      </c>
      <c r="C84" t="s">
        <v>5</v>
      </c>
      <c r="D84" s="80" t="s">
        <v>309</v>
      </c>
      <c r="E84" t="s">
        <v>3078</v>
      </c>
      <c r="F84" s="82">
        <f t="shared" si="2"/>
        <v>0</v>
      </c>
      <c r="G84">
        <v>1</v>
      </c>
      <c r="H84" t="s">
        <v>14</v>
      </c>
      <c r="I84" t="s">
        <v>322</v>
      </c>
      <c r="J84">
        <v>20.063993239751706</v>
      </c>
      <c r="K84" t="s">
        <v>3079</v>
      </c>
      <c r="L84" t="s">
        <v>19</v>
      </c>
      <c r="M84" t="s">
        <v>3081</v>
      </c>
      <c r="N84" t="s">
        <v>323</v>
      </c>
      <c r="O84" s="81">
        <v>2106635.4785376247</v>
      </c>
      <c r="P84" t="s">
        <v>14</v>
      </c>
      <c r="Q84" s="81">
        <f>SAF_Cand_Refinery[[#This Row],[Max Amount]]*0.5</f>
        <v>1053317.7392688124</v>
      </c>
      <c r="R84" s="81">
        <f>SAF_Cand_Refinery[[#This Row],[Max Amount]]*0.1</f>
        <v>210663.54785376249</v>
      </c>
      <c r="S84" s="81">
        <v>116408730</v>
      </c>
    </row>
    <row r="85" spans="1:19" hidden="1" x14ac:dyDescent="0.3">
      <c r="A85" t="s">
        <v>256</v>
      </c>
      <c r="B85" t="s">
        <v>258</v>
      </c>
      <c r="C85" t="s">
        <v>5</v>
      </c>
      <c r="D85" s="80" t="s">
        <v>309</v>
      </c>
      <c r="E85" t="s">
        <v>318</v>
      </c>
      <c r="F85" s="82">
        <f t="shared" si="2"/>
        <v>0</v>
      </c>
      <c r="G85">
        <v>1</v>
      </c>
      <c r="H85" t="s">
        <v>14</v>
      </c>
      <c r="I85" t="s">
        <v>322</v>
      </c>
      <c r="J85">
        <v>20.063993239751706</v>
      </c>
      <c r="K85" t="s">
        <v>3079</v>
      </c>
      <c r="L85" t="s">
        <v>19</v>
      </c>
      <c r="M85" t="s">
        <v>3081</v>
      </c>
      <c r="N85" t="s">
        <v>323</v>
      </c>
      <c r="O85" s="81">
        <v>526658.86963440618</v>
      </c>
      <c r="P85" t="s">
        <v>14</v>
      </c>
      <c r="Q85" s="81">
        <f>SAF_Cand_Refinery[[#This Row],[Max Amount]]*0.5</f>
        <v>263329.43481720309</v>
      </c>
      <c r="R85" s="81">
        <f>SAF_Cand_Refinery[[#This Row],[Max Amount]]*0.1</f>
        <v>52665.886963440622</v>
      </c>
      <c r="S85" s="81">
        <v>78277316.519999996</v>
      </c>
    </row>
    <row r="86" spans="1:19" hidden="1" x14ac:dyDescent="0.3">
      <c r="A86" t="s">
        <v>256</v>
      </c>
      <c r="B86" t="s">
        <v>258</v>
      </c>
      <c r="C86" t="s">
        <v>5</v>
      </c>
      <c r="D86" s="80" t="s">
        <v>311</v>
      </c>
      <c r="E86" t="s">
        <v>3078</v>
      </c>
      <c r="F86" s="82">
        <f t="shared" si="2"/>
        <v>0</v>
      </c>
      <c r="G86">
        <v>1</v>
      </c>
      <c r="H86" t="s">
        <v>14</v>
      </c>
      <c r="I86" t="s">
        <v>322</v>
      </c>
      <c r="J86">
        <v>28.841990282143083</v>
      </c>
      <c r="K86" t="s">
        <v>3079</v>
      </c>
      <c r="L86" t="s">
        <v>19</v>
      </c>
      <c r="M86" t="s">
        <v>3085</v>
      </c>
      <c r="N86" t="s">
        <v>323</v>
      </c>
      <c r="O86" s="81">
        <v>1648671.2440729232</v>
      </c>
      <c r="P86" t="s">
        <v>14</v>
      </c>
      <c r="Q86" s="81">
        <f>SAF_Cand_Refinery[[#This Row],[Max Amount]]*0.5</f>
        <v>824335.6220364616</v>
      </c>
      <c r="R86" s="81">
        <f>SAF_Cand_Refinery[[#This Row],[Max Amount]]*0.1</f>
        <v>164867.12440729234</v>
      </c>
      <c r="S86" s="81">
        <v>74680013.400000006</v>
      </c>
    </row>
    <row r="87" spans="1:19" hidden="1" x14ac:dyDescent="0.3">
      <c r="A87" t="s">
        <v>256</v>
      </c>
      <c r="B87" t="s">
        <v>258</v>
      </c>
      <c r="C87" t="s">
        <v>5</v>
      </c>
      <c r="D87" s="80" t="s">
        <v>311</v>
      </c>
      <c r="E87" t="s">
        <v>318</v>
      </c>
      <c r="F87" s="82">
        <f t="shared" si="2"/>
        <v>0</v>
      </c>
      <c r="G87">
        <v>1</v>
      </c>
      <c r="H87" t="s">
        <v>14</v>
      </c>
      <c r="I87" t="s">
        <v>322</v>
      </c>
      <c r="J87">
        <v>25.637324695238295</v>
      </c>
      <c r="K87" t="s">
        <v>3079</v>
      </c>
      <c r="L87" t="s">
        <v>19</v>
      </c>
      <c r="M87" t="s">
        <v>3085</v>
      </c>
      <c r="N87" t="s">
        <v>323</v>
      </c>
      <c r="O87" s="81">
        <v>412167.81101823086</v>
      </c>
      <c r="P87" t="s">
        <v>14</v>
      </c>
      <c r="Q87" s="81">
        <f>SAF_Cand_Refinery[[#This Row],[Max Amount]]*0.5</f>
        <v>206083.90550911543</v>
      </c>
      <c r="R87" s="81">
        <f>SAF_Cand_Refinery[[#This Row],[Max Amount]]*0.1</f>
        <v>41216.781101823086</v>
      </c>
      <c r="S87" s="81">
        <v>42735961.439999998</v>
      </c>
    </row>
    <row r="88" spans="1:19" hidden="1" x14ac:dyDescent="0.3">
      <c r="A88" t="s">
        <v>264</v>
      </c>
      <c r="B88" t="s">
        <v>265</v>
      </c>
      <c r="C88" t="s">
        <v>5</v>
      </c>
      <c r="D88" s="80" t="s">
        <v>309</v>
      </c>
      <c r="E88" t="s">
        <v>3078</v>
      </c>
      <c r="F88" s="82">
        <f t="shared" si="2"/>
        <v>0</v>
      </c>
      <c r="G88">
        <v>1</v>
      </c>
      <c r="H88" t="s">
        <v>14</v>
      </c>
      <c r="I88" t="s">
        <v>322</v>
      </c>
      <c r="J88">
        <v>20.063993239751706</v>
      </c>
      <c r="K88" t="s">
        <v>3079</v>
      </c>
      <c r="L88" t="s">
        <v>19</v>
      </c>
      <c r="M88" t="s">
        <v>3081</v>
      </c>
      <c r="N88" t="s">
        <v>323</v>
      </c>
      <c r="O88" s="81">
        <v>2106635.4785376247</v>
      </c>
      <c r="P88" t="s">
        <v>14</v>
      </c>
      <c r="Q88" s="81">
        <f>SAF_Cand_Refinery[[#This Row],[Max Amount]]*0.5</f>
        <v>1053317.7392688124</v>
      </c>
      <c r="R88" s="81">
        <f>SAF_Cand_Refinery[[#This Row],[Max Amount]]*0.1</f>
        <v>210663.54785376249</v>
      </c>
      <c r="S88" s="81">
        <v>116408730</v>
      </c>
    </row>
    <row r="89" spans="1:19" hidden="1" x14ac:dyDescent="0.3">
      <c r="A89" t="s">
        <v>264</v>
      </c>
      <c r="B89" t="s">
        <v>265</v>
      </c>
      <c r="C89" t="s">
        <v>5</v>
      </c>
      <c r="D89" s="80" t="s">
        <v>309</v>
      </c>
      <c r="E89" t="s">
        <v>318</v>
      </c>
      <c r="F89" s="82">
        <f t="shared" si="2"/>
        <v>0</v>
      </c>
      <c r="G89">
        <v>1</v>
      </c>
      <c r="H89" t="s">
        <v>14</v>
      </c>
      <c r="I89" t="s">
        <v>322</v>
      </c>
      <c r="J89">
        <v>20.063993239751706</v>
      </c>
      <c r="K89" t="s">
        <v>3079</v>
      </c>
      <c r="L89" t="s">
        <v>19</v>
      </c>
      <c r="M89" t="s">
        <v>3081</v>
      </c>
      <c r="N89" t="s">
        <v>323</v>
      </c>
      <c r="O89" s="81">
        <v>526658.86963440618</v>
      </c>
      <c r="P89" t="s">
        <v>14</v>
      </c>
      <c r="Q89" s="81">
        <f>SAF_Cand_Refinery[[#This Row],[Max Amount]]*0.5</f>
        <v>263329.43481720309</v>
      </c>
      <c r="R89" s="81">
        <f>SAF_Cand_Refinery[[#This Row],[Max Amount]]*0.1</f>
        <v>52665.886963440622</v>
      </c>
      <c r="S89" s="81">
        <v>78277316.519999996</v>
      </c>
    </row>
    <row r="90" spans="1:19" hidden="1" x14ac:dyDescent="0.3">
      <c r="A90" t="s">
        <v>264</v>
      </c>
      <c r="B90" t="s">
        <v>265</v>
      </c>
      <c r="C90" t="s">
        <v>5</v>
      </c>
      <c r="D90" s="80" t="s">
        <v>311</v>
      </c>
      <c r="E90" t="s">
        <v>3078</v>
      </c>
      <c r="F90" s="82">
        <f t="shared" si="2"/>
        <v>0</v>
      </c>
      <c r="G90">
        <v>1</v>
      </c>
      <c r="H90" t="s">
        <v>14</v>
      </c>
      <c r="I90" t="s">
        <v>322</v>
      </c>
      <c r="J90">
        <v>28.841990282143083</v>
      </c>
      <c r="K90" t="s">
        <v>3079</v>
      </c>
      <c r="L90" t="s">
        <v>19</v>
      </c>
      <c r="M90" t="s">
        <v>3085</v>
      </c>
      <c r="N90" t="s">
        <v>323</v>
      </c>
      <c r="O90" s="81">
        <v>1648671.2440729232</v>
      </c>
      <c r="P90" t="s">
        <v>14</v>
      </c>
      <c r="Q90" s="81">
        <f>SAF_Cand_Refinery[[#This Row],[Max Amount]]*0.5</f>
        <v>824335.6220364616</v>
      </c>
      <c r="R90" s="81">
        <f>SAF_Cand_Refinery[[#This Row],[Max Amount]]*0.1</f>
        <v>164867.12440729234</v>
      </c>
      <c r="S90" s="81">
        <v>74680013.400000006</v>
      </c>
    </row>
    <row r="91" spans="1:19" hidden="1" x14ac:dyDescent="0.3">
      <c r="A91" t="s">
        <v>264</v>
      </c>
      <c r="B91" t="s">
        <v>265</v>
      </c>
      <c r="C91" t="s">
        <v>5</v>
      </c>
      <c r="D91" s="80" t="s">
        <v>311</v>
      </c>
      <c r="E91" t="s">
        <v>318</v>
      </c>
      <c r="F91" s="82">
        <f t="shared" si="2"/>
        <v>0</v>
      </c>
      <c r="G91">
        <v>1</v>
      </c>
      <c r="H91" t="s">
        <v>14</v>
      </c>
      <c r="I91" t="s">
        <v>322</v>
      </c>
      <c r="J91">
        <v>25.637324695238295</v>
      </c>
      <c r="K91" t="s">
        <v>3079</v>
      </c>
      <c r="L91" t="s">
        <v>19</v>
      </c>
      <c r="M91" t="s">
        <v>3085</v>
      </c>
      <c r="N91" t="s">
        <v>323</v>
      </c>
      <c r="O91" s="81">
        <v>412167.81101823086</v>
      </c>
      <c r="P91" t="s">
        <v>14</v>
      </c>
      <c r="Q91" s="81">
        <f>SAF_Cand_Refinery[[#This Row],[Max Amount]]*0.5</f>
        <v>206083.90550911543</v>
      </c>
      <c r="R91" s="81">
        <f>SAF_Cand_Refinery[[#This Row],[Max Amount]]*0.1</f>
        <v>41216.781101823086</v>
      </c>
      <c r="S91" s="81">
        <v>42735961.439999998</v>
      </c>
    </row>
    <row r="92" spans="1:19" hidden="1" x14ac:dyDescent="0.3">
      <c r="A92" t="s">
        <v>297</v>
      </c>
      <c r="B92" t="s">
        <v>298</v>
      </c>
      <c r="C92" t="s">
        <v>5</v>
      </c>
      <c r="D92" s="80" t="s">
        <v>309</v>
      </c>
      <c r="E92" t="s">
        <v>3078</v>
      </c>
      <c r="F92" s="82">
        <f t="shared" si="2"/>
        <v>0</v>
      </c>
      <c r="G92">
        <v>1</v>
      </c>
      <c r="H92" t="s">
        <v>14</v>
      </c>
      <c r="I92" t="s">
        <v>322</v>
      </c>
      <c r="J92">
        <v>34.554655024016824</v>
      </c>
      <c r="K92" t="s">
        <v>3079</v>
      </c>
      <c r="L92" t="s">
        <v>19</v>
      </c>
      <c r="M92" t="s">
        <v>3080</v>
      </c>
      <c r="N92" t="s">
        <v>323</v>
      </c>
      <c r="O92" s="81">
        <v>1529009.6215192438</v>
      </c>
      <c r="P92" t="s">
        <v>14</v>
      </c>
      <c r="Q92" s="81">
        <f>SAF_Cand_Refinery[[#This Row],[Max Amount]]*0.5</f>
        <v>764504.81075962191</v>
      </c>
      <c r="R92" s="81">
        <f>SAF_Cand_Refinery[[#This Row],[Max Amount]]*0.1</f>
        <v>152900.96215192438</v>
      </c>
      <c r="S92" s="81">
        <v>102738978</v>
      </c>
    </row>
    <row r="93" spans="1:19" hidden="1" x14ac:dyDescent="0.3">
      <c r="A93" t="s">
        <v>297</v>
      </c>
      <c r="B93" t="s">
        <v>298</v>
      </c>
      <c r="C93" t="s">
        <v>5</v>
      </c>
      <c r="D93" s="80" t="s">
        <v>309</v>
      </c>
      <c r="E93" t="s">
        <v>318</v>
      </c>
      <c r="F93" s="82">
        <f t="shared" si="2"/>
        <v>0</v>
      </c>
      <c r="G93">
        <v>1</v>
      </c>
      <c r="H93" t="s">
        <v>14</v>
      </c>
      <c r="I93" t="s">
        <v>322</v>
      </c>
      <c r="J93">
        <v>34.554655024016824</v>
      </c>
      <c r="K93" t="s">
        <v>3079</v>
      </c>
      <c r="L93" t="s">
        <v>19</v>
      </c>
      <c r="M93" t="s">
        <v>3080</v>
      </c>
      <c r="N93" t="s">
        <v>323</v>
      </c>
      <c r="O93" s="81">
        <v>305801.92430384876</v>
      </c>
      <c r="P93" t="s">
        <v>14</v>
      </c>
      <c r="Q93" s="81">
        <f>SAF_Cand_Refinery[[#This Row],[Max Amount]]*0.5</f>
        <v>152900.96215192438</v>
      </c>
      <c r="R93" s="81">
        <f>SAF_Cand_Refinery[[#This Row],[Max Amount]]*0.1</f>
        <v>30580.192430384879</v>
      </c>
      <c r="S93" s="81">
        <v>58492149.239999995</v>
      </c>
    </row>
    <row r="94" spans="1:19" hidden="1" x14ac:dyDescent="0.3">
      <c r="A94" t="s">
        <v>297</v>
      </c>
      <c r="B94" t="s">
        <v>299</v>
      </c>
      <c r="C94" t="s">
        <v>5</v>
      </c>
      <c r="D94" s="80" t="s">
        <v>309</v>
      </c>
      <c r="E94" t="s">
        <v>3078</v>
      </c>
      <c r="F94" s="82">
        <f t="shared" si="2"/>
        <v>0</v>
      </c>
      <c r="G94">
        <v>1</v>
      </c>
      <c r="H94" t="s">
        <v>14</v>
      </c>
      <c r="I94" t="s">
        <v>322</v>
      </c>
      <c r="J94">
        <v>34.554655024016824</v>
      </c>
      <c r="K94" t="s">
        <v>3079</v>
      </c>
      <c r="L94" t="s">
        <v>19</v>
      </c>
      <c r="M94" t="s">
        <v>3080</v>
      </c>
      <c r="N94" t="s">
        <v>323</v>
      </c>
      <c r="O94" s="81">
        <v>1529009.6215192438</v>
      </c>
      <c r="P94" t="s">
        <v>14</v>
      </c>
      <c r="Q94" s="81">
        <f>SAF_Cand_Refinery[[#This Row],[Max Amount]]*0.5</f>
        <v>764504.81075962191</v>
      </c>
      <c r="R94" s="81">
        <f>SAF_Cand_Refinery[[#This Row],[Max Amount]]*0.1</f>
        <v>152900.96215192438</v>
      </c>
      <c r="S94" s="81">
        <v>102738978</v>
      </c>
    </row>
    <row r="95" spans="1:19" hidden="1" x14ac:dyDescent="0.3">
      <c r="A95" t="s">
        <v>297</v>
      </c>
      <c r="B95" t="s">
        <v>299</v>
      </c>
      <c r="C95" t="s">
        <v>5</v>
      </c>
      <c r="D95" s="80" t="s">
        <v>309</v>
      </c>
      <c r="E95" t="s">
        <v>318</v>
      </c>
      <c r="F95" s="82">
        <f t="shared" si="2"/>
        <v>0</v>
      </c>
      <c r="G95">
        <v>1</v>
      </c>
      <c r="H95" t="s">
        <v>14</v>
      </c>
      <c r="I95" t="s">
        <v>322</v>
      </c>
      <c r="J95">
        <v>34.554655024016824</v>
      </c>
      <c r="K95" t="s">
        <v>3079</v>
      </c>
      <c r="L95" t="s">
        <v>19</v>
      </c>
      <c r="M95" t="s">
        <v>3080</v>
      </c>
      <c r="N95" t="s">
        <v>323</v>
      </c>
      <c r="O95" s="81">
        <v>305801.92430384876</v>
      </c>
      <c r="P95" t="s">
        <v>14</v>
      </c>
      <c r="Q95" s="81">
        <f>SAF_Cand_Refinery[[#This Row],[Max Amount]]*0.5</f>
        <v>152900.96215192438</v>
      </c>
      <c r="R95" s="81">
        <f>SAF_Cand_Refinery[[#This Row],[Max Amount]]*0.1</f>
        <v>30580.192430384879</v>
      </c>
      <c r="S95" s="81">
        <v>58492149.239999995</v>
      </c>
    </row>
    <row r="96" spans="1:19" hidden="1" x14ac:dyDescent="0.3">
      <c r="A96" t="s">
        <v>297</v>
      </c>
      <c r="B96" t="s">
        <v>300</v>
      </c>
      <c r="C96" t="s">
        <v>5</v>
      </c>
      <c r="D96" s="80" t="s">
        <v>309</v>
      </c>
      <c r="E96" t="s">
        <v>3078</v>
      </c>
      <c r="F96" s="82">
        <f t="shared" si="2"/>
        <v>0</v>
      </c>
      <c r="G96">
        <v>1</v>
      </c>
      <c r="H96" t="s">
        <v>14</v>
      </c>
      <c r="I96" t="s">
        <v>322</v>
      </c>
      <c r="J96">
        <v>34.554655024016824</v>
      </c>
      <c r="K96" t="s">
        <v>3079</v>
      </c>
      <c r="L96" t="s">
        <v>19</v>
      </c>
      <c r="M96" t="s">
        <v>3080</v>
      </c>
      <c r="N96" t="s">
        <v>323</v>
      </c>
      <c r="O96" s="81">
        <v>1529009.6215192438</v>
      </c>
      <c r="P96" t="s">
        <v>14</v>
      </c>
      <c r="Q96" s="81">
        <f>SAF_Cand_Refinery[[#This Row],[Max Amount]]*0.5</f>
        <v>764504.81075962191</v>
      </c>
      <c r="R96" s="81">
        <f>SAF_Cand_Refinery[[#This Row],[Max Amount]]*0.1</f>
        <v>152900.96215192438</v>
      </c>
      <c r="S96" s="81">
        <v>102738978</v>
      </c>
    </row>
    <row r="97" spans="1:19" hidden="1" x14ac:dyDescent="0.3">
      <c r="A97" t="s">
        <v>297</v>
      </c>
      <c r="B97" t="s">
        <v>300</v>
      </c>
      <c r="C97" t="s">
        <v>5</v>
      </c>
      <c r="D97" s="80" t="s">
        <v>309</v>
      </c>
      <c r="E97" t="s">
        <v>318</v>
      </c>
      <c r="F97" s="82">
        <f t="shared" si="2"/>
        <v>0</v>
      </c>
      <c r="G97">
        <v>1</v>
      </c>
      <c r="H97" t="s">
        <v>14</v>
      </c>
      <c r="I97" t="s">
        <v>322</v>
      </c>
      <c r="J97">
        <v>34.554655024016824</v>
      </c>
      <c r="K97" t="s">
        <v>3079</v>
      </c>
      <c r="L97" t="s">
        <v>19</v>
      </c>
      <c r="M97" t="s">
        <v>3080</v>
      </c>
      <c r="N97" t="s">
        <v>323</v>
      </c>
      <c r="O97" s="81">
        <v>305801.92430384876</v>
      </c>
      <c r="P97" t="s">
        <v>14</v>
      </c>
      <c r="Q97" s="81">
        <f>SAF_Cand_Refinery[[#This Row],[Max Amount]]*0.5</f>
        <v>152900.96215192438</v>
      </c>
      <c r="R97" s="81">
        <f>SAF_Cand_Refinery[[#This Row],[Max Amount]]*0.1</f>
        <v>30580.192430384879</v>
      </c>
      <c r="S97" s="81">
        <v>58492149.239999995</v>
      </c>
    </row>
    <row r="98" spans="1:19" hidden="1" x14ac:dyDescent="0.3">
      <c r="A98" t="s">
        <v>297</v>
      </c>
      <c r="B98" t="s">
        <v>301</v>
      </c>
      <c r="C98" t="s">
        <v>5</v>
      </c>
      <c r="D98" s="80" t="s">
        <v>309</v>
      </c>
      <c r="E98" t="s">
        <v>3078</v>
      </c>
      <c r="F98" s="82">
        <f t="shared" ref="F98:F123" si="3">SIGN(SUBTOTAL(3,A98))</f>
        <v>0</v>
      </c>
      <c r="G98">
        <v>1</v>
      </c>
      <c r="H98" t="s">
        <v>14</v>
      </c>
      <c r="I98" t="s">
        <v>322</v>
      </c>
      <c r="J98">
        <v>34.554655024016824</v>
      </c>
      <c r="K98" t="s">
        <v>3079</v>
      </c>
      <c r="L98" t="s">
        <v>19</v>
      </c>
      <c r="M98" t="s">
        <v>3080</v>
      </c>
      <c r="N98" t="s">
        <v>323</v>
      </c>
      <c r="O98" s="81">
        <v>1529009.6215192438</v>
      </c>
      <c r="P98" t="s">
        <v>14</v>
      </c>
      <c r="Q98" s="81">
        <f>SAF_Cand_Refinery[[#This Row],[Max Amount]]*0.5</f>
        <v>764504.81075962191</v>
      </c>
      <c r="R98" s="81">
        <f>SAF_Cand_Refinery[[#This Row],[Max Amount]]*0.1</f>
        <v>152900.96215192438</v>
      </c>
      <c r="S98" s="81">
        <v>102738978</v>
      </c>
    </row>
    <row r="99" spans="1:19" hidden="1" x14ac:dyDescent="0.3">
      <c r="A99" t="s">
        <v>297</v>
      </c>
      <c r="B99" t="s">
        <v>301</v>
      </c>
      <c r="C99" t="s">
        <v>5</v>
      </c>
      <c r="D99" s="80" t="s">
        <v>309</v>
      </c>
      <c r="E99" t="s">
        <v>318</v>
      </c>
      <c r="F99" s="82">
        <f t="shared" si="3"/>
        <v>0</v>
      </c>
      <c r="G99">
        <v>1</v>
      </c>
      <c r="H99" t="s">
        <v>14</v>
      </c>
      <c r="I99" t="s">
        <v>322</v>
      </c>
      <c r="J99">
        <v>34.554655024016824</v>
      </c>
      <c r="K99" t="s">
        <v>3079</v>
      </c>
      <c r="L99" t="s">
        <v>19</v>
      </c>
      <c r="M99" t="s">
        <v>3080</v>
      </c>
      <c r="N99" t="s">
        <v>323</v>
      </c>
      <c r="O99" s="81">
        <v>305801.92430384876</v>
      </c>
      <c r="P99" t="s">
        <v>14</v>
      </c>
      <c r="Q99" s="81">
        <f>SAF_Cand_Refinery[[#This Row],[Max Amount]]*0.5</f>
        <v>152900.96215192438</v>
      </c>
      <c r="R99" s="81">
        <f>SAF_Cand_Refinery[[#This Row],[Max Amount]]*0.1</f>
        <v>30580.192430384879</v>
      </c>
      <c r="S99" s="81">
        <v>58492149.239999995</v>
      </c>
    </row>
    <row r="100" spans="1:19" hidden="1" x14ac:dyDescent="0.3">
      <c r="A100" t="s">
        <v>302</v>
      </c>
      <c r="B100" t="s">
        <v>303</v>
      </c>
      <c r="C100" t="s">
        <v>5</v>
      </c>
      <c r="D100" s="80" t="s">
        <v>309</v>
      </c>
      <c r="E100" t="s">
        <v>3078</v>
      </c>
      <c r="F100" s="82">
        <f t="shared" si="3"/>
        <v>0</v>
      </c>
      <c r="G100">
        <v>1</v>
      </c>
      <c r="H100" t="s">
        <v>14</v>
      </c>
      <c r="I100" t="s">
        <v>322</v>
      </c>
      <c r="J100">
        <v>34.554655024016824</v>
      </c>
      <c r="K100" t="s">
        <v>3079</v>
      </c>
      <c r="L100" t="s">
        <v>19</v>
      </c>
      <c r="M100" t="s">
        <v>3080</v>
      </c>
      <c r="N100" t="s">
        <v>323</v>
      </c>
      <c r="O100" s="81">
        <v>1529009.6215192438</v>
      </c>
      <c r="P100" t="s">
        <v>14</v>
      </c>
      <c r="Q100" s="81">
        <f>SAF_Cand_Refinery[[#This Row],[Max Amount]]*0.5</f>
        <v>764504.81075962191</v>
      </c>
      <c r="R100" s="81">
        <f>SAF_Cand_Refinery[[#This Row],[Max Amount]]*0.1</f>
        <v>152900.96215192438</v>
      </c>
      <c r="S100" s="81">
        <v>102738978</v>
      </c>
    </row>
    <row r="101" spans="1:19" hidden="1" x14ac:dyDescent="0.3">
      <c r="A101" t="s">
        <v>302</v>
      </c>
      <c r="B101" t="s">
        <v>303</v>
      </c>
      <c r="C101" t="s">
        <v>5</v>
      </c>
      <c r="D101" s="80" t="s">
        <v>309</v>
      </c>
      <c r="E101" t="s">
        <v>318</v>
      </c>
      <c r="F101" s="82">
        <f t="shared" si="3"/>
        <v>0</v>
      </c>
      <c r="G101">
        <v>1</v>
      </c>
      <c r="H101" t="s">
        <v>14</v>
      </c>
      <c r="I101" t="s">
        <v>322</v>
      </c>
      <c r="J101">
        <v>34.554655024016824</v>
      </c>
      <c r="K101" t="s">
        <v>3079</v>
      </c>
      <c r="L101" t="s">
        <v>19</v>
      </c>
      <c r="M101" t="s">
        <v>3080</v>
      </c>
      <c r="N101" t="s">
        <v>323</v>
      </c>
      <c r="O101" s="81">
        <v>305801.92430384876</v>
      </c>
      <c r="P101" t="s">
        <v>14</v>
      </c>
      <c r="Q101" s="81">
        <f>SAF_Cand_Refinery[[#This Row],[Max Amount]]*0.5</f>
        <v>152900.96215192438</v>
      </c>
      <c r="R101" s="81">
        <f>SAF_Cand_Refinery[[#This Row],[Max Amount]]*0.1</f>
        <v>30580.192430384879</v>
      </c>
      <c r="S101" s="81">
        <v>58492149.239999995</v>
      </c>
    </row>
    <row r="102" spans="1:19" hidden="1" x14ac:dyDescent="0.3">
      <c r="A102" t="s">
        <v>304</v>
      </c>
      <c r="B102" t="s">
        <v>305</v>
      </c>
      <c r="C102" t="s">
        <v>5</v>
      </c>
      <c r="D102" s="80" t="s">
        <v>309</v>
      </c>
      <c r="E102" t="s">
        <v>3078</v>
      </c>
      <c r="F102" s="82">
        <f t="shared" si="3"/>
        <v>0</v>
      </c>
      <c r="G102">
        <v>1</v>
      </c>
      <c r="H102" t="s">
        <v>14</v>
      </c>
      <c r="I102" t="s">
        <v>322</v>
      </c>
      <c r="J102">
        <v>34.554655024016824</v>
      </c>
      <c r="K102" t="s">
        <v>3079</v>
      </c>
      <c r="L102" t="s">
        <v>19</v>
      </c>
      <c r="M102" t="s">
        <v>3080</v>
      </c>
      <c r="N102" t="s">
        <v>323</v>
      </c>
      <c r="O102" s="81">
        <v>1529009.6215192438</v>
      </c>
      <c r="P102" t="s">
        <v>14</v>
      </c>
      <c r="Q102" s="81">
        <f>SAF_Cand_Refinery[[#This Row],[Max Amount]]*0.5</f>
        <v>764504.81075962191</v>
      </c>
      <c r="R102" s="81">
        <f>SAF_Cand_Refinery[[#This Row],[Max Amount]]*0.1</f>
        <v>152900.96215192438</v>
      </c>
      <c r="S102" s="81">
        <v>102738978</v>
      </c>
    </row>
    <row r="103" spans="1:19" hidden="1" x14ac:dyDescent="0.3">
      <c r="A103" t="s">
        <v>304</v>
      </c>
      <c r="B103" t="s">
        <v>305</v>
      </c>
      <c r="C103" t="s">
        <v>5</v>
      </c>
      <c r="D103" s="80" t="s">
        <v>309</v>
      </c>
      <c r="E103" t="s">
        <v>318</v>
      </c>
      <c r="F103" s="82">
        <f t="shared" si="3"/>
        <v>0</v>
      </c>
      <c r="G103">
        <v>1</v>
      </c>
      <c r="H103" t="s">
        <v>14</v>
      </c>
      <c r="I103" t="s">
        <v>322</v>
      </c>
      <c r="J103">
        <v>34.554655024016824</v>
      </c>
      <c r="K103" t="s">
        <v>3079</v>
      </c>
      <c r="L103" t="s">
        <v>19</v>
      </c>
      <c r="M103" t="s">
        <v>3080</v>
      </c>
      <c r="N103" t="s">
        <v>323</v>
      </c>
      <c r="O103" s="81">
        <v>305801.92430384876</v>
      </c>
      <c r="P103" t="s">
        <v>14</v>
      </c>
      <c r="Q103" s="81">
        <f>SAF_Cand_Refinery[[#This Row],[Max Amount]]*0.5</f>
        <v>152900.96215192438</v>
      </c>
      <c r="R103" s="81">
        <f>SAF_Cand_Refinery[[#This Row],[Max Amount]]*0.1</f>
        <v>30580.192430384879</v>
      </c>
      <c r="S103" s="81">
        <v>58492149.239999995</v>
      </c>
    </row>
    <row r="104" spans="1:19" hidden="1" x14ac:dyDescent="0.3">
      <c r="A104" t="s">
        <v>262</v>
      </c>
      <c r="B104" t="s">
        <v>263</v>
      </c>
      <c r="C104" t="s">
        <v>5</v>
      </c>
      <c r="D104" s="80" t="s">
        <v>309</v>
      </c>
      <c r="E104" t="s">
        <v>3078</v>
      </c>
      <c r="F104" s="82">
        <f t="shared" si="3"/>
        <v>0</v>
      </c>
      <c r="G104">
        <v>1</v>
      </c>
      <c r="H104" t="s">
        <v>14</v>
      </c>
      <c r="I104" t="s">
        <v>322</v>
      </c>
      <c r="J104">
        <v>20.063993239751706</v>
      </c>
      <c r="K104" t="s">
        <v>3079</v>
      </c>
      <c r="L104" t="s">
        <v>19</v>
      </c>
      <c r="M104" t="s">
        <v>3081</v>
      </c>
      <c r="N104" t="s">
        <v>323</v>
      </c>
      <c r="O104" s="81">
        <v>2106635.4785376247</v>
      </c>
      <c r="P104" t="s">
        <v>14</v>
      </c>
      <c r="Q104" s="81">
        <f>SAF_Cand_Refinery[[#This Row],[Max Amount]]*0.5</f>
        <v>1053317.7392688124</v>
      </c>
      <c r="R104" s="81">
        <f>SAF_Cand_Refinery[[#This Row],[Max Amount]]*0.1</f>
        <v>210663.54785376249</v>
      </c>
      <c r="S104" s="81">
        <v>116408730</v>
      </c>
    </row>
    <row r="105" spans="1:19" hidden="1" x14ac:dyDescent="0.3">
      <c r="A105" t="s">
        <v>262</v>
      </c>
      <c r="B105" t="s">
        <v>263</v>
      </c>
      <c r="C105" t="s">
        <v>5</v>
      </c>
      <c r="D105" s="80" t="s">
        <v>309</v>
      </c>
      <c r="E105" t="s">
        <v>318</v>
      </c>
      <c r="F105" s="82">
        <f t="shared" si="3"/>
        <v>0</v>
      </c>
      <c r="G105">
        <v>1</v>
      </c>
      <c r="H105" t="s">
        <v>14</v>
      </c>
      <c r="I105" t="s">
        <v>322</v>
      </c>
      <c r="J105">
        <v>20.063993239751706</v>
      </c>
      <c r="K105" t="s">
        <v>3079</v>
      </c>
      <c r="L105" t="s">
        <v>19</v>
      </c>
      <c r="M105" t="s">
        <v>3081</v>
      </c>
      <c r="N105" t="s">
        <v>323</v>
      </c>
      <c r="O105" s="81">
        <v>526658.86963440618</v>
      </c>
      <c r="P105" t="s">
        <v>14</v>
      </c>
      <c r="Q105" s="81">
        <f>SAF_Cand_Refinery[[#This Row],[Max Amount]]*0.5</f>
        <v>263329.43481720309</v>
      </c>
      <c r="R105" s="81">
        <f>SAF_Cand_Refinery[[#This Row],[Max Amount]]*0.1</f>
        <v>52665.886963440622</v>
      </c>
      <c r="S105" s="81">
        <v>78277316.519999996</v>
      </c>
    </row>
    <row r="106" spans="1:19" hidden="1" x14ac:dyDescent="0.3">
      <c r="A106" t="s">
        <v>262</v>
      </c>
      <c r="B106" t="s">
        <v>263</v>
      </c>
      <c r="C106" t="s">
        <v>5</v>
      </c>
      <c r="D106" s="80" t="s">
        <v>311</v>
      </c>
      <c r="E106" t="s">
        <v>3078</v>
      </c>
      <c r="F106" s="82">
        <f t="shared" si="3"/>
        <v>0</v>
      </c>
      <c r="G106">
        <v>1</v>
      </c>
      <c r="H106" t="s">
        <v>14</v>
      </c>
      <c r="I106" t="s">
        <v>322</v>
      </c>
      <c r="J106">
        <v>28.841990282143083</v>
      </c>
      <c r="K106" t="s">
        <v>3079</v>
      </c>
      <c r="L106" t="s">
        <v>19</v>
      </c>
      <c r="M106" t="s">
        <v>3085</v>
      </c>
      <c r="N106" t="s">
        <v>323</v>
      </c>
      <c r="O106" s="81">
        <v>1648671.2440729232</v>
      </c>
      <c r="P106" t="s">
        <v>14</v>
      </c>
      <c r="Q106" s="81">
        <f>SAF_Cand_Refinery[[#This Row],[Max Amount]]*0.5</f>
        <v>824335.6220364616</v>
      </c>
      <c r="R106" s="81">
        <f>SAF_Cand_Refinery[[#This Row],[Max Amount]]*0.1</f>
        <v>164867.12440729234</v>
      </c>
      <c r="S106" s="81">
        <v>74680013.400000006</v>
      </c>
    </row>
    <row r="107" spans="1:19" hidden="1" x14ac:dyDescent="0.3">
      <c r="A107" t="s">
        <v>262</v>
      </c>
      <c r="B107" t="s">
        <v>263</v>
      </c>
      <c r="C107" t="s">
        <v>5</v>
      </c>
      <c r="D107" s="80" t="s">
        <v>311</v>
      </c>
      <c r="E107" t="s">
        <v>318</v>
      </c>
      <c r="F107" s="82">
        <f t="shared" si="3"/>
        <v>0</v>
      </c>
      <c r="G107">
        <v>1</v>
      </c>
      <c r="H107" t="s">
        <v>14</v>
      </c>
      <c r="I107" t="s">
        <v>322</v>
      </c>
      <c r="J107">
        <v>25.637324695238295</v>
      </c>
      <c r="K107" t="s">
        <v>3079</v>
      </c>
      <c r="L107" t="s">
        <v>19</v>
      </c>
      <c r="M107" t="s">
        <v>3085</v>
      </c>
      <c r="N107" t="s">
        <v>323</v>
      </c>
      <c r="O107" s="81">
        <v>412167.81101823086</v>
      </c>
      <c r="P107" t="s">
        <v>14</v>
      </c>
      <c r="Q107" s="81">
        <f>SAF_Cand_Refinery[[#This Row],[Max Amount]]*0.5</f>
        <v>206083.90550911543</v>
      </c>
      <c r="R107" s="81">
        <f>SAF_Cand_Refinery[[#This Row],[Max Amount]]*0.1</f>
        <v>41216.781101823086</v>
      </c>
      <c r="S107" s="81">
        <v>42735961.439999998</v>
      </c>
    </row>
    <row r="108" spans="1:19" hidden="1" x14ac:dyDescent="0.3">
      <c r="A108" t="s">
        <v>262</v>
      </c>
      <c r="B108" t="s">
        <v>268</v>
      </c>
      <c r="C108" t="s">
        <v>5</v>
      </c>
      <c r="D108" s="80" t="s">
        <v>309</v>
      </c>
      <c r="E108" t="s">
        <v>3078</v>
      </c>
      <c r="F108" s="82">
        <f t="shared" si="3"/>
        <v>0</v>
      </c>
      <c r="G108">
        <v>1</v>
      </c>
      <c r="H108" t="s">
        <v>14</v>
      </c>
      <c r="I108" t="s">
        <v>322</v>
      </c>
      <c r="J108">
        <v>20.063993239751706</v>
      </c>
      <c r="K108" t="s">
        <v>3079</v>
      </c>
      <c r="L108" t="s">
        <v>19</v>
      </c>
      <c r="M108" t="s">
        <v>3081</v>
      </c>
      <c r="N108" t="s">
        <v>323</v>
      </c>
      <c r="O108" s="81">
        <v>2106635.4785376247</v>
      </c>
      <c r="P108" t="s">
        <v>14</v>
      </c>
      <c r="Q108" s="81">
        <f>SAF_Cand_Refinery[[#This Row],[Max Amount]]*0.5</f>
        <v>1053317.7392688124</v>
      </c>
      <c r="R108" s="81">
        <f>SAF_Cand_Refinery[[#This Row],[Max Amount]]*0.1</f>
        <v>210663.54785376249</v>
      </c>
      <c r="S108" s="81">
        <v>116408730</v>
      </c>
    </row>
    <row r="109" spans="1:19" hidden="1" x14ac:dyDescent="0.3">
      <c r="A109" t="s">
        <v>262</v>
      </c>
      <c r="B109" t="s">
        <v>268</v>
      </c>
      <c r="C109" t="s">
        <v>5</v>
      </c>
      <c r="D109" s="80" t="s">
        <v>309</v>
      </c>
      <c r="E109" t="s">
        <v>318</v>
      </c>
      <c r="F109" s="82">
        <f t="shared" si="3"/>
        <v>0</v>
      </c>
      <c r="G109">
        <v>1</v>
      </c>
      <c r="H109" t="s">
        <v>14</v>
      </c>
      <c r="I109" t="s">
        <v>322</v>
      </c>
      <c r="J109">
        <v>20.063993239751706</v>
      </c>
      <c r="K109" t="s">
        <v>3079</v>
      </c>
      <c r="L109" t="s">
        <v>19</v>
      </c>
      <c r="M109" t="s">
        <v>3081</v>
      </c>
      <c r="N109" t="s">
        <v>323</v>
      </c>
      <c r="O109" s="81">
        <v>526658.86963440618</v>
      </c>
      <c r="P109" t="s">
        <v>14</v>
      </c>
      <c r="Q109" s="81">
        <f>SAF_Cand_Refinery[[#This Row],[Max Amount]]*0.5</f>
        <v>263329.43481720309</v>
      </c>
      <c r="R109" s="81">
        <f>SAF_Cand_Refinery[[#This Row],[Max Amount]]*0.1</f>
        <v>52665.886963440622</v>
      </c>
      <c r="S109" s="81">
        <v>78277316.519999996</v>
      </c>
    </row>
    <row r="110" spans="1:19" hidden="1" x14ac:dyDescent="0.3">
      <c r="A110" t="s">
        <v>262</v>
      </c>
      <c r="B110" t="s">
        <v>268</v>
      </c>
      <c r="C110" t="s">
        <v>5</v>
      </c>
      <c r="D110" s="80" t="s">
        <v>311</v>
      </c>
      <c r="E110" t="s">
        <v>3078</v>
      </c>
      <c r="F110" s="82">
        <f t="shared" si="3"/>
        <v>0</v>
      </c>
      <c r="G110">
        <v>1</v>
      </c>
      <c r="H110" t="s">
        <v>14</v>
      </c>
      <c r="I110" t="s">
        <v>322</v>
      </c>
      <c r="J110">
        <v>28.841990282143083</v>
      </c>
      <c r="K110" t="s">
        <v>3079</v>
      </c>
      <c r="L110" t="s">
        <v>19</v>
      </c>
      <c r="M110" t="s">
        <v>3085</v>
      </c>
      <c r="N110" t="s">
        <v>323</v>
      </c>
      <c r="O110" s="81">
        <v>1648671.2440729232</v>
      </c>
      <c r="P110" t="s">
        <v>14</v>
      </c>
      <c r="Q110" s="81">
        <f>SAF_Cand_Refinery[[#This Row],[Max Amount]]*0.5</f>
        <v>824335.6220364616</v>
      </c>
      <c r="R110" s="81">
        <f>SAF_Cand_Refinery[[#This Row],[Max Amount]]*0.1</f>
        <v>164867.12440729234</v>
      </c>
      <c r="S110" s="81">
        <v>74680013.400000006</v>
      </c>
    </row>
    <row r="111" spans="1:19" hidden="1" x14ac:dyDescent="0.3">
      <c r="A111" t="s">
        <v>262</v>
      </c>
      <c r="B111" t="s">
        <v>268</v>
      </c>
      <c r="C111" t="s">
        <v>5</v>
      </c>
      <c r="D111" s="80" t="s">
        <v>311</v>
      </c>
      <c r="E111" t="s">
        <v>318</v>
      </c>
      <c r="F111" s="82">
        <f t="shared" si="3"/>
        <v>0</v>
      </c>
      <c r="G111">
        <v>1</v>
      </c>
      <c r="H111" t="s">
        <v>14</v>
      </c>
      <c r="I111" t="s">
        <v>322</v>
      </c>
      <c r="J111">
        <v>25.637324695238295</v>
      </c>
      <c r="K111" t="s">
        <v>3079</v>
      </c>
      <c r="L111" t="s">
        <v>19</v>
      </c>
      <c r="M111" t="s">
        <v>3085</v>
      </c>
      <c r="N111" t="s">
        <v>323</v>
      </c>
      <c r="O111" s="81">
        <v>412167.81101823086</v>
      </c>
      <c r="P111" t="s">
        <v>14</v>
      </c>
      <c r="Q111" s="81">
        <f>SAF_Cand_Refinery[[#This Row],[Max Amount]]*0.5</f>
        <v>206083.90550911543</v>
      </c>
      <c r="R111" s="81">
        <f>SAF_Cand_Refinery[[#This Row],[Max Amount]]*0.1</f>
        <v>41216.781101823086</v>
      </c>
      <c r="S111" s="81">
        <v>42735961.439999998</v>
      </c>
    </row>
    <row r="112" spans="1:19" hidden="1" x14ac:dyDescent="0.3">
      <c r="A112" t="s">
        <v>262</v>
      </c>
      <c r="B112" t="s">
        <v>272</v>
      </c>
      <c r="C112" t="s">
        <v>5</v>
      </c>
      <c r="D112" s="80" t="s">
        <v>309</v>
      </c>
      <c r="E112" t="s">
        <v>3078</v>
      </c>
      <c r="F112" s="82">
        <f t="shared" si="3"/>
        <v>0</v>
      </c>
      <c r="G112">
        <v>1</v>
      </c>
      <c r="H112" t="s">
        <v>14</v>
      </c>
      <c r="I112" t="s">
        <v>322</v>
      </c>
      <c r="J112">
        <v>20.063993239751706</v>
      </c>
      <c r="K112" t="s">
        <v>3079</v>
      </c>
      <c r="L112" t="s">
        <v>19</v>
      </c>
      <c r="M112" t="s">
        <v>3081</v>
      </c>
      <c r="N112" t="s">
        <v>323</v>
      </c>
      <c r="O112" s="81">
        <v>2106635.4785376247</v>
      </c>
      <c r="P112" t="s">
        <v>14</v>
      </c>
      <c r="Q112" s="81">
        <f>SAF_Cand_Refinery[[#This Row],[Max Amount]]*0.5</f>
        <v>1053317.7392688124</v>
      </c>
      <c r="R112" s="81">
        <f>SAF_Cand_Refinery[[#This Row],[Max Amount]]*0.1</f>
        <v>210663.54785376249</v>
      </c>
      <c r="S112" s="81">
        <v>116408730</v>
      </c>
    </row>
    <row r="113" spans="1:19" hidden="1" x14ac:dyDescent="0.3">
      <c r="A113" t="s">
        <v>262</v>
      </c>
      <c r="B113" t="s">
        <v>272</v>
      </c>
      <c r="C113" t="s">
        <v>5</v>
      </c>
      <c r="D113" s="80" t="s">
        <v>309</v>
      </c>
      <c r="E113" t="s">
        <v>318</v>
      </c>
      <c r="F113" s="82">
        <f t="shared" si="3"/>
        <v>0</v>
      </c>
      <c r="G113">
        <v>1</v>
      </c>
      <c r="H113" t="s">
        <v>14</v>
      </c>
      <c r="I113" t="s">
        <v>322</v>
      </c>
      <c r="J113">
        <v>20.063993239751706</v>
      </c>
      <c r="K113" t="s">
        <v>3079</v>
      </c>
      <c r="L113" t="s">
        <v>19</v>
      </c>
      <c r="M113" t="s">
        <v>3081</v>
      </c>
      <c r="N113" t="s">
        <v>323</v>
      </c>
      <c r="O113" s="81">
        <v>526658.86963440618</v>
      </c>
      <c r="P113" t="s">
        <v>14</v>
      </c>
      <c r="Q113" s="81">
        <f>SAF_Cand_Refinery[[#This Row],[Max Amount]]*0.5</f>
        <v>263329.43481720309</v>
      </c>
      <c r="R113" s="81">
        <f>SAF_Cand_Refinery[[#This Row],[Max Amount]]*0.1</f>
        <v>52665.886963440622</v>
      </c>
      <c r="S113" s="81">
        <v>78277316.519999996</v>
      </c>
    </row>
    <row r="114" spans="1:19" hidden="1" x14ac:dyDescent="0.3">
      <c r="A114" t="s">
        <v>262</v>
      </c>
      <c r="B114" t="s">
        <v>272</v>
      </c>
      <c r="C114" t="s">
        <v>5</v>
      </c>
      <c r="D114" s="80" t="s">
        <v>311</v>
      </c>
      <c r="E114" t="s">
        <v>3078</v>
      </c>
      <c r="F114" s="82">
        <f t="shared" si="3"/>
        <v>0</v>
      </c>
      <c r="G114">
        <v>1</v>
      </c>
      <c r="H114" t="s">
        <v>14</v>
      </c>
      <c r="I114" t="s">
        <v>322</v>
      </c>
      <c r="J114">
        <v>28.841990282143083</v>
      </c>
      <c r="K114" t="s">
        <v>3079</v>
      </c>
      <c r="L114" t="s">
        <v>19</v>
      </c>
      <c r="M114" t="s">
        <v>3085</v>
      </c>
      <c r="N114" t="s">
        <v>323</v>
      </c>
      <c r="O114" s="81">
        <v>1648671.2440729232</v>
      </c>
      <c r="P114" t="s">
        <v>14</v>
      </c>
      <c r="Q114" s="81">
        <f>SAF_Cand_Refinery[[#This Row],[Max Amount]]*0.5</f>
        <v>824335.6220364616</v>
      </c>
      <c r="R114" s="81">
        <f>SAF_Cand_Refinery[[#This Row],[Max Amount]]*0.1</f>
        <v>164867.12440729234</v>
      </c>
      <c r="S114" s="81">
        <v>74680013.400000006</v>
      </c>
    </row>
    <row r="115" spans="1:19" hidden="1" x14ac:dyDescent="0.3">
      <c r="A115" t="s">
        <v>262</v>
      </c>
      <c r="B115" t="s">
        <v>272</v>
      </c>
      <c r="C115" t="s">
        <v>5</v>
      </c>
      <c r="D115" s="80" t="s">
        <v>311</v>
      </c>
      <c r="E115" t="s">
        <v>318</v>
      </c>
      <c r="F115" s="82">
        <f t="shared" si="3"/>
        <v>0</v>
      </c>
      <c r="G115">
        <v>1</v>
      </c>
      <c r="H115" t="s">
        <v>14</v>
      </c>
      <c r="I115" t="s">
        <v>322</v>
      </c>
      <c r="J115">
        <v>25.637324695238295</v>
      </c>
      <c r="K115" t="s">
        <v>3079</v>
      </c>
      <c r="L115" t="s">
        <v>19</v>
      </c>
      <c r="M115" t="s">
        <v>3085</v>
      </c>
      <c r="N115" t="s">
        <v>323</v>
      </c>
      <c r="O115" s="81">
        <v>412167.81101823086</v>
      </c>
      <c r="P115" t="s">
        <v>14</v>
      </c>
      <c r="Q115" s="81">
        <f>SAF_Cand_Refinery[[#This Row],[Max Amount]]*0.5</f>
        <v>206083.90550911543</v>
      </c>
      <c r="R115" s="81">
        <f>SAF_Cand_Refinery[[#This Row],[Max Amount]]*0.1</f>
        <v>41216.781101823086</v>
      </c>
      <c r="S115" s="81">
        <v>42735961.439999998</v>
      </c>
    </row>
    <row r="116" spans="1:19" hidden="1" x14ac:dyDescent="0.3">
      <c r="A116" t="s">
        <v>262</v>
      </c>
      <c r="B116" t="s">
        <v>267</v>
      </c>
      <c r="C116" t="s">
        <v>5</v>
      </c>
      <c r="D116" s="80" t="s">
        <v>309</v>
      </c>
      <c r="E116" t="s">
        <v>3078</v>
      </c>
      <c r="F116" s="82">
        <f t="shared" si="3"/>
        <v>0</v>
      </c>
      <c r="G116">
        <v>1</v>
      </c>
      <c r="H116" t="s">
        <v>14</v>
      </c>
      <c r="I116" t="s">
        <v>322</v>
      </c>
      <c r="J116">
        <v>20.063993239751706</v>
      </c>
      <c r="K116" t="s">
        <v>3079</v>
      </c>
      <c r="L116" t="s">
        <v>19</v>
      </c>
      <c r="M116" t="s">
        <v>3081</v>
      </c>
      <c r="N116" t="s">
        <v>323</v>
      </c>
      <c r="O116" s="81">
        <v>2106635.4785376247</v>
      </c>
      <c r="P116" t="s">
        <v>14</v>
      </c>
      <c r="Q116" s="81">
        <f>SAF_Cand_Refinery[[#This Row],[Max Amount]]*0.5</f>
        <v>1053317.7392688124</v>
      </c>
      <c r="R116" s="81">
        <f>SAF_Cand_Refinery[[#This Row],[Max Amount]]*0.1</f>
        <v>210663.54785376249</v>
      </c>
      <c r="S116" s="81">
        <v>116408730</v>
      </c>
    </row>
    <row r="117" spans="1:19" hidden="1" x14ac:dyDescent="0.3">
      <c r="A117" t="s">
        <v>262</v>
      </c>
      <c r="B117" t="s">
        <v>267</v>
      </c>
      <c r="C117" t="s">
        <v>5</v>
      </c>
      <c r="D117" s="80" t="s">
        <v>309</v>
      </c>
      <c r="E117" t="s">
        <v>318</v>
      </c>
      <c r="F117" s="82">
        <f t="shared" si="3"/>
        <v>0</v>
      </c>
      <c r="G117">
        <v>1</v>
      </c>
      <c r="H117" t="s">
        <v>14</v>
      </c>
      <c r="I117" t="s">
        <v>322</v>
      </c>
      <c r="J117">
        <v>20.063993239751706</v>
      </c>
      <c r="K117" t="s">
        <v>3079</v>
      </c>
      <c r="L117" t="s">
        <v>19</v>
      </c>
      <c r="M117" t="s">
        <v>3081</v>
      </c>
      <c r="N117" t="s">
        <v>323</v>
      </c>
      <c r="O117" s="81">
        <v>526658.86963440618</v>
      </c>
      <c r="P117" t="s">
        <v>14</v>
      </c>
      <c r="Q117" s="81">
        <f>SAF_Cand_Refinery[[#This Row],[Max Amount]]*0.5</f>
        <v>263329.43481720309</v>
      </c>
      <c r="R117" s="81">
        <f>SAF_Cand_Refinery[[#This Row],[Max Amount]]*0.1</f>
        <v>52665.886963440622</v>
      </c>
      <c r="S117" s="81">
        <v>78277316.519999996</v>
      </c>
    </row>
    <row r="118" spans="1:19" hidden="1" x14ac:dyDescent="0.3">
      <c r="A118" t="s">
        <v>262</v>
      </c>
      <c r="B118" t="s">
        <v>267</v>
      </c>
      <c r="C118" t="s">
        <v>5</v>
      </c>
      <c r="D118" s="80" t="s">
        <v>311</v>
      </c>
      <c r="E118" t="s">
        <v>3078</v>
      </c>
      <c r="F118" s="82">
        <f t="shared" si="3"/>
        <v>0</v>
      </c>
      <c r="G118">
        <v>1</v>
      </c>
      <c r="H118" t="s">
        <v>14</v>
      </c>
      <c r="I118" t="s">
        <v>322</v>
      </c>
      <c r="J118">
        <v>28.841990282143083</v>
      </c>
      <c r="K118" t="s">
        <v>3079</v>
      </c>
      <c r="L118" t="s">
        <v>19</v>
      </c>
      <c r="M118" t="s">
        <v>3085</v>
      </c>
      <c r="N118" t="s">
        <v>323</v>
      </c>
      <c r="O118" s="81">
        <v>1648671.2440729232</v>
      </c>
      <c r="P118" t="s">
        <v>14</v>
      </c>
      <c r="Q118" s="81">
        <f>SAF_Cand_Refinery[[#This Row],[Max Amount]]*0.5</f>
        <v>824335.6220364616</v>
      </c>
      <c r="R118" s="81">
        <f>SAF_Cand_Refinery[[#This Row],[Max Amount]]*0.1</f>
        <v>164867.12440729234</v>
      </c>
      <c r="S118" s="81">
        <v>74680013.400000006</v>
      </c>
    </row>
    <row r="119" spans="1:19" hidden="1" x14ac:dyDescent="0.3">
      <c r="A119" t="s">
        <v>262</v>
      </c>
      <c r="B119" t="s">
        <v>267</v>
      </c>
      <c r="C119" t="s">
        <v>5</v>
      </c>
      <c r="D119" s="80" t="s">
        <v>311</v>
      </c>
      <c r="E119" t="s">
        <v>318</v>
      </c>
      <c r="F119" s="82">
        <f t="shared" si="3"/>
        <v>0</v>
      </c>
      <c r="G119">
        <v>1</v>
      </c>
      <c r="H119" t="s">
        <v>14</v>
      </c>
      <c r="I119" t="s">
        <v>322</v>
      </c>
      <c r="J119">
        <v>25.637324695238295</v>
      </c>
      <c r="K119" t="s">
        <v>3079</v>
      </c>
      <c r="L119" t="s">
        <v>19</v>
      </c>
      <c r="M119" t="s">
        <v>3085</v>
      </c>
      <c r="N119" t="s">
        <v>323</v>
      </c>
      <c r="O119" s="81">
        <v>412167.81101823086</v>
      </c>
      <c r="P119" t="s">
        <v>14</v>
      </c>
      <c r="Q119" s="81">
        <f>SAF_Cand_Refinery[[#This Row],[Max Amount]]*0.5</f>
        <v>206083.90550911543</v>
      </c>
      <c r="R119" s="81">
        <f>SAF_Cand_Refinery[[#This Row],[Max Amount]]*0.1</f>
        <v>41216.781101823086</v>
      </c>
      <c r="S119" s="81">
        <v>42735961.439999998</v>
      </c>
    </row>
    <row r="120" spans="1:19" hidden="1" x14ac:dyDescent="0.3">
      <c r="A120" t="s">
        <v>262</v>
      </c>
      <c r="B120" t="s">
        <v>266</v>
      </c>
      <c r="C120" t="s">
        <v>5</v>
      </c>
      <c r="D120" s="80" t="s">
        <v>309</v>
      </c>
      <c r="E120" t="s">
        <v>3078</v>
      </c>
      <c r="F120" s="82">
        <f t="shared" si="3"/>
        <v>0</v>
      </c>
      <c r="G120">
        <v>1</v>
      </c>
      <c r="H120" t="s">
        <v>14</v>
      </c>
      <c r="I120" t="s">
        <v>322</v>
      </c>
      <c r="J120">
        <v>20.063993239751706</v>
      </c>
      <c r="K120" t="s">
        <v>3079</v>
      </c>
      <c r="L120" t="s">
        <v>19</v>
      </c>
      <c r="M120" t="s">
        <v>3081</v>
      </c>
      <c r="N120" t="s">
        <v>323</v>
      </c>
      <c r="O120" s="81">
        <v>2106635.4785376247</v>
      </c>
      <c r="P120" t="s">
        <v>14</v>
      </c>
      <c r="Q120" s="81">
        <f>SAF_Cand_Refinery[[#This Row],[Max Amount]]*0.5</f>
        <v>1053317.7392688124</v>
      </c>
      <c r="R120" s="81">
        <f>SAF_Cand_Refinery[[#This Row],[Max Amount]]*0.1</f>
        <v>210663.54785376249</v>
      </c>
      <c r="S120" s="81">
        <v>116408730</v>
      </c>
    </row>
    <row r="121" spans="1:19" hidden="1" x14ac:dyDescent="0.3">
      <c r="A121" t="s">
        <v>262</v>
      </c>
      <c r="B121" t="s">
        <v>266</v>
      </c>
      <c r="C121" t="s">
        <v>5</v>
      </c>
      <c r="D121" s="80" t="s">
        <v>309</v>
      </c>
      <c r="E121" t="s">
        <v>318</v>
      </c>
      <c r="F121" s="82">
        <f t="shared" si="3"/>
        <v>0</v>
      </c>
      <c r="G121">
        <v>1</v>
      </c>
      <c r="H121" t="s">
        <v>14</v>
      </c>
      <c r="I121" t="s">
        <v>322</v>
      </c>
      <c r="J121">
        <v>20.063993239751706</v>
      </c>
      <c r="K121" t="s">
        <v>3079</v>
      </c>
      <c r="L121" t="s">
        <v>19</v>
      </c>
      <c r="M121" t="s">
        <v>3081</v>
      </c>
      <c r="N121" t="s">
        <v>323</v>
      </c>
      <c r="O121" s="81">
        <v>526658.86963440618</v>
      </c>
      <c r="P121" t="s">
        <v>14</v>
      </c>
      <c r="Q121" s="81">
        <f>SAF_Cand_Refinery[[#This Row],[Max Amount]]*0.5</f>
        <v>263329.43481720309</v>
      </c>
      <c r="R121" s="81">
        <f>SAF_Cand_Refinery[[#This Row],[Max Amount]]*0.1</f>
        <v>52665.886963440622</v>
      </c>
      <c r="S121" s="81">
        <v>78277316.519999996</v>
      </c>
    </row>
    <row r="122" spans="1:19" hidden="1" x14ac:dyDescent="0.3">
      <c r="A122" t="s">
        <v>262</v>
      </c>
      <c r="B122" t="s">
        <v>266</v>
      </c>
      <c r="C122" t="s">
        <v>5</v>
      </c>
      <c r="D122" s="80" t="s">
        <v>311</v>
      </c>
      <c r="E122" t="s">
        <v>3078</v>
      </c>
      <c r="F122" s="82">
        <f t="shared" si="3"/>
        <v>0</v>
      </c>
      <c r="G122">
        <v>1</v>
      </c>
      <c r="H122" t="s">
        <v>14</v>
      </c>
      <c r="I122" t="s">
        <v>322</v>
      </c>
      <c r="J122">
        <v>28.841990282143083</v>
      </c>
      <c r="K122" t="s">
        <v>3079</v>
      </c>
      <c r="L122" t="s">
        <v>19</v>
      </c>
      <c r="M122" t="s">
        <v>3085</v>
      </c>
      <c r="N122" t="s">
        <v>323</v>
      </c>
      <c r="O122" s="81">
        <v>1648671.2440729232</v>
      </c>
      <c r="P122" t="s">
        <v>14</v>
      </c>
      <c r="Q122" s="81">
        <f>SAF_Cand_Refinery[[#This Row],[Max Amount]]*0.5</f>
        <v>824335.6220364616</v>
      </c>
      <c r="R122" s="81">
        <f>SAF_Cand_Refinery[[#This Row],[Max Amount]]*0.1</f>
        <v>164867.12440729234</v>
      </c>
      <c r="S122" s="81">
        <v>74680013.400000006</v>
      </c>
    </row>
    <row r="123" spans="1:19" hidden="1" x14ac:dyDescent="0.3">
      <c r="A123" t="s">
        <v>262</v>
      </c>
      <c r="B123" t="s">
        <v>266</v>
      </c>
      <c r="C123" t="s">
        <v>5</v>
      </c>
      <c r="D123" s="80" t="s">
        <v>311</v>
      </c>
      <c r="E123" t="s">
        <v>318</v>
      </c>
      <c r="F123" s="82">
        <f t="shared" si="3"/>
        <v>0</v>
      </c>
      <c r="G123">
        <v>1</v>
      </c>
      <c r="H123" t="s">
        <v>14</v>
      </c>
      <c r="I123" t="s">
        <v>322</v>
      </c>
      <c r="J123">
        <v>25.637324695238295</v>
      </c>
      <c r="K123" t="s">
        <v>3079</v>
      </c>
      <c r="L123" t="s">
        <v>19</v>
      </c>
      <c r="M123" t="s">
        <v>3085</v>
      </c>
      <c r="N123" t="s">
        <v>323</v>
      </c>
      <c r="O123" s="81">
        <v>412167.81101823086</v>
      </c>
      <c r="P123" t="s">
        <v>14</v>
      </c>
      <c r="Q123" s="81">
        <f>SAF_Cand_Refinery[[#This Row],[Max Amount]]*0.5</f>
        <v>206083.90550911543</v>
      </c>
      <c r="R123" s="81">
        <f>SAF_Cand_Refinery[[#This Row],[Max Amount]]*0.1</f>
        <v>41216.781101823086</v>
      </c>
      <c r="S123" s="81">
        <v>42735961.439999998</v>
      </c>
    </row>
    <row r="124" spans="1:19" hidden="1" x14ac:dyDescent="0.3">
      <c r="A124" t="s">
        <v>3189</v>
      </c>
      <c r="B124" t="s">
        <v>3189</v>
      </c>
      <c r="C124" t="s">
        <v>22</v>
      </c>
      <c r="D124" t="s">
        <v>3190</v>
      </c>
      <c r="E124" t="s">
        <v>3078</v>
      </c>
      <c r="F124" s="82">
        <f>SIGN(SUBTOTAL(3,A124))</f>
        <v>0</v>
      </c>
      <c r="G124" s="107">
        <v>1</v>
      </c>
      <c r="H124" s="107" t="s">
        <v>3079</v>
      </c>
      <c r="I124" t="s">
        <v>322</v>
      </c>
      <c r="J124">
        <v>0.38581421178327058</v>
      </c>
      <c r="K124" t="s">
        <v>3079</v>
      </c>
      <c r="L124" t="s">
        <v>19</v>
      </c>
      <c r="M124" t="s">
        <v>3188</v>
      </c>
      <c r="N124" t="s">
        <v>323</v>
      </c>
      <c r="O124">
        <v>479299088.4013319</v>
      </c>
      <c r="P124" t="s">
        <v>42</v>
      </c>
      <c r="Q124" s="150">
        <f>SAF_Cand_Refinery[[#This Row],[Max Amount]]*0.5</f>
        <v>239649544.20066595</v>
      </c>
      <c r="R124" s="150">
        <f>SAF_Cand_Refinery[[#This Row],[Max Amount]]*0.1</f>
        <v>47929908.84013319</v>
      </c>
      <c r="S124">
        <v>23598308.640000001</v>
      </c>
    </row>
    <row r="125" spans="1:19" hidden="1" x14ac:dyDescent="0.3">
      <c r="A125" t="s">
        <v>3189</v>
      </c>
      <c r="B125" t="s">
        <v>3189</v>
      </c>
      <c r="C125" t="s">
        <v>22</v>
      </c>
      <c r="D125" t="s">
        <v>3190</v>
      </c>
      <c r="E125" t="s">
        <v>318</v>
      </c>
      <c r="F125" s="82">
        <f>SIGN(SUBTOTAL(3,A125))</f>
        <v>0</v>
      </c>
      <c r="G125" s="107">
        <v>1</v>
      </c>
      <c r="H125" s="107" t="s">
        <v>3079</v>
      </c>
      <c r="I125" t="s">
        <v>322</v>
      </c>
      <c r="J125">
        <v>0.38581421178327058</v>
      </c>
      <c r="K125" t="s">
        <v>3079</v>
      </c>
      <c r="L125" t="s">
        <v>19</v>
      </c>
      <c r="M125" t="s">
        <v>3188</v>
      </c>
      <c r="N125" t="s">
        <v>323</v>
      </c>
      <c r="O125">
        <v>47929908.84013319</v>
      </c>
      <c r="P125" t="s">
        <v>42</v>
      </c>
      <c r="Q125" s="150">
        <f>SAF_Cand_Refinery[[#This Row],[Max Amount]]*0.5</f>
        <v>23964954.420066595</v>
      </c>
      <c r="R125" s="150">
        <f>SAF_Cand_Refinery[[#This Row],[Max Amount]]*0.1</f>
        <v>4792990.8840133194</v>
      </c>
      <c r="S125">
        <v>8417689.3200000003</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P1" workbookViewId="0">
      <selection activeCell="L10" sqref="L10"/>
    </sheetView>
  </sheetViews>
  <sheetFormatPr defaultRowHeight="14.4" x14ac:dyDescent="0.3"/>
  <cols>
    <col min="1" max="1" width="27.44140625" bestFit="1" customWidth="1"/>
    <col min="2" max="2" width="11.44140625" bestFit="1" customWidth="1"/>
    <col min="3" max="3" width="17.5546875" customWidth="1"/>
    <col min="4" max="4" width="25.5546875" bestFit="1" customWidth="1"/>
    <col min="5" max="5" width="9.77734375" customWidth="1"/>
    <col min="6" max="6" width="11.5546875" bestFit="1" customWidth="1"/>
    <col min="7" max="7" width="36" bestFit="1" customWidth="1"/>
    <col min="8" max="8" width="36" customWidth="1"/>
    <col min="9" max="9" width="14.21875" customWidth="1"/>
    <col min="10" max="10" width="15.21875" customWidth="1"/>
    <col min="11" max="11" width="22.77734375" customWidth="1"/>
    <col min="12" max="12" width="14.5546875" customWidth="1"/>
    <col min="13" max="13" width="7.77734375" customWidth="1"/>
    <col min="14" max="14" width="14.44140625" bestFit="1" customWidth="1"/>
    <col min="15" max="15" width="18.21875" bestFit="1" customWidth="1"/>
    <col min="16" max="16" width="12.21875" bestFit="1" customWidth="1"/>
  </cols>
  <sheetData>
    <row r="1" spans="1:77" x14ac:dyDescent="0.3">
      <c r="A1" s="77" t="s">
        <v>3041</v>
      </c>
      <c r="B1" s="77" t="s">
        <v>440</v>
      </c>
      <c r="C1" s="77" t="s">
        <v>145</v>
      </c>
      <c r="D1" s="77" t="s">
        <v>3042</v>
      </c>
      <c r="E1" s="77" t="s">
        <v>249</v>
      </c>
      <c r="F1" s="77" t="s">
        <v>3076</v>
      </c>
      <c r="G1" s="77" t="s">
        <v>3043</v>
      </c>
      <c r="H1" s="98" t="s">
        <v>321</v>
      </c>
      <c r="I1" s="96" t="s">
        <v>25</v>
      </c>
      <c r="J1" s="96" t="s">
        <v>35</v>
      </c>
      <c r="K1" s="96" t="s">
        <v>31</v>
      </c>
      <c r="L1" s="96" t="s">
        <v>24</v>
      </c>
      <c r="M1" s="96" t="s">
        <v>36</v>
      </c>
      <c r="N1" s="96" t="s">
        <v>44</v>
      </c>
      <c r="O1" s="96" t="s">
        <v>196</v>
      </c>
      <c r="P1" s="96" t="s">
        <v>45</v>
      </c>
    </row>
    <row r="2" spans="1:77" hidden="1" x14ac:dyDescent="0.3">
      <c r="A2" s="107" t="s">
        <v>3044</v>
      </c>
      <c r="B2" s="107" t="s">
        <v>3045</v>
      </c>
      <c r="C2" t="s">
        <v>149</v>
      </c>
      <c r="D2" s="107" t="s">
        <v>293</v>
      </c>
      <c r="E2" s="107" t="s">
        <v>310</v>
      </c>
      <c r="F2" s="107" t="s">
        <v>293</v>
      </c>
      <c r="G2" s="107" t="s">
        <v>3046</v>
      </c>
      <c r="H2" s="107">
        <f t="shared" ref="H2:H21" si="0">SIGN(SUBTOTAL(3,A2))</f>
        <v>0</v>
      </c>
      <c r="I2" s="107" t="s">
        <v>19</v>
      </c>
      <c r="J2" s="107" t="s">
        <v>3047</v>
      </c>
      <c r="K2" s="107" t="s">
        <v>327</v>
      </c>
      <c r="L2" s="107">
        <v>707484.37238891562</v>
      </c>
      <c r="M2" s="107" t="s">
        <v>14</v>
      </c>
      <c r="N2" s="107"/>
      <c r="O2" s="107"/>
      <c r="P2" s="107"/>
      <c r="AD2" t="s">
        <v>3125</v>
      </c>
      <c r="AG2" t="s">
        <v>3124</v>
      </c>
      <c r="BY2" t="s">
        <v>3123</v>
      </c>
    </row>
    <row r="3" spans="1:77" hidden="1" x14ac:dyDescent="0.3">
      <c r="A3" s="107" t="s">
        <v>3044</v>
      </c>
      <c r="B3" s="107" t="s">
        <v>3045</v>
      </c>
      <c r="C3" t="s">
        <v>149</v>
      </c>
      <c r="D3" s="107" t="s">
        <v>281</v>
      </c>
      <c r="E3" s="107" t="s">
        <v>310</v>
      </c>
      <c r="F3" s="107" t="s">
        <v>293</v>
      </c>
      <c r="G3" s="107" t="s">
        <v>3046</v>
      </c>
      <c r="H3" s="107">
        <f t="shared" si="0"/>
        <v>0</v>
      </c>
      <c r="I3" s="107" t="s">
        <v>19</v>
      </c>
      <c r="J3" s="107" t="s">
        <v>3047</v>
      </c>
      <c r="K3" s="107" t="s">
        <v>327</v>
      </c>
      <c r="L3" s="107">
        <v>707484.37238891562</v>
      </c>
      <c r="M3" s="107" t="s">
        <v>14</v>
      </c>
      <c r="N3" s="107"/>
      <c r="O3" s="107"/>
      <c r="P3" s="107"/>
    </row>
    <row r="4" spans="1:77" hidden="1" x14ac:dyDescent="0.3">
      <c r="A4" s="107" t="s">
        <v>3048</v>
      </c>
      <c r="B4" s="107" t="s">
        <v>658</v>
      </c>
      <c r="C4" s="107" t="s">
        <v>149</v>
      </c>
      <c r="D4" s="107" t="s">
        <v>281</v>
      </c>
      <c r="E4" s="107" t="s">
        <v>310</v>
      </c>
      <c r="F4" s="107" t="s">
        <v>3077</v>
      </c>
      <c r="G4" s="107" t="s">
        <v>3049</v>
      </c>
      <c r="H4" s="107">
        <f t="shared" si="0"/>
        <v>0</v>
      </c>
      <c r="I4" s="107" t="s">
        <v>19</v>
      </c>
      <c r="J4" s="107" t="s">
        <v>3050</v>
      </c>
      <c r="K4" s="107" t="s">
        <v>327</v>
      </c>
      <c r="L4" s="107">
        <v>243689.0616006265</v>
      </c>
      <c r="M4" s="107" t="s">
        <v>14</v>
      </c>
      <c r="N4" s="107"/>
      <c r="O4" s="107"/>
      <c r="P4" s="107"/>
    </row>
    <row r="5" spans="1:77" hidden="1" x14ac:dyDescent="0.3">
      <c r="A5" s="107" t="s">
        <v>3051</v>
      </c>
      <c r="B5" s="107" t="s">
        <v>3052</v>
      </c>
      <c r="C5" s="107" t="s">
        <v>159</v>
      </c>
      <c r="D5" s="107" t="s">
        <v>281</v>
      </c>
      <c r="E5" s="107" t="s">
        <v>310</v>
      </c>
      <c r="F5" s="107" t="s">
        <v>3077</v>
      </c>
      <c r="G5" s="107" t="s">
        <v>3046</v>
      </c>
      <c r="H5" s="107">
        <f t="shared" si="0"/>
        <v>0</v>
      </c>
      <c r="I5" s="107" t="s">
        <v>19</v>
      </c>
      <c r="J5" s="107" t="s">
        <v>3053</v>
      </c>
      <c r="K5" s="107" t="s">
        <v>327</v>
      </c>
      <c r="L5" s="107">
        <v>3930468.7354939762</v>
      </c>
      <c r="M5" s="107" t="s">
        <v>14</v>
      </c>
      <c r="N5" s="107"/>
      <c r="O5" s="107"/>
      <c r="P5" s="107"/>
    </row>
    <row r="6" spans="1:77" hidden="1" x14ac:dyDescent="0.3">
      <c r="A6" s="107" t="s">
        <v>3054</v>
      </c>
      <c r="B6" s="107" t="s">
        <v>679</v>
      </c>
      <c r="C6" s="107" t="s">
        <v>161</v>
      </c>
      <c r="D6" s="107" t="s">
        <v>293</v>
      </c>
      <c r="E6" s="107" t="s">
        <v>310</v>
      </c>
      <c r="F6" s="107" t="s">
        <v>293</v>
      </c>
      <c r="G6" s="107" t="s">
        <v>3046</v>
      </c>
      <c r="H6" s="107">
        <f t="shared" si="0"/>
        <v>0</v>
      </c>
      <c r="I6" s="107" t="s">
        <v>19</v>
      </c>
      <c r="J6" s="107" t="s">
        <v>3055</v>
      </c>
      <c r="K6" s="107" t="s">
        <v>327</v>
      </c>
      <c r="L6" s="107">
        <v>7074843.7238891572</v>
      </c>
      <c r="M6" s="107" t="s">
        <v>14</v>
      </c>
      <c r="N6" s="107"/>
      <c r="O6" s="107"/>
      <c r="P6" s="107"/>
    </row>
    <row r="7" spans="1:77" hidden="1" x14ac:dyDescent="0.3">
      <c r="A7" s="107" t="s">
        <v>3054</v>
      </c>
      <c r="B7" s="107" t="s">
        <v>679</v>
      </c>
      <c r="C7" s="107" t="s">
        <v>161</v>
      </c>
      <c r="D7" s="107" t="s">
        <v>281</v>
      </c>
      <c r="E7" s="107" t="s">
        <v>310</v>
      </c>
      <c r="F7" s="107" t="s">
        <v>293</v>
      </c>
      <c r="G7" s="107" t="s">
        <v>3046</v>
      </c>
      <c r="H7" s="107">
        <f t="shared" si="0"/>
        <v>0</v>
      </c>
      <c r="I7" s="107" t="s">
        <v>19</v>
      </c>
      <c r="J7" s="107" t="s">
        <v>3055</v>
      </c>
      <c r="K7" s="107" t="s">
        <v>327</v>
      </c>
      <c r="L7" s="107">
        <v>7074843.7238891572</v>
      </c>
      <c r="M7" s="107" t="s">
        <v>14</v>
      </c>
      <c r="N7" s="107"/>
      <c r="O7" s="107"/>
      <c r="P7" s="107"/>
    </row>
    <row r="8" spans="1:77" x14ac:dyDescent="0.3">
      <c r="A8" s="107" t="s">
        <v>3056</v>
      </c>
      <c r="B8" s="107" t="s">
        <v>870</v>
      </c>
      <c r="C8" s="107" t="s">
        <v>169</v>
      </c>
      <c r="D8" s="107" t="s">
        <v>293</v>
      </c>
      <c r="E8" s="107" t="s">
        <v>310</v>
      </c>
      <c r="F8" s="107" t="s">
        <v>3077</v>
      </c>
      <c r="G8" s="107" t="s">
        <v>3057</v>
      </c>
      <c r="H8" s="107">
        <f t="shared" si="0"/>
        <v>1</v>
      </c>
      <c r="I8" s="107" t="s">
        <v>19</v>
      </c>
      <c r="J8" s="107" t="s">
        <v>3058</v>
      </c>
      <c r="K8" s="107" t="s">
        <v>327</v>
      </c>
      <c r="L8" s="107">
        <v>1808015.6183272291</v>
      </c>
      <c r="M8" s="107" t="s">
        <v>14</v>
      </c>
      <c r="N8" s="107"/>
      <c r="O8" s="107"/>
      <c r="P8" s="107"/>
    </row>
    <row r="9" spans="1:77" x14ac:dyDescent="0.3">
      <c r="A9" s="107" t="s">
        <v>3056</v>
      </c>
      <c r="B9" s="107" t="s">
        <v>870</v>
      </c>
      <c r="C9" s="107" t="s">
        <v>169</v>
      </c>
      <c r="D9" s="107" t="s">
        <v>281</v>
      </c>
      <c r="E9" s="107" t="s">
        <v>310</v>
      </c>
      <c r="F9" s="107" t="s">
        <v>3077</v>
      </c>
      <c r="G9" s="107" t="s">
        <v>3057</v>
      </c>
      <c r="H9" s="107">
        <f t="shared" si="0"/>
        <v>1</v>
      </c>
      <c r="I9" s="107" t="s">
        <v>19</v>
      </c>
      <c r="J9" s="107" t="s">
        <v>3058</v>
      </c>
      <c r="K9" s="107" t="s">
        <v>327</v>
      </c>
      <c r="L9" s="107">
        <v>1808015.6183272291</v>
      </c>
      <c r="M9" s="107" t="s">
        <v>14</v>
      </c>
      <c r="N9" s="107"/>
      <c r="O9" s="107"/>
      <c r="P9" s="107"/>
    </row>
    <row r="10" spans="1:77" x14ac:dyDescent="0.3">
      <c r="A10" s="107" t="s">
        <v>3059</v>
      </c>
      <c r="B10" s="107" t="s">
        <v>1007</v>
      </c>
      <c r="C10" s="107" t="s">
        <v>180</v>
      </c>
      <c r="D10" s="107" t="s">
        <v>293</v>
      </c>
      <c r="E10" s="107" t="s">
        <v>310</v>
      </c>
      <c r="F10" s="107" t="s">
        <v>293</v>
      </c>
      <c r="G10" s="107" t="s">
        <v>3046</v>
      </c>
      <c r="H10" s="107">
        <f t="shared" si="0"/>
        <v>1</v>
      </c>
      <c r="I10" s="107" t="s">
        <v>19</v>
      </c>
      <c r="J10" s="107" t="s">
        <v>3060</v>
      </c>
      <c r="K10" s="107" t="s">
        <v>327</v>
      </c>
      <c r="L10" s="107">
        <v>4700840.607650795</v>
      </c>
      <c r="M10" s="107" t="s">
        <v>14</v>
      </c>
      <c r="N10" s="107"/>
      <c r="O10" s="107"/>
      <c r="P10" s="107"/>
    </row>
    <row r="11" spans="1:77" x14ac:dyDescent="0.3">
      <c r="A11" s="107" t="s">
        <v>3059</v>
      </c>
      <c r="B11" s="107" t="s">
        <v>1007</v>
      </c>
      <c r="C11" s="107" t="s">
        <v>180</v>
      </c>
      <c r="D11" s="107" t="s">
        <v>281</v>
      </c>
      <c r="E11" s="107" t="s">
        <v>310</v>
      </c>
      <c r="F11" s="107" t="s">
        <v>293</v>
      </c>
      <c r="G11" s="107" t="s">
        <v>3046</v>
      </c>
      <c r="H11" s="107">
        <f t="shared" si="0"/>
        <v>1</v>
      </c>
      <c r="I11" s="107" t="s">
        <v>19</v>
      </c>
      <c r="J11" s="107" t="s">
        <v>3060</v>
      </c>
      <c r="K11" s="107" t="s">
        <v>327</v>
      </c>
      <c r="L11" s="107">
        <v>4700840.607650795</v>
      </c>
      <c r="M11" s="107" t="s">
        <v>14</v>
      </c>
      <c r="N11" s="107"/>
      <c r="O11" s="107"/>
      <c r="P11" s="107"/>
    </row>
    <row r="12" spans="1:77" hidden="1" x14ac:dyDescent="0.3">
      <c r="A12" s="107" t="s">
        <v>3061</v>
      </c>
      <c r="B12" s="107" t="s">
        <v>3062</v>
      </c>
      <c r="C12" s="107" t="s">
        <v>149</v>
      </c>
      <c r="D12" s="107" t="s">
        <v>293</v>
      </c>
      <c r="E12" s="107" t="s">
        <v>310</v>
      </c>
      <c r="F12" s="107" t="s">
        <v>293</v>
      </c>
      <c r="G12" s="107" t="s">
        <v>3063</v>
      </c>
      <c r="H12" s="107">
        <f t="shared" si="0"/>
        <v>0</v>
      </c>
      <c r="I12" s="107" t="s">
        <v>19</v>
      </c>
      <c r="J12" s="107" t="s">
        <v>3064</v>
      </c>
      <c r="K12" s="107" t="s">
        <v>327</v>
      </c>
      <c r="L12" s="107">
        <v>5345437.4802718069</v>
      </c>
      <c r="M12" s="107" t="s">
        <v>14</v>
      </c>
      <c r="N12" s="107"/>
      <c r="O12" s="107"/>
      <c r="P12" s="107"/>
    </row>
    <row r="13" spans="1:77" hidden="1" x14ac:dyDescent="0.3">
      <c r="A13" s="107" t="s">
        <v>3061</v>
      </c>
      <c r="B13" s="107" t="s">
        <v>3062</v>
      </c>
      <c r="C13" s="107" t="s">
        <v>149</v>
      </c>
      <c r="D13" s="107" t="s">
        <v>281</v>
      </c>
      <c r="E13" s="107" t="s">
        <v>310</v>
      </c>
      <c r="F13" s="107" t="s">
        <v>293</v>
      </c>
      <c r="G13" s="107" t="s">
        <v>3063</v>
      </c>
      <c r="H13" s="107">
        <f t="shared" si="0"/>
        <v>0</v>
      </c>
      <c r="I13" s="107" t="s">
        <v>19</v>
      </c>
      <c r="J13" s="107" t="s">
        <v>3064</v>
      </c>
      <c r="K13" s="107" t="s">
        <v>327</v>
      </c>
      <c r="L13" s="107">
        <v>5345437.4802718069</v>
      </c>
      <c r="M13" s="107" t="s">
        <v>14</v>
      </c>
      <c r="N13" s="107"/>
      <c r="O13" s="107"/>
      <c r="P13" s="107"/>
    </row>
    <row r="14" spans="1:77" hidden="1" x14ac:dyDescent="0.3">
      <c r="A14" s="107" t="s">
        <v>3065</v>
      </c>
      <c r="B14" s="107" t="s">
        <v>3066</v>
      </c>
      <c r="C14" s="107" t="s">
        <v>158</v>
      </c>
      <c r="D14" s="107" t="s">
        <v>293</v>
      </c>
      <c r="E14" s="107" t="s">
        <v>310</v>
      </c>
      <c r="F14" s="107" t="s">
        <v>293</v>
      </c>
      <c r="G14" s="107" t="s">
        <v>3046</v>
      </c>
      <c r="H14" s="107">
        <f t="shared" si="0"/>
        <v>0</v>
      </c>
      <c r="I14" s="107" t="s">
        <v>19</v>
      </c>
      <c r="J14" s="107" t="s">
        <v>3067</v>
      </c>
      <c r="K14" s="107" t="s">
        <v>327</v>
      </c>
      <c r="L14" s="107">
        <v>282993.74895556626</v>
      </c>
      <c r="M14" s="107" t="s">
        <v>14</v>
      </c>
      <c r="N14" s="107"/>
      <c r="O14" s="107"/>
      <c r="P14" s="107"/>
    </row>
    <row r="15" spans="1:77" hidden="1" x14ac:dyDescent="0.3">
      <c r="A15" s="107" t="s">
        <v>3065</v>
      </c>
      <c r="B15" s="107" t="s">
        <v>3066</v>
      </c>
      <c r="C15" s="107" t="s">
        <v>158</v>
      </c>
      <c r="D15" s="107" t="s">
        <v>281</v>
      </c>
      <c r="E15" s="107" t="s">
        <v>310</v>
      </c>
      <c r="F15" s="107" t="s">
        <v>293</v>
      </c>
      <c r="G15" s="107" t="s">
        <v>3046</v>
      </c>
      <c r="H15" s="107">
        <f t="shared" si="0"/>
        <v>0</v>
      </c>
      <c r="I15" s="107" t="s">
        <v>19</v>
      </c>
      <c r="J15" s="107" t="s">
        <v>3067</v>
      </c>
      <c r="K15" s="107" t="s">
        <v>327</v>
      </c>
      <c r="L15" s="107">
        <v>282993.74895556626</v>
      </c>
      <c r="M15" s="107" t="s">
        <v>14</v>
      </c>
      <c r="N15" s="107"/>
      <c r="O15" s="107"/>
      <c r="P15" s="107"/>
    </row>
    <row r="16" spans="1:77" hidden="1" x14ac:dyDescent="0.3">
      <c r="A16" s="107" t="s">
        <v>3068</v>
      </c>
      <c r="B16" s="107" t="s">
        <v>999</v>
      </c>
      <c r="C16" s="107" t="s">
        <v>161</v>
      </c>
      <c r="D16" s="107" t="s">
        <v>293</v>
      </c>
      <c r="E16" s="107" t="s">
        <v>310</v>
      </c>
      <c r="F16" s="107" t="s">
        <v>293</v>
      </c>
      <c r="G16" s="107" t="s">
        <v>3069</v>
      </c>
      <c r="H16" s="107">
        <f t="shared" si="0"/>
        <v>0</v>
      </c>
      <c r="I16" s="107" t="s">
        <v>19</v>
      </c>
      <c r="J16" s="107" t="s">
        <v>3070</v>
      </c>
      <c r="K16" s="107" t="s">
        <v>327</v>
      </c>
      <c r="L16" s="107">
        <v>707484.37238891562</v>
      </c>
      <c r="M16" s="107" t="s">
        <v>14</v>
      </c>
      <c r="N16" s="107"/>
      <c r="O16" s="107"/>
      <c r="P16" s="107"/>
    </row>
    <row r="17" spans="1:16" hidden="1" x14ac:dyDescent="0.3">
      <c r="A17" s="107" t="s">
        <v>3068</v>
      </c>
      <c r="B17" s="107" t="s">
        <v>999</v>
      </c>
      <c r="C17" s="107" t="s">
        <v>161</v>
      </c>
      <c r="D17" s="107" t="s">
        <v>281</v>
      </c>
      <c r="E17" s="107" t="s">
        <v>310</v>
      </c>
      <c r="F17" s="107" t="s">
        <v>293</v>
      </c>
      <c r="G17" s="107" t="s">
        <v>3069</v>
      </c>
      <c r="H17" s="107">
        <f t="shared" si="0"/>
        <v>0</v>
      </c>
      <c r="I17" s="107" t="s">
        <v>19</v>
      </c>
      <c r="J17" s="107" t="s">
        <v>3070</v>
      </c>
      <c r="K17" s="107" t="s">
        <v>327</v>
      </c>
      <c r="L17" s="107">
        <v>707484.37238891562</v>
      </c>
      <c r="M17" s="107" t="s">
        <v>14</v>
      </c>
      <c r="N17" s="107"/>
      <c r="O17" s="107"/>
      <c r="P17" s="107"/>
    </row>
    <row r="18" spans="1:16" hidden="1" x14ac:dyDescent="0.3">
      <c r="A18" s="107" t="s">
        <v>3071</v>
      </c>
      <c r="B18" s="107" t="s">
        <v>657</v>
      </c>
      <c r="C18" s="107" t="s">
        <v>186</v>
      </c>
      <c r="D18" s="107" t="s">
        <v>293</v>
      </c>
      <c r="E18" s="107" t="s">
        <v>310</v>
      </c>
      <c r="F18" s="107" t="s">
        <v>293</v>
      </c>
      <c r="G18" s="107" t="s">
        <v>3049</v>
      </c>
      <c r="H18" s="107">
        <f t="shared" si="0"/>
        <v>0</v>
      </c>
      <c r="I18" s="107" t="s">
        <v>19</v>
      </c>
      <c r="J18" s="107" t="s">
        <v>3072</v>
      </c>
      <c r="K18" s="107" t="s">
        <v>327</v>
      </c>
      <c r="L18" s="107">
        <v>1965234.3677469881</v>
      </c>
      <c r="M18" s="107" t="s">
        <v>14</v>
      </c>
      <c r="N18" s="107"/>
      <c r="O18" s="107"/>
      <c r="P18" s="107"/>
    </row>
    <row r="19" spans="1:16" hidden="1" x14ac:dyDescent="0.3">
      <c r="A19" s="107" t="s">
        <v>3071</v>
      </c>
      <c r="B19" s="107" t="s">
        <v>657</v>
      </c>
      <c r="C19" s="107" t="s">
        <v>186</v>
      </c>
      <c r="D19" s="107" t="s">
        <v>281</v>
      </c>
      <c r="E19" s="107" t="s">
        <v>310</v>
      </c>
      <c r="F19" s="107" t="s">
        <v>293</v>
      </c>
      <c r="G19" s="107" t="s">
        <v>3049</v>
      </c>
      <c r="H19" s="107">
        <f t="shared" si="0"/>
        <v>0</v>
      </c>
      <c r="I19" s="107" t="s">
        <v>19</v>
      </c>
      <c r="J19" s="107" t="s">
        <v>3072</v>
      </c>
      <c r="K19" s="107" t="s">
        <v>327</v>
      </c>
      <c r="L19" s="107">
        <v>1965234.3677469881</v>
      </c>
      <c r="M19" s="107" t="s">
        <v>14</v>
      </c>
      <c r="N19" s="107"/>
      <c r="O19" s="107"/>
      <c r="P19" s="107"/>
    </row>
    <row r="20" spans="1:16" hidden="1" x14ac:dyDescent="0.3">
      <c r="A20" s="107" t="s">
        <v>3073</v>
      </c>
      <c r="B20" s="107" t="s">
        <v>3074</v>
      </c>
      <c r="C20" s="107" t="s">
        <v>149</v>
      </c>
      <c r="D20" s="107" t="s">
        <v>293</v>
      </c>
      <c r="E20" s="107" t="s">
        <v>310</v>
      </c>
      <c r="F20" s="107" t="s">
        <v>293</v>
      </c>
      <c r="G20" s="107" t="s">
        <v>3069</v>
      </c>
      <c r="H20" s="107">
        <f t="shared" si="0"/>
        <v>0</v>
      </c>
      <c r="I20" s="107" t="s">
        <v>19</v>
      </c>
      <c r="J20" s="107" t="s">
        <v>3075</v>
      </c>
      <c r="K20" s="107" t="s">
        <v>327</v>
      </c>
      <c r="L20" s="107">
        <v>2672718.7401359035</v>
      </c>
      <c r="M20" s="107" t="s">
        <v>14</v>
      </c>
      <c r="N20" s="107"/>
      <c r="O20" s="107"/>
      <c r="P20" s="107"/>
    </row>
    <row r="21" spans="1:16" hidden="1" x14ac:dyDescent="0.3">
      <c r="A21" s="107" t="s">
        <v>3073</v>
      </c>
      <c r="B21" s="107" t="s">
        <v>3074</v>
      </c>
      <c r="C21" s="107" t="s">
        <v>149</v>
      </c>
      <c r="D21" s="107" t="s">
        <v>281</v>
      </c>
      <c r="E21" s="107" t="s">
        <v>310</v>
      </c>
      <c r="F21" s="107" t="s">
        <v>293</v>
      </c>
      <c r="G21" s="107" t="s">
        <v>3069</v>
      </c>
      <c r="H21" s="107">
        <f t="shared" si="0"/>
        <v>0</v>
      </c>
      <c r="I21" s="107" t="s">
        <v>19</v>
      </c>
      <c r="J21" s="107" t="s">
        <v>3075</v>
      </c>
      <c r="K21" s="107" t="s">
        <v>327</v>
      </c>
      <c r="L21" s="107">
        <v>2672718.7401359035</v>
      </c>
      <c r="M21" s="107" t="s">
        <v>14</v>
      </c>
      <c r="N21" s="107"/>
      <c r="O21" s="107"/>
      <c r="P21" s="107"/>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BX1385"/>
  <sheetViews>
    <sheetView topLeftCell="A1386" workbookViewId="0"/>
  </sheetViews>
  <sheetFormatPr defaultRowHeight="14.4" x14ac:dyDescent="0.3"/>
  <cols>
    <col min="1" max="1" width="15.21875" bestFit="1" customWidth="1"/>
    <col min="2" max="2" width="18.77734375" bestFit="1" customWidth="1"/>
    <col min="3" max="3" width="36.5546875" bestFit="1" customWidth="1"/>
    <col min="4" max="4" width="10.21875" bestFit="1" customWidth="1"/>
    <col min="5" max="5" width="14.21875" customWidth="1"/>
    <col min="6" max="6" width="15.21875" customWidth="1"/>
    <col min="7" max="7" width="22.77734375" customWidth="1"/>
    <col min="8" max="8" width="16" customWidth="1"/>
    <col min="11" max="11" width="14.5546875" customWidth="1"/>
    <col min="12" max="12" width="14.21875" customWidth="1"/>
  </cols>
  <sheetData>
    <row r="1" spans="1:76" s="102" customFormat="1" ht="28.8" x14ac:dyDescent="0.3">
      <c r="A1" s="109" t="s">
        <v>145</v>
      </c>
      <c r="B1" s="109" t="s">
        <v>440</v>
      </c>
      <c r="C1" s="109" t="s">
        <v>1248</v>
      </c>
      <c r="D1" s="122" t="s">
        <v>321</v>
      </c>
      <c r="E1" s="110" t="s">
        <v>25</v>
      </c>
      <c r="F1" s="110" t="s">
        <v>35</v>
      </c>
      <c r="G1" s="110" t="s">
        <v>31</v>
      </c>
      <c r="H1" s="100" t="s">
        <v>24</v>
      </c>
      <c r="I1" s="100" t="s">
        <v>36</v>
      </c>
      <c r="J1" s="100" t="s">
        <v>44</v>
      </c>
      <c r="K1" s="100" t="s">
        <v>196</v>
      </c>
      <c r="L1" s="100" t="s">
        <v>45</v>
      </c>
    </row>
    <row r="2" spans="1:76" hidden="1" x14ac:dyDescent="0.3">
      <c r="A2" t="s">
        <v>146</v>
      </c>
      <c r="B2" t="s">
        <v>441</v>
      </c>
      <c r="C2" t="s">
        <v>1272</v>
      </c>
      <c r="D2">
        <f t="shared" ref="D2:D65" si="0">SIGN(SUBTOTAL(3,E2))</f>
        <v>0</v>
      </c>
      <c r="E2" t="s">
        <v>19</v>
      </c>
      <c r="F2" t="s">
        <v>1682</v>
      </c>
      <c r="G2" t="s">
        <v>326</v>
      </c>
      <c r="AC2" t="s">
        <v>3125</v>
      </c>
      <c r="AF2" t="s">
        <v>3124</v>
      </c>
      <c r="BX2" t="s">
        <v>3123</v>
      </c>
    </row>
    <row r="3" spans="1:76" hidden="1" x14ac:dyDescent="0.3">
      <c r="A3" t="s">
        <v>146</v>
      </c>
      <c r="B3" t="s">
        <v>682</v>
      </c>
      <c r="C3" t="s">
        <v>1278</v>
      </c>
      <c r="D3">
        <f t="shared" si="0"/>
        <v>0</v>
      </c>
      <c r="E3" t="s">
        <v>19</v>
      </c>
      <c r="F3" t="s">
        <v>1704</v>
      </c>
      <c r="G3" t="s">
        <v>326</v>
      </c>
    </row>
    <row r="4" spans="1:76" hidden="1" x14ac:dyDescent="0.3">
      <c r="A4" t="s">
        <v>146</v>
      </c>
      <c r="B4" t="s">
        <v>683</v>
      </c>
      <c r="C4" t="s">
        <v>1278</v>
      </c>
      <c r="D4">
        <f t="shared" si="0"/>
        <v>0</v>
      </c>
      <c r="E4" t="s">
        <v>19</v>
      </c>
      <c r="F4" t="s">
        <v>1705</v>
      </c>
      <c r="G4" t="s">
        <v>326</v>
      </c>
    </row>
    <row r="5" spans="1:76" hidden="1" x14ac:dyDescent="0.3">
      <c r="A5" t="s">
        <v>146</v>
      </c>
      <c r="B5" t="s">
        <v>441</v>
      </c>
      <c r="C5" t="s">
        <v>1285</v>
      </c>
      <c r="D5">
        <f t="shared" si="0"/>
        <v>0</v>
      </c>
      <c r="E5" t="s">
        <v>19</v>
      </c>
      <c r="F5" t="s">
        <v>1716</v>
      </c>
      <c r="G5" t="s">
        <v>326</v>
      </c>
    </row>
    <row r="6" spans="1:76" hidden="1" x14ac:dyDescent="0.3">
      <c r="A6" t="s">
        <v>146</v>
      </c>
      <c r="B6" t="s">
        <v>441</v>
      </c>
      <c r="C6" t="s">
        <v>1291</v>
      </c>
      <c r="D6">
        <f t="shared" si="0"/>
        <v>0</v>
      </c>
      <c r="E6" t="s">
        <v>19</v>
      </c>
      <c r="F6" t="s">
        <v>1760</v>
      </c>
      <c r="G6" t="s">
        <v>326</v>
      </c>
    </row>
    <row r="7" spans="1:76" hidden="1" x14ac:dyDescent="0.3">
      <c r="A7" t="s">
        <v>146</v>
      </c>
      <c r="B7" t="s">
        <v>734</v>
      </c>
      <c r="C7" t="s">
        <v>1294</v>
      </c>
      <c r="D7">
        <f t="shared" si="0"/>
        <v>0</v>
      </c>
      <c r="E7" t="s">
        <v>19</v>
      </c>
      <c r="F7" t="s">
        <v>1785</v>
      </c>
      <c r="G7" t="s">
        <v>326</v>
      </c>
    </row>
    <row r="8" spans="1:76" hidden="1" x14ac:dyDescent="0.3">
      <c r="A8" t="s">
        <v>146</v>
      </c>
      <c r="B8" t="s">
        <v>737</v>
      </c>
      <c r="C8" t="s">
        <v>1294</v>
      </c>
      <c r="D8">
        <f t="shared" si="0"/>
        <v>0</v>
      </c>
      <c r="E8" t="s">
        <v>19</v>
      </c>
      <c r="F8" t="s">
        <v>1789</v>
      </c>
      <c r="G8" t="s">
        <v>326</v>
      </c>
    </row>
    <row r="9" spans="1:76" hidden="1" x14ac:dyDescent="0.3">
      <c r="A9" t="s">
        <v>146</v>
      </c>
      <c r="B9" t="s">
        <v>738</v>
      </c>
      <c r="C9" t="s">
        <v>1294</v>
      </c>
      <c r="D9">
        <f t="shared" si="0"/>
        <v>0</v>
      </c>
      <c r="E9" t="s">
        <v>19</v>
      </c>
      <c r="F9" t="s">
        <v>1790</v>
      </c>
      <c r="G9" t="s">
        <v>326</v>
      </c>
    </row>
    <row r="10" spans="1:76" hidden="1" x14ac:dyDescent="0.3">
      <c r="A10" t="s">
        <v>146</v>
      </c>
      <c r="B10" t="s">
        <v>737</v>
      </c>
      <c r="C10" t="s">
        <v>1322</v>
      </c>
      <c r="D10">
        <f t="shared" si="0"/>
        <v>0</v>
      </c>
      <c r="E10" t="s">
        <v>19</v>
      </c>
      <c r="F10" t="s">
        <v>1867</v>
      </c>
      <c r="G10" t="s">
        <v>326</v>
      </c>
    </row>
    <row r="11" spans="1:76" hidden="1" x14ac:dyDescent="0.3">
      <c r="A11" t="s">
        <v>146</v>
      </c>
      <c r="B11" t="s">
        <v>441</v>
      </c>
      <c r="C11" t="s">
        <v>1341</v>
      </c>
      <c r="D11">
        <f t="shared" si="0"/>
        <v>0</v>
      </c>
      <c r="E11" t="s">
        <v>19</v>
      </c>
      <c r="F11" t="s">
        <v>1950</v>
      </c>
      <c r="G11" t="s">
        <v>326</v>
      </c>
    </row>
    <row r="12" spans="1:76" hidden="1" x14ac:dyDescent="0.3">
      <c r="A12" t="s">
        <v>146</v>
      </c>
      <c r="B12" t="s">
        <v>737</v>
      </c>
      <c r="C12" t="s">
        <v>1341</v>
      </c>
      <c r="D12">
        <f t="shared" si="0"/>
        <v>0</v>
      </c>
      <c r="E12" t="s">
        <v>19</v>
      </c>
      <c r="F12" t="s">
        <v>1953</v>
      </c>
      <c r="G12" t="s">
        <v>326</v>
      </c>
    </row>
    <row r="13" spans="1:76" hidden="1" x14ac:dyDescent="0.3">
      <c r="A13" t="s">
        <v>146</v>
      </c>
      <c r="B13" t="s">
        <v>441</v>
      </c>
      <c r="C13" t="s">
        <v>1347</v>
      </c>
      <c r="D13">
        <f t="shared" si="0"/>
        <v>0</v>
      </c>
      <c r="E13" t="s">
        <v>19</v>
      </c>
      <c r="F13" t="s">
        <v>2012</v>
      </c>
      <c r="G13" t="s">
        <v>326</v>
      </c>
    </row>
    <row r="14" spans="1:76" hidden="1" x14ac:dyDescent="0.3">
      <c r="A14" t="s">
        <v>146</v>
      </c>
      <c r="B14" t="s">
        <v>441</v>
      </c>
      <c r="C14" t="s">
        <v>1401</v>
      </c>
      <c r="D14">
        <f t="shared" si="0"/>
        <v>0</v>
      </c>
      <c r="E14" t="s">
        <v>19</v>
      </c>
      <c r="F14" t="s">
        <v>2174</v>
      </c>
      <c r="G14" t="s">
        <v>326</v>
      </c>
    </row>
    <row r="15" spans="1:76" hidden="1" x14ac:dyDescent="0.3">
      <c r="A15" t="s">
        <v>146</v>
      </c>
      <c r="B15" t="s">
        <v>943</v>
      </c>
      <c r="C15" t="s">
        <v>1415</v>
      </c>
      <c r="D15">
        <f t="shared" si="0"/>
        <v>0</v>
      </c>
      <c r="E15" t="s">
        <v>19</v>
      </c>
      <c r="F15" t="s">
        <v>2215</v>
      </c>
      <c r="G15" t="s">
        <v>326</v>
      </c>
    </row>
    <row r="16" spans="1:76" hidden="1" x14ac:dyDescent="0.3">
      <c r="A16" t="s">
        <v>146</v>
      </c>
      <c r="B16" t="s">
        <v>944</v>
      </c>
      <c r="C16" t="s">
        <v>1415</v>
      </c>
      <c r="D16">
        <f t="shared" si="0"/>
        <v>0</v>
      </c>
      <c r="E16" t="s">
        <v>19</v>
      </c>
      <c r="F16" t="s">
        <v>2216</v>
      </c>
      <c r="G16" t="s">
        <v>326</v>
      </c>
    </row>
    <row r="17" spans="1:7" hidden="1" x14ac:dyDescent="0.3">
      <c r="A17" t="s">
        <v>146</v>
      </c>
      <c r="B17" t="s">
        <v>971</v>
      </c>
      <c r="C17" t="s">
        <v>1421</v>
      </c>
      <c r="D17">
        <f t="shared" si="0"/>
        <v>0</v>
      </c>
      <c r="E17" t="s">
        <v>19</v>
      </c>
      <c r="F17" t="s">
        <v>2252</v>
      </c>
      <c r="G17" t="s">
        <v>326</v>
      </c>
    </row>
    <row r="18" spans="1:7" hidden="1" x14ac:dyDescent="0.3">
      <c r="A18" t="s">
        <v>146</v>
      </c>
      <c r="B18" t="s">
        <v>441</v>
      </c>
      <c r="C18" t="s">
        <v>1448</v>
      </c>
      <c r="D18">
        <f t="shared" si="0"/>
        <v>0</v>
      </c>
      <c r="E18" t="s">
        <v>19</v>
      </c>
      <c r="F18" t="s">
        <v>2322</v>
      </c>
      <c r="G18" t="s">
        <v>326</v>
      </c>
    </row>
    <row r="19" spans="1:7" hidden="1" x14ac:dyDescent="0.3">
      <c r="A19" t="s">
        <v>146</v>
      </c>
      <c r="B19" t="s">
        <v>683</v>
      </c>
      <c r="C19" t="s">
        <v>1468</v>
      </c>
      <c r="D19">
        <f t="shared" si="0"/>
        <v>0</v>
      </c>
      <c r="E19" t="s">
        <v>19</v>
      </c>
      <c r="F19" t="s">
        <v>2378</v>
      </c>
      <c r="G19" t="s">
        <v>326</v>
      </c>
    </row>
    <row r="20" spans="1:7" hidden="1" x14ac:dyDescent="0.3">
      <c r="A20" t="s">
        <v>146</v>
      </c>
      <c r="B20" t="s">
        <v>441</v>
      </c>
      <c r="C20" t="s">
        <v>1506</v>
      </c>
      <c r="D20">
        <f t="shared" si="0"/>
        <v>0</v>
      </c>
      <c r="E20" t="s">
        <v>19</v>
      </c>
      <c r="F20" t="s">
        <v>2481</v>
      </c>
      <c r="G20" t="s">
        <v>326</v>
      </c>
    </row>
    <row r="21" spans="1:7" hidden="1" x14ac:dyDescent="0.3">
      <c r="A21" t="s">
        <v>146</v>
      </c>
      <c r="B21" t="s">
        <v>737</v>
      </c>
      <c r="C21" t="s">
        <v>1517</v>
      </c>
      <c r="D21">
        <f t="shared" si="0"/>
        <v>0</v>
      </c>
      <c r="E21" t="s">
        <v>19</v>
      </c>
      <c r="F21" t="s">
        <v>2498</v>
      </c>
      <c r="G21" t="s">
        <v>326</v>
      </c>
    </row>
    <row r="22" spans="1:7" hidden="1" x14ac:dyDescent="0.3">
      <c r="A22" t="s">
        <v>146</v>
      </c>
      <c r="B22" t="s">
        <v>1071</v>
      </c>
      <c r="C22" t="s">
        <v>1517</v>
      </c>
      <c r="D22">
        <f t="shared" si="0"/>
        <v>0</v>
      </c>
      <c r="E22" t="s">
        <v>19</v>
      </c>
      <c r="F22" t="s">
        <v>2499</v>
      </c>
      <c r="G22" t="s">
        <v>326</v>
      </c>
    </row>
    <row r="23" spans="1:7" hidden="1" x14ac:dyDescent="0.3">
      <c r="A23" t="s">
        <v>146</v>
      </c>
      <c r="B23" t="s">
        <v>441</v>
      </c>
      <c r="C23" t="s">
        <v>1528</v>
      </c>
      <c r="D23">
        <f t="shared" si="0"/>
        <v>0</v>
      </c>
      <c r="E23" t="s">
        <v>19</v>
      </c>
      <c r="F23" t="s">
        <v>2621</v>
      </c>
      <c r="G23" t="s">
        <v>326</v>
      </c>
    </row>
    <row r="24" spans="1:7" hidden="1" x14ac:dyDescent="0.3">
      <c r="A24" t="s">
        <v>146</v>
      </c>
      <c r="B24" t="s">
        <v>737</v>
      </c>
      <c r="C24" t="s">
        <v>1528</v>
      </c>
      <c r="D24">
        <f t="shared" si="0"/>
        <v>0</v>
      </c>
      <c r="E24" t="s">
        <v>19</v>
      </c>
      <c r="F24" t="s">
        <v>2623</v>
      </c>
      <c r="G24" t="s">
        <v>326</v>
      </c>
    </row>
    <row r="25" spans="1:7" hidden="1" x14ac:dyDescent="0.3">
      <c r="A25" t="s">
        <v>146</v>
      </c>
      <c r="B25" t="s">
        <v>683</v>
      </c>
      <c r="C25" t="s">
        <v>1533</v>
      </c>
      <c r="D25">
        <f t="shared" si="0"/>
        <v>0</v>
      </c>
      <c r="E25" t="s">
        <v>19</v>
      </c>
      <c r="F25" t="s">
        <v>2660</v>
      </c>
      <c r="G25" t="s">
        <v>326</v>
      </c>
    </row>
    <row r="26" spans="1:7" hidden="1" x14ac:dyDescent="0.3">
      <c r="A26" t="s">
        <v>146</v>
      </c>
      <c r="B26" t="s">
        <v>1132</v>
      </c>
      <c r="C26" t="s">
        <v>1533</v>
      </c>
      <c r="D26">
        <f t="shared" si="0"/>
        <v>0</v>
      </c>
      <c r="E26" t="s">
        <v>19</v>
      </c>
      <c r="F26" t="s">
        <v>2661</v>
      </c>
      <c r="G26" t="s">
        <v>326</v>
      </c>
    </row>
    <row r="27" spans="1:7" hidden="1" x14ac:dyDescent="0.3">
      <c r="A27" t="s">
        <v>146</v>
      </c>
      <c r="B27" t="s">
        <v>683</v>
      </c>
      <c r="C27" t="s">
        <v>1540</v>
      </c>
      <c r="D27">
        <f t="shared" si="0"/>
        <v>0</v>
      </c>
      <c r="E27" t="s">
        <v>19</v>
      </c>
      <c r="F27" t="s">
        <v>2681</v>
      </c>
      <c r="G27" t="s">
        <v>326</v>
      </c>
    </row>
    <row r="28" spans="1:7" hidden="1" x14ac:dyDescent="0.3">
      <c r="A28" t="s">
        <v>146</v>
      </c>
      <c r="B28" t="s">
        <v>683</v>
      </c>
      <c r="C28" t="s">
        <v>1540</v>
      </c>
      <c r="D28">
        <f t="shared" si="0"/>
        <v>0</v>
      </c>
      <c r="E28" t="s">
        <v>19</v>
      </c>
      <c r="F28" t="s">
        <v>2682</v>
      </c>
      <c r="G28" t="s">
        <v>326</v>
      </c>
    </row>
    <row r="29" spans="1:7" hidden="1" x14ac:dyDescent="0.3">
      <c r="A29" t="s">
        <v>146</v>
      </c>
      <c r="B29" t="s">
        <v>441</v>
      </c>
      <c r="C29" t="s">
        <v>1576</v>
      </c>
      <c r="D29">
        <f t="shared" si="0"/>
        <v>0</v>
      </c>
      <c r="E29" t="s">
        <v>19</v>
      </c>
      <c r="F29" t="s">
        <v>2814</v>
      </c>
      <c r="G29" t="s">
        <v>326</v>
      </c>
    </row>
    <row r="30" spans="1:7" hidden="1" x14ac:dyDescent="0.3">
      <c r="A30" t="s">
        <v>146</v>
      </c>
      <c r="B30" t="s">
        <v>441</v>
      </c>
      <c r="C30" t="s">
        <v>1593</v>
      </c>
      <c r="D30">
        <f t="shared" si="0"/>
        <v>0</v>
      </c>
      <c r="E30" t="s">
        <v>19</v>
      </c>
      <c r="F30" t="s">
        <v>2868</v>
      </c>
      <c r="G30" t="s">
        <v>326</v>
      </c>
    </row>
    <row r="31" spans="1:7" hidden="1" x14ac:dyDescent="0.3">
      <c r="A31" t="s">
        <v>146</v>
      </c>
      <c r="B31" t="s">
        <v>737</v>
      </c>
      <c r="C31" t="s">
        <v>1602</v>
      </c>
      <c r="D31">
        <f t="shared" si="0"/>
        <v>0</v>
      </c>
      <c r="E31" t="s">
        <v>19</v>
      </c>
      <c r="F31" t="s">
        <v>2902</v>
      </c>
      <c r="G31" t="s">
        <v>326</v>
      </c>
    </row>
    <row r="32" spans="1:7" hidden="1" x14ac:dyDescent="0.3">
      <c r="A32" t="s">
        <v>146</v>
      </c>
      <c r="B32" t="s">
        <v>1204</v>
      </c>
      <c r="C32" t="s">
        <v>1630</v>
      </c>
      <c r="D32">
        <f t="shared" si="0"/>
        <v>0</v>
      </c>
      <c r="E32" t="s">
        <v>19</v>
      </c>
      <c r="F32" t="s">
        <v>3001</v>
      </c>
      <c r="G32" t="s">
        <v>326</v>
      </c>
    </row>
    <row r="33" spans="1:7" hidden="1" x14ac:dyDescent="0.3">
      <c r="A33" t="s">
        <v>146</v>
      </c>
      <c r="B33" t="s">
        <v>1239</v>
      </c>
      <c r="C33" t="s">
        <v>1639</v>
      </c>
      <c r="D33">
        <f t="shared" si="0"/>
        <v>0</v>
      </c>
      <c r="E33" t="s">
        <v>19</v>
      </c>
      <c r="F33" t="s">
        <v>3015</v>
      </c>
      <c r="G33" t="s">
        <v>326</v>
      </c>
    </row>
    <row r="34" spans="1:7" hidden="1" x14ac:dyDescent="0.3">
      <c r="A34" t="s">
        <v>146</v>
      </c>
      <c r="B34" t="s">
        <v>1244</v>
      </c>
      <c r="C34" t="s">
        <v>1646</v>
      </c>
      <c r="D34">
        <f t="shared" si="0"/>
        <v>0</v>
      </c>
      <c r="E34" t="s">
        <v>19</v>
      </c>
      <c r="F34" t="s">
        <v>3028</v>
      </c>
      <c r="G34" t="s">
        <v>326</v>
      </c>
    </row>
    <row r="35" spans="1:7" hidden="1" x14ac:dyDescent="0.3">
      <c r="A35" t="s">
        <v>146</v>
      </c>
      <c r="B35" t="s">
        <v>682</v>
      </c>
      <c r="C35" t="s">
        <v>1646</v>
      </c>
      <c r="D35">
        <f t="shared" si="0"/>
        <v>0</v>
      </c>
      <c r="E35" t="s">
        <v>19</v>
      </c>
      <c r="F35" t="s">
        <v>3029</v>
      </c>
      <c r="G35" t="s">
        <v>326</v>
      </c>
    </row>
    <row r="36" spans="1:7" hidden="1" x14ac:dyDescent="0.3">
      <c r="A36" t="s">
        <v>146</v>
      </c>
      <c r="B36" t="s">
        <v>683</v>
      </c>
      <c r="C36" t="s">
        <v>1646</v>
      </c>
      <c r="D36">
        <f t="shared" si="0"/>
        <v>0</v>
      </c>
      <c r="E36" t="s">
        <v>19</v>
      </c>
      <c r="F36" t="s">
        <v>3030</v>
      </c>
      <c r="G36" t="s">
        <v>326</v>
      </c>
    </row>
    <row r="37" spans="1:7" hidden="1" x14ac:dyDescent="0.3">
      <c r="A37" t="s">
        <v>147</v>
      </c>
      <c r="B37" t="s">
        <v>443</v>
      </c>
      <c r="C37" t="s">
        <v>1290</v>
      </c>
      <c r="D37">
        <f t="shared" si="0"/>
        <v>0</v>
      </c>
      <c r="E37" t="s">
        <v>19</v>
      </c>
      <c r="F37" t="s">
        <v>1759</v>
      </c>
      <c r="G37" t="s">
        <v>326</v>
      </c>
    </row>
    <row r="38" spans="1:7" hidden="1" x14ac:dyDescent="0.3">
      <c r="A38" t="s">
        <v>147</v>
      </c>
      <c r="B38" t="s">
        <v>443</v>
      </c>
      <c r="C38" t="s">
        <v>1303</v>
      </c>
      <c r="D38">
        <f t="shared" si="0"/>
        <v>0</v>
      </c>
      <c r="E38" t="s">
        <v>19</v>
      </c>
      <c r="F38" t="s">
        <v>1816</v>
      </c>
      <c r="G38" t="s">
        <v>326</v>
      </c>
    </row>
    <row r="39" spans="1:7" hidden="1" x14ac:dyDescent="0.3">
      <c r="A39" t="s">
        <v>147</v>
      </c>
      <c r="B39" t="s">
        <v>443</v>
      </c>
      <c r="C39" t="s">
        <v>1350</v>
      </c>
      <c r="D39">
        <f t="shared" si="0"/>
        <v>0</v>
      </c>
      <c r="E39" t="s">
        <v>19</v>
      </c>
      <c r="F39" t="s">
        <v>2015</v>
      </c>
      <c r="G39" t="s">
        <v>326</v>
      </c>
    </row>
    <row r="40" spans="1:7" hidden="1" x14ac:dyDescent="0.3">
      <c r="A40" t="s">
        <v>147</v>
      </c>
      <c r="B40" t="s">
        <v>937</v>
      </c>
      <c r="C40" t="s">
        <v>1412</v>
      </c>
      <c r="D40">
        <f t="shared" si="0"/>
        <v>0</v>
      </c>
      <c r="E40" t="s">
        <v>19</v>
      </c>
      <c r="F40" t="s">
        <v>2207</v>
      </c>
      <c r="G40" t="s">
        <v>326</v>
      </c>
    </row>
    <row r="41" spans="1:7" hidden="1" x14ac:dyDescent="0.3">
      <c r="A41" t="s">
        <v>147</v>
      </c>
      <c r="B41" t="s">
        <v>941</v>
      </c>
      <c r="C41" t="s">
        <v>1412</v>
      </c>
      <c r="D41">
        <f t="shared" si="0"/>
        <v>0</v>
      </c>
      <c r="E41" t="s">
        <v>19</v>
      </c>
      <c r="F41" t="s">
        <v>2212</v>
      </c>
      <c r="G41" t="s">
        <v>326</v>
      </c>
    </row>
    <row r="42" spans="1:7" hidden="1" x14ac:dyDescent="0.3">
      <c r="A42" t="s">
        <v>147</v>
      </c>
      <c r="B42" t="s">
        <v>1028</v>
      </c>
      <c r="C42" t="s">
        <v>1464</v>
      </c>
      <c r="D42">
        <f t="shared" si="0"/>
        <v>0</v>
      </c>
      <c r="E42" t="s">
        <v>19</v>
      </c>
      <c r="F42" t="s">
        <v>2371</v>
      </c>
      <c r="G42" t="s">
        <v>326</v>
      </c>
    </row>
    <row r="43" spans="1:7" hidden="1" x14ac:dyDescent="0.3">
      <c r="A43" t="s">
        <v>147</v>
      </c>
      <c r="B43" t="s">
        <v>444</v>
      </c>
      <c r="C43" t="s">
        <v>1492</v>
      </c>
      <c r="D43">
        <f t="shared" si="0"/>
        <v>0</v>
      </c>
      <c r="E43" t="s">
        <v>19</v>
      </c>
      <c r="F43" t="s">
        <v>2416</v>
      </c>
      <c r="G43" t="s">
        <v>326</v>
      </c>
    </row>
    <row r="44" spans="1:7" hidden="1" x14ac:dyDescent="0.3">
      <c r="A44" t="s">
        <v>147</v>
      </c>
      <c r="B44" t="s">
        <v>443</v>
      </c>
      <c r="C44" t="s">
        <v>1492</v>
      </c>
      <c r="D44">
        <f t="shared" si="0"/>
        <v>0</v>
      </c>
      <c r="E44" t="s">
        <v>19</v>
      </c>
      <c r="F44" t="s">
        <v>2418</v>
      </c>
      <c r="G44" t="s">
        <v>326</v>
      </c>
    </row>
    <row r="45" spans="1:7" hidden="1" x14ac:dyDescent="0.3">
      <c r="A45" t="s">
        <v>147</v>
      </c>
      <c r="B45" t="s">
        <v>444</v>
      </c>
      <c r="C45" t="s">
        <v>1530</v>
      </c>
      <c r="D45">
        <f t="shared" si="0"/>
        <v>0</v>
      </c>
      <c r="E45" t="s">
        <v>19</v>
      </c>
      <c r="F45" t="s">
        <v>2653</v>
      </c>
      <c r="G45" t="s">
        <v>326</v>
      </c>
    </row>
    <row r="46" spans="1:7" hidden="1" x14ac:dyDescent="0.3">
      <c r="A46" t="s">
        <v>147</v>
      </c>
      <c r="B46" t="s">
        <v>443</v>
      </c>
      <c r="C46" t="s">
        <v>1530</v>
      </c>
      <c r="D46">
        <f t="shared" si="0"/>
        <v>0</v>
      </c>
      <c r="E46" t="s">
        <v>19</v>
      </c>
      <c r="F46" t="s">
        <v>2655</v>
      </c>
      <c r="G46" t="s">
        <v>326</v>
      </c>
    </row>
    <row r="47" spans="1:7" hidden="1" x14ac:dyDescent="0.3">
      <c r="A47" t="s">
        <v>147</v>
      </c>
      <c r="B47" t="s">
        <v>1191</v>
      </c>
      <c r="C47" t="s">
        <v>1584</v>
      </c>
      <c r="D47">
        <f t="shared" si="0"/>
        <v>0</v>
      </c>
      <c r="E47" t="s">
        <v>19</v>
      </c>
      <c r="F47" t="s">
        <v>2837</v>
      </c>
      <c r="G47" t="s">
        <v>326</v>
      </c>
    </row>
    <row r="48" spans="1:7" hidden="1" x14ac:dyDescent="0.3">
      <c r="A48" t="s">
        <v>148</v>
      </c>
      <c r="B48" t="s">
        <v>677</v>
      </c>
      <c r="C48" t="s">
        <v>1279</v>
      </c>
      <c r="D48">
        <f t="shared" si="0"/>
        <v>0</v>
      </c>
      <c r="E48" t="s">
        <v>19</v>
      </c>
      <c r="F48" t="s">
        <v>1697</v>
      </c>
      <c r="G48" t="s">
        <v>326</v>
      </c>
    </row>
    <row r="49" spans="1:7" hidden="1" x14ac:dyDescent="0.3">
      <c r="A49" t="s">
        <v>148</v>
      </c>
      <c r="B49" t="s">
        <v>680</v>
      </c>
      <c r="C49" t="s">
        <v>1278</v>
      </c>
      <c r="D49">
        <f t="shared" si="0"/>
        <v>0</v>
      </c>
      <c r="E49" t="s">
        <v>19</v>
      </c>
      <c r="F49" t="s">
        <v>1700</v>
      </c>
      <c r="G49" t="s">
        <v>326</v>
      </c>
    </row>
    <row r="50" spans="1:7" hidden="1" x14ac:dyDescent="0.3">
      <c r="A50" t="s">
        <v>148</v>
      </c>
      <c r="B50" t="s">
        <v>696</v>
      </c>
      <c r="C50" t="s">
        <v>1286</v>
      </c>
      <c r="D50">
        <f t="shared" si="0"/>
        <v>0</v>
      </c>
      <c r="E50" t="s">
        <v>19</v>
      </c>
      <c r="F50" t="s">
        <v>1730</v>
      </c>
      <c r="G50" t="s">
        <v>326</v>
      </c>
    </row>
    <row r="51" spans="1:7" hidden="1" x14ac:dyDescent="0.3">
      <c r="A51" t="s">
        <v>148</v>
      </c>
      <c r="B51" t="s">
        <v>736</v>
      </c>
      <c r="C51" t="s">
        <v>1294</v>
      </c>
      <c r="D51">
        <f t="shared" si="0"/>
        <v>0</v>
      </c>
      <c r="E51" t="s">
        <v>19</v>
      </c>
      <c r="F51" t="s">
        <v>1788</v>
      </c>
      <c r="G51" t="s">
        <v>326</v>
      </c>
    </row>
    <row r="52" spans="1:7" hidden="1" x14ac:dyDescent="0.3">
      <c r="A52" t="s">
        <v>148</v>
      </c>
      <c r="B52" t="s">
        <v>778</v>
      </c>
      <c r="C52" t="s">
        <v>1324</v>
      </c>
      <c r="D52">
        <f t="shared" si="0"/>
        <v>0</v>
      </c>
      <c r="E52" t="s">
        <v>19</v>
      </c>
      <c r="F52" t="s">
        <v>1869</v>
      </c>
      <c r="G52" t="s">
        <v>326</v>
      </c>
    </row>
    <row r="53" spans="1:7" hidden="1" x14ac:dyDescent="0.3">
      <c r="A53" t="s">
        <v>148</v>
      </c>
      <c r="B53" t="s">
        <v>677</v>
      </c>
      <c r="C53" t="s">
        <v>1340</v>
      </c>
      <c r="D53">
        <f t="shared" si="0"/>
        <v>0</v>
      </c>
      <c r="E53" t="s">
        <v>19</v>
      </c>
      <c r="F53" t="s">
        <v>1892</v>
      </c>
      <c r="G53" t="s">
        <v>326</v>
      </c>
    </row>
    <row r="54" spans="1:7" hidden="1" x14ac:dyDescent="0.3">
      <c r="A54" t="s">
        <v>148</v>
      </c>
      <c r="B54" t="s">
        <v>696</v>
      </c>
      <c r="C54" t="s">
        <v>1380</v>
      </c>
      <c r="D54">
        <f t="shared" si="0"/>
        <v>0</v>
      </c>
      <c r="E54" t="s">
        <v>19</v>
      </c>
      <c r="F54" t="s">
        <v>2100</v>
      </c>
      <c r="G54" t="s">
        <v>326</v>
      </c>
    </row>
    <row r="55" spans="1:7" hidden="1" x14ac:dyDescent="0.3">
      <c r="A55" t="s">
        <v>148</v>
      </c>
      <c r="B55" t="s">
        <v>677</v>
      </c>
      <c r="C55" t="s">
        <v>1401</v>
      </c>
      <c r="D55">
        <f t="shared" si="0"/>
        <v>0</v>
      </c>
      <c r="E55" t="s">
        <v>19</v>
      </c>
      <c r="F55" t="s">
        <v>2172</v>
      </c>
      <c r="G55" t="s">
        <v>326</v>
      </c>
    </row>
    <row r="56" spans="1:7" hidden="1" x14ac:dyDescent="0.3">
      <c r="A56" t="s">
        <v>148</v>
      </c>
      <c r="B56" t="s">
        <v>677</v>
      </c>
      <c r="C56" t="s">
        <v>1472</v>
      </c>
      <c r="D56">
        <f t="shared" si="0"/>
        <v>0</v>
      </c>
      <c r="E56" t="s">
        <v>19</v>
      </c>
      <c r="F56" t="s">
        <v>2383</v>
      </c>
      <c r="G56" t="s">
        <v>326</v>
      </c>
    </row>
    <row r="57" spans="1:7" hidden="1" x14ac:dyDescent="0.3">
      <c r="A57" t="s">
        <v>148</v>
      </c>
      <c r="B57" t="s">
        <v>1093</v>
      </c>
      <c r="C57" t="s">
        <v>1519</v>
      </c>
      <c r="D57">
        <f t="shared" si="0"/>
        <v>0</v>
      </c>
      <c r="E57" t="s">
        <v>19</v>
      </c>
      <c r="F57" t="s">
        <v>2534</v>
      </c>
      <c r="G57" t="s">
        <v>326</v>
      </c>
    </row>
    <row r="58" spans="1:7" hidden="1" x14ac:dyDescent="0.3">
      <c r="A58" t="s">
        <v>148</v>
      </c>
      <c r="B58" t="s">
        <v>677</v>
      </c>
      <c r="C58" t="s">
        <v>1518</v>
      </c>
      <c r="D58">
        <f t="shared" si="0"/>
        <v>0</v>
      </c>
      <c r="E58" t="s">
        <v>19</v>
      </c>
      <c r="F58" t="s">
        <v>2552</v>
      </c>
      <c r="G58" t="s">
        <v>326</v>
      </c>
    </row>
    <row r="59" spans="1:7" hidden="1" x14ac:dyDescent="0.3">
      <c r="A59" t="s">
        <v>148</v>
      </c>
      <c r="B59" t="s">
        <v>677</v>
      </c>
      <c r="C59" t="s">
        <v>1518</v>
      </c>
      <c r="D59">
        <f t="shared" si="0"/>
        <v>0</v>
      </c>
      <c r="E59" t="s">
        <v>19</v>
      </c>
      <c r="F59" t="s">
        <v>2553</v>
      </c>
      <c r="G59" t="s">
        <v>326</v>
      </c>
    </row>
    <row r="60" spans="1:7" hidden="1" x14ac:dyDescent="0.3">
      <c r="A60" t="s">
        <v>148</v>
      </c>
      <c r="B60" t="s">
        <v>1103</v>
      </c>
      <c r="C60" t="s">
        <v>1518</v>
      </c>
      <c r="D60">
        <f t="shared" si="0"/>
        <v>0</v>
      </c>
      <c r="E60" t="s">
        <v>19</v>
      </c>
      <c r="F60" t="s">
        <v>2554</v>
      </c>
      <c r="G60" t="s">
        <v>326</v>
      </c>
    </row>
    <row r="61" spans="1:7" hidden="1" x14ac:dyDescent="0.3">
      <c r="A61" t="s">
        <v>148</v>
      </c>
      <c r="B61" t="s">
        <v>778</v>
      </c>
      <c r="C61" t="s">
        <v>1553</v>
      </c>
      <c r="D61">
        <f t="shared" si="0"/>
        <v>0</v>
      </c>
      <c r="E61" t="s">
        <v>19</v>
      </c>
      <c r="F61" t="s">
        <v>2699</v>
      </c>
      <c r="G61" t="s">
        <v>326</v>
      </c>
    </row>
    <row r="62" spans="1:7" hidden="1" x14ac:dyDescent="0.3">
      <c r="A62" t="s">
        <v>148</v>
      </c>
      <c r="B62" t="s">
        <v>1144</v>
      </c>
      <c r="C62" t="s">
        <v>1553</v>
      </c>
      <c r="D62">
        <f t="shared" si="0"/>
        <v>0</v>
      </c>
      <c r="E62" t="s">
        <v>19</v>
      </c>
      <c r="F62" t="s">
        <v>2702</v>
      </c>
      <c r="G62" t="s">
        <v>326</v>
      </c>
    </row>
    <row r="63" spans="1:7" hidden="1" x14ac:dyDescent="0.3">
      <c r="A63" t="s">
        <v>148</v>
      </c>
      <c r="B63" t="s">
        <v>779</v>
      </c>
      <c r="C63" t="s">
        <v>1623</v>
      </c>
      <c r="D63">
        <f t="shared" si="0"/>
        <v>0</v>
      </c>
      <c r="E63" t="s">
        <v>19</v>
      </c>
      <c r="F63" t="s">
        <v>2938</v>
      </c>
      <c r="G63" t="s">
        <v>326</v>
      </c>
    </row>
    <row r="64" spans="1:7" hidden="1" x14ac:dyDescent="0.3">
      <c r="A64" t="s">
        <v>149</v>
      </c>
      <c r="B64" t="s">
        <v>658</v>
      </c>
      <c r="C64" t="s">
        <v>1254</v>
      </c>
      <c r="D64">
        <f t="shared" si="0"/>
        <v>0</v>
      </c>
      <c r="E64" t="s">
        <v>19</v>
      </c>
      <c r="F64" t="s">
        <v>1664</v>
      </c>
      <c r="G64" t="s">
        <v>326</v>
      </c>
    </row>
    <row r="65" spans="1:7" hidden="1" x14ac:dyDescent="0.3">
      <c r="A65" t="s">
        <v>149</v>
      </c>
      <c r="B65" t="s">
        <v>451</v>
      </c>
      <c r="C65" t="s">
        <v>1259</v>
      </c>
      <c r="D65">
        <f t="shared" si="0"/>
        <v>0</v>
      </c>
      <c r="E65" t="s">
        <v>19</v>
      </c>
      <c r="F65" t="s">
        <v>1669</v>
      </c>
      <c r="G65" t="s">
        <v>326</v>
      </c>
    </row>
    <row r="66" spans="1:7" hidden="1" x14ac:dyDescent="0.3">
      <c r="A66" t="s">
        <v>149</v>
      </c>
      <c r="B66" t="s">
        <v>662</v>
      </c>
      <c r="C66" t="s">
        <v>1260</v>
      </c>
      <c r="D66">
        <f t="shared" ref="D66:D129" si="1">SIGN(SUBTOTAL(3,E66))</f>
        <v>0</v>
      </c>
      <c r="E66" t="s">
        <v>19</v>
      </c>
      <c r="F66" t="s">
        <v>1670</v>
      </c>
      <c r="G66" t="s">
        <v>326</v>
      </c>
    </row>
    <row r="67" spans="1:7" hidden="1" x14ac:dyDescent="0.3">
      <c r="A67" t="s">
        <v>149</v>
      </c>
      <c r="B67" t="s">
        <v>663</v>
      </c>
      <c r="C67" t="s">
        <v>1261</v>
      </c>
      <c r="D67">
        <f t="shared" si="1"/>
        <v>0</v>
      </c>
      <c r="E67" t="s">
        <v>19</v>
      </c>
      <c r="F67" t="s">
        <v>1671</v>
      </c>
      <c r="G67" t="s">
        <v>326</v>
      </c>
    </row>
    <row r="68" spans="1:7" hidden="1" x14ac:dyDescent="0.3">
      <c r="A68" t="s">
        <v>149</v>
      </c>
      <c r="B68" t="s">
        <v>664</v>
      </c>
      <c r="C68" t="s">
        <v>1262</v>
      </c>
      <c r="D68">
        <f t="shared" si="1"/>
        <v>0</v>
      </c>
      <c r="E68" t="s">
        <v>19</v>
      </c>
      <c r="F68" t="s">
        <v>1672</v>
      </c>
      <c r="G68" t="s">
        <v>326</v>
      </c>
    </row>
    <row r="69" spans="1:7" hidden="1" x14ac:dyDescent="0.3">
      <c r="A69" t="s">
        <v>149</v>
      </c>
      <c r="B69" t="s">
        <v>665</v>
      </c>
      <c r="C69" t="s">
        <v>1263</v>
      </c>
      <c r="D69">
        <f t="shared" si="1"/>
        <v>0</v>
      </c>
      <c r="E69" t="s">
        <v>19</v>
      </c>
      <c r="F69" t="s">
        <v>1673</v>
      </c>
      <c r="G69" t="s">
        <v>326</v>
      </c>
    </row>
    <row r="70" spans="1:7" hidden="1" x14ac:dyDescent="0.3">
      <c r="A70" t="s">
        <v>149</v>
      </c>
      <c r="B70" t="s">
        <v>454</v>
      </c>
      <c r="C70" t="s">
        <v>1264</v>
      </c>
      <c r="D70">
        <f t="shared" si="1"/>
        <v>0</v>
      </c>
      <c r="E70" t="s">
        <v>19</v>
      </c>
      <c r="F70" t="s">
        <v>1674</v>
      </c>
      <c r="G70" t="s">
        <v>326</v>
      </c>
    </row>
    <row r="71" spans="1:7" hidden="1" x14ac:dyDescent="0.3">
      <c r="A71" t="s">
        <v>149</v>
      </c>
      <c r="B71" t="s">
        <v>455</v>
      </c>
      <c r="C71" t="s">
        <v>1265</v>
      </c>
      <c r="D71">
        <f t="shared" si="1"/>
        <v>0</v>
      </c>
      <c r="E71" t="s">
        <v>19</v>
      </c>
      <c r="F71" t="s">
        <v>1675</v>
      </c>
      <c r="G71" t="s">
        <v>326</v>
      </c>
    </row>
    <row r="72" spans="1:7" hidden="1" x14ac:dyDescent="0.3">
      <c r="A72" t="s">
        <v>149</v>
      </c>
      <c r="B72" t="s">
        <v>666</v>
      </c>
      <c r="C72" t="s">
        <v>1266</v>
      </c>
      <c r="D72">
        <f t="shared" si="1"/>
        <v>0</v>
      </c>
      <c r="E72" t="s">
        <v>19</v>
      </c>
      <c r="F72" t="s">
        <v>1676</v>
      </c>
      <c r="G72" t="s">
        <v>326</v>
      </c>
    </row>
    <row r="73" spans="1:7" hidden="1" x14ac:dyDescent="0.3">
      <c r="A73" t="s">
        <v>149</v>
      </c>
      <c r="B73" t="s">
        <v>667</v>
      </c>
      <c r="C73" t="s">
        <v>1267</v>
      </c>
      <c r="D73">
        <f t="shared" si="1"/>
        <v>0</v>
      </c>
      <c r="E73" t="s">
        <v>19</v>
      </c>
      <c r="F73" t="s">
        <v>1677</v>
      </c>
      <c r="G73" t="s">
        <v>326</v>
      </c>
    </row>
    <row r="74" spans="1:7" hidden="1" x14ac:dyDescent="0.3">
      <c r="A74" t="s">
        <v>149</v>
      </c>
      <c r="B74" t="s">
        <v>668</v>
      </c>
      <c r="C74" t="s">
        <v>1268</v>
      </c>
      <c r="D74">
        <f t="shared" si="1"/>
        <v>0</v>
      </c>
      <c r="E74" t="s">
        <v>19</v>
      </c>
      <c r="F74" t="s">
        <v>1678</v>
      </c>
      <c r="G74" t="s">
        <v>326</v>
      </c>
    </row>
    <row r="75" spans="1:7" hidden="1" x14ac:dyDescent="0.3">
      <c r="A75" t="s">
        <v>149</v>
      </c>
      <c r="B75" t="s">
        <v>693</v>
      </c>
      <c r="C75" t="s">
        <v>1286</v>
      </c>
      <c r="D75">
        <f t="shared" si="1"/>
        <v>0</v>
      </c>
      <c r="E75" t="s">
        <v>19</v>
      </c>
      <c r="F75" t="s">
        <v>1726</v>
      </c>
      <c r="G75" t="s">
        <v>326</v>
      </c>
    </row>
    <row r="76" spans="1:7" hidden="1" x14ac:dyDescent="0.3">
      <c r="A76" t="s">
        <v>149</v>
      </c>
      <c r="B76" t="s">
        <v>848</v>
      </c>
      <c r="C76" t="s">
        <v>1351</v>
      </c>
      <c r="D76">
        <f t="shared" si="1"/>
        <v>0</v>
      </c>
      <c r="E76" t="s">
        <v>19</v>
      </c>
      <c r="F76" t="s">
        <v>2016</v>
      </c>
      <c r="G76" t="s">
        <v>326</v>
      </c>
    </row>
    <row r="77" spans="1:7" hidden="1" x14ac:dyDescent="0.3">
      <c r="A77" t="s">
        <v>149</v>
      </c>
      <c r="B77" t="s">
        <v>446</v>
      </c>
      <c r="C77" t="s">
        <v>1365</v>
      </c>
      <c r="D77">
        <f t="shared" si="1"/>
        <v>0</v>
      </c>
      <c r="E77" t="s">
        <v>19</v>
      </c>
      <c r="F77" t="s">
        <v>2046</v>
      </c>
      <c r="G77" t="s">
        <v>326</v>
      </c>
    </row>
    <row r="78" spans="1:7" hidden="1" x14ac:dyDescent="0.3">
      <c r="A78" t="s">
        <v>149</v>
      </c>
      <c r="B78" t="s">
        <v>866</v>
      </c>
      <c r="C78" t="s">
        <v>1365</v>
      </c>
      <c r="D78">
        <f t="shared" si="1"/>
        <v>0</v>
      </c>
      <c r="E78" t="s">
        <v>19</v>
      </c>
      <c r="F78" t="s">
        <v>2047</v>
      </c>
      <c r="G78" t="s">
        <v>326</v>
      </c>
    </row>
    <row r="79" spans="1:7" hidden="1" x14ac:dyDescent="0.3">
      <c r="A79" t="s">
        <v>149</v>
      </c>
      <c r="B79" t="s">
        <v>455</v>
      </c>
      <c r="C79" t="s">
        <v>1365</v>
      </c>
      <c r="D79">
        <f t="shared" si="1"/>
        <v>0</v>
      </c>
      <c r="E79" t="s">
        <v>19</v>
      </c>
      <c r="F79" t="s">
        <v>2048</v>
      </c>
      <c r="G79" t="s">
        <v>326</v>
      </c>
    </row>
    <row r="80" spans="1:7" hidden="1" x14ac:dyDescent="0.3">
      <c r="A80" t="s">
        <v>149</v>
      </c>
      <c r="B80" t="s">
        <v>668</v>
      </c>
      <c r="C80" t="s">
        <v>1365</v>
      </c>
      <c r="D80">
        <f t="shared" si="1"/>
        <v>0</v>
      </c>
      <c r="E80" t="s">
        <v>19</v>
      </c>
      <c r="F80" t="s">
        <v>2049</v>
      </c>
      <c r="G80" t="s">
        <v>326</v>
      </c>
    </row>
    <row r="81" spans="1:7" hidden="1" x14ac:dyDescent="0.3">
      <c r="A81" t="s">
        <v>149</v>
      </c>
      <c r="B81" t="s">
        <v>446</v>
      </c>
      <c r="C81" t="s">
        <v>1367</v>
      </c>
      <c r="D81">
        <f t="shared" si="1"/>
        <v>0</v>
      </c>
      <c r="E81" t="s">
        <v>19</v>
      </c>
      <c r="F81" t="s">
        <v>2071</v>
      </c>
      <c r="G81" t="s">
        <v>326</v>
      </c>
    </row>
    <row r="82" spans="1:7" hidden="1" x14ac:dyDescent="0.3">
      <c r="A82" t="s">
        <v>149</v>
      </c>
      <c r="B82" t="s">
        <v>883</v>
      </c>
      <c r="C82" t="s">
        <v>1370</v>
      </c>
      <c r="D82">
        <f t="shared" si="1"/>
        <v>0</v>
      </c>
      <c r="E82" t="s">
        <v>19</v>
      </c>
      <c r="F82" t="s">
        <v>2078</v>
      </c>
      <c r="G82" t="s">
        <v>326</v>
      </c>
    </row>
    <row r="83" spans="1:7" hidden="1" x14ac:dyDescent="0.3">
      <c r="A83" t="s">
        <v>149</v>
      </c>
      <c r="B83" t="s">
        <v>446</v>
      </c>
      <c r="C83" t="s">
        <v>1387</v>
      </c>
      <c r="D83">
        <f t="shared" si="1"/>
        <v>0</v>
      </c>
      <c r="E83" t="s">
        <v>19</v>
      </c>
      <c r="F83" t="s">
        <v>2114</v>
      </c>
      <c r="G83" t="s">
        <v>326</v>
      </c>
    </row>
    <row r="84" spans="1:7" hidden="1" x14ac:dyDescent="0.3">
      <c r="A84" t="s">
        <v>149</v>
      </c>
      <c r="B84" t="s">
        <v>666</v>
      </c>
      <c r="C84" t="s">
        <v>1389</v>
      </c>
      <c r="D84">
        <f t="shared" si="1"/>
        <v>0</v>
      </c>
      <c r="E84" t="s">
        <v>19</v>
      </c>
      <c r="F84" t="s">
        <v>2116</v>
      </c>
      <c r="G84" t="s">
        <v>326</v>
      </c>
    </row>
    <row r="85" spans="1:7" hidden="1" x14ac:dyDescent="0.3">
      <c r="A85" t="s">
        <v>149</v>
      </c>
      <c r="B85" t="s">
        <v>1010</v>
      </c>
      <c r="C85" t="s">
        <v>1447</v>
      </c>
      <c r="D85">
        <f t="shared" si="1"/>
        <v>0</v>
      </c>
      <c r="E85" t="s">
        <v>19</v>
      </c>
      <c r="F85" t="s">
        <v>2321</v>
      </c>
      <c r="G85" t="s">
        <v>326</v>
      </c>
    </row>
    <row r="86" spans="1:7" hidden="1" x14ac:dyDescent="0.3">
      <c r="A86" t="s">
        <v>149</v>
      </c>
      <c r="B86" t="s">
        <v>668</v>
      </c>
      <c r="C86" t="s">
        <v>1481</v>
      </c>
      <c r="D86">
        <f t="shared" si="1"/>
        <v>0</v>
      </c>
      <c r="E86" t="s">
        <v>19</v>
      </c>
      <c r="F86" t="s">
        <v>2395</v>
      </c>
      <c r="G86" t="s">
        <v>326</v>
      </c>
    </row>
    <row r="87" spans="1:7" hidden="1" x14ac:dyDescent="0.3">
      <c r="A87" t="s">
        <v>149</v>
      </c>
      <c r="B87" t="s">
        <v>848</v>
      </c>
      <c r="C87" t="s">
        <v>1486</v>
      </c>
      <c r="D87">
        <f t="shared" si="1"/>
        <v>0</v>
      </c>
      <c r="E87" t="s">
        <v>19</v>
      </c>
      <c r="F87" t="s">
        <v>2408</v>
      </c>
      <c r="G87" t="s">
        <v>326</v>
      </c>
    </row>
    <row r="88" spans="1:7" hidden="1" x14ac:dyDescent="0.3">
      <c r="A88" t="s">
        <v>149</v>
      </c>
      <c r="B88" t="s">
        <v>455</v>
      </c>
      <c r="C88" t="s">
        <v>1487</v>
      </c>
      <c r="D88">
        <f t="shared" si="1"/>
        <v>0</v>
      </c>
      <c r="E88" t="s">
        <v>19</v>
      </c>
      <c r="F88" t="s">
        <v>2409</v>
      </c>
      <c r="G88" t="s">
        <v>326</v>
      </c>
    </row>
    <row r="89" spans="1:7" hidden="1" x14ac:dyDescent="0.3">
      <c r="A89" t="s">
        <v>149</v>
      </c>
      <c r="B89" t="s">
        <v>1052</v>
      </c>
      <c r="C89" t="s">
        <v>1492</v>
      </c>
      <c r="D89">
        <f t="shared" si="1"/>
        <v>0</v>
      </c>
      <c r="E89" t="s">
        <v>19</v>
      </c>
      <c r="F89" t="s">
        <v>2419</v>
      </c>
      <c r="G89" t="s">
        <v>326</v>
      </c>
    </row>
    <row r="90" spans="1:7" hidden="1" x14ac:dyDescent="0.3">
      <c r="A90" t="s">
        <v>149</v>
      </c>
      <c r="B90" t="s">
        <v>1053</v>
      </c>
      <c r="C90" t="s">
        <v>1492</v>
      </c>
      <c r="D90">
        <f t="shared" si="1"/>
        <v>0</v>
      </c>
      <c r="E90" t="s">
        <v>19</v>
      </c>
      <c r="F90" t="s">
        <v>2420</v>
      </c>
      <c r="G90" t="s">
        <v>326</v>
      </c>
    </row>
    <row r="91" spans="1:7" hidden="1" x14ac:dyDescent="0.3">
      <c r="A91" t="s">
        <v>149</v>
      </c>
      <c r="B91" t="s">
        <v>1054</v>
      </c>
      <c r="C91" t="s">
        <v>1492</v>
      </c>
      <c r="D91">
        <f t="shared" si="1"/>
        <v>0</v>
      </c>
      <c r="E91" t="s">
        <v>19</v>
      </c>
      <c r="F91" t="s">
        <v>2421</v>
      </c>
      <c r="G91" t="s">
        <v>326</v>
      </c>
    </row>
    <row r="92" spans="1:7" hidden="1" x14ac:dyDescent="0.3">
      <c r="A92" t="s">
        <v>149</v>
      </c>
      <c r="B92" t="s">
        <v>451</v>
      </c>
      <c r="C92" t="s">
        <v>1492</v>
      </c>
      <c r="D92">
        <f t="shared" si="1"/>
        <v>0</v>
      </c>
      <c r="E92" t="s">
        <v>19</v>
      </c>
      <c r="F92" t="s">
        <v>2422</v>
      </c>
      <c r="G92" t="s">
        <v>326</v>
      </c>
    </row>
    <row r="93" spans="1:7" hidden="1" x14ac:dyDescent="0.3">
      <c r="A93" t="s">
        <v>149</v>
      </c>
      <c r="B93" t="s">
        <v>1055</v>
      </c>
      <c r="C93" t="s">
        <v>1492</v>
      </c>
      <c r="D93">
        <f t="shared" si="1"/>
        <v>0</v>
      </c>
      <c r="E93" t="s">
        <v>19</v>
      </c>
      <c r="F93" t="s">
        <v>2423</v>
      </c>
      <c r="G93" t="s">
        <v>326</v>
      </c>
    </row>
    <row r="94" spans="1:7" hidden="1" x14ac:dyDescent="0.3">
      <c r="A94" t="s">
        <v>149</v>
      </c>
      <c r="B94" t="s">
        <v>454</v>
      </c>
      <c r="C94" t="s">
        <v>1492</v>
      </c>
      <c r="D94">
        <f t="shared" si="1"/>
        <v>0</v>
      </c>
      <c r="E94" t="s">
        <v>19</v>
      </c>
      <c r="F94" t="s">
        <v>2424</v>
      </c>
      <c r="G94" t="s">
        <v>326</v>
      </c>
    </row>
    <row r="95" spans="1:7" hidden="1" x14ac:dyDescent="0.3">
      <c r="A95" t="s">
        <v>149</v>
      </c>
      <c r="B95" t="s">
        <v>455</v>
      </c>
      <c r="C95" t="s">
        <v>1492</v>
      </c>
      <c r="D95">
        <f t="shared" si="1"/>
        <v>0</v>
      </c>
      <c r="E95" t="s">
        <v>19</v>
      </c>
      <c r="F95" t="s">
        <v>2425</v>
      </c>
      <c r="G95" t="s">
        <v>326</v>
      </c>
    </row>
    <row r="96" spans="1:7" hidden="1" x14ac:dyDescent="0.3">
      <c r="A96" t="s">
        <v>149</v>
      </c>
      <c r="B96" t="s">
        <v>1056</v>
      </c>
      <c r="C96" t="s">
        <v>1492</v>
      </c>
      <c r="D96">
        <f t="shared" si="1"/>
        <v>0</v>
      </c>
      <c r="E96" t="s">
        <v>19</v>
      </c>
      <c r="F96" t="s">
        <v>2426</v>
      </c>
      <c r="G96" t="s">
        <v>326</v>
      </c>
    </row>
    <row r="97" spans="1:7" hidden="1" x14ac:dyDescent="0.3">
      <c r="A97" t="s">
        <v>149</v>
      </c>
      <c r="B97" t="s">
        <v>866</v>
      </c>
      <c r="C97" t="s">
        <v>1492</v>
      </c>
      <c r="D97">
        <f t="shared" si="1"/>
        <v>0</v>
      </c>
      <c r="E97" t="s">
        <v>19</v>
      </c>
      <c r="F97" t="s">
        <v>2427</v>
      </c>
      <c r="G97" t="s">
        <v>326</v>
      </c>
    </row>
    <row r="98" spans="1:7" hidden="1" x14ac:dyDescent="0.3">
      <c r="A98" t="s">
        <v>149</v>
      </c>
      <c r="B98" t="s">
        <v>1057</v>
      </c>
      <c r="C98" t="s">
        <v>1498</v>
      </c>
      <c r="D98">
        <f t="shared" si="1"/>
        <v>0</v>
      </c>
      <c r="E98" t="s">
        <v>19</v>
      </c>
      <c r="F98" t="s">
        <v>2434</v>
      </c>
      <c r="G98" t="s">
        <v>326</v>
      </c>
    </row>
    <row r="99" spans="1:7" hidden="1" x14ac:dyDescent="0.3">
      <c r="A99" t="s">
        <v>149</v>
      </c>
      <c r="B99" t="s">
        <v>668</v>
      </c>
      <c r="C99" t="s">
        <v>1496</v>
      </c>
      <c r="D99">
        <f t="shared" si="1"/>
        <v>0</v>
      </c>
      <c r="E99" t="s">
        <v>19</v>
      </c>
      <c r="F99" t="s">
        <v>2452</v>
      </c>
      <c r="G99" t="s">
        <v>326</v>
      </c>
    </row>
    <row r="100" spans="1:7" hidden="1" x14ac:dyDescent="0.3">
      <c r="A100" t="s">
        <v>149</v>
      </c>
      <c r="B100" t="s">
        <v>1065</v>
      </c>
      <c r="C100" t="s">
        <v>1504</v>
      </c>
      <c r="D100">
        <f t="shared" si="1"/>
        <v>0</v>
      </c>
      <c r="E100" t="s">
        <v>19</v>
      </c>
      <c r="F100" t="s">
        <v>2456</v>
      </c>
      <c r="G100" t="s">
        <v>326</v>
      </c>
    </row>
    <row r="101" spans="1:7" hidden="1" x14ac:dyDescent="0.3">
      <c r="A101" t="s">
        <v>149</v>
      </c>
      <c r="B101" t="s">
        <v>666</v>
      </c>
      <c r="C101" t="s">
        <v>1529</v>
      </c>
      <c r="D101">
        <f t="shared" si="1"/>
        <v>0</v>
      </c>
      <c r="E101" t="s">
        <v>19</v>
      </c>
      <c r="F101" t="s">
        <v>2634</v>
      </c>
      <c r="G101" t="s">
        <v>326</v>
      </c>
    </row>
    <row r="102" spans="1:7" hidden="1" x14ac:dyDescent="0.3">
      <c r="A102" t="s">
        <v>149</v>
      </c>
      <c r="B102" t="s">
        <v>848</v>
      </c>
      <c r="C102" t="s">
        <v>1530</v>
      </c>
      <c r="D102">
        <f t="shared" si="1"/>
        <v>0</v>
      </c>
      <c r="E102" t="s">
        <v>19</v>
      </c>
      <c r="F102" t="s">
        <v>2636</v>
      </c>
      <c r="G102" t="s">
        <v>326</v>
      </c>
    </row>
    <row r="103" spans="1:7" hidden="1" x14ac:dyDescent="0.3">
      <c r="A103" t="s">
        <v>149</v>
      </c>
      <c r="B103" t="s">
        <v>866</v>
      </c>
      <c r="C103" t="s">
        <v>1530</v>
      </c>
      <c r="D103">
        <f t="shared" si="1"/>
        <v>0</v>
      </c>
      <c r="E103" t="s">
        <v>19</v>
      </c>
      <c r="F103" t="s">
        <v>2638</v>
      </c>
      <c r="G103" t="s">
        <v>326</v>
      </c>
    </row>
    <row r="104" spans="1:7" hidden="1" x14ac:dyDescent="0.3">
      <c r="A104" t="s">
        <v>149</v>
      </c>
      <c r="B104" t="s">
        <v>1127</v>
      </c>
      <c r="C104" t="s">
        <v>1530</v>
      </c>
      <c r="D104">
        <f t="shared" si="1"/>
        <v>0</v>
      </c>
      <c r="E104" t="s">
        <v>19</v>
      </c>
      <c r="F104" t="s">
        <v>2639</v>
      </c>
      <c r="G104" t="s">
        <v>326</v>
      </c>
    </row>
    <row r="105" spans="1:7" hidden="1" x14ac:dyDescent="0.3">
      <c r="A105" t="s">
        <v>149</v>
      </c>
      <c r="B105" t="s">
        <v>451</v>
      </c>
      <c r="C105" t="s">
        <v>1530</v>
      </c>
      <c r="D105">
        <f t="shared" si="1"/>
        <v>0</v>
      </c>
      <c r="E105" t="s">
        <v>19</v>
      </c>
      <c r="F105" t="s">
        <v>2640</v>
      </c>
      <c r="G105" t="s">
        <v>326</v>
      </c>
    </row>
    <row r="106" spans="1:7" hidden="1" x14ac:dyDescent="0.3">
      <c r="A106" t="s">
        <v>149</v>
      </c>
      <c r="B106" t="s">
        <v>447</v>
      </c>
      <c r="C106" t="s">
        <v>1530</v>
      </c>
      <c r="D106">
        <f t="shared" si="1"/>
        <v>0</v>
      </c>
      <c r="E106" t="s">
        <v>19</v>
      </c>
      <c r="F106" t="s">
        <v>2641</v>
      </c>
      <c r="G106" t="s">
        <v>326</v>
      </c>
    </row>
    <row r="107" spans="1:7" hidden="1" x14ac:dyDescent="0.3">
      <c r="A107" t="s">
        <v>149</v>
      </c>
      <c r="B107" t="s">
        <v>447</v>
      </c>
      <c r="C107" t="s">
        <v>1530</v>
      </c>
      <c r="D107">
        <f t="shared" si="1"/>
        <v>0</v>
      </c>
      <c r="E107" t="s">
        <v>19</v>
      </c>
      <c r="F107" t="s">
        <v>2642</v>
      </c>
      <c r="G107" t="s">
        <v>326</v>
      </c>
    </row>
    <row r="108" spans="1:7" hidden="1" x14ac:dyDescent="0.3">
      <c r="A108" t="s">
        <v>149</v>
      </c>
      <c r="B108" t="s">
        <v>447</v>
      </c>
      <c r="C108" t="s">
        <v>1530</v>
      </c>
      <c r="D108">
        <f t="shared" si="1"/>
        <v>0</v>
      </c>
      <c r="E108" t="s">
        <v>19</v>
      </c>
      <c r="F108" t="s">
        <v>2643</v>
      </c>
      <c r="G108" t="s">
        <v>326</v>
      </c>
    </row>
    <row r="109" spans="1:7" hidden="1" x14ac:dyDescent="0.3">
      <c r="A109" t="s">
        <v>149</v>
      </c>
      <c r="B109" t="s">
        <v>447</v>
      </c>
      <c r="C109" t="s">
        <v>1530</v>
      </c>
      <c r="D109">
        <f t="shared" si="1"/>
        <v>0</v>
      </c>
      <c r="E109" t="s">
        <v>19</v>
      </c>
      <c r="F109" t="s">
        <v>2644</v>
      </c>
      <c r="G109" t="s">
        <v>326</v>
      </c>
    </row>
    <row r="110" spans="1:7" hidden="1" x14ac:dyDescent="0.3">
      <c r="A110" t="s">
        <v>149</v>
      </c>
      <c r="B110" t="s">
        <v>1057</v>
      </c>
      <c r="C110" t="s">
        <v>1530</v>
      </c>
      <c r="D110">
        <f t="shared" si="1"/>
        <v>0</v>
      </c>
      <c r="E110" t="s">
        <v>19</v>
      </c>
      <c r="F110" t="s">
        <v>2645</v>
      </c>
      <c r="G110" t="s">
        <v>326</v>
      </c>
    </row>
    <row r="111" spans="1:7" hidden="1" x14ac:dyDescent="0.3">
      <c r="A111" t="s">
        <v>149</v>
      </c>
      <c r="B111" t="s">
        <v>671</v>
      </c>
      <c r="C111" t="s">
        <v>1530</v>
      </c>
      <c r="D111">
        <f t="shared" si="1"/>
        <v>0</v>
      </c>
      <c r="E111" t="s">
        <v>19</v>
      </c>
      <c r="F111" t="s">
        <v>2649</v>
      </c>
      <c r="G111" t="s">
        <v>326</v>
      </c>
    </row>
    <row r="112" spans="1:7" hidden="1" x14ac:dyDescent="0.3">
      <c r="A112" t="s">
        <v>149</v>
      </c>
      <c r="B112" t="s">
        <v>447</v>
      </c>
      <c r="C112" t="s">
        <v>1543</v>
      </c>
      <c r="D112">
        <f t="shared" si="1"/>
        <v>0</v>
      </c>
      <c r="E112" t="s">
        <v>19</v>
      </c>
      <c r="F112" t="s">
        <v>2685</v>
      </c>
      <c r="G112" t="s">
        <v>326</v>
      </c>
    </row>
    <row r="113" spans="1:7" hidden="1" x14ac:dyDescent="0.3">
      <c r="A113" t="s">
        <v>149</v>
      </c>
      <c r="B113" t="s">
        <v>848</v>
      </c>
      <c r="C113" t="s">
        <v>1557</v>
      </c>
      <c r="D113">
        <f t="shared" si="1"/>
        <v>0</v>
      </c>
      <c r="E113" t="s">
        <v>19</v>
      </c>
      <c r="F113" t="s">
        <v>2712</v>
      </c>
      <c r="G113" t="s">
        <v>326</v>
      </c>
    </row>
    <row r="114" spans="1:7" hidden="1" x14ac:dyDescent="0.3">
      <c r="A114" t="s">
        <v>149</v>
      </c>
      <c r="B114" t="s">
        <v>518</v>
      </c>
      <c r="C114" t="s">
        <v>1557</v>
      </c>
      <c r="D114">
        <f t="shared" si="1"/>
        <v>0</v>
      </c>
      <c r="E114" t="s">
        <v>19</v>
      </c>
      <c r="F114" t="s">
        <v>2743</v>
      </c>
      <c r="G114" t="s">
        <v>326</v>
      </c>
    </row>
    <row r="115" spans="1:7" hidden="1" x14ac:dyDescent="0.3">
      <c r="A115" t="s">
        <v>149</v>
      </c>
      <c r="B115" t="s">
        <v>1166</v>
      </c>
      <c r="C115" t="s">
        <v>1557</v>
      </c>
      <c r="D115">
        <f t="shared" si="1"/>
        <v>0</v>
      </c>
      <c r="E115" t="s">
        <v>19</v>
      </c>
      <c r="F115" t="s">
        <v>2747</v>
      </c>
      <c r="G115" t="s">
        <v>326</v>
      </c>
    </row>
    <row r="116" spans="1:7" hidden="1" x14ac:dyDescent="0.3">
      <c r="A116" t="s">
        <v>149</v>
      </c>
      <c r="B116" t="s">
        <v>671</v>
      </c>
      <c r="C116" t="s">
        <v>1557</v>
      </c>
      <c r="D116">
        <f t="shared" si="1"/>
        <v>0</v>
      </c>
      <c r="E116" t="s">
        <v>19</v>
      </c>
      <c r="F116" t="s">
        <v>2750</v>
      </c>
      <c r="G116" t="s">
        <v>326</v>
      </c>
    </row>
    <row r="117" spans="1:7" hidden="1" x14ac:dyDescent="0.3">
      <c r="A117" t="s">
        <v>149</v>
      </c>
      <c r="B117" t="s">
        <v>447</v>
      </c>
      <c r="C117" t="s">
        <v>1558</v>
      </c>
      <c r="D117">
        <f t="shared" si="1"/>
        <v>0</v>
      </c>
      <c r="E117" t="s">
        <v>19</v>
      </c>
      <c r="F117" t="s">
        <v>2754</v>
      </c>
      <c r="G117" t="s">
        <v>326</v>
      </c>
    </row>
    <row r="118" spans="1:7" hidden="1" x14ac:dyDescent="0.3">
      <c r="A118" t="s">
        <v>149</v>
      </c>
      <c r="B118" t="s">
        <v>848</v>
      </c>
      <c r="C118" t="s">
        <v>1567</v>
      </c>
      <c r="D118">
        <f t="shared" si="1"/>
        <v>0</v>
      </c>
      <c r="E118" t="s">
        <v>19</v>
      </c>
      <c r="F118" t="s">
        <v>2780</v>
      </c>
      <c r="G118" t="s">
        <v>326</v>
      </c>
    </row>
    <row r="119" spans="1:7" hidden="1" x14ac:dyDescent="0.3">
      <c r="A119" t="s">
        <v>149</v>
      </c>
      <c r="B119" t="s">
        <v>1192</v>
      </c>
      <c r="C119" t="s">
        <v>1585</v>
      </c>
      <c r="D119">
        <f t="shared" si="1"/>
        <v>0</v>
      </c>
      <c r="E119" t="s">
        <v>19</v>
      </c>
      <c r="F119" t="s">
        <v>2838</v>
      </c>
      <c r="G119" t="s">
        <v>326</v>
      </c>
    </row>
    <row r="120" spans="1:7" hidden="1" x14ac:dyDescent="0.3">
      <c r="A120" t="s">
        <v>149</v>
      </c>
      <c r="B120" t="s">
        <v>454</v>
      </c>
      <c r="C120" t="s">
        <v>1592</v>
      </c>
      <c r="D120">
        <f t="shared" si="1"/>
        <v>0</v>
      </c>
      <c r="E120" t="s">
        <v>19</v>
      </c>
      <c r="F120" t="s">
        <v>2849</v>
      </c>
      <c r="G120" t="s">
        <v>326</v>
      </c>
    </row>
    <row r="121" spans="1:7" hidden="1" x14ac:dyDescent="0.3">
      <c r="A121" t="s">
        <v>149</v>
      </c>
      <c r="B121" t="s">
        <v>848</v>
      </c>
      <c r="C121" t="s">
        <v>1592</v>
      </c>
      <c r="D121">
        <f t="shared" si="1"/>
        <v>0</v>
      </c>
      <c r="E121" t="s">
        <v>19</v>
      </c>
      <c r="F121" t="s">
        <v>2850</v>
      </c>
      <c r="G121" t="s">
        <v>326</v>
      </c>
    </row>
    <row r="122" spans="1:7" hidden="1" x14ac:dyDescent="0.3">
      <c r="A122" t="s">
        <v>149</v>
      </c>
      <c r="B122" t="s">
        <v>671</v>
      </c>
      <c r="C122" t="s">
        <v>1593</v>
      </c>
      <c r="D122">
        <f t="shared" si="1"/>
        <v>0</v>
      </c>
      <c r="E122" t="s">
        <v>19</v>
      </c>
      <c r="F122" t="s">
        <v>2852</v>
      </c>
      <c r="G122" t="s">
        <v>326</v>
      </c>
    </row>
    <row r="123" spans="1:7" hidden="1" x14ac:dyDescent="0.3">
      <c r="A123" t="s">
        <v>149</v>
      </c>
      <c r="B123" t="s">
        <v>662</v>
      </c>
      <c r="C123" t="s">
        <v>1594</v>
      </c>
      <c r="D123">
        <f t="shared" si="1"/>
        <v>0</v>
      </c>
      <c r="E123" t="s">
        <v>19</v>
      </c>
      <c r="F123" t="s">
        <v>2853</v>
      </c>
      <c r="G123" t="s">
        <v>326</v>
      </c>
    </row>
    <row r="124" spans="1:7" hidden="1" x14ac:dyDescent="0.3">
      <c r="A124" t="s">
        <v>149</v>
      </c>
      <c r="B124" t="s">
        <v>447</v>
      </c>
      <c r="C124" t="s">
        <v>1593</v>
      </c>
      <c r="D124">
        <f t="shared" si="1"/>
        <v>0</v>
      </c>
      <c r="E124" t="s">
        <v>19</v>
      </c>
      <c r="F124" t="s">
        <v>2854</v>
      </c>
      <c r="G124" t="s">
        <v>326</v>
      </c>
    </row>
    <row r="125" spans="1:7" hidden="1" x14ac:dyDescent="0.3">
      <c r="A125" t="s">
        <v>149</v>
      </c>
      <c r="B125" t="s">
        <v>1057</v>
      </c>
      <c r="C125" t="s">
        <v>1592</v>
      </c>
      <c r="D125">
        <f t="shared" si="1"/>
        <v>0</v>
      </c>
      <c r="E125" t="s">
        <v>19</v>
      </c>
      <c r="F125" t="s">
        <v>2858</v>
      </c>
      <c r="G125" t="s">
        <v>326</v>
      </c>
    </row>
    <row r="126" spans="1:7" hidden="1" x14ac:dyDescent="0.3">
      <c r="A126" t="s">
        <v>149</v>
      </c>
      <c r="B126" t="s">
        <v>668</v>
      </c>
      <c r="C126" t="s">
        <v>1601</v>
      </c>
      <c r="D126">
        <f t="shared" si="1"/>
        <v>0</v>
      </c>
      <c r="E126" t="s">
        <v>19</v>
      </c>
      <c r="F126" t="s">
        <v>2898</v>
      </c>
      <c r="G126" t="s">
        <v>326</v>
      </c>
    </row>
    <row r="127" spans="1:7" hidden="1" x14ac:dyDescent="0.3">
      <c r="A127" t="s">
        <v>149</v>
      </c>
      <c r="B127" t="s">
        <v>1212</v>
      </c>
      <c r="C127" t="s">
        <v>1611</v>
      </c>
      <c r="D127">
        <f t="shared" si="1"/>
        <v>0</v>
      </c>
      <c r="E127" t="s">
        <v>19</v>
      </c>
      <c r="F127" t="s">
        <v>2914</v>
      </c>
      <c r="G127" t="s">
        <v>326</v>
      </c>
    </row>
    <row r="128" spans="1:7" hidden="1" x14ac:dyDescent="0.3">
      <c r="A128" t="s">
        <v>149</v>
      </c>
      <c r="B128" t="s">
        <v>1010</v>
      </c>
      <c r="C128" t="s">
        <v>1612</v>
      </c>
      <c r="D128">
        <f t="shared" si="1"/>
        <v>0</v>
      </c>
      <c r="E128" t="s">
        <v>19</v>
      </c>
      <c r="F128" t="s">
        <v>2915</v>
      </c>
      <c r="G128" t="s">
        <v>326</v>
      </c>
    </row>
    <row r="129" spans="1:7" hidden="1" x14ac:dyDescent="0.3">
      <c r="A129" t="s">
        <v>149</v>
      </c>
      <c r="B129" t="s">
        <v>666</v>
      </c>
      <c r="C129" t="s">
        <v>1623</v>
      </c>
      <c r="D129">
        <f t="shared" si="1"/>
        <v>0</v>
      </c>
      <c r="E129" t="s">
        <v>19</v>
      </c>
      <c r="F129" t="s">
        <v>2984</v>
      </c>
      <c r="G129" t="s">
        <v>326</v>
      </c>
    </row>
    <row r="130" spans="1:7" hidden="1" x14ac:dyDescent="0.3">
      <c r="A130" t="s">
        <v>149</v>
      </c>
      <c r="B130" t="s">
        <v>668</v>
      </c>
      <c r="C130" t="s">
        <v>1625</v>
      </c>
      <c r="D130">
        <f t="shared" ref="D130:D193" si="2">SIGN(SUBTOTAL(3,E130))</f>
        <v>0</v>
      </c>
      <c r="E130" t="s">
        <v>19</v>
      </c>
      <c r="F130" t="s">
        <v>2985</v>
      </c>
      <c r="G130" t="s">
        <v>326</v>
      </c>
    </row>
    <row r="131" spans="1:7" hidden="1" x14ac:dyDescent="0.3">
      <c r="A131" t="s">
        <v>149</v>
      </c>
      <c r="B131" t="s">
        <v>1010</v>
      </c>
      <c r="C131" t="s">
        <v>1626</v>
      </c>
      <c r="D131">
        <f t="shared" si="2"/>
        <v>0</v>
      </c>
      <c r="E131" t="s">
        <v>19</v>
      </c>
      <c r="F131" t="s">
        <v>2986</v>
      </c>
      <c r="G131" t="s">
        <v>326</v>
      </c>
    </row>
    <row r="132" spans="1:7" hidden="1" x14ac:dyDescent="0.3">
      <c r="A132" t="s">
        <v>149</v>
      </c>
      <c r="B132" t="s">
        <v>1231</v>
      </c>
      <c r="C132" t="s">
        <v>1627</v>
      </c>
      <c r="D132">
        <f t="shared" si="2"/>
        <v>0</v>
      </c>
      <c r="E132" t="s">
        <v>19</v>
      </c>
      <c r="F132" t="s">
        <v>2988</v>
      </c>
      <c r="G132" t="s">
        <v>326</v>
      </c>
    </row>
    <row r="133" spans="1:7" hidden="1" x14ac:dyDescent="0.3">
      <c r="A133" t="s">
        <v>149</v>
      </c>
      <c r="B133" t="s">
        <v>671</v>
      </c>
      <c r="C133" t="s">
        <v>1636</v>
      </c>
      <c r="D133">
        <f t="shared" si="2"/>
        <v>0</v>
      </c>
      <c r="E133" t="s">
        <v>19</v>
      </c>
      <c r="F133" t="s">
        <v>3012</v>
      </c>
      <c r="G133" t="s">
        <v>326</v>
      </c>
    </row>
    <row r="134" spans="1:7" hidden="1" x14ac:dyDescent="0.3">
      <c r="A134" t="s">
        <v>149</v>
      </c>
      <c r="B134" t="s">
        <v>447</v>
      </c>
      <c r="C134" t="s">
        <v>1637</v>
      </c>
      <c r="D134">
        <f t="shared" si="2"/>
        <v>0</v>
      </c>
      <c r="E134" t="s">
        <v>19</v>
      </c>
      <c r="F134" t="s">
        <v>3013</v>
      </c>
      <c r="G134" t="s">
        <v>326</v>
      </c>
    </row>
    <row r="135" spans="1:7" hidden="1" x14ac:dyDescent="0.3">
      <c r="A135" t="s">
        <v>149</v>
      </c>
      <c r="B135" t="s">
        <v>848</v>
      </c>
      <c r="C135" t="s">
        <v>1646</v>
      </c>
      <c r="D135">
        <f t="shared" si="2"/>
        <v>0</v>
      </c>
      <c r="E135" t="s">
        <v>19</v>
      </c>
      <c r="F135" t="s">
        <v>3026</v>
      </c>
      <c r="G135" t="s">
        <v>326</v>
      </c>
    </row>
    <row r="136" spans="1:7" hidden="1" x14ac:dyDescent="0.3">
      <c r="A136" t="s">
        <v>149</v>
      </c>
      <c r="B136" t="s">
        <v>447</v>
      </c>
      <c r="C136" t="s">
        <v>1653</v>
      </c>
      <c r="D136">
        <f t="shared" si="2"/>
        <v>0</v>
      </c>
      <c r="E136" t="s">
        <v>19</v>
      </c>
      <c r="F136" t="s">
        <v>3037</v>
      </c>
      <c r="G136" t="s">
        <v>326</v>
      </c>
    </row>
    <row r="137" spans="1:7" hidden="1" x14ac:dyDescent="0.3">
      <c r="A137" t="s">
        <v>149</v>
      </c>
      <c r="B137" t="s">
        <v>447</v>
      </c>
      <c r="C137" t="s">
        <v>1656</v>
      </c>
      <c r="D137">
        <f t="shared" si="2"/>
        <v>0</v>
      </c>
      <c r="E137" t="s">
        <v>19</v>
      </c>
      <c r="F137" t="s">
        <v>3040</v>
      </c>
      <c r="G137" t="s">
        <v>326</v>
      </c>
    </row>
    <row r="138" spans="1:7" hidden="1" x14ac:dyDescent="0.3">
      <c r="A138" t="s">
        <v>150</v>
      </c>
      <c r="B138" t="s">
        <v>458</v>
      </c>
      <c r="C138" t="s">
        <v>1289</v>
      </c>
      <c r="D138">
        <f t="shared" si="2"/>
        <v>0</v>
      </c>
      <c r="E138" t="s">
        <v>19</v>
      </c>
      <c r="F138" t="s">
        <v>1743</v>
      </c>
      <c r="G138" t="s">
        <v>326</v>
      </c>
    </row>
    <row r="139" spans="1:7" hidden="1" x14ac:dyDescent="0.3">
      <c r="A139" t="s">
        <v>150</v>
      </c>
      <c r="B139" t="s">
        <v>708</v>
      </c>
      <c r="C139" t="s">
        <v>1289</v>
      </c>
      <c r="D139">
        <f t="shared" si="2"/>
        <v>0</v>
      </c>
      <c r="E139" t="s">
        <v>19</v>
      </c>
      <c r="F139" t="s">
        <v>1746</v>
      </c>
      <c r="G139" t="s">
        <v>326</v>
      </c>
    </row>
    <row r="140" spans="1:7" hidden="1" x14ac:dyDescent="0.3">
      <c r="A140" t="s">
        <v>150</v>
      </c>
      <c r="B140" t="s">
        <v>710</v>
      </c>
      <c r="C140" t="s">
        <v>1289</v>
      </c>
      <c r="D140">
        <f t="shared" si="2"/>
        <v>0</v>
      </c>
      <c r="E140" t="s">
        <v>19</v>
      </c>
      <c r="F140" t="s">
        <v>1749</v>
      </c>
      <c r="G140" t="s">
        <v>326</v>
      </c>
    </row>
    <row r="141" spans="1:7" hidden="1" x14ac:dyDescent="0.3">
      <c r="A141" t="s">
        <v>150</v>
      </c>
      <c r="B141" t="s">
        <v>714</v>
      </c>
      <c r="C141" t="s">
        <v>1289</v>
      </c>
      <c r="D141">
        <f t="shared" si="2"/>
        <v>0</v>
      </c>
      <c r="E141" t="s">
        <v>19</v>
      </c>
      <c r="F141" t="s">
        <v>1758</v>
      </c>
      <c r="G141" t="s">
        <v>326</v>
      </c>
    </row>
    <row r="142" spans="1:7" hidden="1" x14ac:dyDescent="0.3">
      <c r="A142" t="s">
        <v>150</v>
      </c>
      <c r="B142" t="s">
        <v>458</v>
      </c>
      <c r="C142" t="s">
        <v>1369</v>
      </c>
      <c r="D142">
        <f t="shared" si="2"/>
        <v>0</v>
      </c>
      <c r="E142" t="s">
        <v>19</v>
      </c>
      <c r="F142" t="s">
        <v>2073</v>
      </c>
      <c r="G142" t="s">
        <v>326</v>
      </c>
    </row>
    <row r="143" spans="1:7" hidden="1" x14ac:dyDescent="0.3">
      <c r="A143" t="s">
        <v>150</v>
      </c>
      <c r="B143" t="s">
        <v>881</v>
      </c>
      <c r="C143" t="s">
        <v>1368</v>
      </c>
      <c r="D143">
        <f t="shared" si="2"/>
        <v>0</v>
      </c>
      <c r="E143" t="s">
        <v>19</v>
      </c>
      <c r="F143" t="s">
        <v>2076</v>
      </c>
      <c r="G143" t="s">
        <v>326</v>
      </c>
    </row>
    <row r="144" spans="1:7" hidden="1" x14ac:dyDescent="0.3">
      <c r="A144" t="s">
        <v>150</v>
      </c>
      <c r="B144" t="s">
        <v>708</v>
      </c>
      <c r="C144" t="s">
        <v>1445</v>
      </c>
      <c r="D144">
        <f t="shared" si="2"/>
        <v>0</v>
      </c>
      <c r="E144" t="s">
        <v>19</v>
      </c>
      <c r="F144" t="s">
        <v>2318</v>
      </c>
      <c r="G144" t="s">
        <v>326</v>
      </c>
    </row>
    <row r="145" spans="1:7" hidden="1" x14ac:dyDescent="0.3">
      <c r="A145" t="s">
        <v>150</v>
      </c>
      <c r="B145" t="s">
        <v>458</v>
      </c>
      <c r="C145" t="s">
        <v>1449</v>
      </c>
      <c r="D145">
        <f t="shared" si="2"/>
        <v>0</v>
      </c>
      <c r="E145" t="s">
        <v>19</v>
      </c>
      <c r="F145" t="s">
        <v>2325</v>
      </c>
      <c r="G145" t="s">
        <v>326</v>
      </c>
    </row>
    <row r="146" spans="1:7" hidden="1" x14ac:dyDescent="0.3">
      <c r="A146" t="s">
        <v>150</v>
      </c>
      <c r="B146" t="s">
        <v>931</v>
      </c>
      <c r="C146" t="s">
        <v>1518</v>
      </c>
      <c r="D146">
        <f t="shared" si="2"/>
        <v>0</v>
      </c>
      <c r="E146" t="s">
        <v>19</v>
      </c>
      <c r="F146" t="s">
        <v>2540</v>
      </c>
      <c r="G146" t="s">
        <v>326</v>
      </c>
    </row>
    <row r="147" spans="1:7" hidden="1" x14ac:dyDescent="0.3">
      <c r="A147" t="s">
        <v>150</v>
      </c>
      <c r="B147" t="s">
        <v>1101</v>
      </c>
      <c r="C147" t="s">
        <v>1518</v>
      </c>
      <c r="D147">
        <f t="shared" si="2"/>
        <v>0</v>
      </c>
      <c r="E147" t="s">
        <v>19</v>
      </c>
      <c r="F147" t="s">
        <v>2548</v>
      </c>
      <c r="G147" t="s">
        <v>326</v>
      </c>
    </row>
    <row r="148" spans="1:7" hidden="1" x14ac:dyDescent="0.3">
      <c r="A148" t="s">
        <v>150</v>
      </c>
      <c r="B148" t="s">
        <v>930</v>
      </c>
      <c r="C148" t="s">
        <v>1518</v>
      </c>
      <c r="D148">
        <f t="shared" si="2"/>
        <v>0</v>
      </c>
      <c r="E148" t="s">
        <v>19</v>
      </c>
      <c r="F148" t="s">
        <v>2551</v>
      </c>
      <c r="G148" t="s">
        <v>326</v>
      </c>
    </row>
    <row r="149" spans="1:7" hidden="1" x14ac:dyDescent="0.3">
      <c r="A149" t="s">
        <v>150</v>
      </c>
      <c r="B149" t="s">
        <v>457</v>
      </c>
      <c r="C149" t="s">
        <v>1557</v>
      </c>
      <c r="D149">
        <f t="shared" si="2"/>
        <v>0</v>
      </c>
      <c r="E149" t="s">
        <v>19</v>
      </c>
      <c r="F149" t="s">
        <v>2708</v>
      </c>
      <c r="G149" t="s">
        <v>326</v>
      </c>
    </row>
    <row r="150" spans="1:7" hidden="1" x14ac:dyDescent="0.3">
      <c r="A150" t="s">
        <v>150</v>
      </c>
      <c r="B150" t="s">
        <v>458</v>
      </c>
      <c r="C150" t="s">
        <v>1557</v>
      </c>
      <c r="D150">
        <f t="shared" si="2"/>
        <v>0</v>
      </c>
      <c r="E150" t="s">
        <v>19</v>
      </c>
      <c r="F150" t="s">
        <v>2711</v>
      </c>
      <c r="G150" t="s">
        <v>326</v>
      </c>
    </row>
    <row r="151" spans="1:7" hidden="1" x14ac:dyDescent="0.3">
      <c r="A151" t="s">
        <v>150</v>
      </c>
      <c r="B151" t="s">
        <v>458</v>
      </c>
      <c r="C151" t="s">
        <v>1627</v>
      </c>
      <c r="D151">
        <f t="shared" si="2"/>
        <v>0</v>
      </c>
      <c r="E151" t="s">
        <v>19</v>
      </c>
      <c r="F151" t="s">
        <v>2989</v>
      </c>
      <c r="G151" t="s">
        <v>326</v>
      </c>
    </row>
    <row r="152" spans="1:7" hidden="1" x14ac:dyDescent="0.3">
      <c r="A152" t="s">
        <v>151</v>
      </c>
      <c r="B152" t="s">
        <v>460</v>
      </c>
      <c r="C152" t="s">
        <v>1296</v>
      </c>
      <c r="D152">
        <f t="shared" si="2"/>
        <v>0</v>
      </c>
      <c r="E152" t="s">
        <v>19</v>
      </c>
      <c r="F152" t="s">
        <v>1795</v>
      </c>
      <c r="G152" t="s">
        <v>326</v>
      </c>
    </row>
    <row r="153" spans="1:7" hidden="1" x14ac:dyDescent="0.3">
      <c r="A153" t="s">
        <v>151</v>
      </c>
      <c r="B153" t="s">
        <v>514</v>
      </c>
      <c r="C153" t="s">
        <v>1320</v>
      </c>
      <c r="D153">
        <f t="shared" si="2"/>
        <v>0</v>
      </c>
      <c r="E153" t="s">
        <v>19</v>
      </c>
      <c r="F153" t="s">
        <v>1836</v>
      </c>
      <c r="G153" t="s">
        <v>326</v>
      </c>
    </row>
    <row r="154" spans="1:7" hidden="1" x14ac:dyDescent="0.3">
      <c r="A154" t="s">
        <v>151</v>
      </c>
      <c r="B154" t="s">
        <v>767</v>
      </c>
      <c r="C154" t="s">
        <v>1320</v>
      </c>
      <c r="D154">
        <f t="shared" si="2"/>
        <v>0</v>
      </c>
      <c r="E154" t="s">
        <v>19</v>
      </c>
      <c r="F154" t="s">
        <v>1837</v>
      </c>
      <c r="G154" t="s">
        <v>326</v>
      </c>
    </row>
    <row r="155" spans="1:7" hidden="1" x14ac:dyDescent="0.3">
      <c r="A155" t="s">
        <v>151</v>
      </c>
      <c r="B155" t="s">
        <v>811</v>
      </c>
      <c r="C155" t="s">
        <v>1341</v>
      </c>
      <c r="D155">
        <f t="shared" si="2"/>
        <v>0</v>
      </c>
      <c r="E155" t="s">
        <v>19</v>
      </c>
      <c r="F155" t="s">
        <v>1926</v>
      </c>
      <c r="G155" t="s">
        <v>326</v>
      </c>
    </row>
    <row r="156" spans="1:7" hidden="1" x14ac:dyDescent="0.3">
      <c r="A156" t="s">
        <v>151</v>
      </c>
      <c r="B156" t="s">
        <v>831</v>
      </c>
      <c r="C156" t="s">
        <v>1341</v>
      </c>
      <c r="D156">
        <f t="shared" si="2"/>
        <v>0</v>
      </c>
      <c r="E156" t="s">
        <v>19</v>
      </c>
      <c r="F156" t="s">
        <v>1973</v>
      </c>
      <c r="G156" t="s">
        <v>326</v>
      </c>
    </row>
    <row r="157" spans="1:7" hidden="1" x14ac:dyDescent="0.3">
      <c r="A157" t="s">
        <v>151</v>
      </c>
      <c r="B157" t="s">
        <v>460</v>
      </c>
      <c r="C157" t="s">
        <v>1341</v>
      </c>
      <c r="D157">
        <f t="shared" si="2"/>
        <v>0</v>
      </c>
      <c r="E157" t="s">
        <v>19</v>
      </c>
      <c r="F157" t="s">
        <v>1979</v>
      </c>
      <c r="G157" t="s">
        <v>326</v>
      </c>
    </row>
    <row r="158" spans="1:7" hidden="1" x14ac:dyDescent="0.3">
      <c r="A158" t="s">
        <v>151</v>
      </c>
      <c r="B158" t="s">
        <v>460</v>
      </c>
      <c r="C158" t="s">
        <v>1341</v>
      </c>
      <c r="D158">
        <f t="shared" si="2"/>
        <v>0</v>
      </c>
      <c r="E158" t="s">
        <v>19</v>
      </c>
      <c r="F158" t="s">
        <v>1982</v>
      </c>
      <c r="G158" t="s">
        <v>326</v>
      </c>
    </row>
    <row r="159" spans="1:7" hidden="1" x14ac:dyDescent="0.3">
      <c r="A159" t="s">
        <v>151</v>
      </c>
      <c r="B159" t="s">
        <v>460</v>
      </c>
      <c r="C159" t="s">
        <v>1341</v>
      </c>
      <c r="D159">
        <f t="shared" si="2"/>
        <v>0</v>
      </c>
      <c r="E159" t="s">
        <v>19</v>
      </c>
      <c r="F159" t="s">
        <v>1983</v>
      </c>
      <c r="G159" t="s">
        <v>326</v>
      </c>
    </row>
    <row r="160" spans="1:7" hidden="1" x14ac:dyDescent="0.3">
      <c r="A160" t="s">
        <v>151</v>
      </c>
      <c r="B160" t="s">
        <v>811</v>
      </c>
      <c r="C160" t="s">
        <v>1443</v>
      </c>
      <c r="D160">
        <f t="shared" si="2"/>
        <v>0</v>
      </c>
      <c r="E160" t="s">
        <v>19</v>
      </c>
      <c r="F160" t="s">
        <v>2303</v>
      </c>
      <c r="G160" t="s">
        <v>326</v>
      </c>
    </row>
    <row r="161" spans="1:7" hidden="1" x14ac:dyDescent="0.3">
      <c r="A161" t="s">
        <v>151</v>
      </c>
      <c r="B161" t="s">
        <v>1001</v>
      </c>
      <c r="C161" t="s">
        <v>1443</v>
      </c>
      <c r="D161">
        <f t="shared" si="2"/>
        <v>0</v>
      </c>
      <c r="E161" t="s">
        <v>19</v>
      </c>
      <c r="F161" t="s">
        <v>2304</v>
      </c>
      <c r="G161" t="s">
        <v>326</v>
      </c>
    </row>
    <row r="162" spans="1:7" hidden="1" x14ac:dyDescent="0.3">
      <c r="A162" t="s">
        <v>151</v>
      </c>
      <c r="B162" t="s">
        <v>1001</v>
      </c>
      <c r="C162" t="s">
        <v>1453</v>
      </c>
      <c r="D162">
        <f t="shared" si="2"/>
        <v>0</v>
      </c>
      <c r="E162" t="s">
        <v>19</v>
      </c>
      <c r="F162" t="s">
        <v>2336</v>
      </c>
      <c r="G162" t="s">
        <v>326</v>
      </c>
    </row>
    <row r="163" spans="1:7" hidden="1" x14ac:dyDescent="0.3">
      <c r="A163" t="s">
        <v>151</v>
      </c>
      <c r="B163" t="s">
        <v>1018</v>
      </c>
      <c r="C163" t="s">
        <v>1456</v>
      </c>
      <c r="D163">
        <f t="shared" si="2"/>
        <v>0</v>
      </c>
      <c r="E163" t="s">
        <v>19</v>
      </c>
      <c r="F163" t="s">
        <v>2339</v>
      </c>
      <c r="G163" t="s">
        <v>326</v>
      </c>
    </row>
    <row r="164" spans="1:7" hidden="1" x14ac:dyDescent="0.3">
      <c r="A164" t="s">
        <v>151</v>
      </c>
      <c r="B164" t="s">
        <v>1001</v>
      </c>
      <c r="C164" t="s">
        <v>1456</v>
      </c>
      <c r="D164">
        <f t="shared" si="2"/>
        <v>0</v>
      </c>
      <c r="E164" t="s">
        <v>19</v>
      </c>
      <c r="F164" t="s">
        <v>2348</v>
      </c>
      <c r="G164" t="s">
        <v>326</v>
      </c>
    </row>
    <row r="165" spans="1:7" hidden="1" x14ac:dyDescent="0.3">
      <c r="A165" t="s">
        <v>151</v>
      </c>
      <c r="B165" t="s">
        <v>1031</v>
      </c>
      <c r="C165" t="s">
        <v>1465</v>
      </c>
      <c r="D165">
        <f t="shared" si="2"/>
        <v>0</v>
      </c>
      <c r="E165" t="s">
        <v>19</v>
      </c>
      <c r="F165" t="s">
        <v>2374</v>
      </c>
      <c r="G165" t="s">
        <v>326</v>
      </c>
    </row>
    <row r="166" spans="1:7" hidden="1" x14ac:dyDescent="0.3">
      <c r="A166" t="s">
        <v>151</v>
      </c>
      <c r="B166" t="s">
        <v>1140</v>
      </c>
      <c r="C166" t="s">
        <v>1539</v>
      </c>
      <c r="D166">
        <f t="shared" si="2"/>
        <v>0</v>
      </c>
      <c r="E166" t="s">
        <v>19</v>
      </c>
      <c r="F166" t="s">
        <v>2680</v>
      </c>
      <c r="G166" t="s">
        <v>326</v>
      </c>
    </row>
    <row r="167" spans="1:7" hidden="1" x14ac:dyDescent="0.3">
      <c r="A167" t="s">
        <v>151</v>
      </c>
      <c r="B167" t="s">
        <v>460</v>
      </c>
      <c r="C167" t="s">
        <v>1550</v>
      </c>
      <c r="D167">
        <f t="shared" si="2"/>
        <v>0</v>
      </c>
      <c r="E167" t="s">
        <v>19</v>
      </c>
      <c r="F167" t="s">
        <v>2694</v>
      </c>
      <c r="G167" t="s">
        <v>326</v>
      </c>
    </row>
    <row r="168" spans="1:7" hidden="1" x14ac:dyDescent="0.3">
      <c r="A168" t="s">
        <v>151</v>
      </c>
      <c r="B168" t="s">
        <v>460</v>
      </c>
      <c r="C168" t="s">
        <v>1550</v>
      </c>
      <c r="D168">
        <f t="shared" si="2"/>
        <v>0</v>
      </c>
      <c r="E168" t="s">
        <v>19</v>
      </c>
      <c r="F168" t="s">
        <v>2695</v>
      </c>
      <c r="G168" t="s">
        <v>326</v>
      </c>
    </row>
    <row r="169" spans="1:7" hidden="1" x14ac:dyDescent="0.3">
      <c r="A169" t="s">
        <v>151</v>
      </c>
      <c r="B169" t="s">
        <v>1183</v>
      </c>
      <c r="C169" t="s">
        <v>1575</v>
      </c>
      <c r="D169">
        <f t="shared" si="2"/>
        <v>0</v>
      </c>
      <c r="E169" t="s">
        <v>19</v>
      </c>
      <c r="F169" t="s">
        <v>2790</v>
      </c>
      <c r="G169" t="s">
        <v>326</v>
      </c>
    </row>
    <row r="170" spans="1:7" hidden="1" x14ac:dyDescent="0.3">
      <c r="A170" t="s">
        <v>151</v>
      </c>
      <c r="B170" t="s">
        <v>460</v>
      </c>
      <c r="C170" t="s">
        <v>1593</v>
      </c>
      <c r="D170">
        <f t="shared" si="2"/>
        <v>0</v>
      </c>
      <c r="E170" t="s">
        <v>19</v>
      </c>
      <c r="F170" t="s">
        <v>2861</v>
      </c>
      <c r="G170" t="s">
        <v>326</v>
      </c>
    </row>
    <row r="171" spans="1:7" hidden="1" x14ac:dyDescent="0.3">
      <c r="A171" t="s">
        <v>151</v>
      </c>
      <c r="B171" t="s">
        <v>1001</v>
      </c>
      <c r="C171" t="s">
        <v>1596</v>
      </c>
      <c r="D171">
        <f t="shared" si="2"/>
        <v>0</v>
      </c>
      <c r="E171" t="s">
        <v>19</v>
      </c>
      <c r="F171" t="s">
        <v>2871</v>
      </c>
      <c r="G171" t="s">
        <v>326</v>
      </c>
    </row>
    <row r="172" spans="1:7" hidden="1" x14ac:dyDescent="0.3">
      <c r="A172" t="s">
        <v>151</v>
      </c>
      <c r="B172" t="s">
        <v>460</v>
      </c>
      <c r="C172" t="s">
        <v>1640</v>
      </c>
      <c r="D172">
        <f t="shared" si="2"/>
        <v>0</v>
      </c>
      <c r="E172" t="s">
        <v>19</v>
      </c>
      <c r="F172" t="s">
        <v>3016</v>
      </c>
      <c r="G172" t="s">
        <v>326</v>
      </c>
    </row>
    <row r="173" spans="1:7" hidden="1" x14ac:dyDescent="0.3">
      <c r="A173" t="s">
        <v>152</v>
      </c>
      <c r="B173" t="s">
        <v>671</v>
      </c>
      <c r="C173" t="s">
        <v>1341</v>
      </c>
      <c r="D173">
        <f t="shared" si="2"/>
        <v>0</v>
      </c>
      <c r="E173" t="s">
        <v>19</v>
      </c>
      <c r="F173" t="s">
        <v>1980</v>
      </c>
      <c r="G173" t="s">
        <v>326</v>
      </c>
    </row>
    <row r="174" spans="1:7" hidden="1" x14ac:dyDescent="0.3">
      <c r="A174" t="s">
        <v>153</v>
      </c>
      <c r="B174" t="s">
        <v>461</v>
      </c>
      <c r="C174" t="s">
        <v>1270</v>
      </c>
      <c r="D174">
        <f t="shared" si="2"/>
        <v>0</v>
      </c>
      <c r="E174" t="s">
        <v>19</v>
      </c>
      <c r="F174" t="s">
        <v>1680</v>
      </c>
      <c r="G174" t="s">
        <v>326</v>
      </c>
    </row>
    <row r="175" spans="1:7" hidden="1" x14ac:dyDescent="0.3">
      <c r="A175" t="s">
        <v>153</v>
      </c>
      <c r="B175" t="s">
        <v>474</v>
      </c>
      <c r="C175" t="s">
        <v>1271</v>
      </c>
      <c r="D175">
        <f t="shared" si="2"/>
        <v>0</v>
      </c>
      <c r="E175" t="s">
        <v>19</v>
      </c>
      <c r="F175" t="s">
        <v>1681</v>
      </c>
      <c r="G175" t="s">
        <v>326</v>
      </c>
    </row>
    <row r="176" spans="1:7" hidden="1" x14ac:dyDescent="0.3">
      <c r="A176" t="s">
        <v>153</v>
      </c>
      <c r="B176" t="s">
        <v>462</v>
      </c>
      <c r="C176" t="s">
        <v>1273</v>
      </c>
      <c r="D176">
        <f t="shared" si="2"/>
        <v>0</v>
      </c>
      <c r="E176" t="s">
        <v>19</v>
      </c>
      <c r="F176" t="s">
        <v>1683</v>
      </c>
      <c r="G176" t="s">
        <v>326</v>
      </c>
    </row>
    <row r="177" spans="1:7" hidden="1" x14ac:dyDescent="0.3">
      <c r="A177" t="s">
        <v>153</v>
      </c>
      <c r="B177" t="s">
        <v>463</v>
      </c>
      <c r="C177" t="s">
        <v>1278</v>
      </c>
      <c r="D177">
        <f t="shared" si="2"/>
        <v>0</v>
      </c>
      <c r="E177" t="s">
        <v>19</v>
      </c>
      <c r="F177" t="s">
        <v>1702</v>
      </c>
      <c r="G177" t="s">
        <v>326</v>
      </c>
    </row>
    <row r="178" spans="1:7" hidden="1" x14ac:dyDescent="0.3">
      <c r="A178" t="s">
        <v>153</v>
      </c>
      <c r="B178" t="s">
        <v>474</v>
      </c>
      <c r="C178" t="s">
        <v>1294</v>
      </c>
      <c r="D178">
        <f t="shared" si="2"/>
        <v>0</v>
      </c>
      <c r="E178" t="s">
        <v>19</v>
      </c>
      <c r="F178" t="s">
        <v>1786</v>
      </c>
      <c r="G178" t="s">
        <v>326</v>
      </c>
    </row>
    <row r="179" spans="1:7" hidden="1" x14ac:dyDescent="0.3">
      <c r="A179" t="s">
        <v>153</v>
      </c>
      <c r="B179" t="s">
        <v>735</v>
      </c>
      <c r="C179" t="s">
        <v>1294</v>
      </c>
      <c r="D179">
        <f t="shared" si="2"/>
        <v>0</v>
      </c>
      <c r="E179" t="s">
        <v>19</v>
      </c>
      <c r="F179" t="s">
        <v>1787</v>
      </c>
      <c r="G179" t="s">
        <v>326</v>
      </c>
    </row>
    <row r="180" spans="1:7" hidden="1" x14ac:dyDescent="0.3">
      <c r="A180" t="s">
        <v>153</v>
      </c>
      <c r="B180" t="s">
        <v>758</v>
      </c>
      <c r="C180" t="s">
        <v>1307</v>
      </c>
      <c r="D180">
        <f t="shared" si="2"/>
        <v>0</v>
      </c>
      <c r="E180" t="s">
        <v>19</v>
      </c>
      <c r="F180" t="s">
        <v>1823</v>
      </c>
      <c r="G180" t="s">
        <v>326</v>
      </c>
    </row>
    <row r="181" spans="1:7" hidden="1" x14ac:dyDescent="0.3">
      <c r="A181" t="s">
        <v>153</v>
      </c>
      <c r="B181" t="s">
        <v>474</v>
      </c>
      <c r="C181" t="s">
        <v>1311</v>
      </c>
      <c r="D181">
        <f t="shared" si="2"/>
        <v>0</v>
      </c>
      <c r="E181" t="s">
        <v>19</v>
      </c>
      <c r="F181" t="s">
        <v>1827</v>
      </c>
      <c r="G181" t="s">
        <v>326</v>
      </c>
    </row>
    <row r="182" spans="1:7" hidden="1" x14ac:dyDescent="0.3">
      <c r="A182" t="s">
        <v>153</v>
      </c>
      <c r="B182" t="s">
        <v>474</v>
      </c>
      <c r="C182" t="s">
        <v>1341</v>
      </c>
      <c r="D182">
        <f t="shared" si="2"/>
        <v>0</v>
      </c>
      <c r="E182" t="s">
        <v>19</v>
      </c>
      <c r="F182" t="s">
        <v>1956</v>
      </c>
      <c r="G182" t="s">
        <v>326</v>
      </c>
    </row>
    <row r="183" spans="1:7" hidden="1" x14ac:dyDescent="0.3">
      <c r="A183" t="s">
        <v>153</v>
      </c>
      <c r="B183" t="s">
        <v>462</v>
      </c>
      <c r="C183" t="s">
        <v>1341</v>
      </c>
      <c r="D183">
        <f t="shared" si="2"/>
        <v>0</v>
      </c>
      <c r="E183" t="s">
        <v>19</v>
      </c>
      <c r="F183" t="s">
        <v>1962</v>
      </c>
      <c r="G183" t="s">
        <v>326</v>
      </c>
    </row>
    <row r="184" spans="1:7" hidden="1" x14ac:dyDescent="0.3">
      <c r="A184" t="s">
        <v>153</v>
      </c>
      <c r="B184" t="s">
        <v>463</v>
      </c>
      <c r="C184" t="s">
        <v>1341</v>
      </c>
      <c r="D184">
        <f t="shared" si="2"/>
        <v>0</v>
      </c>
      <c r="E184" t="s">
        <v>19</v>
      </c>
      <c r="F184" t="s">
        <v>1969</v>
      </c>
      <c r="G184" t="s">
        <v>326</v>
      </c>
    </row>
    <row r="185" spans="1:7" hidden="1" x14ac:dyDescent="0.3">
      <c r="A185" t="s">
        <v>153</v>
      </c>
      <c r="B185" t="s">
        <v>474</v>
      </c>
      <c r="C185" t="s">
        <v>1341</v>
      </c>
      <c r="D185">
        <f t="shared" si="2"/>
        <v>0</v>
      </c>
      <c r="E185" t="s">
        <v>19</v>
      </c>
      <c r="F185" t="s">
        <v>1970</v>
      </c>
      <c r="G185" t="s">
        <v>326</v>
      </c>
    </row>
    <row r="186" spans="1:7" hidden="1" x14ac:dyDescent="0.3">
      <c r="A186" t="s">
        <v>153</v>
      </c>
      <c r="B186" t="s">
        <v>463</v>
      </c>
      <c r="C186" t="s">
        <v>1401</v>
      </c>
      <c r="D186">
        <f t="shared" si="2"/>
        <v>0</v>
      </c>
      <c r="E186" t="s">
        <v>19</v>
      </c>
      <c r="F186" t="s">
        <v>2181</v>
      </c>
      <c r="G186" t="s">
        <v>326</v>
      </c>
    </row>
    <row r="187" spans="1:7" hidden="1" x14ac:dyDescent="0.3">
      <c r="A187" t="s">
        <v>153</v>
      </c>
      <c r="B187" t="s">
        <v>462</v>
      </c>
      <c r="C187" t="s">
        <v>1433</v>
      </c>
      <c r="D187">
        <f t="shared" si="2"/>
        <v>0</v>
      </c>
      <c r="E187" t="s">
        <v>19</v>
      </c>
      <c r="F187" t="s">
        <v>2280</v>
      </c>
      <c r="G187" t="s">
        <v>326</v>
      </c>
    </row>
    <row r="188" spans="1:7" hidden="1" x14ac:dyDescent="0.3">
      <c r="A188" t="s">
        <v>153</v>
      </c>
      <c r="B188" t="s">
        <v>474</v>
      </c>
      <c r="C188" t="s">
        <v>1494</v>
      </c>
      <c r="D188">
        <f t="shared" si="2"/>
        <v>0</v>
      </c>
      <c r="E188" t="s">
        <v>19</v>
      </c>
      <c r="F188" t="s">
        <v>2457</v>
      </c>
      <c r="G188" t="s">
        <v>326</v>
      </c>
    </row>
    <row r="189" spans="1:7" hidden="1" x14ac:dyDescent="0.3">
      <c r="A189" t="s">
        <v>153</v>
      </c>
      <c r="B189" t="s">
        <v>464</v>
      </c>
      <c r="C189" t="s">
        <v>1507</v>
      </c>
      <c r="D189">
        <f t="shared" si="2"/>
        <v>0</v>
      </c>
      <c r="E189" t="s">
        <v>19</v>
      </c>
      <c r="F189" t="s">
        <v>2460</v>
      </c>
      <c r="G189" t="s">
        <v>326</v>
      </c>
    </row>
    <row r="190" spans="1:7" hidden="1" x14ac:dyDescent="0.3">
      <c r="A190" t="s">
        <v>153</v>
      </c>
      <c r="B190" t="s">
        <v>1104</v>
      </c>
      <c r="C190" t="s">
        <v>1525</v>
      </c>
      <c r="D190">
        <f t="shared" si="2"/>
        <v>0</v>
      </c>
      <c r="E190" t="s">
        <v>19</v>
      </c>
      <c r="F190" t="s">
        <v>2559</v>
      </c>
      <c r="G190" t="s">
        <v>326</v>
      </c>
    </row>
    <row r="191" spans="1:7" hidden="1" x14ac:dyDescent="0.3">
      <c r="A191" t="s">
        <v>153</v>
      </c>
      <c r="B191" t="s">
        <v>462</v>
      </c>
      <c r="C191" t="s">
        <v>1528</v>
      </c>
      <c r="D191">
        <f t="shared" si="2"/>
        <v>0</v>
      </c>
      <c r="E191" t="s">
        <v>19</v>
      </c>
      <c r="F191" t="s">
        <v>2614</v>
      </c>
      <c r="G191" t="s">
        <v>326</v>
      </c>
    </row>
    <row r="192" spans="1:7" hidden="1" x14ac:dyDescent="0.3">
      <c r="A192" t="s">
        <v>153</v>
      </c>
      <c r="B192" t="s">
        <v>474</v>
      </c>
      <c r="C192" t="s">
        <v>1528</v>
      </c>
      <c r="D192">
        <f t="shared" si="2"/>
        <v>0</v>
      </c>
      <c r="E192" t="s">
        <v>19</v>
      </c>
      <c r="F192" t="s">
        <v>2618</v>
      </c>
      <c r="G192" t="s">
        <v>326</v>
      </c>
    </row>
    <row r="193" spans="1:7" hidden="1" x14ac:dyDescent="0.3">
      <c r="A193" t="s">
        <v>153</v>
      </c>
      <c r="B193" t="s">
        <v>462</v>
      </c>
      <c r="C193" t="s">
        <v>1528</v>
      </c>
      <c r="D193">
        <f t="shared" si="2"/>
        <v>0</v>
      </c>
      <c r="E193" t="s">
        <v>19</v>
      </c>
      <c r="F193" t="s">
        <v>2626</v>
      </c>
      <c r="G193" t="s">
        <v>326</v>
      </c>
    </row>
    <row r="194" spans="1:7" hidden="1" x14ac:dyDescent="0.3">
      <c r="A194" t="s">
        <v>153</v>
      </c>
      <c r="B194" t="s">
        <v>474</v>
      </c>
      <c r="C194" t="s">
        <v>1534</v>
      </c>
      <c r="D194">
        <f t="shared" ref="D194:D257" si="3">SIGN(SUBTOTAL(3,E194))</f>
        <v>0</v>
      </c>
      <c r="E194" t="s">
        <v>19</v>
      </c>
      <c r="F194" t="s">
        <v>2672</v>
      </c>
      <c r="G194" t="s">
        <v>326</v>
      </c>
    </row>
    <row r="195" spans="1:7" hidden="1" x14ac:dyDescent="0.3">
      <c r="A195" t="s">
        <v>153</v>
      </c>
      <c r="B195" t="s">
        <v>463</v>
      </c>
      <c r="C195" t="s">
        <v>1538</v>
      </c>
      <c r="D195">
        <f t="shared" si="3"/>
        <v>0</v>
      </c>
      <c r="E195" t="s">
        <v>19</v>
      </c>
      <c r="F195" t="s">
        <v>2678</v>
      </c>
      <c r="G195" t="s">
        <v>326</v>
      </c>
    </row>
    <row r="196" spans="1:7" hidden="1" x14ac:dyDescent="0.3">
      <c r="A196" t="s">
        <v>153</v>
      </c>
      <c r="B196" t="s">
        <v>463</v>
      </c>
      <c r="C196" t="s">
        <v>1560</v>
      </c>
      <c r="D196">
        <f t="shared" si="3"/>
        <v>0</v>
      </c>
      <c r="E196" t="s">
        <v>19</v>
      </c>
      <c r="F196" t="s">
        <v>2756</v>
      </c>
      <c r="G196" t="s">
        <v>326</v>
      </c>
    </row>
    <row r="197" spans="1:7" hidden="1" x14ac:dyDescent="0.3">
      <c r="A197" t="s">
        <v>153</v>
      </c>
      <c r="B197" t="s">
        <v>474</v>
      </c>
      <c r="C197" t="s">
        <v>1576</v>
      </c>
      <c r="D197">
        <f t="shared" si="3"/>
        <v>0</v>
      </c>
      <c r="E197" t="s">
        <v>19</v>
      </c>
      <c r="F197" t="s">
        <v>2809</v>
      </c>
      <c r="G197" t="s">
        <v>326</v>
      </c>
    </row>
    <row r="198" spans="1:7" hidden="1" x14ac:dyDescent="0.3">
      <c r="A198" t="s">
        <v>153</v>
      </c>
      <c r="B198" t="s">
        <v>462</v>
      </c>
      <c r="C198" t="s">
        <v>1576</v>
      </c>
      <c r="D198">
        <f t="shared" si="3"/>
        <v>0</v>
      </c>
      <c r="E198" t="s">
        <v>19</v>
      </c>
      <c r="F198" t="s">
        <v>2811</v>
      </c>
      <c r="G198" t="s">
        <v>326</v>
      </c>
    </row>
    <row r="199" spans="1:7" hidden="1" x14ac:dyDescent="0.3">
      <c r="A199" t="s">
        <v>153</v>
      </c>
      <c r="B199" t="s">
        <v>1187</v>
      </c>
      <c r="C199" t="s">
        <v>1576</v>
      </c>
      <c r="D199">
        <f t="shared" si="3"/>
        <v>0</v>
      </c>
      <c r="E199" t="s">
        <v>19</v>
      </c>
      <c r="F199" t="s">
        <v>2816</v>
      </c>
      <c r="G199" t="s">
        <v>326</v>
      </c>
    </row>
    <row r="200" spans="1:7" hidden="1" x14ac:dyDescent="0.3">
      <c r="A200" t="s">
        <v>153</v>
      </c>
      <c r="B200" t="s">
        <v>474</v>
      </c>
      <c r="C200" t="s">
        <v>1585</v>
      </c>
      <c r="D200">
        <f t="shared" si="3"/>
        <v>0</v>
      </c>
      <c r="E200" t="s">
        <v>19</v>
      </c>
      <c r="F200" t="s">
        <v>2841</v>
      </c>
      <c r="G200" t="s">
        <v>326</v>
      </c>
    </row>
    <row r="201" spans="1:7" hidden="1" x14ac:dyDescent="0.3">
      <c r="A201" t="s">
        <v>153</v>
      </c>
      <c r="B201" t="s">
        <v>474</v>
      </c>
      <c r="C201" t="s">
        <v>1597</v>
      </c>
      <c r="D201">
        <f t="shared" si="3"/>
        <v>0</v>
      </c>
      <c r="E201" t="s">
        <v>19</v>
      </c>
      <c r="F201" t="s">
        <v>2883</v>
      </c>
      <c r="G201" t="s">
        <v>326</v>
      </c>
    </row>
    <row r="202" spans="1:7" hidden="1" x14ac:dyDescent="0.3">
      <c r="A202" t="s">
        <v>153</v>
      </c>
      <c r="B202" t="s">
        <v>462</v>
      </c>
      <c r="C202" t="s">
        <v>1597</v>
      </c>
      <c r="D202">
        <f t="shared" si="3"/>
        <v>0</v>
      </c>
      <c r="E202" t="s">
        <v>19</v>
      </c>
      <c r="F202" t="s">
        <v>2884</v>
      </c>
      <c r="G202" t="s">
        <v>326</v>
      </c>
    </row>
    <row r="203" spans="1:7" hidden="1" x14ac:dyDescent="0.3">
      <c r="A203" t="s">
        <v>153</v>
      </c>
      <c r="B203" t="s">
        <v>462</v>
      </c>
      <c r="C203" t="s">
        <v>1597</v>
      </c>
      <c r="D203">
        <f t="shared" si="3"/>
        <v>0</v>
      </c>
      <c r="E203" t="s">
        <v>19</v>
      </c>
      <c r="F203" t="s">
        <v>2892</v>
      </c>
      <c r="G203" t="s">
        <v>326</v>
      </c>
    </row>
    <row r="204" spans="1:7" hidden="1" x14ac:dyDescent="0.3">
      <c r="A204" t="s">
        <v>153</v>
      </c>
      <c r="B204" t="s">
        <v>462</v>
      </c>
      <c r="C204" t="s">
        <v>1597</v>
      </c>
      <c r="D204">
        <f t="shared" si="3"/>
        <v>0</v>
      </c>
      <c r="E204" t="s">
        <v>19</v>
      </c>
      <c r="F204" t="s">
        <v>2894</v>
      </c>
      <c r="G204" t="s">
        <v>326</v>
      </c>
    </row>
    <row r="205" spans="1:7" hidden="1" x14ac:dyDescent="0.3">
      <c r="A205" t="s">
        <v>153</v>
      </c>
      <c r="B205" t="s">
        <v>1205</v>
      </c>
      <c r="C205" t="s">
        <v>1602</v>
      </c>
      <c r="D205">
        <f t="shared" si="3"/>
        <v>0</v>
      </c>
      <c r="E205" t="s">
        <v>19</v>
      </c>
      <c r="F205" t="s">
        <v>2899</v>
      </c>
      <c r="G205" t="s">
        <v>326</v>
      </c>
    </row>
    <row r="206" spans="1:7" hidden="1" x14ac:dyDescent="0.3">
      <c r="A206" t="s">
        <v>153</v>
      </c>
      <c r="B206" t="s">
        <v>1206</v>
      </c>
      <c r="C206" t="s">
        <v>1602</v>
      </c>
      <c r="D206">
        <f t="shared" si="3"/>
        <v>0</v>
      </c>
      <c r="E206" t="s">
        <v>19</v>
      </c>
      <c r="F206" t="s">
        <v>2900</v>
      </c>
      <c r="G206" t="s">
        <v>326</v>
      </c>
    </row>
    <row r="207" spans="1:7" hidden="1" x14ac:dyDescent="0.3">
      <c r="A207" t="s">
        <v>153</v>
      </c>
      <c r="B207" t="s">
        <v>462</v>
      </c>
      <c r="C207" t="s">
        <v>1602</v>
      </c>
      <c r="D207">
        <f t="shared" si="3"/>
        <v>0</v>
      </c>
      <c r="E207" t="s">
        <v>19</v>
      </c>
      <c r="F207" t="s">
        <v>2903</v>
      </c>
      <c r="G207" t="s">
        <v>326</v>
      </c>
    </row>
    <row r="208" spans="1:7" hidden="1" x14ac:dyDescent="0.3">
      <c r="A208" t="s">
        <v>153</v>
      </c>
      <c r="B208" t="s">
        <v>1213</v>
      </c>
      <c r="C208" t="s">
        <v>1614</v>
      </c>
      <c r="D208">
        <f t="shared" si="3"/>
        <v>0</v>
      </c>
      <c r="E208" t="s">
        <v>19</v>
      </c>
      <c r="F208" t="s">
        <v>2918</v>
      </c>
      <c r="G208" t="s">
        <v>326</v>
      </c>
    </row>
    <row r="209" spans="1:7" hidden="1" x14ac:dyDescent="0.3">
      <c r="A209" t="s">
        <v>153</v>
      </c>
      <c r="B209" t="s">
        <v>1219</v>
      </c>
      <c r="C209" t="s">
        <v>1623</v>
      </c>
      <c r="D209">
        <f t="shared" si="3"/>
        <v>0</v>
      </c>
      <c r="E209" t="s">
        <v>19</v>
      </c>
      <c r="F209" t="s">
        <v>2937</v>
      </c>
      <c r="G209" t="s">
        <v>326</v>
      </c>
    </row>
    <row r="210" spans="1:7" hidden="1" x14ac:dyDescent="0.3">
      <c r="A210" t="s">
        <v>153</v>
      </c>
      <c r="B210" t="s">
        <v>463</v>
      </c>
      <c r="C210" t="s">
        <v>1623</v>
      </c>
      <c r="D210">
        <f t="shared" si="3"/>
        <v>0</v>
      </c>
      <c r="E210" t="s">
        <v>19</v>
      </c>
      <c r="F210" t="s">
        <v>2939</v>
      </c>
      <c r="G210" t="s">
        <v>326</v>
      </c>
    </row>
    <row r="211" spans="1:7" hidden="1" x14ac:dyDescent="0.3">
      <c r="A211" t="s">
        <v>153</v>
      </c>
      <c r="B211" t="s">
        <v>1220</v>
      </c>
      <c r="C211" t="s">
        <v>1623</v>
      </c>
      <c r="D211">
        <f t="shared" si="3"/>
        <v>0</v>
      </c>
      <c r="E211" t="s">
        <v>19</v>
      </c>
      <c r="F211" t="s">
        <v>2940</v>
      </c>
      <c r="G211" t="s">
        <v>326</v>
      </c>
    </row>
    <row r="212" spans="1:7" hidden="1" x14ac:dyDescent="0.3">
      <c r="A212" t="s">
        <v>153</v>
      </c>
      <c r="B212" t="s">
        <v>470</v>
      </c>
      <c r="C212" t="s">
        <v>1623</v>
      </c>
      <c r="D212">
        <f t="shared" si="3"/>
        <v>0</v>
      </c>
      <c r="E212" t="s">
        <v>19</v>
      </c>
      <c r="F212" t="s">
        <v>2941</v>
      </c>
      <c r="G212" t="s">
        <v>326</v>
      </c>
    </row>
    <row r="213" spans="1:7" hidden="1" x14ac:dyDescent="0.3">
      <c r="A213" t="s">
        <v>153</v>
      </c>
      <c r="B213" t="s">
        <v>462</v>
      </c>
      <c r="C213" t="s">
        <v>1623</v>
      </c>
      <c r="D213">
        <f t="shared" si="3"/>
        <v>0</v>
      </c>
      <c r="E213" t="s">
        <v>19</v>
      </c>
      <c r="F213" t="s">
        <v>2978</v>
      </c>
      <c r="G213" t="s">
        <v>326</v>
      </c>
    </row>
    <row r="214" spans="1:7" hidden="1" x14ac:dyDescent="0.3">
      <c r="A214" t="s">
        <v>153</v>
      </c>
      <c r="B214" t="s">
        <v>462</v>
      </c>
      <c r="C214" t="s">
        <v>1623</v>
      </c>
      <c r="D214">
        <f t="shared" si="3"/>
        <v>0</v>
      </c>
      <c r="E214" t="s">
        <v>19</v>
      </c>
      <c r="F214" t="s">
        <v>2979</v>
      </c>
      <c r="G214" t="s">
        <v>326</v>
      </c>
    </row>
    <row r="215" spans="1:7" hidden="1" x14ac:dyDescent="0.3">
      <c r="A215" t="s">
        <v>153</v>
      </c>
      <c r="B215" t="s">
        <v>474</v>
      </c>
      <c r="C215" t="s">
        <v>1623</v>
      </c>
      <c r="D215">
        <f t="shared" si="3"/>
        <v>0</v>
      </c>
      <c r="E215" t="s">
        <v>19</v>
      </c>
      <c r="F215" t="s">
        <v>2980</v>
      </c>
      <c r="G215" t="s">
        <v>326</v>
      </c>
    </row>
    <row r="216" spans="1:7" hidden="1" x14ac:dyDescent="0.3">
      <c r="A216" t="s">
        <v>153</v>
      </c>
      <c r="B216" t="s">
        <v>1229</v>
      </c>
      <c r="C216" t="s">
        <v>1623</v>
      </c>
      <c r="D216">
        <f t="shared" si="3"/>
        <v>0</v>
      </c>
      <c r="E216" t="s">
        <v>19</v>
      </c>
      <c r="F216" t="s">
        <v>2981</v>
      </c>
      <c r="G216" t="s">
        <v>326</v>
      </c>
    </row>
    <row r="217" spans="1:7" hidden="1" x14ac:dyDescent="0.3">
      <c r="A217" t="s">
        <v>153</v>
      </c>
      <c r="B217" t="s">
        <v>463</v>
      </c>
      <c r="C217" t="s">
        <v>1627</v>
      </c>
      <c r="D217">
        <f t="shared" si="3"/>
        <v>0</v>
      </c>
      <c r="E217" t="s">
        <v>19</v>
      </c>
      <c r="F217" t="s">
        <v>2991</v>
      </c>
      <c r="G217" t="s">
        <v>326</v>
      </c>
    </row>
    <row r="218" spans="1:7" hidden="1" x14ac:dyDescent="0.3">
      <c r="A218" t="s">
        <v>153</v>
      </c>
      <c r="B218" t="s">
        <v>1229</v>
      </c>
      <c r="C218" t="s">
        <v>1632</v>
      </c>
      <c r="D218">
        <f t="shared" si="3"/>
        <v>0</v>
      </c>
      <c r="E218" t="s">
        <v>19</v>
      </c>
      <c r="F218" t="s">
        <v>3007</v>
      </c>
      <c r="G218" t="s">
        <v>326</v>
      </c>
    </row>
    <row r="219" spans="1:7" hidden="1" x14ac:dyDescent="0.3">
      <c r="A219" t="s">
        <v>154</v>
      </c>
      <c r="B219" t="s">
        <v>669</v>
      </c>
      <c r="C219" t="s">
        <v>1269</v>
      </c>
      <c r="D219">
        <f t="shared" si="3"/>
        <v>0</v>
      </c>
      <c r="E219" t="s">
        <v>19</v>
      </c>
      <c r="F219" t="s">
        <v>1679</v>
      </c>
      <c r="G219" t="s">
        <v>326</v>
      </c>
    </row>
    <row r="220" spans="1:7" hidden="1" x14ac:dyDescent="0.3">
      <c r="A220" t="s">
        <v>154</v>
      </c>
      <c r="B220" t="s">
        <v>477</v>
      </c>
      <c r="C220" t="s">
        <v>1280</v>
      </c>
      <c r="D220">
        <f t="shared" si="3"/>
        <v>0</v>
      </c>
      <c r="E220" t="s">
        <v>19</v>
      </c>
      <c r="F220" t="s">
        <v>1709</v>
      </c>
      <c r="G220" t="s">
        <v>326</v>
      </c>
    </row>
    <row r="221" spans="1:7" hidden="1" x14ac:dyDescent="0.3">
      <c r="A221" t="s">
        <v>154</v>
      </c>
      <c r="B221" t="s">
        <v>477</v>
      </c>
      <c r="C221" t="s">
        <v>1282</v>
      </c>
      <c r="D221">
        <f t="shared" si="3"/>
        <v>0</v>
      </c>
      <c r="E221" t="s">
        <v>19</v>
      </c>
      <c r="F221" t="s">
        <v>1711</v>
      </c>
      <c r="G221" t="s">
        <v>326</v>
      </c>
    </row>
    <row r="222" spans="1:7" hidden="1" x14ac:dyDescent="0.3">
      <c r="A222" t="s">
        <v>154</v>
      </c>
      <c r="B222" t="s">
        <v>477</v>
      </c>
      <c r="C222" t="s">
        <v>1283</v>
      </c>
      <c r="D222">
        <f t="shared" si="3"/>
        <v>0</v>
      </c>
      <c r="E222" t="s">
        <v>19</v>
      </c>
      <c r="F222" t="s">
        <v>1712</v>
      </c>
      <c r="G222" t="s">
        <v>326</v>
      </c>
    </row>
    <row r="223" spans="1:7" hidden="1" x14ac:dyDescent="0.3">
      <c r="A223" t="s">
        <v>154</v>
      </c>
      <c r="B223" t="s">
        <v>700</v>
      </c>
      <c r="C223" t="s">
        <v>1285</v>
      </c>
      <c r="D223">
        <f t="shared" si="3"/>
        <v>0</v>
      </c>
      <c r="E223" t="s">
        <v>19</v>
      </c>
      <c r="F223" t="s">
        <v>1735</v>
      </c>
      <c r="G223" t="s">
        <v>326</v>
      </c>
    </row>
    <row r="224" spans="1:7" hidden="1" x14ac:dyDescent="0.3">
      <c r="A224" t="s">
        <v>154</v>
      </c>
      <c r="B224" t="s">
        <v>712</v>
      </c>
      <c r="C224" t="s">
        <v>1289</v>
      </c>
      <c r="D224">
        <f t="shared" si="3"/>
        <v>0</v>
      </c>
      <c r="E224" t="s">
        <v>19</v>
      </c>
      <c r="F224" t="s">
        <v>1753</v>
      </c>
      <c r="G224" t="s">
        <v>326</v>
      </c>
    </row>
    <row r="225" spans="1:7" hidden="1" x14ac:dyDescent="0.3">
      <c r="A225" t="s">
        <v>154</v>
      </c>
      <c r="B225" t="s">
        <v>510</v>
      </c>
      <c r="C225" t="s">
        <v>1302</v>
      </c>
      <c r="D225">
        <f t="shared" si="3"/>
        <v>0</v>
      </c>
      <c r="E225" t="s">
        <v>19</v>
      </c>
      <c r="F225" t="s">
        <v>1814</v>
      </c>
      <c r="G225" t="s">
        <v>326</v>
      </c>
    </row>
    <row r="226" spans="1:7" hidden="1" x14ac:dyDescent="0.3">
      <c r="A226" t="s">
        <v>154</v>
      </c>
      <c r="B226" t="s">
        <v>498</v>
      </c>
      <c r="C226" t="s">
        <v>1302</v>
      </c>
      <c r="D226">
        <f t="shared" si="3"/>
        <v>0</v>
      </c>
      <c r="E226" t="s">
        <v>19</v>
      </c>
      <c r="F226" t="s">
        <v>1815</v>
      </c>
      <c r="G226" t="s">
        <v>326</v>
      </c>
    </row>
    <row r="227" spans="1:7" hidden="1" x14ac:dyDescent="0.3">
      <c r="A227" t="s">
        <v>154</v>
      </c>
      <c r="B227" t="s">
        <v>759</v>
      </c>
      <c r="C227" t="s">
        <v>1308</v>
      </c>
      <c r="D227">
        <f t="shared" si="3"/>
        <v>0</v>
      </c>
      <c r="E227" t="s">
        <v>19</v>
      </c>
      <c r="F227" t="s">
        <v>1824</v>
      </c>
      <c r="G227" t="s">
        <v>326</v>
      </c>
    </row>
    <row r="228" spans="1:7" hidden="1" x14ac:dyDescent="0.3">
      <c r="A228" t="s">
        <v>154</v>
      </c>
      <c r="B228" t="s">
        <v>669</v>
      </c>
      <c r="C228" t="s">
        <v>1347</v>
      </c>
      <c r="D228">
        <f t="shared" si="3"/>
        <v>0</v>
      </c>
      <c r="E228" t="s">
        <v>19</v>
      </c>
      <c r="F228" t="s">
        <v>2002</v>
      </c>
      <c r="G228" t="s">
        <v>326</v>
      </c>
    </row>
    <row r="229" spans="1:7" hidden="1" x14ac:dyDescent="0.3">
      <c r="A229" t="s">
        <v>154</v>
      </c>
      <c r="B229" t="s">
        <v>845</v>
      </c>
      <c r="C229" t="s">
        <v>1347</v>
      </c>
      <c r="D229">
        <f t="shared" si="3"/>
        <v>0</v>
      </c>
      <c r="E229" t="s">
        <v>19</v>
      </c>
      <c r="F229" t="s">
        <v>2003</v>
      </c>
      <c r="G229" t="s">
        <v>326</v>
      </c>
    </row>
    <row r="230" spans="1:7" hidden="1" x14ac:dyDescent="0.3">
      <c r="A230" t="s">
        <v>154</v>
      </c>
      <c r="B230" t="s">
        <v>498</v>
      </c>
      <c r="C230" t="s">
        <v>1347</v>
      </c>
      <c r="D230">
        <f t="shared" si="3"/>
        <v>0</v>
      </c>
      <c r="E230" t="s">
        <v>19</v>
      </c>
      <c r="F230" t="s">
        <v>2004</v>
      </c>
      <c r="G230" t="s">
        <v>326</v>
      </c>
    </row>
    <row r="231" spans="1:7" hidden="1" x14ac:dyDescent="0.3">
      <c r="A231" t="s">
        <v>154</v>
      </c>
      <c r="B231" t="s">
        <v>669</v>
      </c>
      <c r="C231" t="s">
        <v>1347</v>
      </c>
      <c r="D231">
        <f t="shared" si="3"/>
        <v>0</v>
      </c>
      <c r="E231" t="s">
        <v>19</v>
      </c>
      <c r="F231" t="s">
        <v>2007</v>
      </c>
      <c r="G231" t="s">
        <v>326</v>
      </c>
    </row>
    <row r="232" spans="1:7" hidden="1" x14ac:dyDescent="0.3">
      <c r="A232" t="s">
        <v>154</v>
      </c>
      <c r="B232" t="s">
        <v>476</v>
      </c>
      <c r="C232" t="s">
        <v>1347</v>
      </c>
      <c r="D232">
        <f t="shared" si="3"/>
        <v>0</v>
      </c>
      <c r="E232" t="s">
        <v>19</v>
      </c>
      <c r="F232" t="s">
        <v>2009</v>
      </c>
      <c r="G232" t="s">
        <v>326</v>
      </c>
    </row>
    <row r="233" spans="1:7" hidden="1" x14ac:dyDescent="0.3">
      <c r="A233" t="s">
        <v>154</v>
      </c>
      <c r="B233" t="s">
        <v>864</v>
      </c>
      <c r="C233" t="s">
        <v>1359</v>
      </c>
      <c r="D233">
        <f t="shared" si="3"/>
        <v>0</v>
      </c>
      <c r="E233" t="s">
        <v>19</v>
      </c>
      <c r="F233" t="s">
        <v>2036</v>
      </c>
      <c r="G233" t="s">
        <v>326</v>
      </c>
    </row>
    <row r="234" spans="1:7" hidden="1" x14ac:dyDescent="0.3">
      <c r="A234" t="s">
        <v>154</v>
      </c>
      <c r="B234" t="s">
        <v>864</v>
      </c>
      <c r="C234" t="s">
        <v>1362</v>
      </c>
      <c r="D234">
        <f t="shared" si="3"/>
        <v>0</v>
      </c>
      <c r="E234" t="s">
        <v>19</v>
      </c>
      <c r="F234" t="s">
        <v>2038</v>
      </c>
      <c r="G234" t="s">
        <v>326</v>
      </c>
    </row>
    <row r="235" spans="1:7" hidden="1" x14ac:dyDescent="0.3">
      <c r="A235" t="s">
        <v>154</v>
      </c>
      <c r="B235" t="s">
        <v>477</v>
      </c>
      <c r="C235" t="s">
        <v>1366</v>
      </c>
      <c r="D235">
        <f t="shared" si="3"/>
        <v>0</v>
      </c>
      <c r="E235" t="s">
        <v>19</v>
      </c>
      <c r="F235" t="s">
        <v>2062</v>
      </c>
      <c r="G235" t="s">
        <v>326</v>
      </c>
    </row>
    <row r="236" spans="1:7" hidden="1" x14ac:dyDescent="0.3">
      <c r="A236" t="s">
        <v>154</v>
      </c>
      <c r="B236" t="s">
        <v>906</v>
      </c>
      <c r="C236" t="s">
        <v>1394</v>
      </c>
      <c r="D236">
        <f t="shared" si="3"/>
        <v>0</v>
      </c>
      <c r="E236" t="s">
        <v>19</v>
      </c>
      <c r="F236" t="s">
        <v>2124</v>
      </c>
      <c r="G236" t="s">
        <v>326</v>
      </c>
    </row>
    <row r="237" spans="1:7" hidden="1" x14ac:dyDescent="0.3">
      <c r="A237" t="s">
        <v>154</v>
      </c>
      <c r="B237" t="s">
        <v>907</v>
      </c>
      <c r="C237" t="s">
        <v>1394</v>
      </c>
      <c r="D237">
        <f t="shared" si="3"/>
        <v>0</v>
      </c>
      <c r="E237" t="s">
        <v>19</v>
      </c>
      <c r="F237" t="s">
        <v>2125</v>
      </c>
      <c r="G237" t="s">
        <v>326</v>
      </c>
    </row>
    <row r="238" spans="1:7" hidden="1" x14ac:dyDescent="0.3">
      <c r="A238" t="s">
        <v>154</v>
      </c>
      <c r="B238" t="s">
        <v>945</v>
      </c>
      <c r="C238" t="s">
        <v>1415</v>
      </c>
      <c r="D238">
        <f t="shared" si="3"/>
        <v>0</v>
      </c>
      <c r="E238" t="s">
        <v>19</v>
      </c>
      <c r="F238" t="s">
        <v>2218</v>
      </c>
      <c r="G238" t="s">
        <v>326</v>
      </c>
    </row>
    <row r="239" spans="1:7" hidden="1" x14ac:dyDescent="0.3">
      <c r="A239" t="s">
        <v>154</v>
      </c>
      <c r="B239" t="s">
        <v>498</v>
      </c>
      <c r="C239" t="s">
        <v>1415</v>
      </c>
      <c r="D239">
        <f t="shared" si="3"/>
        <v>0</v>
      </c>
      <c r="E239" t="s">
        <v>19</v>
      </c>
      <c r="F239" t="s">
        <v>2219</v>
      </c>
      <c r="G239" t="s">
        <v>326</v>
      </c>
    </row>
    <row r="240" spans="1:7" hidden="1" x14ac:dyDescent="0.3">
      <c r="A240" t="s">
        <v>154</v>
      </c>
      <c r="B240" t="s">
        <v>498</v>
      </c>
      <c r="C240" t="s">
        <v>1415</v>
      </c>
      <c r="D240">
        <f t="shared" si="3"/>
        <v>0</v>
      </c>
      <c r="E240" t="s">
        <v>19</v>
      </c>
      <c r="F240" t="s">
        <v>2220</v>
      </c>
      <c r="G240" t="s">
        <v>326</v>
      </c>
    </row>
    <row r="241" spans="1:7" hidden="1" x14ac:dyDescent="0.3">
      <c r="A241" t="s">
        <v>154</v>
      </c>
      <c r="B241" t="s">
        <v>979</v>
      </c>
      <c r="C241" t="s">
        <v>1423</v>
      </c>
      <c r="D241">
        <f t="shared" si="3"/>
        <v>0</v>
      </c>
      <c r="E241" t="s">
        <v>19</v>
      </c>
      <c r="F241" t="s">
        <v>2262</v>
      </c>
      <c r="G241" t="s">
        <v>326</v>
      </c>
    </row>
    <row r="242" spans="1:7" hidden="1" x14ac:dyDescent="0.3">
      <c r="A242" t="s">
        <v>154</v>
      </c>
      <c r="B242" t="s">
        <v>476</v>
      </c>
      <c r="C242" t="s">
        <v>1496</v>
      </c>
      <c r="D242">
        <f t="shared" si="3"/>
        <v>0</v>
      </c>
      <c r="E242" t="s">
        <v>19</v>
      </c>
      <c r="F242" t="s">
        <v>2443</v>
      </c>
      <c r="G242" t="s">
        <v>326</v>
      </c>
    </row>
    <row r="243" spans="1:7" hidden="1" x14ac:dyDescent="0.3">
      <c r="A243" t="s">
        <v>154</v>
      </c>
      <c r="B243" t="s">
        <v>669</v>
      </c>
      <c r="C243" t="s">
        <v>1496</v>
      </c>
      <c r="D243">
        <f t="shared" si="3"/>
        <v>0</v>
      </c>
      <c r="E243" t="s">
        <v>19</v>
      </c>
      <c r="F243" t="s">
        <v>2447</v>
      </c>
      <c r="G243" t="s">
        <v>326</v>
      </c>
    </row>
    <row r="244" spans="1:7" hidden="1" x14ac:dyDescent="0.3">
      <c r="A244" t="s">
        <v>154</v>
      </c>
      <c r="B244" t="s">
        <v>669</v>
      </c>
      <c r="C244" t="s">
        <v>1496</v>
      </c>
      <c r="D244">
        <f t="shared" si="3"/>
        <v>0</v>
      </c>
      <c r="E244" t="s">
        <v>19</v>
      </c>
      <c r="F244" t="s">
        <v>2448</v>
      </c>
      <c r="G244" t="s">
        <v>326</v>
      </c>
    </row>
    <row r="245" spans="1:7" hidden="1" x14ac:dyDescent="0.3">
      <c r="A245" t="s">
        <v>154</v>
      </c>
      <c r="B245" t="s">
        <v>1017</v>
      </c>
      <c r="C245" t="s">
        <v>1506</v>
      </c>
      <c r="D245">
        <f t="shared" si="3"/>
        <v>0</v>
      </c>
      <c r="E245" t="s">
        <v>19</v>
      </c>
      <c r="F245" t="s">
        <v>2464</v>
      </c>
      <c r="G245" t="s">
        <v>326</v>
      </c>
    </row>
    <row r="246" spans="1:7" hidden="1" x14ac:dyDescent="0.3">
      <c r="A246" t="s">
        <v>154</v>
      </c>
      <c r="B246" t="s">
        <v>1070</v>
      </c>
      <c r="C246" t="s">
        <v>1517</v>
      </c>
      <c r="D246">
        <f t="shared" si="3"/>
        <v>0</v>
      </c>
      <c r="E246" t="s">
        <v>19</v>
      </c>
      <c r="F246" t="s">
        <v>2496</v>
      </c>
      <c r="G246" t="s">
        <v>326</v>
      </c>
    </row>
    <row r="247" spans="1:7" hidden="1" x14ac:dyDescent="0.3">
      <c r="A247" t="s">
        <v>154</v>
      </c>
      <c r="B247" t="s">
        <v>845</v>
      </c>
      <c r="C247" t="s">
        <v>1517</v>
      </c>
      <c r="D247">
        <f t="shared" si="3"/>
        <v>0</v>
      </c>
      <c r="E247" t="s">
        <v>19</v>
      </c>
      <c r="F247" t="s">
        <v>2497</v>
      </c>
      <c r="G247" t="s">
        <v>326</v>
      </c>
    </row>
    <row r="248" spans="1:7" hidden="1" x14ac:dyDescent="0.3">
      <c r="A248" t="s">
        <v>154</v>
      </c>
      <c r="B248" t="s">
        <v>510</v>
      </c>
      <c r="C248" t="s">
        <v>1525</v>
      </c>
      <c r="D248">
        <f t="shared" si="3"/>
        <v>0</v>
      </c>
      <c r="E248" t="s">
        <v>19</v>
      </c>
      <c r="F248" t="s">
        <v>2563</v>
      </c>
      <c r="G248" t="s">
        <v>326</v>
      </c>
    </row>
    <row r="249" spans="1:7" hidden="1" x14ac:dyDescent="0.3">
      <c r="A249" t="s">
        <v>154</v>
      </c>
      <c r="B249" t="s">
        <v>669</v>
      </c>
      <c r="C249" t="s">
        <v>1528</v>
      </c>
      <c r="D249">
        <f t="shared" si="3"/>
        <v>0</v>
      </c>
      <c r="E249" t="s">
        <v>19</v>
      </c>
      <c r="F249" t="s">
        <v>2619</v>
      </c>
      <c r="G249" t="s">
        <v>326</v>
      </c>
    </row>
    <row r="250" spans="1:7" hidden="1" x14ac:dyDescent="0.3">
      <c r="A250" t="s">
        <v>154</v>
      </c>
      <c r="B250" t="s">
        <v>864</v>
      </c>
      <c r="C250" t="s">
        <v>1528</v>
      </c>
      <c r="D250">
        <f t="shared" si="3"/>
        <v>0</v>
      </c>
      <c r="E250" t="s">
        <v>19</v>
      </c>
      <c r="F250" t="s">
        <v>2620</v>
      </c>
      <c r="G250" t="s">
        <v>326</v>
      </c>
    </row>
    <row r="251" spans="1:7" hidden="1" x14ac:dyDescent="0.3">
      <c r="A251" t="s">
        <v>154</v>
      </c>
      <c r="B251" t="s">
        <v>845</v>
      </c>
      <c r="C251" t="s">
        <v>1528</v>
      </c>
      <c r="D251">
        <f t="shared" si="3"/>
        <v>0</v>
      </c>
      <c r="E251" t="s">
        <v>19</v>
      </c>
      <c r="F251" t="s">
        <v>2622</v>
      </c>
      <c r="G251" t="s">
        <v>326</v>
      </c>
    </row>
    <row r="252" spans="1:7" hidden="1" x14ac:dyDescent="0.3">
      <c r="A252" t="s">
        <v>154</v>
      </c>
      <c r="B252" t="s">
        <v>1138</v>
      </c>
      <c r="C252" t="s">
        <v>1536</v>
      </c>
      <c r="D252">
        <f t="shared" si="3"/>
        <v>0</v>
      </c>
      <c r="E252" t="s">
        <v>19</v>
      </c>
      <c r="F252" t="s">
        <v>2674</v>
      </c>
      <c r="G252" t="s">
        <v>326</v>
      </c>
    </row>
    <row r="253" spans="1:7" hidden="1" x14ac:dyDescent="0.3">
      <c r="A253" t="s">
        <v>154</v>
      </c>
      <c r="B253" t="s">
        <v>510</v>
      </c>
      <c r="C253" t="s">
        <v>1559</v>
      </c>
      <c r="D253">
        <f t="shared" si="3"/>
        <v>0</v>
      </c>
      <c r="E253" t="s">
        <v>19</v>
      </c>
      <c r="F253" t="s">
        <v>2755</v>
      </c>
      <c r="G253" t="s">
        <v>326</v>
      </c>
    </row>
    <row r="254" spans="1:7" hidden="1" x14ac:dyDescent="0.3">
      <c r="A254" t="s">
        <v>154</v>
      </c>
      <c r="B254" t="s">
        <v>669</v>
      </c>
      <c r="C254" t="s">
        <v>1575</v>
      </c>
      <c r="D254">
        <f t="shared" si="3"/>
        <v>0</v>
      </c>
      <c r="E254" t="s">
        <v>19</v>
      </c>
      <c r="F254" t="s">
        <v>2815</v>
      </c>
      <c r="G254" t="s">
        <v>326</v>
      </c>
    </row>
    <row r="255" spans="1:7" hidden="1" x14ac:dyDescent="0.3">
      <c r="A255" t="s">
        <v>154</v>
      </c>
      <c r="B255" t="s">
        <v>1194</v>
      </c>
      <c r="C255" t="s">
        <v>1586</v>
      </c>
      <c r="D255">
        <f t="shared" si="3"/>
        <v>0</v>
      </c>
      <c r="E255" t="s">
        <v>19</v>
      </c>
      <c r="F255" t="s">
        <v>2842</v>
      </c>
      <c r="G255" t="s">
        <v>326</v>
      </c>
    </row>
    <row r="256" spans="1:7" hidden="1" x14ac:dyDescent="0.3">
      <c r="A256" t="s">
        <v>154</v>
      </c>
      <c r="B256" t="s">
        <v>864</v>
      </c>
      <c r="C256" t="s">
        <v>1588</v>
      </c>
      <c r="D256">
        <f t="shared" si="3"/>
        <v>0</v>
      </c>
      <c r="E256" t="s">
        <v>19</v>
      </c>
      <c r="F256" t="s">
        <v>2844</v>
      </c>
      <c r="G256" t="s">
        <v>326</v>
      </c>
    </row>
    <row r="257" spans="1:7" hidden="1" x14ac:dyDescent="0.3">
      <c r="A257" t="s">
        <v>154</v>
      </c>
      <c r="B257" t="s">
        <v>669</v>
      </c>
      <c r="C257" t="s">
        <v>1597</v>
      </c>
      <c r="D257">
        <f t="shared" si="3"/>
        <v>0</v>
      </c>
      <c r="E257" t="s">
        <v>19</v>
      </c>
      <c r="F257" t="s">
        <v>2873</v>
      </c>
      <c r="G257" t="s">
        <v>326</v>
      </c>
    </row>
    <row r="258" spans="1:7" hidden="1" x14ac:dyDescent="0.3">
      <c r="A258" t="s">
        <v>154</v>
      </c>
      <c r="B258" t="s">
        <v>712</v>
      </c>
      <c r="C258" t="s">
        <v>1597</v>
      </c>
      <c r="D258">
        <f t="shared" ref="D258:D321" si="4">SIGN(SUBTOTAL(3,E258))</f>
        <v>0</v>
      </c>
      <c r="E258" t="s">
        <v>19</v>
      </c>
      <c r="F258" t="s">
        <v>2879</v>
      </c>
      <c r="G258" t="s">
        <v>326</v>
      </c>
    </row>
    <row r="259" spans="1:7" hidden="1" x14ac:dyDescent="0.3">
      <c r="A259" t="s">
        <v>154</v>
      </c>
      <c r="B259" t="s">
        <v>669</v>
      </c>
      <c r="C259" t="s">
        <v>1597</v>
      </c>
      <c r="D259">
        <f t="shared" si="4"/>
        <v>0</v>
      </c>
      <c r="E259" t="s">
        <v>19</v>
      </c>
      <c r="F259" t="s">
        <v>2881</v>
      </c>
      <c r="G259" t="s">
        <v>326</v>
      </c>
    </row>
    <row r="260" spans="1:7" hidden="1" x14ac:dyDescent="0.3">
      <c r="A260" t="s">
        <v>154</v>
      </c>
      <c r="B260" t="s">
        <v>845</v>
      </c>
      <c r="C260" t="s">
        <v>1602</v>
      </c>
      <c r="D260">
        <f t="shared" si="4"/>
        <v>0</v>
      </c>
      <c r="E260" t="s">
        <v>19</v>
      </c>
      <c r="F260" t="s">
        <v>2901</v>
      </c>
      <c r="G260" t="s">
        <v>326</v>
      </c>
    </row>
    <row r="261" spans="1:7" hidden="1" x14ac:dyDescent="0.3">
      <c r="A261" t="s">
        <v>154</v>
      </c>
      <c r="B261" t="s">
        <v>1216</v>
      </c>
      <c r="C261" t="s">
        <v>1615</v>
      </c>
      <c r="D261">
        <f t="shared" si="4"/>
        <v>0</v>
      </c>
      <c r="E261" t="s">
        <v>19</v>
      </c>
      <c r="F261" t="s">
        <v>2924</v>
      </c>
      <c r="G261" t="s">
        <v>326</v>
      </c>
    </row>
    <row r="262" spans="1:7" hidden="1" x14ac:dyDescent="0.3">
      <c r="A262" t="s">
        <v>154</v>
      </c>
      <c r="B262" t="s">
        <v>498</v>
      </c>
      <c r="C262" t="s">
        <v>1623</v>
      </c>
      <c r="D262">
        <f t="shared" si="4"/>
        <v>0</v>
      </c>
      <c r="E262" t="s">
        <v>19</v>
      </c>
      <c r="F262" t="s">
        <v>2942</v>
      </c>
      <c r="G262" t="s">
        <v>326</v>
      </c>
    </row>
    <row r="263" spans="1:7" hidden="1" x14ac:dyDescent="0.3">
      <c r="A263" t="s">
        <v>154</v>
      </c>
      <c r="B263" t="s">
        <v>1221</v>
      </c>
      <c r="C263" t="s">
        <v>1623</v>
      </c>
      <c r="D263">
        <f t="shared" si="4"/>
        <v>0</v>
      </c>
      <c r="E263" t="s">
        <v>19</v>
      </c>
      <c r="F263" t="s">
        <v>2943</v>
      </c>
      <c r="G263" t="s">
        <v>326</v>
      </c>
    </row>
    <row r="264" spans="1:7" hidden="1" x14ac:dyDescent="0.3">
      <c r="A264" t="s">
        <v>154</v>
      </c>
      <c r="B264" t="s">
        <v>1017</v>
      </c>
      <c r="C264" t="s">
        <v>1623</v>
      </c>
      <c r="D264">
        <f t="shared" si="4"/>
        <v>0</v>
      </c>
      <c r="E264" t="s">
        <v>19</v>
      </c>
      <c r="F264" t="s">
        <v>2944</v>
      </c>
      <c r="G264" t="s">
        <v>326</v>
      </c>
    </row>
    <row r="265" spans="1:7" hidden="1" x14ac:dyDescent="0.3">
      <c r="A265" t="s">
        <v>154</v>
      </c>
      <c r="B265" t="s">
        <v>712</v>
      </c>
      <c r="C265" t="s">
        <v>1623</v>
      </c>
      <c r="D265">
        <f t="shared" si="4"/>
        <v>0</v>
      </c>
      <c r="E265" t="s">
        <v>19</v>
      </c>
      <c r="F265" t="s">
        <v>2945</v>
      </c>
      <c r="G265" t="s">
        <v>326</v>
      </c>
    </row>
    <row r="266" spans="1:7" hidden="1" x14ac:dyDescent="0.3">
      <c r="A266" t="s">
        <v>154</v>
      </c>
      <c r="B266" t="s">
        <v>669</v>
      </c>
      <c r="C266" t="s">
        <v>1623</v>
      </c>
      <c r="D266">
        <f t="shared" si="4"/>
        <v>0</v>
      </c>
      <c r="E266" t="s">
        <v>19</v>
      </c>
      <c r="F266" t="s">
        <v>2946</v>
      </c>
      <c r="G266" t="s">
        <v>326</v>
      </c>
    </row>
    <row r="267" spans="1:7" hidden="1" x14ac:dyDescent="0.3">
      <c r="A267" t="s">
        <v>154</v>
      </c>
      <c r="B267" t="s">
        <v>1222</v>
      </c>
      <c r="C267" t="s">
        <v>1623</v>
      </c>
      <c r="D267">
        <f t="shared" si="4"/>
        <v>0</v>
      </c>
      <c r="E267" t="s">
        <v>19</v>
      </c>
      <c r="F267" t="s">
        <v>2947</v>
      </c>
      <c r="G267" t="s">
        <v>326</v>
      </c>
    </row>
    <row r="268" spans="1:7" hidden="1" x14ac:dyDescent="0.3">
      <c r="A268" t="s">
        <v>154</v>
      </c>
      <c r="B268" t="s">
        <v>845</v>
      </c>
      <c r="C268" t="s">
        <v>1623</v>
      </c>
      <c r="D268">
        <f t="shared" si="4"/>
        <v>0</v>
      </c>
      <c r="E268" t="s">
        <v>19</v>
      </c>
      <c r="F268" t="s">
        <v>2948</v>
      </c>
      <c r="G268" t="s">
        <v>326</v>
      </c>
    </row>
    <row r="269" spans="1:7" hidden="1" x14ac:dyDescent="0.3">
      <c r="A269" t="s">
        <v>154</v>
      </c>
      <c r="B269" t="s">
        <v>1223</v>
      </c>
      <c r="C269" t="s">
        <v>1623</v>
      </c>
      <c r="D269">
        <f t="shared" si="4"/>
        <v>0</v>
      </c>
      <c r="E269" t="s">
        <v>19</v>
      </c>
      <c r="F269" t="s">
        <v>2949</v>
      </c>
      <c r="G269" t="s">
        <v>326</v>
      </c>
    </row>
    <row r="270" spans="1:7" hidden="1" x14ac:dyDescent="0.3">
      <c r="A270" t="s">
        <v>154</v>
      </c>
      <c r="B270" t="s">
        <v>1226</v>
      </c>
      <c r="C270" t="s">
        <v>1623</v>
      </c>
      <c r="D270">
        <f t="shared" si="4"/>
        <v>0</v>
      </c>
      <c r="E270" t="s">
        <v>19</v>
      </c>
      <c r="F270" t="s">
        <v>2963</v>
      </c>
      <c r="G270" t="s">
        <v>326</v>
      </c>
    </row>
    <row r="271" spans="1:7" hidden="1" x14ac:dyDescent="0.3">
      <c r="A271" t="s">
        <v>154</v>
      </c>
      <c r="B271" t="s">
        <v>476</v>
      </c>
      <c r="C271" t="s">
        <v>1627</v>
      </c>
      <c r="D271">
        <f t="shared" si="4"/>
        <v>0</v>
      </c>
      <c r="E271" t="s">
        <v>19</v>
      </c>
      <c r="F271" t="s">
        <v>2987</v>
      </c>
      <c r="G271" t="s">
        <v>326</v>
      </c>
    </row>
    <row r="272" spans="1:7" hidden="1" x14ac:dyDescent="0.3">
      <c r="A272" t="s">
        <v>154</v>
      </c>
      <c r="B272" t="s">
        <v>700</v>
      </c>
      <c r="C272" t="s">
        <v>1635</v>
      </c>
      <c r="D272">
        <f t="shared" si="4"/>
        <v>0</v>
      </c>
      <c r="E272" t="s">
        <v>19</v>
      </c>
      <c r="F272" t="s">
        <v>3011</v>
      </c>
      <c r="G272" t="s">
        <v>326</v>
      </c>
    </row>
    <row r="273" spans="1:7" x14ac:dyDescent="0.3">
      <c r="A273" t="s">
        <v>155</v>
      </c>
      <c r="B273" t="s">
        <v>704</v>
      </c>
      <c r="C273" t="s">
        <v>1285</v>
      </c>
      <c r="D273">
        <f t="shared" si="4"/>
        <v>1</v>
      </c>
      <c r="E273" t="s">
        <v>19</v>
      </c>
      <c r="F273" t="s">
        <v>1739</v>
      </c>
      <c r="G273" t="s">
        <v>326</v>
      </c>
    </row>
    <row r="274" spans="1:7" x14ac:dyDescent="0.3">
      <c r="A274" t="s">
        <v>155</v>
      </c>
      <c r="B274" t="s">
        <v>704</v>
      </c>
      <c r="C274" t="s">
        <v>1449</v>
      </c>
      <c r="D274">
        <f t="shared" si="4"/>
        <v>1</v>
      </c>
      <c r="E274" t="s">
        <v>19</v>
      </c>
      <c r="F274" t="s">
        <v>2327</v>
      </c>
      <c r="G274" t="s">
        <v>326</v>
      </c>
    </row>
    <row r="275" spans="1:7" x14ac:dyDescent="0.3">
      <c r="A275" t="s">
        <v>155</v>
      </c>
      <c r="B275" t="s">
        <v>1012</v>
      </c>
      <c r="C275" t="s">
        <v>1449</v>
      </c>
      <c r="D275">
        <f t="shared" si="4"/>
        <v>1</v>
      </c>
      <c r="E275" t="s">
        <v>19</v>
      </c>
      <c r="F275" t="s">
        <v>2328</v>
      </c>
      <c r="G275" t="s">
        <v>326</v>
      </c>
    </row>
    <row r="276" spans="1:7" x14ac:dyDescent="0.3">
      <c r="A276" t="s">
        <v>155</v>
      </c>
      <c r="B276" t="s">
        <v>704</v>
      </c>
      <c r="C276" t="s">
        <v>1449</v>
      </c>
      <c r="D276">
        <f t="shared" si="4"/>
        <v>1</v>
      </c>
      <c r="E276" t="s">
        <v>19</v>
      </c>
      <c r="F276" t="s">
        <v>2331</v>
      </c>
      <c r="G276" t="s">
        <v>326</v>
      </c>
    </row>
    <row r="277" spans="1:7" x14ac:dyDescent="0.3">
      <c r="A277" t="s">
        <v>155</v>
      </c>
      <c r="B277" t="s">
        <v>1012</v>
      </c>
      <c r="C277" t="s">
        <v>1530</v>
      </c>
      <c r="D277">
        <f t="shared" si="4"/>
        <v>1</v>
      </c>
      <c r="E277" t="s">
        <v>19</v>
      </c>
      <c r="F277" t="s">
        <v>2635</v>
      </c>
      <c r="G277" t="s">
        <v>326</v>
      </c>
    </row>
    <row r="278" spans="1:7" x14ac:dyDescent="0.3">
      <c r="A278" t="s">
        <v>155</v>
      </c>
      <c r="B278" t="s">
        <v>704</v>
      </c>
      <c r="C278" t="s">
        <v>1530</v>
      </c>
      <c r="D278">
        <f t="shared" si="4"/>
        <v>1</v>
      </c>
      <c r="E278" t="s">
        <v>19</v>
      </c>
      <c r="F278" t="s">
        <v>2647</v>
      </c>
      <c r="G278" t="s">
        <v>326</v>
      </c>
    </row>
    <row r="279" spans="1:7" x14ac:dyDescent="0.3">
      <c r="A279" t="s">
        <v>155</v>
      </c>
      <c r="B279" t="s">
        <v>1128</v>
      </c>
      <c r="C279" t="s">
        <v>1530</v>
      </c>
      <c r="D279">
        <f t="shared" si="4"/>
        <v>1</v>
      </c>
      <c r="E279" t="s">
        <v>19</v>
      </c>
      <c r="F279" t="s">
        <v>2648</v>
      </c>
      <c r="G279" t="s">
        <v>326</v>
      </c>
    </row>
    <row r="280" spans="1:7" x14ac:dyDescent="0.3">
      <c r="A280" t="s">
        <v>155</v>
      </c>
      <c r="B280" t="s">
        <v>704</v>
      </c>
      <c r="C280" t="s">
        <v>1589</v>
      </c>
      <c r="D280">
        <f t="shared" si="4"/>
        <v>1</v>
      </c>
      <c r="E280" t="s">
        <v>19</v>
      </c>
      <c r="F280" t="s">
        <v>2845</v>
      </c>
      <c r="G280" t="s">
        <v>326</v>
      </c>
    </row>
    <row r="281" spans="1:7" hidden="1" x14ac:dyDescent="0.3">
      <c r="A281" t="s">
        <v>156</v>
      </c>
      <c r="B281" t="s">
        <v>655</v>
      </c>
      <c r="C281" t="s">
        <v>1251</v>
      </c>
      <c r="D281">
        <f t="shared" si="4"/>
        <v>0</v>
      </c>
      <c r="E281" t="s">
        <v>19</v>
      </c>
      <c r="F281" t="s">
        <v>1661</v>
      </c>
      <c r="G281" t="s">
        <v>326</v>
      </c>
    </row>
    <row r="282" spans="1:7" hidden="1" x14ac:dyDescent="0.3">
      <c r="A282" t="s">
        <v>156</v>
      </c>
      <c r="B282" t="s">
        <v>673</v>
      </c>
      <c r="C282" t="s">
        <v>1277</v>
      </c>
      <c r="D282">
        <f t="shared" si="4"/>
        <v>0</v>
      </c>
      <c r="E282" t="s">
        <v>19</v>
      </c>
      <c r="F282" t="s">
        <v>1690</v>
      </c>
      <c r="G282" t="s">
        <v>326</v>
      </c>
    </row>
    <row r="283" spans="1:7" hidden="1" x14ac:dyDescent="0.3">
      <c r="A283" t="s">
        <v>156</v>
      </c>
      <c r="B283" t="s">
        <v>678</v>
      </c>
      <c r="C283" t="s">
        <v>1278</v>
      </c>
      <c r="D283">
        <f t="shared" si="4"/>
        <v>0</v>
      </c>
      <c r="E283" t="s">
        <v>19</v>
      </c>
      <c r="F283" t="s">
        <v>1698</v>
      </c>
      <c r="G283" t="s">
        <v>326</v>
      </c>
    </row>
    <row r="284" spans="1:7" hidden="1" x14ac:dyDescent="0.3">
      <c r="A284" t="s">
        <v>156</v>
      </c>
      <c r="B284" t="s">
        <v>756</v>
      </c>
      <c r="C284" t="s">
        <v>1306</v>
      </c>
      <c r="D284">
        <f t="shared" si="4"/>
        <v>0</v>
      </c>
      <c r="E284" t="s">
        <v>19</v>
      </c>
      <c r="F284" t="s">
        <v>1821</v>
      </c>
      <c r="G284" t="s">
        <v>326</v>
      </c>
    </row>
    <row r="285" spans="1:7" hidden="1" x14ac:dyDescent="0.3">
      <c r="A285" t="s">
        <v>156</v>
      </c>
      <c r="B285" t="s">
        <v>757</v>
      </c>
      <c r="C285" t="s">
        <v>1306</v>
      </c>
      <c r="D285">
        <f t="shared" si="4"/>
        <v>0</v>
      </c>
      <c r="E285" t="s">
        <v>19</v>
      </c>
      <c r="F285" t="s">
        <v>1822</v>
      </c>
      <c r="G285" t="s">
        <v>326</v>
      </c>
    </row>
    <row r="286" spans="1:7" hidden="1" x14ac:dyDescent="0.3">
      <c r="A286" t="s">
        <v>156</v>
      </c>
      <c r="B286" t="s">
        <v>782</v>
      </c>
      <c r="C286" t="s">
        <v>1325</v>
      </c>
      <c r="D286">
        <f t="shared" si="4"/>
        <v>0</v>
      </c>
      <c r="E286" t="s">
        <v>19</v>
      </c>
      <c r="F286" t="s">
        <v>1873</v>
      </c>
      <c r="G286" t="s">
        <v>326</v>
      </c>
    </row>
    <row r="287" spans="1:7" hidden="1" x14ac:dyDescent="0.3">
      <c r="A287" t="s">
        <v>156</v>
      </c>
      <c r="B287" t="s">
        <v>794</v>
      </c>
      <c r="C287" t="s">
        <v>1341</v>
      </c>
      <c r="D287">
        <f t="shared" si="4"/>
        <v>0</v>
      </c>
      <c r="E287" t="s">
        <v>19</v>
      </c>
      <c r="F287" t="s">
        <v>1895</v>
      </c>
      <c r="G287" t="s">
        <v>326</v>
      </c>
    </row>
    <row r="288" spans="1:7" hidden="1" x14ac:dyDescent="0.3">
      <c r="A288" t="s">
        <v>156</v>
      </c>
      <c r="B288" t="s">
        <v>795</v>
      </c>
      <c r="C288" t="s">
        <v>1341</v>
      </c>
      <c r="D288">
        <f t="shared" si="4"/>
        <v>0</v>
      </c>
      <c r="E288" t="s">
        <v>19</v>
      </c>
      <c r="F288" t="s">
        <v>1897</v>
      </c>
      <c r="G288" t="s">
        <v>326</v>
      </c>
    </row>
    <row r="289" spans="1:7" hidden="1" x14ac:dyDescent="0.3">
      <c r="A289" t="s">
        <v>156</v>
      </c>
      <c r="B289" t="s">
        <v>796</v>
      </c>
      <c r="C289" t="s">
        <v>1341</v>
      </c>
      <c r="D289">
        <f t="shared" si="4"/>
        <v>0</v>
      </c>
      <c r="E289" t="s">
        <v>19</v>
      </c>
      <c r="F289" t="s">
        <v>1898</v>
      </c>
      <c r="G289" t="s">
        <v>326</v>
      </c>
    </row>
    <row r="290" spans="1:7" hidden="1" x14ac:dyDescent="0.3">
      <c r="A290" t="s">
        <v>156</v>
      </c>
      <c r="B290" t="s">
        <v>797</v>
      </c>
      <c r="C290" t="s">
        <v>1341</v>
      </c>
      <c r="D290">
        <f t="shared" si="4"/>
        <v>0</v>
      </c>
      <c r="E290" t="s">
        <v>19</v>
      </c>
      <c r="F290" t="s">
        <v>1899</v>
      </c>
      <c r="G290" t="s">
        <v>326</v>
      </c>
    </row>
    <row r="291" spans="1:7" hidden="1" x14ac:dyDescent="0.3">
      <c r="A291" t="s">
        <v>156</v>
      </c>
      <c r="B291" t="s">
        <v>813</v>
      </c>
      <c r="C291" t="s">
        <v>1341</v>
      </c>
      <c r="D291">
        <f t="shared" si="4"/>
        <v>0</v>
      </c>
      <c r="E291" t="s">
        <v>19</v>
      </c>
      <c r="F291" t="s">
        <v>1928</v>
      </c>
      <c r="G291" t="s">
        <v>326</v>
      </c>
    </row>
    <row r="292" spans="1:7" hidden="1" x14ac:dyDescent="0.3">
      <c r="A292" t="s">
        <v>156</v>
      </c>
      <c r="B292" t="s">
        <v>841</v>
      </c>
      <c r="C292" t="s">
        <v>1345</v>
      </c>
      <c r="D292">
        <f t="shared" si="4"/>
        <v>0</v>
      </c>
      <c r="E292" t="s">
        <v>19</v>
      </c>
      <c r="F292" t="s">
        <v>1990</v>
      </c>
      <c r="G292" t="s">
        <v>326</v>
      </c>
    </row>
    <row r="293" spans="1:7" hidden="1" x14ac:dyDescent="0.3">
      <c r="A293" t="s">
        <v>156</v>
      </c>
      <c r="B293" t="s">
        <v>874</v>
      </c>
      <c r="C293" t="s">
        <v>1366</v>
      </c>
      <c r="D293">
        <f t="shared" si="4"/>
        <v>0</v>
      </c>
      <c r="E293" t="s">
        <v>19</v>
      </c>
      <c r="F293" t="s">
        <v>2061</v>
      </c>
      <c r="G293" t="s">
        <v>326</v>
      </c>
    </row>
    <row r="294" spans="1:7" hidden="1" x14ac:dyDescent="0.3">
      <c r="A294" t="s">
        <v>156</v>
      </c>
      <c r="B294" t="s">
        <v>879</v>
      </c>
      <c r="C294" t="s">
        <v>1368</v>
      </c>
      <c r="D294">
        <f t="shared" si="4"/>
        <v>0</v>
      </c>
      <c r="E294" t="s">
        <v>19</v>
      </c>
      <c r="F294" t="s">
        <v>2074</v>
      </c>
      <c r="G294" t="s">
        <v>326</v>
      </c>
    </row>
    <row r="295" spans="1:7" hidden="1" x14ac:dyDescent="0.3">
      <c r="A295" t="s">
        <v>156</v>
      </c>
      <c r="B295" t="s">
        <v>874</v>
      </c>
      <c r="C295" t="s">
        <v>1365</v>
      </c>
      <c r="D295">
        <f t="shared" si="4"/>
        <v>0</v>
      </c>
      <c r="E295" t="s">
        <v>19</v>
      </c>
      <c r="F295" t="s">
        <v>2081</v>
      </c>
      <c r="G295" t="s">
        <v>326</v>
      </c>
    </row>
    <row r="296" spans="1:7" hidden="1" x14ac:dyDescent="0.3">
      <c r="A296" t="s">
        <v>156</v>
      </c>
      <c r="B296" t="s">
        <v>782</v>
      </c>
      <c r="C296" t="s">
        <v>1401</v>
      </c>
      <c r="D296">
        <f t="shared" si="4"/>
        <v>0</v>
      </c>
      <c r="E296" t="s">
        <v>19</v>
      </c>
      <c r="F296" t="s">
        <v>2180</v>
      </c>
      <c r="G296" t="s">
        <v>326</v>
      </c>
    </row>
    <row r="297" spans="1:7" hidden="1" x14ac:dyDescent="0.3">
      <c r="A297" t="s">
        <v>156</v>
      </c>
      <c r="B297" t="s">
        <v>948</v>
      </c>
      <c r="C297" t="s">
        <v>1416</v>
      </c>
      <c r="D297">
        <f t="shared" si="4"/>
        <v>0</v>
      </c>
      <c r="E297" t="s">
        <v>19</v>
      </c>
      <c r="F297" t="s">
        <v>2223</v>
      </c>
      <c r="G297" t="s">
        <v>326</v>
      </c>
    </row>
    <row r="298" spans="1:7" hidden="1" x14ac:dyDescent="0.3">
      <c r="A298" t="s">
        <v>156</v>
      </c>
      <c r="B298" t="s">
        <v>961</v>
      </c>
      <c r="C298" t="s">
        <v>1416</v>
      </c>
      <c r="D298">
        <f t="shared" si="4"/>
        <v>0</v>
      </c>
      <c r="E298" t="s">
        <v>19</v>
      </c>
      <c r="F298" t="s">
        <v>2238</v>
      </c>
      <c r="G298" t="s">
        <v>326</v>
      </c>
    </row>
    <row r="299" spans="1:7" hidden="1" x14ac:dyDescent="0.3">
      <c r="A299" t="s">
        <v>156</v>
      </c>
      <c r="B299" t="s">
        <v>981</v>
      </c>
      <c r="C299" t="s">
        <v>1425</v>
      </c>
      <c r="D299">
        <f t="shared" si="4"/>
        <v>0</v>
      </c>
      <c r="E299" t="s">
        <v>19</v>
      </c>
      <c r="F299" t="s">
        <v>2264</v>
      </c>
      <c r="G299" t="s">
        <v>326</v>
      </c>
    </row>
    <row r="300" spans="1:7" hidden="1" x14ac:dyDescent="0.3">
      <c r="A300" t="s">
        <v>156</v>
      </c>
      <c r="B300" t="s">
        <v>982</v>
      </c>
      <c r="C300" t="s">
        <v>1427</v>
      </c>
      <c r="D300">
        <f t="shared" si="4"/>
        <v>0</v>
      </c>
      <c r="E300" t="s">
        <v>19</v>
      </c>
      <c r="F300" t="s">
        <v>2266</v>
      </c>
      <c r="G300" t="s">
        <v>326</v>
      </c>
    </row>
    <row r="301" spans="1:7" hidden="1" x14ac:dyDescent="0.3">
      <c r="A301" t="s">
        <v>156</v>
      </c>
      <c r="B301" t="s">
        <v>983</v>
      </c>
      <c r="C301" t="s">
        <v>1428</v>
      </c>
      <c r="D301">
        <f t="shared" si="4"/>
        <v>0</v>
      </c>
      <c r="E301" t="s">
        <v>19</v>
      </c>
      <c r="F301" t="s">
        <v>2274</v>
      </c>
      <c r="G301" t="s">
        <v>326</v>
      </c>
    </row>
    <row r="302" spans="1:7" hidden="1" x14ac:dyDescent="0.3">
      <c r="A302" t="s">
        <v>156</v>
      </c>
      <c r="B302" t="s">
        <v>989</v>
      </c>
      <c r="C302" t="s">
        <v>1436</v>
      </c>
      <c r="D302">
        <f t="shared" si="4"/>
        <v>0</v>
      </c>
      <c r="E302" t="s">
        <v>19</v>
      </c>
      <c r="F302" t="s">
        <v>2286</v>
      </c>
      <c r="G302" t="s">
        <v>326</v>
      </c>
    </row>
    <row r="303" spans="1:7" hidden="1" x14ac:dyDescent="0.3">
      <c r="A303" t="s">
        <v>156</v>
      </c>
      <c r="B303" t="s">
        <v>991</v>
      </c>
      <c r="C303" t="s">
        <v>1436</v>
      </c>
      <c r="D303">
        <f t="shared" si="4"/>
        <v>0</v>
      </c>
      <c r="E303" t="s">
        <v>19</v>
      </c>
      <c r="F303" t="s">
        <v>2288</v>
      </c>
      <c r="G303" t="s">
        <v>326</v>
      </c>
    </row>
    <row r="304" spans="1:7" hidden="1" x14ac:dyDescent="0.3">
      <c r="A304" t="s">
        <v>156</v>
      </c>
      <c r="B304" t="s">
        <v>994</v>
      </c>
      <c r="C304" t="s">
        <v>1436</v>
      </c>
      <c r="D304">
        <f t="shared" si="4"/>
        <v>0</v>
      </c>
      <c r="E304" t="s">
        <v>19</v>
      </c>
      <c r="F304" t="s">
        <v>2291</v>
      </c>
      <c r="G304" t="s">
        <v>326</v>
      </c>
    </row>
    <row r="305" spans="1:7" hidden="1" x14ac:dyDescent="0.3">
      <c r="A305" t="s">
        <v>156</v>
      </c>
      <c r="B305" t="s">
        <v>996</v>
      </c>
      <c r="C305" t="s">
        <v>1436</v>
      </c>
      <c r="D305">
        <f t="shared" si="4"/>
        <v>0</v>
      </c>
      <c r="E305" t="s">
        <v>19</v>
      </c>
      <c r="F305" t="s">
        <v>2293</v>
      </c>
      <c r="G305" t="s">
        <v>326</v>
      </c>
    </row>
    <row r="306" spans="1:7" hidden="1" x14ac:dyDescent="0.3">
      <c r="A306" t="s">
        <v>156</v>
      </c>
      <c r="B306" t="s">
        <v>478</v>
      </c>
      <c r="C306" t="s">
        <v>1461</v>
      </c>
      <c r="D306">
        <f t="shared" si="4"/>
        <v>0</v>
      </c>
      <c r="E306" t="s">
        <v>19</v>
      </c>
      <c r="F306" t="s">
        <v>2359</v>
      </c>
      <c r="G306" t="s">
        <v>326</v>
      </c>
    </row>
    <row r="307" spans="1:7" hidden="1" x14ac:dyDescent="0.3">
      <c r="A307" t="s">
        <v>156</v>
      </c>
      <c r="B307" t="s">
        <v>874</v>
      </c>
      <c r="C307" t="s">
        <v>1471</v>
      </c>
      <c r="D307">
        <f t="shared" si="4"/>
        <v>0</v>
      </c>
      <c r="E307" t="s">
        <v>19</v>
      </c>
      <c r="F307" t="s">
        <v>2381</v>
      </c>
      <c r="G307" t="s">
        <v>326</v>
      </c>
    </row>
    <row r="308" spans="1:7" hidden="1" x14ac:dyDescent="0.3">
      <c r="A308" t="s">
        <v>156</v>
      </c>
      <c r="B308" t="s">
        <v>1035</v>
      </c>
      <c r="C308" t="s">
        <v>1472</v>
      </c>
      <c r="D308">
        <f t="shared" si="4"/>
        <v>0</v>
      </c>
      <c r="E308" t="s">
        <v>19</v>
      </c>
      <c r="F308" t="s">
        <v>2384</v>
      </c>
      <c r="G308" t="s">
        <v>326</v>
      </c>
    </row>
    <row r="309" spans="1:7" hidden="1" x14ac:dyDescent="0.3">
      <c r="A309" t="s">
        <v>156</v>
      </c>
      <c r="B309" t="s">
        <v>996</v>
      </c>
      <c r="C309" t="s">
        <v>1474</v>
      </c>
      <c r="D309">
        <f t="shared" si="4"/>
        <v>0</v>
      </c>
      <c r="E309" t="s">
        <v>19</v>
      </c>
      <c r="F309" t="s">
        <v>2388</v>
      </c>
      <c r="G309" t="s">
        <v>326</v>
      </c>
    </row>
    <row r="310" spans="1:7" hidden="1" x14ac:dyDescent="0.3">
      <c r="A310" t="s">
        <v>156</v>
      </c>
      <c r="B310" t="s">
        <v>1042</v>
      </c>
      <c r="C310" t="s">
        <v>1480</v>
      </c>
      <c r="D310">
        <f t="shared" si="4"/>
        <v>0</v>
      </c>
      <c r="E310" t="s">
        <v>19</v>
      </c>
      <c r="F310" t="s">
        <v>2398</v>
      </c>
      <c r="G310" t="s">
        <v>326</v>
      </c>
    </row>
    <row r="311" spans="1:7" hidden="1" x14ac:dyDescent="0.3">
      <c r="A311" t="s">
        <v>156</v>
      </c>
      <c r="B311" t="s">
        <v>1043</v>
      </c>
      <c r="C311" t="s">
        <v>1482</v>
      </c>
      <c r="D311">
        <f t="shared" si="4"/>
        <v>0</v>
      </c>
      <c r="E311" t="s">
        <v>19</v>
      </c>
      <c r="F311" t="s">
        <v>2399</v>
      </c>
      <c r="G311" t="s">
        <v>326</v>
      </c>
    </row>
    <row r="312" spans="1:7" hidden="1" x14ac:dyDescent="0.3">
      <c r="A312" t="s">
        <v>156</v>
      </c>
      <c r="B312" t="s">
        <v>1059</v>
      </c>
      <c r="C312" t="s">
        <v>1500</v>
      </c>
      <c r="D312">
        <f t="shared" si="4"/>
        <v>0</v>
      </c>
      <c r="E312" t="s">
        <v>19</v>
      </c>
      <c r="F312" t="s">
        <v>2436</v>
      </c>
      <c r="G312" t="s">
        <v>326</v>
      </c>
    </row>
    <row r="313" spans="1:7" hidden="1" x14ac:dyDescent="0.3">
      <c r="A313" t="s">
        <v>156</v>
      </c>
      <c r="B313" t="s">
        <v>673</v>
      </c>
      <c r="C313" t="s">
        <v>1496</v>
      </c>
      <c r="D313">
        <f t="shared" si="4"/>
        <v>0</v>
      </c>
      <c r="E313" t="s">
        <v>19</v>
      </c>
      <c r="F313" t="s">
        <v>2440</v>
      </c>
      <c r="G313" t="s">
        <v>326</v>
      </c>
    </row>
    <row r="314" spans="1:7" hidden="1" x14ac:dyDescent="0.3">
      <c r="A314" t="s">
        <v>156</v>
      </c>
      <c r="B314" t="s">
        <v>1061</v>
      </c>
      <c r="C314" t="s">
        <v>1503</v>
      </c>
      <c r="D314">
        <f t="shared" si="4"/>
        <v>0</v>
      </c>
      <c r="E314" t="s">
        <v>19</v>
      </c>
      <c r="F314" t="s">
        <v>2450</v>
      </c>
      <c r="G314" t="s">
        <v>326</v>
      </c>
    </row>
    <row r="315" spans="1:7" hidden="1" x14ac:dyDescent="0.3">
      <c r="A315" t="s">
        <v>156</v>
      </c>
      <c r="B315" t="s">
        <v>1062</v>
      </c>
      <c r="C315" t="s">
        <v>1496</v>
      </c>
      <c r="D315">
        <f t="shared" si="4"/>
        <v>0</v>
      </c>
      <c r="E315" t="s">
        <v>19</v>
      </c>
      <c r="F315" t="s">
        <v>2451</v>
      </c>
      <c r="G315" t="s">
        <v>326</v>
      </c>
    </row>
    <row r="316" spans="1:7" hidden="1" x14ac:dyDescent="0.3">
      <c r="A316" t="s">
        <v>156</v>
      </c>
      <c r="B316" t="s">
        <v>1063</v>
      </c>
      <c r="C316" t="s">
        <v>1496</v>
      </c>
      <c r="D316">
        <f t="shared" si="4"/>
        <v>0</v>
      </c>
      <c r="E316" t="s">
        <v>19</v>
      </c>
      <c r="F316" t="s">
        <v>2453</v>
      </c>
      <c r="G316" t="s">
        <v>326</v>
      </c>
    </row>
    <row r="317" spans="1:7" hidden="1" x14ac:dyDescent="0.3">
      <c r="A317" t="s">
        <v>156</v>
      </c>
      <c r="B317" t="s">
        <v>1074</v>
      </c>
      <c r="C317" t="s">
        <v>1518</v>
      </c>
      <c r="D317">
        <f t="shared" si="4"/>
        <v>0</v>
      </c>
      <c r="E317" t="s">
        <v>19</v>
      </c>
      <c r="F317" t="s">
        <v>2504</v>
      </c>
      <c r="G317" t="s">
        <v>326</v>
      </c>
    </row>
    <row r="318" spans="1:7" hidden="1" x14ac:dyDescent="0.3">
      <c r="A318" t="s">
        <v>156</v>
      </c>
      <c r="B318" t="s">
        <v>874</v>
      </c>
      <c r="C318" t="s">
        <v>1527</v>
      </c>
      <c r="D318">
        <f t="shared" si="4"/>
        <v>0</v>
      </c>
      <c r="E318" t="s">
        <v>19</v>
      </c>
      <c r="F318" t="s">
        <v>2582</v>
      </c>
      <c r="G318" t="s">
        <v>326</v>
      </c>
    </row>
    <row r="319" spans="1:7" hidden="1" x14ac:dyDescent="0.3">
      <c r="A319" t="s">
        <v>156</v>
      </c>
      <c r="B319" t="s">
        <v>1116</v>
      </c>
      <c r="C319" t="s">
        <v>1527</v>
      </c>
      <c r="D319">
        <f t="shared" si="4"/>
        <v>0</v>
      </c>
      <c r="E319" t="s">
        <v>19</v>
      </c>
      <c r="F319" t="s">
        <v>2583</v>
      </c>
      <c r="G319" t="s">
        <v>326</v>
      </c>
    </row>
    <row r="320" spans="1:7" hidden="1" x14ac:dyDescent="0.3">
      <c r="A320" t="s">
        <v>156</v>
      </c>
      <c r="B320" t="s">
        <v>1121</v>
      </c>
      <c r="C320" t="s">
        <v>1528</v>
      </c>
      <c r="D320">
        <f t="shared" si="4"/>
        <v>0</v>
      </c>
      <c r="E320" t="s">
        <v>19</v>
      </c>
      <c r="F320" t="s">
        <v>2604</v>
      </c>
      <c r="G320" t="s">
        <v>326</v>
      </c>
    </row>
    <row r="321" spans="1:7" hidden="1" x14ac:dyDescent="0.3">
      <c r="A321" t="s">
        <v>156</v>
      </c>
      <c r="B321" t="s">
        <v>1116</v>
      </c>
      <c r="C321" t="s">
        <v>1528</v>
      </c>
      <c r="D321">
        <f t="shared" si="4"/>
        <v>0</v>
      </c>
      <c r="E321" t="s">
        <v>19</v>
      </c>
      <c r="F321" t="s">
        <v>2617</v>
      </c>
      <c r="G321" t="s">
        <v>326</v>
      </c>
    </row>
    <row r="322" spans="1:7" hidden="1" x14ac:dyDescent="0.3">
      <c r="A322" t="s">
        <v>156</v>
      </c>
      <c r="B322" t="s">
        <v>1139</v>
      </c>
      <c r="C322" t="s">
        <v>1538</v>
      </c>
      <c r="D322">
        <f t="shared" ref="D322:D385" si="5">SIGN(SUBTOTAL(3,E322))</f>
        <v>0</v>
      </c>
      <c r="E322" t="s">
        <v>19</v>
      </c>
      <c r="F322" t="s">
        <v>2676</v>
      </c>
      <c r="G322" t="s">
        <v>326</v>
      </c>
    </row>
    <row r="323" spans="1:7" hidden="1" x14ac:dyDescent="0.3">
      <c r="A323" t="s">
        <v>156</v>
      </c>
      <c r="B323" t="s">
        <v>795</v>
      </c>
      <c r="C323" t="s">
        <v>1538</v>
      </c>
      <c r="D323">
        <f t="shared" si="5"/>
        <v>0</v>
      </c>
      <c r="E323" t="s">
        <v>19</v>
      </c>
      <c r="F323" t="s">
        <v>2677</v>
      </c>
      <c r="G323" t="s">
        <v>326</v>
      </c>
    </row>
    <row r="324" spans="1:7" hidden="1" x14ac:dyDescent="0.3">
      <c r="A324" t="s">
        <v>156</v>
      </c>
      <c r="B324" t="s">
        <v>874</v>
      </c>
      <c r="C324" t="s">
        <v>1560</v>
      </c>
      <c r="D324">
        <f t="shared" si="5"/>
        <v>0</v>
      </c>
      <c r="E324" t="s">
        <v>19</v>
      </c>
      <c r="F324" t="s">
        <v>2757</v>
      </c>
      <c r="G324" t="s">
        <v>326</v>
      </c>
    </row>
    <row r="325" spans="1:7" hidden="1" x14ac:dyDescent="0.3">
      <c r="A325" t="s">
        <v>156</v>
      </c>
      <c r="B325" t="s">
        <v>1175</v>
      </c>
      <c r="C325" t="s">
        <v>1563</v>
      </c>
      <c r="D325">
        <f t="shared" si="5"/>
        <v>0</v>
      </c>
      <c r="E325" t="s">
        <v>19</v>
      </c>
      <c r="F325" t="s">
        <v>2768</v>
      </c>
      <c r="G325" t="s">
        <v>326</v>
      </c>
    </row>
    <row r="326" spans="1:7" hidden="1" x14ac:dyDescent="0.3">
      <c r="A326" t="s">
        <v>156</v>
      </c>
      <c r="B326" t="s">
        <v>1176</v>
      </c>
      <c r="C326" t="s">
        <v>1563</v>
      </c>
      <c r="D326">
        <f t="shared" si="5"/>
        <v>0</v>
      </c>
      <c r="E326" t="s">
        <v>19</v>
      </c>
      <c r="F326" t="s">
        <v>2769</v>
      </c>
      <c r="G326" t="s">
        <v>326</v>
      </c>
    </row>
    <row r="327" spans="1:7" hidden="1" x14ac:dyDescent="0.3">
      <c r="A327" t="s">
        <v>156</v>
      </c>
      <c r="B327" t="s">
        <v>1043</v>
      </c>
      <c r="C327" t="s">
        <v>1563</v>
      </c>
      <c r="D327">
        <f t="shared" si="5"/>
        <v>0</v>
      </c>
      <c r="E327" t="s">
        <v>19</v>
      </c>
      <c r="F327" t="s">
        <v>2770</v>
      </c>
      <c r="G327" t="s">
        <v>326</v>
      </c>
    </row>
    <row r="328" spans="1:7" hidden="1" x14ac:dyDescent="0.3">
      <c r="A328" t="s">
        <v>156</v>
      </c>
      <c r="B328" t="s">
        <v>795</v>
      </c>
      <c r="C328" t="s">
        <v>1563</v>
      </c>
      <c r="D328">
        <f t="shared" si="5"/>
        <v>0</v>
      </c>
      <c r="E328" t="s">
        <v>19</v>
      </c>
      <c r="F328" t="s">
        <v>2771</v>
      </c>
      <c r="G328" t="s">
        <v>326</v>
      </c>
    </row>
    <row r="329" spans="1:7" hidden="1" x14ac:dyDescent="0.3">
      <c r="A329" t="s">
        <v>156</v>
      </c>
      <c r="B329" t="s">
        <v>1139</v>
      </c>
      <c r="C329" t="s">
        <v>1575</v>
      </c>
      <c r="D329">
        <f t="shared" si="5"/>
        <v>0</v>
      </c>
      <c r="E329" t="s">
        <v>19</v>
      </c>
      <c r="F329" t="s">
        <v>2792</v>
      </c>
      <c r="G329" t="s">
        <v>326</v>
      </c>
    </row>
    <row r="330" spans="1:7" hidden="1" x14ac:dyDescent="0.3">
      <c r="A330" t="s">
        <v>156</v>
      </c>
      <c r="B330" t="s">
        <v>981</v>
      </c>
      <c r="C330" t="s">
        <v>1575</v>
      </c>
      <c r="D330">
        <f t="shared" si="5"/>
        <v>0</v>
      </c>
      <c r="E330" t="s">
        <v>19</v>
      </c>
      <c r="F330" t="s">
        <v>2793</v>
      </c>
      <c r="G330" t="s">
        <v>326</v>
      </c>
    </row>
    <row r="331" spans="1:7" hidden="1" x14ac:dyDescent="0.3">
      <c r="A331" t="s">
        <v>156</v>
      </c>
      <c r="B331" t="s">
        <v>983</v>
      </c>
      <c r="C331" t="s">
        <v>1575</v>
      </c>
      <c r="D331">
        <f t="shared" si="5"/>
        <v>0</v>
      </c>
      <c r="E331" t="s">
        <v>19</v>
      </c>
      <c r="F331" t="s">
        <v>2825</v>
      </c>
      <c r="G331" t="s">
        <v>326</v>
      </c>
    </row>
    <row r="332" spans="1:7" hidden="1" x14ac:dyDescent="0.3">
      <c r="A332" t="s">
        <v>156</v>
      </c>
      <c r="B332" t="s">
        <v>981</v>
      </c>
      <c r="C332" t="s">
        <v>1592</v>
      </c>
      <c r="D332">
        <f t="shared" si="5"/>
        <v>0</v>
      </c>
      <c r="E332" t="s">
        <v>19</v>
      </c>
      <c r="F332" t="s">
        <v>2851</v>
      </c>
      <c r="G332" t="s">
        <v>326</v>
      </c>
    </row>
    <row r="333" spans="1:7" hidden="1" x14ac:dyDescent="0.3">
      <c r="A333" t="s">
        <v>156</v>
      </c>
      <c r="B333" t="s">
        <v>1203</v>
      </c>
      <c r="C333" t="s">
        <v>1599</v>
      </c>
      <c r="D333">
        <f t="shared" si="5"/>
        <v>0</v>
      </c>
      <c r="E333" t="s">
        <v>19</v>
      </c>
      <c r="F333" t="s">
        <v>2896</v>
      </c>
      <c r="G333" t="s">
        <v>326</v>
      </c>
    </row>
    <row r="334" spans="1:7" hidden="1" x14ac:dyDescent="0.3">
      <c r="A334" t="s">
        <v>156</v>
      </c>
      <c r="B334" t="s">
        <v>1234</v>
      </c>
      <c r="C334" t="s">
        <v>1627</v>
      </c>
      <c r="D334">
        <f t="shared" si="5"/>
        <v>0</v>
      </c>
      <c r="E334" t="s">
        <v>19</v>
      </c>
      <c r="F334" t="s">
        <v>2998</v>
      </c>
      <c r="G334" t="s">
        <v>326</v>
      </c>
    </row>
    <row r="335" spans="1:7" hidden="1" x14ac:dyDescent="0.3">
      <c r="A335" t="s">
        <v>156</v>
      </c>
      <c r="B335" t="s">
        <v>1247</v>
      </c>
      <c r="C335" t="s">
        <v>1655</v>
      </c>
      <c r="D335">
        <f t="shared" si="5"/>
        <v>0</v>
      </c>
      <c r="E335" t="s">
        <v>19</v>
      </c>
      <c r="F335" t="s">
        <v>3039</v>
      </c>
      <c r="G335" t="s">
        <v>326</v>
      </c>
    </row>
    <row r="336" spans="1:7" hidden="1" x14ac:dyDescent="0.3">
      <c r="A336" t="s">
        <v>157</v>
      </c>
      <c r="B336" t="s">
        <v>479</v>
      </c>
      <c r="C336" t="s">
        <v>1322</v>
      </c>
      <c r="D336">
        <f t="shared" si="5"/>
        <v>0</v>
      </c>
      <c r="E336" t="s">
        <v>19</v>
      </c>
      <c r="F336" t="s">
        <v>1858</v>
      </c>
      <c r="G336" t="s">
        <v>326</v>
      </c>
    </row>
    <row r="337" spans="1:7" hidden="1" x14ac:dyDescent="0.3">
      <c r="A337" t="s">
        <v>157</v>
      </c>
      <c r="B337" t="s">
        <v>781</v>
      </c>
      <c r="C337" t="s">
        <v>1325</v>
      </c>
      <c r="D337">
        <f t="shared" si="5"/>
        <v>0</v>
      </c>
      <c r="E337" t="s">
        <v>19</v>
      </c>
      <c r="F337" t="s">
        <v>1872</v>
      </c>
      <c r="G337" t="s">
        <v>326</v>
      </c>
    </row>
    <row r="338" spans="1:7" hidden="1" x14ac:dyDescent="0.3">
      <c r="A338" t="s">
        <v>157</v>
      </c>
      <c r="B338" t="s">
        <v>793</v>
      </c>
      <c r="C338" t="s">
        <v>1341</v>
      </c>
      <c r="D338">
        <f t="shared" si="5"/>
        <v>0</v>
      </c>
      <c r="E338" t="s">
        <v>19</v>
      </c>
      <c r="F338" t="s">
        <v>1893</v>
      </c>
      <c r="G338" t="s">
        <v>326</v>
      </c>
    </row>
    <row r="339" spans="1:7" hidden="1" x14ac:dyDescent="0.3">
      <c r="A339" t="s">
        <v>157</v>
      </c>
      <c r="B339" t="s">
        <v>801</v>
      </c>
      <c r="C339" t="s">
        <v>1341</v>
      </c>
      <c r="D339">
        <f t="shared" si="5"/>
        <v>0</v>
      </c>
      <c r="E339" t="s">
        <v>19</v>
      </c>
      <c r="F339" t="s">
        <v>1903</v>
      </c>
      <c r="G339" t="s">
        <v>326</v>
      </c>
    </row>
    <row r="340" spans="1:7" hidden="1" x14ac:dyDescent="0.3">
      <c r="A340" t="s">
        <v>157</v>
      </c>
      <c r="B340" t="s">
        <v>479</v>
      </c>
      <c r="C340" t="s">
        <v>1341</v>
      </c>
      <c r="D340">
        <f t="shared" si="5"/>
        <v>0</v>
      </c>
      <c r="E340" t="s">
        <v>19</v>
      </c>
      <c r="F340" t="s">
        <v>1906</v>
      </c>
      <c r="G340" t="s">
        <v>326</v>
      </c>
    </row>
    <row r="341" spans="1:7" hidden="1" x14ac:dyDescent="0.3">
      <c r="A341" t="s">
        <v>157</v>
      </c>
      <c r="B341" t="s">
        <v>781</v>
      </c>
      <c r="C341" t="s">
        <v>1341</v>
      </c>
      <c r="D341">
        <f t="shared" si="5"/>
        <v>0</v>
      </c>
      <c r="E341" t="s">
        <v>19</v>
      </c>
      <c r="F341" t="s">
        <v>1910</v>
      </c>
      <c r="G341" t="s">
        <v>326</v>
      </c>
    </row>
    <row r="342" spans="1:7" hidden="1" x14ac:dyDescent="0.3">
      <c r="A342" t="s">
        <v>157</v>
      </c>
      <c r="B342" t="s">
        <v>479</v>
      </c>
      <c r="C342" t="s">
        <v>1341</v>
      </c>
      <c r="D342">
        <f t="shared" si="5"/>
        <v>0</v>
      </c>
      <c r="E342" t="s">
        <v>19</v>
      </c>
      <c r="F342" t="s">
        <v>1923</v>
      </c>
      <c r="G342" t="s">
        <v>326</v>
      </c>
    </row>
    <row r="343" spans="1:7" hidden="1" x14ac:dyDescent="0.3">
      <c r="A343" t="s">
        <v>157</v>
      </c>
      <c r="B343" t="s">
        <v>812</v>
      </c>
      <c r="C343" t="s">
        <v>1341</v>
      </c>
      <c r="D343">
        <f t="shared" si="5"/>
        <v>0</v>
      </c>
      <c r="E343" t="s">
        <v>19</v>
      </c>
      <c r="F343" t="s">
        <v>1927</v>
      </c>
      <c r="G343" t="s">
        <v>326</v>
      </c>
    </row>
    <row r="344" spans="1:7" hidden="1" x14ac:dyDescent="0.3">
      <c r="A344" t="s">
        <v>157</v>
      </c>
      <c r="B344" t="s">
        <v>816</v>
      </c>
      <c r="C344" t="s">
        <v>1341</v>
      </c>
      <c r="D344">
        <f t="shared" si="5"/>
        <v>0</v>
      </c>
      <c r="E344" t="s">
        <v>19</v>
      </c>
      <c r="F344" t="s">
        <v>1931</v>
      </c>
      <c r="G344" t="s">
        <v>326</v>
      </c>
    </row>
    <row r="345" spans="1:7" hidden="1" x14ac:dyDescent="0.3">
      <c r="A345" t="s">
        <v>157</v>
      </c>
      <c r="B345" t="s">
        <v>479</v>
      </c>
      <c r="C345" t="s">
        <v>1341</v>
      </c>
      <c r="D345">
        <f t="shared" si="5"/>
        <v>0</v>
      </c>
      <c r="E345" t="s">
        <v>19</v>
      </c>
      <c r="F345" t="s">
        <v>1934</v>
      </c>
      <c r="G345" t="s">
        <v>326</v>
      </c>
    </row>
    <row r="346" spans="1:7" hidden="1" x14ac:dyDescent="0.3">
      <c r="A346" t="s">
        <v>157</v>
      </c>
      <c r="B346" t="s">
        <v>842</v>
      </c>
      <c r="C346" t="s">
        <v>1345</v>
      </c>
      <c r="D346">
        <f t="shared" si="5"/>
        <v>0</v>
      </c>
      <c r="E346" t="s">
        <v>19</v>
      </c>
      <c r="F346" t="s">
        <v>1991</v>
      </c>
      <c r="G346" t="s">
        <v>326</v>
      </c>
    </row>
    <row r="347" spans="1:7" hidden="1" x14ac:dyDescent="0.3">
      <c r="A347" t="s">
        <v>157</v>
      </c>
      <c r="B347" t="s">
        <v>888</v>
      </c>
      <c r="C347" t="s">
        <v>1374</v>
      </c>
      <c r="D347">
        <f t="shared" si="5"/>
        <v>0</v>
      </c>
      <c r="E347" t="s">
        <v>19</v>
      </c>
      <c r="F347" t="s">
        <v>2089</v>
      </c>
      <c r="G347" t="s">
        <v>326</v>
      </c>
    </row>
    <row r="348" spans="1:7" hidden="1" x14ac:dyDescent="0.3">
      <c r="A348" t="s">
        <v>157</v>
      </c>
      <c r="B348" t="s">
        <v>889</v>
      </c>
      <c r="C348" t="s">
        <v>1374</v>
      </c>
      <c r="D348">
        <f t="shared" si="5"/>
        <v>0</v>
      </c>
      <c r="E348" t="s">
        <v>19</v>
      </c>
      <c r="F348" t="s">
        <v>2090</v>
      </c>
      <c r="G348" t="s">
        <v>326</v>
      </c>
    </row>
    <row r="349" spans="1:7" hidden="1" x14ac:dyDescent="0.3">
      <c r="A349" t="s">
        <v>157</v>
      </c>
      <c r="B349" t="s">
        <v>890</v>
      </c>
      <c r="C349" t="s">
        <v>1374</v>
      </c>
      <c r="D349">
        <f t="shared" si="5"/>
        <v>0</v>
      </c>
      <c r="E349" t="s">
        <v>19</v>
      </c>
      <c r="F349" t="s">
        <v>2091</v>
      </c>
      <c r="G349" t="s">
        <v>326</v>
      </c>
    </row>
    <row r="350" spans="1:7" hidden="1" x14ac:dyDescent="0.3">
      <c r="A350" t="s">
        <v>157</v>
      </c>
      <c r="B350" t="s">
        <v>842</v>
      </c>
      <c r="C350" t="s">
        <v>1399</v>
      </c>
      <c r="D350">
        <f t="shared" si="5"/>
        <v>0</v>
      </c>
      <c r="E350" t="s">
        <v>19</v>
      </c>
      <c r="F350" t="s">
        <v>2140</v>
      </c>
      <c r="G350" t="s">
        <v>326</v>
      </c>
    </row>
    <row r="351" spans="1:7" hidden="1" x14ac:dyDescent="0.3">
      <c r="A351" t="s">
        <v>157</v>
      </c>
      <c r="B351" t="s">
        <v>976</v>
      </c>
      <c r="C351" t="s">
        <v>1421</v>
      </c>
      <c r="D351">
        <f t="shared" si="5"/>
        <v>0</v>
      </c>
      <c r="E351" t="s">
        <v>19</v>
      </c>
      <c r="F351" t="s">
        <v>2257</v>
      </c>
      <c r="G351" t="s">
        <v>326</v>
      </c>
    </row>
    <row r="352" spans="1:7" hidden="1" x14ac:dyDescent="0.3">
      <c r="A352" t="s">
        <v>157</v>
      </c>
      <c r="B352" t="s">
        <v>781</v>
      </c>
      <c r="C352" t="s">
        <v>1426</v>
      </c>
      <c r="D352">
        <f t="shared" si="5"/>
        <v>0</v>
      </c>
      <c r="E352" t="s">
        <v>19</v>
      </c>
      <c r="F352" t="s">
        <v>2265</v>
      </c>
      <c r="G352" t="s">
        <v>326</v>
      </c>
    </row>
    <row r="353" spans="1:7" hidden="1" x14ac:dyDescent="0.3">
      <c r="A353" t="s">
        <v>157</v>
      </c>
      <c r="B353" t="s">
        <v>1023</v>
      </c>
      <c r="C353" t="s">
        <v>1461</v>
      </c>
      <c r="D353">
        <f t="shared" si="5"/>
        <v>0</v>
      </c>
      <c r="E353" t="s">
        <v>19</v>
      </c>
      <c r="F353" t="s">
        <v>2361</v>
      </c>
      <c r="G353" t="s">
        <v>326</v>
      </c>
    </row>
    <row r="354" spans="1:7" hidden="1" x14ac:dyDescent="0.3">
      <c r="A354" t="s">
        <v>157</v>
      </c>
      <c r="B354" t="s">
        <v>877</v>
      </c>
      <c r="C354" t="s">
        <v>1461</v>
      </c>
      <c r="D354">
        <f t="shared" si="5"/>
        <v>0</v>
      </c>
      <c r="E354" t="s">
        <v>19</v>
      </c>
      <c r="F354" t="s">
        <v>2362</v>
      </c>
      <c r="G354" t="s">
        <v>326</v>
      </c>
    </row>
    <row r="355" spans="1:7" hidden="1" x14ac:dyDescent="0.3">
      <c r="A355" t="s">
        <v>157</v>
      </c>
      <c r="B355" t="s">
        <v>1034</v>
      </c>
      <c r="C355" t="s">
        <v>1472</v>
      </c>
      <c r="D355">
        <f t="shared" si="5"/>
        <v>0</v>
      </c>
      <c r="E355" t="s">
        <v>19</v>
      </c>
      <c r="F355" t="s">
        <v>2382</v>
      </c>
      <c r="G355" t="s">
        <v>326</v>
      </c>
    </row>
    <row r="356" spans="1:7" hidden="1" x14ac:dyDescent="0.3">
      <c r="A356" t="s">
        <v>157</v>
      </c>
      <c r="B356" t="s">
        <v>479</v>
      </c>
      <c r="C356" t="s">
        <v>1496</v>
      </c>
      <c r="D356">
        <f t="shared" si="5"/>
        <v>0</v>
      </c>
      <c r="E356" t="s">
        <v>19</v>
      </c>
      <c r="F356" t="s">
        <v>2449</v>
      </c>
      <c r="G356" t="s">
        <v>326</v>
      </c>
    </row>
    <row r="357" spans="1:7" hidden="1" x14ac:dyDescent="0.3">
      <c r="A357" t="s">
        <v>157</v>
      </c>
      <c r="B357" t="s">
        <v>842</v>
      </c>
      <c r="C357" t="s">
        <v>1514</v>
      </c>
      <c r="D357">
        <f t="shared" si="5"/>
        <v>0</v>
      </c>
      <c r="E357" t="s">
        <v>19</v>
      </c>
      <c r="F357" t="s">
        <v>2493</v>
      </c>
      <c r="G357" t="s">
        <v>326</v>
      </c>
    </row>
    <row r="358" spans="1:7" hidden="1" x14ac:dyDescent="0.3">
      <c r="A358" t="s">
        <v>157</v>
      </c>
      <c r="B358" t="s">
        <v>479</v>
      </c>
      <c r="C358" t="s">
        <v>1525</v>
      </c>
      <c r="D358">
        <f t="shared" si="5"/>
        <v>0</v>
      </c>
      <c r="E358" t="s">
        <v>19</v>
      </c>
      <c r="F358" t="s">
        <v>2573</v>
      </c>
      <c r="G358" t="s">
        <v>326</v>
      </c>
    </row>
    <row r="359" spans="1:7" hidden="1" x14ac:dyDescent="0.3">
      <c r="A359" t="s">
        <v>157</v>
      </c>
      <c r="B359" t="s">
        <v>781</v>
      </c>
      <c r="C359" t="s">
        <v>1528</v>
      </c>
      <c r="D359">
        <f t="shared" si="5"/>
        <v>0</v>
      </c>
      <c r="E359" t="s">
        <v>19</v>
      </c>
      <c r="F359" t="s">
        <v>2584</v>
      </c>
      <c r="G359" t="s">
        <v>326</v>
      </c>
    </row>
    <row r="360" spans="1:7" hidden="1" x14ac:dyDescent="0.3">
      <c r="A360" t="s">
        <v>157</v>
      </c>
      <c r="B360" t="s">
        <v>801</v>
      </c>
      <c r="C360" t="s">
        <v>1528</v>
      </c>
      <c r="D360">
        <f t="shared" si="5"/>
        <v>0</v>
      </c>
      <c r="E360" t="s">
        <v>19</v>
      </c>
      <c r="F360" t="s">
        <v>2594</v>
      </c>
      <c r="G360" t="s">
        <v>326</v>
      </c>
    </row>
    <row r="361" spans="1:7" hidden="1" x14ac:dyDescent="0.3">
      <c r="A361" t="s">
        <v>157</v>
      </c>
      <c r="B361" t="s">
        <v>479</v>
      </c>
      <c r="C361" t="s">
        <v>1528</v>
      </c>
      <c r="D361">
        <f t="shared" si="5"/>
        <v>0</v>
      </c>
      <c r="E361" t="s">
        <v>19</v>
      </c>
      <c r="F361" t="s">
        <v>2598</v>
      </c>
      <c r="G361" t="s">
        <v>326</v>
      </c>
    </row>
    <row r="362" spans="1:7" hidden="1" x14ac:dyDescent="0.3">
      <c r="A362" t="s">
        <v>157</v>
      </c>
      <c r="B362" t="s">
        <v>479</v>
      </c>
      <c r="C362" t="s">
        <v>1528</v>
      </c>
      <c r="D362">
        <f t="shared" si="5"/>
        <v>0</v>
      </c>
      <c r="E362" t="s">
        <v>19</v>
      </c>
      <c r="F362" t="s">
        <v>2599</v>
      </c>
      <c r="G362" t="s">
        <v>326</v>
      </c>
    </row>
    <row r="363" spans="1:7" hidden="1" x14ac:dyDescent="0.3">
      <c r="A363" t="s">
        <v>157</v>
      </c>
      <c r="B363" t="s">
        <v>842</v>
      </c>
      <c r="C363" t="s">
        <v>1528</v>
      </c>
      <c r="D363">
        <f t="shared" si="5"/>
        <v>0</v>
      </c>
      <c r="E363" t="s">
        <v>19</v>
      </c>
      <c r="F363" t="s">
        <v>2608</v>
      </c>
      <c r="G363" t="s">
        <v>326</v>
      </c>
    </row>
    <row r="364" spans="1:7" hidden="1" x14ac:dyDescent="0.3">
      <c r="A364" t="s">
        <v>157</v>
      </c>
      <c r="B364" t="s">
        <v>884</v>
      </c>
      <c r="C364" t="s">
        <v>1528</v>
      </c>
      <c r="D364">
        <f t="shared" si="5"/>
        <v>0</v>
      </c>
      <c r="E364" t="s">
        <v>19</v>
      </c>
      <c r="F364" t="s">
        <v>2615</v>
      </c>
      <c r="G364" t="s">
        <v>326</v>
      </c>
    </row>
    <row r="365" spans="1:7" hidden="1" x14ac:dyDescent="0.3">
      <c r="A365" t="s">
        <v>157</v>
      </c>
      <c r="B365" t="s">
        <v>877</v>
      </c>
      <c r="C365" t="s">
        <v>1528</v>
      </c>
      <c r="D365">
        <f t="shared" si="5"/>
        <v>0</v>
      </c>
      <c r="E365" t="s">
        <v>19</v>
      </c>
      <c r="F365" t="s">
        <v>2628</v>
      </c>
      <c r="G365" t="s">
        <v>326</v>
      </c>
    </row>
    <row r="366" spans="1:7" hidden="1" x14ac:dyDescent="0.3">
      <c r="A366" t="s">
        <v>157</v>
      </c>
      <c r="B366" t="s">
        <v>974</v>
      </c>
      <c r="C366" t="s">
        <v>1553</v>
      </c>
      <c r="D366">
        <f t="shared" si="5"/>
        <v>0</v>
      </c>
      <c r="E366" t="s">
        <v>19</v>
      </c>
      <c r="F366" t="s">
        <v>2703</v>
      </c>
      <c r="G366" t="s">
        <v>326</v>
      </c>
    </row>
    <row r="367" spans="1:7" hidden="1" x14ac:dyDescent="0.3">
      <c r="A367" t="s">
        <v>157</v>
      </c>
      <c r="B367" t="s">
        <v>1078</v>
      </c>
      <c r="C367" t="s">
        <v>1568</v>
      </c>
      <c r="D367">
        <f t="shared" si="5"/>
        <v>0</v>
      </c>
      <c r="E367" t="s">
        <v>19</v>
      </c>
      <c r="F367" t="s">
        <v>2782</v>
      </c>
      <c r="G367" t="s">
        <v>326</v>
      </c>
    </row>
    <row r="368" spans="1:7" hidden="1" x14ac:dyDescent="0.3">
      <c r="A368" t="s">
        <v>157</v>
      </c>
      <c r="B368" t="s">
        <v>1181</v>
      </c>
      <c r="C368" t="s">
        <v>1573</v>
      </c>
      <c r="D368">
        <f t="shared" si="5"/>
        <v>0</v>
      </c>
      <c r="E368" t="s">
        <v>19</v>
      </c>
      <c r="F368" t="s">
        <v>2788</v>
      </c>
      <c r="G368" t="s">
        <v>326</v>
      </c>
    </row>
    <row r="369" spans="1:7" hidden="1" x14ac:dyDescent="0.3">
      <c r="A369" t="s">
        <v>157</v>
      </c>
      <c r="B369" t="s">
        <v>842</v>
      </c>
      <c r="C369" t="s">
        <v>1575</v>
      </c>
      <c r="D369">
        <f t="shared" si="5"/>
        <v>0</v>
      </c>
      <c r="E369" t="s">
        <v>19</v>
      </c>
      <c r="F369" t="s">
        <v>2794</v>
      </c>
      <c r="G369" t="s">
        <v>326</v>
      </c>
    </row>
    <row r="370" spans="1:7" hidden="1" x14ac:dyDescent="0.3">
      <c r="A370" t="s">
        <v>157</v>
      </c>
      <c r="B370" t="s">
        <v>812</v>
      </c>
      <c r="C370" t="s">
        <v>1577</v>
      </c>
      <c r="D370">
        <f t="shared" si="5"/>
        <v>0</v>
      </c>
      <c r="E370" t="s">
        <v>19</v>
      </c>
      <c r="F370" t="s">
        <v>2829</v>
      </c>
      <c r="G370" t="s">
        <v>326</v>
      </c>
    </row>
    <row r="371" spans="1:7" hidden="1" x14ac:dyDescent="0.3">
      <c r="A371" t="s">
        <v>157</v>
      </c>
      <c r="B371" t="s">
        <v>1224</v>
      </c>
      <c r="C371" t="s">
        <v>1623</v>
      </c>
      <c r="D371">
        <f t="shared" si="5"/>
        <v>0</v>
      </c>
      <c r="E371" t="s">
        <v>19</v>
      </c>
      <c r="F371" t="s">
        <v>2950</v>
      </c>
      <c r="G371" t="s">
        <v>326</v>
      </c>
    </row>
    <row r="372" spans="1:7" hidden="1" x14ac:dyDescent="0.3">
      <c r="A372" t="s">
        <v>157</v>
      </c>
      <c r="B372" t="s">
        <v>884</v>
      </c>
      <c r="C372" t="s">
        <v>1623</v>
      </c>
      <c r="D372">
        <f t="shared" si="5"/>
        <v>0</v>
      </c>
      <c r="E372" t="s">
        <v>19</v>
      </c>
      <c r="F372" t="s">
        <v>2973</v>
      </c>
      <c r="G372" t="s">
        <v>326</v>
      </c>
    </row>
    <row r="373" spans="1:7" hidden="1" x14ac:dyDescent="0.3">
      <c r="A373" t="s">
        <v>157</v>
      </c>
      <c r="B373" t="s">
        <v>1081</v>
      </c>
      <c r="C373" t="s">
        <v>1633</v>
      </c>
      <c r="D373">
        <f t="shared" si="5"/>
        <v>0</v>
      </c>
      <c r="E373" t="s">
        <v>19</v>
      </c>
      <c r="F373" t="s">
        <v>3008</v>
      </c>
      <c r="G373" t="s">
        <v>326</v>
      </c>
    </row>
    <row r="374" spans="1:7" hidden="1" x14ac:dyDescent="0.3">
      <c r="A374" t="s">
        <v>157</v>
      </c>
      <c r="B374" t="s">
        <v>781</v>
      </c>
      <c r="C374" t="s">
        <v>1650</v>
      </c>
      <c r="D374">
        <f t="shared" si="5"/>
        <v>0</v>
      </c>
      <c r="E374" t="s">
        <v>19</v>
      </c>
      <c r="F374" t="s">
        <v>3034</v>
      </c>
      <c r="G374" t="s">
        <v>326</v>
      </c>
    </row>
    <row r="375" spans="1:7" hidden="1" x14ac:dyDescent="0.3">
      <c r="A375" t="s">
        <v>158</v>
      </c>
      <c r="B375" t="s">
        <v>721</v>
      </c>
      <c r="C375" t="s">
        <v>1293</v>
      </c>
      <c r="D375">
        <f t="shared" si="5"/>
        <v>0</v>
      </c>
      <c r="E375" t="s">
        <v>19</v>
      </c>
      <c r="F375" t="s">
        <v>1770</v>
      </c>
      <c r="G375" t="s">
        <v>326</v>
      </c>
    </row>
    <row r="376" spans="1:7" hidden="1" x14ac:dyDescent="0.3">
      <c r="A376" t="s">
        <v>158</v>
      </c>
      <c r="B376" t="s">
        <v>722</v>
      </c>
      <c r="C376" t="s">
        <v>1292</v>
      </c>
      <c r="D376">
        <f t="shared" si="5"/>
        <v>0</v>
      </c>
      <c r="E376" t="s">
        <v>19</v>
      </c>
      <c r="F376" t="s">
        <v>1771</v>
      </c>
      <c r="G376" t="s">
        <v>326</v>
      </c>
    </row>
    <row r="377" spans="1:7" hidden="1" x14ac:dyDescent="0.3">
      <c r="A377" t="s">
        <v>158</v>
      </c>
      <c r="B377" t="s">
        <v>723</v>
      </c>
      <c r="C377" t="s">
        <v>1292</v>
      </c>
      <c r="D377">
        <f t="shared" si="5"/>
        <v>0</v>
      </c>
      <c r="E377" t="s">
        <v>19</v>
      </c>
      <c r="F377" t="s">
        <v>1772</v>
      </c>
      <c r="G377" t="s">
        <v>326</v>
      </c>
    </row>
    <row r="378" spans="1:7" hidden="1" x14ac:dyDescent="0.3">
      <c r="A378" t="s">
        <v>158</v>
      </c>
      <c r="B378" t="s">
        <v>771</v>
      </c>
      <c r="C378" t="s">
        <v>1322</v>
      </c>
      <c r="D378">
        <f t="shared" si="5"/>
        <v>0</v>
      </c>
      <c r="E378" t="s">
        <v>19</v>
      </c>
      <c r="F378" t="s">
        <v>1851</v>
      </c>
      <c r="G378" t="s">
        <v>326</v>
      </c>
    </row>
    <row r="379" spans="1:7" hidden="1" x14ac:dyDescent="0.3">
      <c r="A379" t="s">
        <v>158</v>
      </c>
      <c r="B379" t="s">
        <v>723</v>
      </c>
      <c r="C379" t="s">
        <v>1336</v>
      </c>
      <c r="D379">
        <f t="shared" si="5"/>
        <v>0</v>
      </c>
      <c r="E379" t="s">
        <v>19</v>
      </c>
      <c r="F379" t="s">
        <v>1888</v>
      </c>
      <c r="G379" t="s">
        <v>326</v>
      </c>
    </row>
    <row r="380" spans="1:7" hidden="1" x14ac:dyDescent="0.3">
      <c r="A380" t="s">
        <v>158</v>
      </c>
      <c r="B380" t="s">
        <v>771</v>
      </c>
      <c r="C380" t="s">
        <v>1341</v>
      </c>
      <c r="D380">
        <f t="shared" si="5"/>
        <v>0</v>
      </c>
      <c r="E380" t="s">
        <v>19</v>
      </c>
      <c r="F380" t="s">
        <v>1941</v>
      </c>
      <c r="G380" t="s">
        <v>326</v>
      </c>
    </row>
    <row r="381" spans="1:7" hidden="1" x14ac:dyDescent="0.3">
      <c r="A381" t="s">
        <v>158</v>
      </c>
      <c r="B381" t="s">
        <v>821</v>
      </c>
      <c r="C381" t="s">
        <v>1341</v>
      </c>
      <c r="D381">
        <f t="shared" si="5"/>
        <v>0</v>
      </c>
      <c r="E381" t="s">
        <v>19</v>
      </c>
      <c r="F381" t="s">
        <v>1942</v>
      </c>
      <c r="G381" t="s">
        <v>326</v>
      </c>
    </row>
    <row r="382" spans="1:7" hidden="1" x14ac:dyDescent="0.3">
      <c r="A382" t="s">
        <v>158</v>
      </c>
      <c r="B382" t="s">
        <v>480</v>
      </c>
      <c r="C382" t="s">
        <v>1341</v>
      </c>
      <c r="D382">
        <f t="shared" si="5"/>
        <v>0</v>
      </c>
      <c r="E382" t="s">
        <v>19</v>
      </c>
      <c r="F382" t="s">
        <v>1943</v>
      </c>
      <c r="G382" t="s">
        <v>326</v>
      </c>
    </row>
    <row r="383" spans="1:7" hidden="1" x14ac:dyDescent="0.3">
      <c r="A383" t="s">
        <v>158</v>
      </c>
      <c r="B383" t="s">
        <v>823</v>
      </c>
      <c r="C383" t="s">
        <v>1341</v>
      </c>
      <c r="D383">
        <f t="shared" si="5"/>
        <v>0</v>
      </c>
      <c r="E383" t="s">
        <v>19</v>
      </c>
      <c r="F383" t="s">
        <v>1947</v>
      </c>
      <c r="G383" t="s">
        <v>326</v>
      </c>
    </row>
    <row r="384" spans="1:7" hidden="1" x14ac:dyDescent="0.3">
      <c r="A384" t="s">
        <v>158</v>
      </c>
      <c r="B384" t="s">
        <v>826</v>
      </c>
      <c r="C384" t="s">
        <v>1341</v>
      </c>
      <c r="D384">
        <f t="shared" si="5"/>
        <v>0</v>
      </c>
      <c r="E384" t="s">
        <v>19</v>
      </c>
      <c r="F384" t="s">
        <v>1958</v>
      </c>
      <c r="G384" t="s">
        <v>326</v>
      </c>
    </row>
    <row r="385" spans="1:7" hidden="1" x14ac:dyDescent="0.3">
      <c r="A385" t="s">
        <v>158</v>
      </c>
      <c r="B385" t="s">
        <v>480</v>
      </c>
      <c r="C385" t="s">
        <v>1364</v>
      </c>
      <c r="D385">
        <f t="shared" si="5"/>
        <v>0</v>
      </c>
      <c r="E385" t="s">
        <v>19</v>
      </c>
      <c r="F385" t="s">
        <v>2040</v>
      </c>
      <c r="G385" t="s">
        <v>326</v>
      </c>
    </row>
    <row r="386" spans="1:7" hidden="1" x14ac:dyDescent="0.3">
      <c r="A386" t="s">
        <v>158</v>
      </c>
      <c r="B386" t="s">
        <v>957</v>
      </c>
      <c r="C386" t="s">
        <v>1417</v>
      </c>
      <c r="D386">
        <f t="shared" ref="D386:D449" si="6">SIGN(SUBTOTAL(3,E386))</f>
        <v>0</v>
      </c>
      <c r="E386" t="s">
        <v>19</v>
      </c>
      <c r="F386" t="s">
        <v>2234</v>
      </c>
      <c r="G386" t="s">
        <v>326</v>
      </c>
    </row>
    <row r="387" spans="1:7" hidden="1" x14ac:dyDescent="0.3">
      <c r="A387" t="s">
        <v>158</v>
      </c>
      <c r="B387" t="s">
        <v>958</v>
      </c>
      <c r="C387" t="s">
        <v>1416</v>
      </c>
      <c r="D387">
        <f t="shared" si="6"/>
        <v>0</v>
      </c>
      <c r="E387" t="s">
        <v>19</v>
      </c>
      <c r="F387" t="s">
        <v>2235</v>
      </c>
      <c r="G387" t="s">
        <v>326</v>
      </c>
    </row>
    <row r="388" spans="1:7" hidden="1" x14ac:dyDescent="0.3">
      <c r="A388" t="s">
        <v>158</v>
      </c>
      <c r="B388" t="s">
        <v>960</v>
      </c>
      <c r="C388" t="s">
        <v>1416</v>
      </c>
      <c r="D388">
        <f t="shared" si="6"/>
        <v>0</v>
      </c>
      <c r="E388" t="s">
        <v>19</v>
      </c>
      <c r="F388" t="s">
        <v>2237</v>
      </c>
      <c r="G388" t="s">
        <v>326</v>
      </c>
    </row>
    <row r="389" spans="1:7" hidden="1" x14ac:dyDescent="0.3">
      <c r="A389" t="s">
        <v>158</v>
      </c>
      <c r="B389" t="s">
        <v>966</v>
      </c>
      <c r="C389" t="s">
        <v>1416</v>
      </c>
      <c r="D389">
        <f t="shared" si="6"/>
        <v>0</v>
      </c>
      <c r="E389" t="s">
        <v>19</v>
      </c>
      <c r="F389" t="s">
        <v>2243</v>
      </c>
      <c r="G389" t="s">
        <v>326</v>
      </c>
    </row>
    <row r="390" spans="1:7" hidden="1" x14ac:dyDescent="0.3">
      <c r="A390" t="s">
        <v>158</v>
      </c>
      <c r="B390" t="s">
        <v>967</v>
      </c>
      <c r="C390" t="s">
        <v>1416</v>
      </c>
      <c r="D390">
        <f t="shared" si="6"/>
        <v>0</v>
      </c>
      <c r="E390" t="s">
        <v>19</v>
      </c>
      <c r="F390" t="s">
        <v>2245</v>
      </c>
      <c r="G390" t="s">
        <v>326</v>
      </c>
    </row>
    <row r="391" spans="1:7" hidden="1" x14ac:dyDescent="0.3">
      <c r="A391" t="s">
        <v>158</v>
      </c>
      <c r="B391" t="s">
        <v>968</v>
      </c>
      <c r="C391" t="s">
        <v>1416</v>
      </c>
      <c r="D391">
        <f t="shared" si="6"/>
        <v>0</v>
      </c>
      <c r="E391" t="s">
        <v>19</v>
      </c>
      <c r="F391" t="s">
        <v>2246</v>
      </c>
      <c r="G391" t="s">
        <v>326</v>
      </c>
    </row>
    <row r="392" spans="1:7" hidden="1" x14ac:dyDescent="0.3">
      <c r="A392" t="s">
        <v>158</v>
      </c>
      <c r="B392" t="s">
        <v>990</v>
      </c>
      <c r="C392" t="s">
        <v>1436</v>
      </c>
      <c r="D392">
        <f t="shared" si="6"/>
        <v>0</v>
      </c>
      <c r="E392" t="s">
        <v>19</v>
      </c>
      <c r="F392" t="s">
        <v>2287</v>
      </c>
      <c r="G392" t="s">
        <v>326</v>
      </c>
    </row>
    <row r="393" spans="1:7" hidden="1" x14ac:dyDescent="0.3">
      <c r="A393" t="s">
        <v>158</v>
      </c>
      <c r="B393" t="s">
        <v>993</v>
      </c>
      <c r="C393" t="s">
        <v>1436</v>
      </c>
      <c r="D393">
        <f t="shared" si="6"/>
        <v>0</v>
      </c>
      <c r="E393" t="s">
        <v>19</v>
      </c>
      <c r="F393" t="s">
        <v>2290</v>
      </c>
      <c r="G393" t="s">
        <v>326</v>
      </c>
    </row>
    <row r="394" spans="1:7" hidden="1" x14ac:dyDescent="0.3">
      <c r="A394" t="s">
        <v>158</v>
      </c>
      <c r="B394" t="s">
        <v>995</v>
      </c>
      <c r="C394" t="s">
        <v>1436</v>
      </c>
      <c r="D394">
        <f t="shared" si="6"/>
        <v>0</v>
      </c>
      <c r="E394" t="s">
        <v>19</v>
      </c>
      <c r="F394" t="s">
        <v>2292</v>
      </c>
      <c r="G394" t="s">
        <v>326</v>
      </c>
    </row>
    <row r="395" spans="1:7" hidden="1" x14ac:dyDescent="0.3">
      <c r="A395" t="s">
        <v>158</v>
      </c>
      <c r="B395" t="s">
        <v>995</v>
      </c>
      <c r="C395" t="s">
        <v>1449</v>
      </c>
      <c r="D395">
        <f t="shared" si="6"/>
        <v>0</v>
      </c>
      <c r="E395" t="s">
        <v>19</v>
      </c>
      <c r="F395" t="s">
        <v>2326</v>
      </c>
      <c r="G395" t="s">
        <v>326</v>
      </c>
    </row>
    <row r="396" spans="1:7" hidden="1" x14ac:dyDescent="0.3">
      <c r="A396" t="s">
        <v>158</v>
      </c>
      <c r="B396" t="s">
        <v>1044</v>
      </c>
      <c r="C396" t="s">
        <v>1483</v>
      </c>
      <c r="D396">
        <f t="shared" si="6"/>
        <v>0</v>
      </c>
      <c r="E396" t="s">
        <v>19</v>
      </c>
      <c r="F396" t="s">
        <v>2400</v>
      </c>
      <c r="G396" t="s">
        <v>326</v>
      </c>
    </row>
    <row r="397" spans="1:7" hidden="1" x14ac:dyDescent="0.3">
      <c r="A397" t="s">
        <v>158</v>
      </c>
      <c r="B397" t="s">
        <v>1046</v>
      </c>
      <c r="C397" t="s">
        <v>1485</v>
      </c>
      <c r="D397">
        <f t="shared" si="6"/>
        <v>0</v>
      </c>
      <c r="E397" t="s">
        <v>19</v>
      </c>
      <c r="F397" t="s">
        <v>2404</v>
      </c>
      <c r="G397" t="s">
        <v>326</v>
      </c>
    </row>
    <row r="398" spans="1:7" hidden="1" x14ac:dyDescent="0.3">
      <c r="A398" t="s">
        <v>158</v>
      </c>
      <c r="B398" t="s">
        <v>480</v>
      </c>
      <c r="C398" t="s">
        <v>1518</v>
      </c>
      <c r="D398">
        <f t="shared" si="6"/>
        <v>0</v>
      </c>
      <c r="E398" t="s">
        <v>19</v>
      </c>
      <c r="F398" t="s">
        <v>2505</v>
      </c>
      <c r="G398" t="s">
        <v>326</v>
      </c>
    </row>
    <row r="399" spans="1:7" hidden="1" x14ac:dyDescent="0.3">
      <c r="A399" t="s">
        <v>158</v>
      </c>
      <c r="B399" t="s">
        <v>957</v>
      </c>
      <c r="C399" t="s">
        <v>1518</v>
      </c>
      <c r="D399">
        <f t="shared" si="6"/>
        <v>0</v>
      </c>
      <c r="E399" t="s">
        <v>19</v>
      </c>
      <c r="F399" t="s">
        <v>2506</v>
      </c>
      <c r="G399" t="s">
        <v>326</v>
      </c>
    </row>
    <row r="400" spans="1:7" hidden="1" x14ac:dyDescent="0.3">
      <c r="A400" t="s">
        <v>158</v>
      </c>
      <c r="B400" t="s">
        <v>1077</v>
      </c>
      <c r="C400" t="s">
        <v>1518</v>
      </c>
      <c r="D400">
        <f t="shared" si="6"/>
        <v>0</v>
      </c>
      <c r="E400" t="s">
        <v>19</v>
      </c>
      <c r="F400" t="s">
        <v>2511</v>
      </c>
      <c r="G400" t="s">
        <v>326</v>
      </c>
    </row>
    <row r="401" spans="1:7" hidden="1" x14ac:dyDescent="0.3">
      <c r="A401" t="s">
        <v>158</v>
      </c>
      <c r="B401" t="s">
        <v>1078</v>
      </c>
      <c r="C401" t="s">
        <v>1518</v>
      </c>
      <c r="D401">
        <f t="shared" si="6"/>
        <v>0</v>
      </c>
      <c r="E401" t="s">
        <v>19</v>
      </c>
      <c r="F401" t="s">
        <v>2512</v>
      </c>
      <c r="G401" t="s">
        <v>326</v>
      </c>
    </row>
    <row r="402" spans="1:7" hidden="1" x14ac:dyDescent="0.3">
      <c r="A402" t="s">
        <v>158</v>
      </c>
      <c r="B402" t="s">
        <v>1046</v>
      </c>
      <c r="C402" t="s">
        <v>1518</v>
      </c>
      <c r="D402">
        <f t="shared" si="6"/>
        <v>0</v>
      </c>
      <c r="E402" t="s">
        <v>19</v>
      </c>
      <c r="F402" t="s">
        <v>2515</v>
      </c>
      <c r="G402" t="s">
        <v>326</v>
      </c>
    </row>
    <row r="403" spans="1:7" hidden="1" x14ac:dyDescent="0.3">
      <c r="A403" t="s">
        <v>158</v>
      </c>
      <c r="B403" t="s">
        <v>1081</v>
      </c>
      <c r="C403" t="s">
        <v>1518</v>
      </c>
      <c r="D403">
        <f t="shared" si="6"/>
        <v>0</v>
      </c>
      <c r="E403" t="s">
        <v>19</v>
      </c>
      <c r="F403" t="s">
        <v>2518</v>
      </c>
      <c r="G403" t="s">
        <v>326</v>
      </c>
    </row>
    <row r="404" spans="1:7" hidden="1" x14ac:dyDescent="0.3">
      <c r="A404" t="s">
        <v>158</v>
      </c>
      <c r="B404" t="s">
        <v>723</v>
      </c>
      <c r="C404" t="s">
        <v>1519</v>
      </c>
      <c r="D404">
        <f t="shared" si="6"/>
        <v>0</v>
      </c>
      <c r="E404" t="s">
        <v>19</v>
      </c>
      <c r="F404" t="s">
        <v>2535</v>
      </c>
      <c r="G404" t="s">
        <v>326</v>
      </c>
    </row>
    <row r="405" spans="1:7" hidden="1" x14ac:dyDescent="0.3">
      <c r="A405" t="s">
        <v>158</v>
      </c>
      <c r="B405" t="s">
        <v>1099</v>
      </c>
      <c r="C405" t="s">
        <v>1518</v>
      </c>
      <c r="D405">
        <f t="shared" si="6"/>
        <v>0</v>
      </c>
      <c r="E405" t="s">
        <v>19</v>
      </c>
      <c r="F405" t="s">
        <v>2545</v>
      </c>
      <c r="G405" t="s">
        <v>326</v>
      </c>
    </row>
    <row r="406" spans="1:7" hidden="1" x14ac:dyDescent="0.3">
      <c r="A406" t="s">
        <v>158</v>
      </c>
      <c r="B406" t="s">
        <v>1151</v>
      </c>
      <c r="C406" t="s">
        <v>1557</v>
      </c>
      <c r="D406">
        <f t="shared" si="6"/>
        <v>0</v>
      </c>
      <c r="E406" t="s">
        <v>19</v>
      </c>
      <c r="F406" t="s">
        <v>2716</v>
      </c>
      <c r="G406" t="s">
        <v>326</v>
      </c>
    </row>
    <row r="407" spans="1:7" hidden="1" x14ac:dyDescent="0.3">
      <c r="A407" t="s">
        <v>158</v>
      </c>
      <c r="B407" t="s">
        <v>1156</v>
      </c>
      <c r="C407" t="s">
        <v>1557</v>
      </c>
      <c r="D407">
        <f t="shared" si="6"/>
        <v>0</v>
      </c>
      <c r="E407" t="s">
        <v>19</v>
      </c>
      <c r="F407" t="s">
        <v>2722</v>
      </c>
      <c r="G407" t="s">
        <v>326</v>
      </c>
    </row>
    <row r="408" spans="1:7" hidden="1" x14ac:dyDescent="0.3">
      <c r="A408" t="s">
        <v>158</v>
      </c>
      <c r="B408" t="s">
        <v>1078</v>
      </c>
      <c r="C408" t="s">
        <v>1557</v>
      </c>
      <c r="D408">
        <f t="shared" si="6"/>
        <v>0</v>
      </c>
      <c r="E408" t="s">
        <v>19</v>
      </c>
      <c r="F408" t="s">
        <v>2723</v>
      </c>
      <c r="G408" t="s">
        <v>326</v>
      </c>
    </row>
    <row r="409" spans="1:7" hidden="1" x14ac:dyDescent="0.3">
      <c r="A409" t="s">
        <v>158</v>
      </c>
      <c r="B409" t="s">
        <v>823</v>
      </c>
      <c r="C409" t="s">
        <v>1557</v>
      </c>
      <c r="D409">
        <f t="shared" si="6"/>
        <v>0</v>
      </c>
      <c r="E409" t="s">
        <v>19</v>
      </c>
      <c r="F409" t="s">
        <v>2753</v>
      </c>
      <c r="G409" t="s">
        <v>326</v>
      </c>
    </row>
    <row r="410" spans="1:7" hidden="1" x14ac:dyDescent="0.3">
      <c r="A410" t="s">
        <v>158</v>
      </c>
      <c r="B410" t="s">
        <v>1172</v>
      </c>
      <c r="C410" t="s">
        <v>1563</v>
      </c>
      <c r="D410">
        <f t="shared" si="6"/>
        <v>0</v>
      </c>
      <c r="E410" t="s">
        <v>19</v>
      </c>
      <c r="F410" t="s">
        <v>2765</v>
      </c>
      <c r="G410" t="s">
        <v>326</v>
      </c>
    </row>
    <row r="411" spans="1:7" hidden="1" x14ac:dyDescent="0.3">
      <c r="A411" t="s">
        <v>158</v>
      </c>
      <c r="B411" t="s">
        <v>1173</v>
      </c>
      <c r="C411" t="s">
        <v>1563</v>
      </c>
      <c r="D411">
        <f t="shared" si="6"/>
        <v>0</v>
      </c>
      <c r="E411" t="s">
        <v>19</v>
      </c>
      <c r="F411" t="s">
        <v>2766</v>
      </c>
      <c r="G411" t="s">
        <v>326</v>
      </c>
    </row>
    <row r="412" spans="1:7" hidden="1" x14ac:dyDescent="0.3">
      <c r="A412" t="s">
        <v>158</v>
      </c>
      <c r="B412" t="s">
        <v>1174</v>
      </c>
      <c r="C412" t="s">
        <v>1563</v>
      </c>
      <c r="D412">
        <f t="shared" si="6"/>
        <v>0</v>
      </c>
      <c r="E412" t="s">
        <v>19</v>
      </c>
      <c r="F412" t="s">
        <v>2767</v>
      </c>
      <c r="G412" t="s">
        <v>326</v>
      </c>
    </row>
    <row r="413" spans="1:7" hidden="1" x14ac:dyDescent="0.3">
      <c r="A413" t="s">
        <v>158</v>
      </c>
      <c r="B413" t="s">
        <v>722</v>
      </c>
      <c r="C413" t="s">
        <v>1570</v>
      </c>
      <c r="D413">
        <f t="shared" si="6"/>
        <v>0</v>
      </c>
      <c r="E413" t="s">
        <v>19</v>
      </c>
      <c r="F413" t="s">
        <v>2785</v>
      </c>
      <c r="G413" t="s">
        <v>326</v>
      </c>
    </row>
    <row r="414" spans="1:7" hidden="1" x14ac:dyDescent="0.3">
      <c r="A414" t="s">
        <v>159</v>
      </c>
      <c r="B414" t="s">
        <v>490</v>
      </c>
      <c r="C414" t="s">
        <v>1285</v>
      </c>
      <c r="D414">
        <f t="shared" si="6"/>
        <v>0</v>
      </c>
      <c r="E414" t="s">
        <v>19</v>
      </c>
      <c r="F414" t="s">
        <v>1717</v>
      </c>
      <c r="G414" t="s">
        <v>326</v>
      </c>
    </row>
    <row r="415" spans="1:7" hidden="1" x14ac:dyDescent="0.3">
      <c r="A415" t="s">
        <v>159</v>
      </c>
      <c r="B415" t="s">
        <v>690</v>
      </c>
      <c r="C415" t="s">
        <v>1286</v>
      </c>
      <c r="D415">
        <f t="shared" si="6"/>
        <v>0</v>
      </c>
      <c r="E415" t="s">
        <v>19</v>
      </c>
      <c r="F415" t="s">
        <v>1723</v>
      </c>
      <c r="G415" t="s">
        <v>326</v>
      </c>
    </row>
    <row r="416" spans="1:7" hidden="1" x14ac:dyDescent="0.3">
      <c r="A416" t="s">
        <v>159</v>
      </c>
      <c r="B416" t="s">
        <v>691</v>
      </c>
      <c r="C416" t="s">
        <v>1286</v>
      </c>
      <c r="D416">
        <f t="shared" si="6"/>
        <v>0</v>
      </c>
      <c r="E416" t="s">
        <v>19</v>
      </c>
      <c r="F416" t="s">
        <v>1724</v>
      </c>
      <c r="G416" t="s">
        <v>326</v>
      </c>
    </row>
    <row r="417" spans="1:7" hidden="1" x14ac:dyDescent="0.3">
      <c r="A417" t="s">
        <v>159</v>
      </c>
      <c r="B417" t="s">
        <v>694</v>
      </c>
      <c r="C417" t="s">
        <v>1286</v>
      </c>
      <c r="D417">
        <f t="shared" si="6"/>
        <v>0</v>
      </c>
      <c r="E417" t="s">
        <v>19</v>
      </c>
      <c r="F417" t="s">
        <v>1727</v>
      </c>
      <c r="G417" t="s">
        <v>326</v>
      </c>
    </row>
    <row r="418" spans="1:7" hidden="1" x14ac:dyDescent="0.3">
      <c r="A418" t="s">
        <v>159</v>
      </c>
      <c r="B418" t="s">
        <v>698</v>
      </c>
      <c r="C418" t="s">
        <v>1286</v>
      </c>
      <c r="D418">
        <f t="shared" si="6"/>
        <v>0</v>
      </c>
      <c r="E418" t="s">
        <v>19</v>
      </c>
      <c r="F418" t="s">
        <v>1732</v>
      </c>
      <c r="G418" t="s">
        <v>326</v>
      </c>
    </row>
    <row r="419" spans="1:7" hidden="1" x14ac:dyDescent="0.3">
      <c r="A419" t="s">
        <v>159</v>
      </c>
      <c r="B419" t="s">
        <v>779</v>
      </c>
      <c r="C419" t="s">
        <v>1324</v>
      </c>
      <c r="D419">
        <f t="shared" si="6"/>
        <v>0</v>
      </c>
      <c r="E419" t="s">
        <v>19</v>
      </c>
      <c r="F419" t="s">
        <v>1870</v>
      </c>
      <c r="G419" t="s">
        <v>326</v>
      </c>
    </row>
    <row r="420" spans="1:7" hidden="1" x14ac:dyDescent="0.3">
      <c r="A420" t="s">
        <v>159</v>
      </c>
      <c r="B420" t="s">
        <v>481</v>
      </c>
      <c r="C420" t="s">
        <v>1365</v>
      </c>
      <c r="D420">
        <f t="shared" si="6"/>
        <v>0</v>
      </c>
      <c r="E420" t="s">
        <v>19</v>
      </c>
      <c r="F420" t="s">
        <v>2070</v>
      </c>
      <c r="G420" t="s">
        <v>326</v>
      </c>
    </row>
    <row r="421" spans="1:7" hidden="1" x14ac:dyDescent="0.3">
      <c r="A421" t="s">
        <v>159</v>
      </c>
      <c r="B421" t="s">
        <v>481</v>
      </c>
      <c r="C421" t="s">
        <v>1371</v>
      </c>
      <c r="D421">
        <f t="shared" si="6"/>
        <v>0</v>
      </c>
      <c r="E421" t="s">
        <v>19</v>
      </c>
      <c r="F421" t="s">
        <v>2084</v>
      </c>
      <c r="G421" t="s">
        <v>326</v>
      </c>
    </row>
    <row r="422" spans="1:7" hidden="1" x14ac:dyDescent="0.3">
      <c r="A422" t="s">
        <v>159</v>
      </c>
      <c r="B422" t="s">
        <v>490</v>
      </c>
      <c r="C422" t="s">
        <v>1371</v>
      </c>
      <c r="D422">
        <f t="shared" si="6"/>
        <v>0</v>
      </c>
      <c r="E422" t="s">
        <v>19</v>
      </c>
      <c r="F422" t="s">
        <v>2085</v>
      </c>
      <c r="G422" t="s">
        <v>326</v>
      </c>
    </row>
    <row r="423" spans="1:7" hidden="1" x14ac:dyDescent="0.3">
      <c r="A423" t="s">
        <v>159</v>
      </c>
      <c r="B423" t="s">
        <v>886</v>
      </c>
      <c r="C423" t="s">
        <v>1371</v>
      </c>
      <c r="D423">
        <f t="shared" si="6"/>
        <v>0</v>
      </c>
      <c r="E423" t="s">
        <v>19</v>
      </c>
      <c r="F423" t="s">
        <v>2086</v>
      </c>
      <c r="G423" t="s">
        <v>326</v>
      </c>
    </row>
    <row r="424" spans="1:7" hidden="1" x14ac:dyDescent="0.3">
      <c r="A424" t="s">
        <v>159</v>
      </c>
      <c r="B424" t="s">
        <v>938</v>
      </c>
      <c r="C424" t="s">
        <v>1412</v>
      </c>
      <c r="D424">
        <f t="shared" si="6"/>
        <v>0</v>
      </c>
      <c r="E424" t="s">
        <v>19</v>
      </c>
      <c r="F424" t="s">
        <v>2208</v>
      </c>
      <c r="G424" t="s">
        <v>326</v>
      </c>
    </row>
    <row r="425" spans="1:7" hidden="1" x14ac:dyDescent="0.3">
      <c r="A425" t="s">
        <v>159</v>
      </c>
      <c r="B425" t="s">
        <v>959</v>
      </c>
      <c r="C425" t="s">
        <v>1418</v>
      </c>
      <c r="D425">
        <f t="shared" si="6"/>
        <v>0</v>
      </c>
      <c r="E425" t="s">
        <v>19</v>
      </c>
      <c r="F425" t="s">
        <v>2236</v>
      </c>
      <c r="G425" t="s">
        <v>326</v>
      </c>
    </row>
    <row r="426" spans="1:7" hidden="1" x14ac:dyDescent="0.3">
      <c r="A426" t="s">
        <v>159</v>
      </c>
      <c r="B426" t="s">
        <v>992</v>
      </c>
      <c r="C426" t="s">
        <v>1436</v>
      </c>
      <c r="D426">
        <f t="shared" si="6"/>
        <v>0</v>
      </c>
      <c r="E426" t="s">
        <v>19</v>
      </c>
      <c r="F426" t="s">
        <v>2289</v>
      </c>
      <c r="G426" t="s">
        <v>326</v>
      </c>
    </row>
    <row r="427" spans="1:7" hidden="1" x14ac:dyDescent="0.3">
      <c r="A427" t="s">
        <v>159</v>
      </c>
      <c r="B427" t="s">
        <v>490</v>
      </c>
      <c r="C427" t="s">
        <v>1449</v>
      </c>
      <c r="D427">
        <f t="shared" si="6"/>
        <v>0</v>
      </c>
      <c r="E427" t="s">
        <v>19</v>
      </c>
      <c r="F427" t="s">
        <v>2324</v>
      </c>
      <c r="G427" t="s">
        <v>326</v>
      </c>
    </row>
    <row r="428" spans="1:7" hidden="1" x14ac:dyDescent="0.3">
      <c r="A428" t="s">
        <v>159</v>
      </c>
      <c r="B428" t="s">
        <v>490</v>
      </c>
      <c r="C428" t="s">
        <v>1518</v>
      </c>
      <c r="D428">
        <f t="shared" si="6"/>
        <v>0</v>
      </c>
      <c r="E428" t="s">
        <v>19</v>
      </c>
      <c r="F428" t="s">
        <v>2507</v>
      </c>
      <c r="G428" t="s">
        <v>326</v>
      </c>
    </row>
    <row r="429" spans="1:7" hidden="1" x14ac:dyDescent="0.3">
      <c r="A429" t="s">
        <v>159</v>
      </c>
      <c r="B429" t="s">
        <v>1080</v>
      </c>
      <c r="C429" t="s">
        <v>1518</v>
      </c>
      <c r="D429">
        <f t="shared" si="6"/>
        <v>0</v>
      </c>
      <c r="E429" t="s">
        <v>19</v>
      </c>
      <c r="F429" t="s">
        <v>2517</v>
      </c>
      <c r="G429" t="s">
        <v>326</v>
      </c>
    </row>
    <row r="430" spans="1:7" hidden="1" x14ac:dyDescent="0.3">
      <c r="A430" t="s">
        <v>159</v>
      </c>
      <c r="B430" t="s">
        <v>1091</v>
      </c>
      <c r="C430" t="s">
        <v>1518</v>
      </c>
      <c r="D430">
        <f t="shared" si="6"/>
        <v>0</v>
      </c>
      <c r="E430" t="s">
        <v>19</v>
      </c>
      <c r="F430" t="s">
        <v>2532</v>
      </c>
      <c r="G430" t="s">
        <v>326</v>
      </c>
    </row>
    <row r="431" spans="1:7" hidden="1" x14ac:dyDescent="0.3">
      <c r="A431" t="s">
        <v>159</v>
      </c>
      <c r="B431" t="s">
        <v>1092</v>
      </c>
      <c r="C431" t="s">
        <v>1518</v>
      </c>
      <c r="D431">
        <f t="shared" si="6"/>
        <v>0</v>
      </c>
      <c r="E431" t="s">
        <v>19</v>
      </c>
      <c r="F431" t="s">
        <v>2533</v>
      </c>
      <c r="G431" t="s">
        <v>326</v>
      </c>
    </row>
    <row r="432" spans="1:7" hidden="1" x14ac:dyDescent="0.3">
      <c r="A432" t="s">
        <v>159</v>
      </c>
      <c r="B432" t="s">
        <v>975</v>
      </c>
      <c r="C432" t="s">
        <v>1519</v>
      </c>
      <c r="D432">
        <f t="shared" si="6"/>
        <v>0</v>
      </c>
      <c r="E432" t="s">
        <v>19</v>
      </c>
      <c r="F432" t="s">
        <v>2536</v>
      </c>
      <c r="G432" t="s">
        <v>326</v>
      </c>
    </row>
    <row r="433" spans="1:7" hidden="1" x14ac:dyDescent="0.3">
      <c r="A433" t="s">
        <v>159</v>
      </c>
      <c r="B433" t="s">
        <v>1096</v>
      </c>
      <c r="C433" t="s">
        <v>1518</v>
      </c>
      <c r="D433">
        <f t="shared" si="6"/>
        <v>0</v>
      </c>
      <c r="E433" t="s">
        <v>19</v>
      </c>
      <c r="F433" t="s">
        <v>2542</v>
      </c>
      <c r="G433" t="s">
        <v>326</v>
      </c>
    </row>
    <row r="434" spans="1:7" hidden="1" x14ac:dyDescent="0.3">
      <c r="A434" t="s">
        <v>159</v>
      </c>
      <c r="B434" t="s">
        <v>698</v>
      </c>
      <c r="C434" t="s">
        <v>1557</v>
      </c>
      <c r="D434">
        <f t="shared" si="6"/>
        <v>0</v>
      </c>
      <c r="E434" t="s">
        <v>19</v>
      </c>
      <c r="F434" t="s">
        <v>2728</v>
      </c>
      <c r="G434" t="s">
        <v>326</v>
      </c>
    </row>
    <row r="435" spans="1:7" hidden="1" x14ac:dyDescent="0.3">
      <c r="A435" t="s">
        <v>159</v>
      </c>
      <c r="B435" t="s">
        <v>938</v>
      </c>
      <c r="C435" t="s">
        <v>1557</v>
      </c>
      <c r="D435">
        <f t="shared" si="6"/>
        <v>0</v>
      </c>
      <c r="E435" t="s">
        <v>19</v>
      </c>
      <c r="F435" t="s">
        <v>2730</v>
      </c>
      <c r="G435" t="s">
        <v>326</v>
      </c>
    </row>
    <row r="436" spans="1:7" hidden="1" x14ac:dyDescent="0.3">
      <c r="A436" t="s">
        <v>159</v>
      </c>
      <c r="B436" t="s">
        <v>1159</v>
      </c>
      <c r="C436" t="s">
        <v>1557</v>
      </c>
      <c r="D436">
        <f t="shared" si="6"/>
        <v>0</v>
      </c>
      <c r="E436" t="s">
        <v>19</v>
      </c>
      <c r="F436" t="s">
        <v>2731</v>
      </c>
      <c r="G436" t="s">
        <v>326</v>
      </c>
    </row>
    <row r="437" spans="1:7" hidden="1" x14ac:dyDescent="0.3">
      <c r="A437" t="s">
        <v>159</v>
      </c>
      <c r="B437" t="s">
        <v>691</v>
      </c>
      <c r="C437" t="s">
        <v>1557</v>
      </c>
      <c r="D437">
        <f t="shared" si="6"/>
        <v>0</v>
      </c>
      <c r="E437" t="s">
        <v>19</v>
      </c>
      <c r="F437" t="s">
        <v>2737</v>
      </c>
      <c r="G437" t="s">
        <v>326</v>
      </c>
    </row>
    <row r="438" spans="1:7" hidden="1" x14ac:dyDescent="0.3">
      <c r="A438" t="s">
        <v>159</v>
      </c>
      <c r="B438" t="s">
        <v>1163</v>
      </c>
      <c r="C438" t="s">
        <v>1557</v>
      </c>
      <c r="D438">
        <f t="shared" si="6"/>
        <v>0</v>
      </c>
      <c r="E438" t="s">
        <v>19</v>
      </c>
      <c r="F438" t="s">
        <v>2741</v>
      </c>
      <c r="G438" t="s">
        <v>326</v>
      </c>
    </row>
    <row r="439" spans="1:7" hidden="1" x14ac:dyDescent="0.3">
      <c r="A439" t="s">
        <v>159</v>
      </c>
      <c r="B439" t="s">
        <v>1169</v>
      </c>
      <c r="C439" t="s">
        <v>1561</v>
      </c>
      <c r="D439">
        <f t="shared" si="6"/>
        <v>0</v>
      </c>
      <c r="E439" t="s">
        <v>19</v>
      </c>
      <c r="F439" t="s">
        <v>2760</v>
      </c>
      <c r="G439" t="s">
        <v>326</v>
      </c>
    </row>
    <row r="440" spans="1:7" hidden="1" x14ac:dyDescent="0.3">
      <c r="A440" t="s">
        <v>159</v>
      </c>
      <c r="B440" t="s">
        <v>938</v>
      </c>
      <c r="C440" t="s">
        <v>1561</v>
      </c>
      <c r="D440">
        <f t="shared" si="6"/>
        <v>0</v>
      </c>
      <c r="E440" t="s">
        <v>19</v>
      </c>
      <c r="F440" t="s">
        <v>2761</v>
      </c>
      <c r="G440" t="s">
        <v>326</v>
      </c>
    </row>
    <row r="441" spans="1:7" hidden="1" x14ac:dyDescent="0.3">
      <c r="A441" t="s">
        <v>159</v>
      </c>
      <c r="B441" t="s">
        <v>1163</v>
      </c>
      <c r="C441" t="s">
        <v>1561</v>
      </c>
      <c r="D441">
        <f t="shared" si="6"/>
        <v>0</v>
      </c>
      <c r="E441" t="s">
        <v>19</v>
      </c>
      <c r="F441" t="s">
        <v>2762</v>
      </c>
      <c r="G441" t="s">
        <v>326</v>
      </c>
    </row>
    <row r="442" spans="1:7" hidden="1" x14ac:dyDescent="0.3">
      <c r="A442" t="s">
        <v>159</v>
      </c>
      <c r="B442" t="s">
        <v>481</v>
      </c>
      <c r="C442" t="s">
        <v>1563</v>
      </c>
      <c r="D442">
        <f t="shared" si="6"/>
        <v>0</v>
      </c>
      <c r="E442" t="s">
        <v>19</v>
      </c>
      <c r="F442" t="s">
        <v>2772</v>
      </c>
      <c r="G442" t="s">
        <v>326</v>
      </c>
    </row>
    <row r="443" spans="1:7" hidden="1" x14ac:dyDescent="0.3">
      <c r="A443" t="s">
        <v>159</v>
      </c>
      <c r="B443" t="s">
        <v>1245</v>
      </c>
      <c r="C443" t="s">
        <v>1648</v>
      </c>
      <c r="D443">
        <f t="shared" si="6"/>
        <v>0</v>
      </c>
      <c r="E443" t="s">
        <v>19</v>
      </c>
      <c r="F443" t="s">
        <v>3032</v>
      </c>
      <c r="G443" t="s">
        <v>326</v>
      </c>
    </row>
    <row r="444" spans="1:7" hidden="1" x14ac:dyDescent="0.3">
      <c r="A444" t="s">
        <v>159</v>
      </c>
      <c r="B444" t="s">
        <v>938</v>
      </c>
      <c r="C444" t="s">
        <v>1649</v>
      </c>
      <c r="D444">
        <f t="shared" si="6"/>
        <v>0</v>
      </c>
      <c r="E444" t="s">
        <v>19</v>
      </c>
      <c r="F444" t="s">
        <v>3033</v>
      </c>
      <c r="G444" t="s">
        <v>326</v>
      </c>
    </row>
    <row r="445" spans="1:7" hidden="1" x14ac:dyDescent="0.3">
      <c r="A445" t="s">
        <v>160</v>
      </c>
      <c r="B445" t="s">
        <v>765</v>
      </c>
      <c r="C445" t="s">
        <v>1318</v>
      </c>
      <c r="D445">
        <f t="shared" si="6"/>
        <v>0</v>
      </c>
      <c r="E445" t="s">
        <v>19</v>
      </c>
      <c r="F445" t="s">
        <v>1834</v>
      </c>
      <c r="G445" t="s">
        <v>326</v>
      </c>
    </row>
    <row r="446" spans="1:7" hidden="1" x14ac:dyDescent="0.3">
      <c r="A446" t="s">
        <v>160</v>
      </c>
      <c r="B446" t="s">
        <v>483</v>
      </c>
      <c r="C446" t="s">
        <v>1326</v>
      </c>
      <c r="D446">
        <f t="shared" si="6"/>
        <v>0</v>
      </c>
      <c r="E446" t="s">
        <v>19</v>
      </c>
      <c r="F446" t="s">
        <v>1874</v>
      </c>
      <c r="G446" t="s">
        <v>326</v>
      </c>
    </row>
    <row r="447" spans="1:7" hidden="1" x14ac:dyDescent="0.3">
      <c r="A447" t="s">
        <v>160</v>
      </c>
      <c r="B447" t="s">
        <v>783</v>
      </c>
      <c r="C447" t="s">
        <v>1326</v>
      </c>
      <c r="D447">
        <f t="shared" si="6"/>
        <v>0</v>
      </c>
      <c r="E447" t="s">
        <v>19</v>
      </c>
      <c r="F447" t="s">
        <v>1875</v>
      </c>
      <c r="G447" t="s">
        <v>326</v>
      </c>
    </row>
    <row r="448" spans="1:7" hidden="1" x14ac:dyDescent="0.3">
      <c r="A448" t="s">
        <v>160</v>
      </c>
      <c r="B448" t="s">
        <v>789</v>
      </c>
      <c r="C448" t="s">
        <v>1335</v>
      </c>
      <c r="D448">
        <f t="shared" si="6"/>
        <v>0</v>
      </c>
      <c r="E448" t="s">
        <v>19</v>
      </c>
      <c r="F448" t="s">
        <v>1887</v>
      </c>
      <c r="G448" t="s">
        <v>326</v>
      </c>
    </row>
    <row r="449" spans="1:7" hidden="1" x14ac:dyDescent="0.3">
      <c r="A449" t="s">
        <v>160</v>
      </c>
      <c r="B449" t="s">
        <v>483</v>
      </c>
      <c r="C449" t="s">
        <v>1341</v>
      </c>
      <c r="D449">
        <f t="shared" si="6"/>
        <v>0</v>
      </c>
      <c r="E449" t="s">
        <v>19</v>
      </c>
      <c r="F449" t="s">
        <v>1940</v>
      </c>
      <c r="G449" t="s">
        <v>326</v>
      </c>
    </row>
    <row r="450" spans="1:7" hidden="1" x14ac:dyDescent="0.3">
      <c r="A450" t="s">
        <v>160</v>
      </c>
      <c r="B450" t="s">
        <v>1107</v>
      </c>
      <c r="C450" t="s">
        <v>1525</v>
      </c>
      <c r="D450">
        <f t="shared" ref="D450:D513" si="7">SIGN(SUBTOTAL(3,E450))</f>
        <v>0</v>
      </c>
      <c r="E450" t="s">
        <v>19</v>
      </c>
      <c r="F450" t="s">
        <v>2562</v>
      </c>
      <c r="G450" t="s">
        <v>326</v>
      </c>
    </row>
    <row r="451" spans="1:7" hidden="1" x14ac:dyDescent="0.3">
      <c r="A451" t="s">
        <v>160</v>
      </c>
      <c r="B451" t="s">
        <v>1110</v>
      </c>
      <c r="C451" t="s">
        <v>1525</v>
      </c>
      <c r="D451">
        <f t="shared" si="7"/>
        <v>0</v>
      </c>
      <c r="E451" t="s">
        <v>19</v>
      </c>
      <c r="F451" t="s">
        <v>2568</v>
      </c>
      <c r="G451" t="s">
        <v>326</v>
      </c>
    </row>
    <row r="452" spans="1:7" hidden="1" x14ac:dyDescent="0.3">
      <c r="A452" t="s">
        <v>160</v>
      </c>
      <c r="B452" t="s">
        <v>1113</v>
      </c>
      <c r="C452" t="s">
        <v>1525</v>
      </c>
      <c r="D452">
        <f t="shared" si="7"/>
        <v>0</v>
      </c>
      <c r="E452" t="s">
        <v>19</v>
      </c>
      <c r="F452" t="s">
        <v>2575</v>
      </c>
      <c r="G452" t="s">
        <v>326</v>
      </c>
    </row>
    <row r="453" spans="1:7" hidden="1" x14ac:dyDescent="0.3">
      <c r="A453" t="s">
        <v>160</v>
      </c>
      <c r="B453" t="s">
        <v>483</v>
      </c>
      <c r="C453" t="s">
        <v>1525</v>
      </c>
      <c r="D453">
        <f t="shared" si="7"/>
        <v>0</v>
      </c>
      <c r="E453" t="s">
        <v>19</v>
      </c>
      <c r="F453" t="s">
        <v>2576</v>
      </c>
      <c r="G453" t="s">
        <v>326</v>
      </c>
    </row>
    <row r="454" spans="1:7" hidden="1" x14ac:dyDescent="0.3">
      <c r="A454" t="s">
        <v>160</v>
      </c>
      <c r="B454" t="s">
        <v>483</v>
      </c>
      <c r="C454" t="s">
        <v>1528</v>
      </c>
      <c r="D454">
        <f t="shared" si="7"/>
        <v>0</v>
      </c>
      <c r="E454" t="s">
        <v>19</v>
      </c>
      <c r="F454" t="s">
        <v>2585</v>
      </c>
      <c r="G454" t="s">
        <v>326</v>
      </c>
    </row>
    <row r="455" spans="1:7" hidden="1" x14ac:dyDescent="0.3">
      <c r="A455" t="s">
        <v>160</v>
      </c>
      <c r="B455" t="s">
        <v>482</v>
      </c>
      <c r="C455" t="s">
        <v>1528</v>
      </c>
      <c r="D455">
        <f t="shared" si="7"/>
        <v>0</v>
      </c>
      <c r="E455" t="s">
        <v>19</v>
      </c>
      <c r="F455" t="s">
        <v>2586</v>
      </c>
      <c r="G455" t="s">
        <v>326</v>
      </c>
    </row>
    <row r="456" spans="1:7" hidden="1" x14ac:dyDescent="0.3">
      <c r="A456" t="s">
        <v>160</v>
      </c>
      <c r="B456" t="s">
        <v>1110</v>
      </c>
      <c r="C456" t="s">
        <v>1528</v>
      </c>
      <c r="D456">
        <f t="shared" si="7"/>
        <v>0</v>
      </c>
      <c r="E456" t="s">
        <v>19</v>
      </c>
      <c r="F456" t="s">
        <v>2588</v>
      </c>
      <c r="G456" t="s">
        <v>326</v>
      </c>
    </row>
    <row r="457" spans="1:7" hidden="1" x14ac:dyDescent="0.3">
      <c r="A457" t="s">
        <v>160</v>
      </c>
      <c r="B457" t="s">
        <v>783</v>
      </c>
      <c r="C457" t="s">
        <v>1528</v>
      </c>
      <c r="D457">
        <f t="shared" si="7"/>
        <v>0</v>
      </c>
      <c r="E457" t="s">
        <v>19</v>
      </c>
      <c r="F457" t="s">
        <v>2596</v>
      </c>
      <c r="G457" t="s">
        <v>326</v>
      </c>
    </row>
    <row r="458" spans="1:7" hidden="1" x14ac:dyDescent="0.3">
      <c r="A458" t="s">
        <v>160</v>
      </c>
      <c r="B458" t="s">
        <v>483</v>
      </c>
      <c r="C458" t="s">
        <v>1528</v>
      </c>
      <c r="D458">
        <f t="shared" si="7"/>
        <v>0</v>
      </c>
      <c r="E458" t="s">
        <v>19</v>
      </c>
      <c r="F458" t="s">
        <v>2606</v>
      </c>
      <c r="G458" t="s">
        <v>326</v>
      </c>
    </row>
    <row r="459" spans="1:7" hidden="1" x14ac:dyDescent="0.3">
      <c r="A459" t="s">
        <v>160</v>
      </c>
      <c r="B459" t="s">
        <v>1168</v>
      </c>
      <c r="C459" t="s">
        <v>1560</v>
      </c>
      <c r="D459">
        <f t="shared" si="7"/>
        <v>0</v>
      </c>
      <c r="E459" t="s">
        <v>19</v>
      </c>
      <c r="F459" t="s">
        <v>2758</v>
      </c>
      <c r="G459" t="s">
        <v>326</v>
      </c>
    </row>
    <row r="460" spans="1:7" hidden="1" x14ac:dyDescent="0.3">
      <c r="A460" t="s">
        <v>160</v>
      </c>
      <c r="B460" t="s">
        <v>1168</v>
      </c>
      <c r="C460" t="s">
        <v>1623</v>
      </c>
      <c r="D460">
        <f t="shared" si="7"/>
        <v>0</v>
      </c>
      <c r="E460" t="s">
        <v>19</v>
      </c>
      <c r="F460" t="s">
        <v>2951</v>
      </c>
      <c r="G460" t="s">
        <v>326</v>
      </c>
    </row>
    <row r="461" spans="1:7" hidden="1" x14ac:dyDescent="0.3">
      <c r="A461" t="s">
        <v>160</v>
      </c>
      <c r="B461" t="s">
        <v>483</v>
      </c>
      <c r="C461" t="s">
        <v>1623</v>
      </c>
      <c r="D461">
        <f t="shared" si="7"/>
        <v>0</v>
      </c>
      <c r="E461" t="s">
        <v>19</v>
      </c>
      <c r="F461" t="s">
        <v>2952</v>
      </c>
      <c r="G461" t="s">
        <v>326</v>
      </c>
    </row>
    <row r="462" spans="1:7" hidden="1" x14ac:dyDescent="0.3">
      <c r="A462" t="s">
        <v>160</v>
      </c>
      <c r="B462" t="s">
        <v>765</v>
      </c>
      <c r="C462" t="s">
        <v>1624</v>
      </c>
      <c r="D462">
        <f t="shared" si="7"/>
        <v>0</v>
      </c>
      <c r="E462" t="s">
        <v>19</v>
      </c>
      <c r="F462" t="s">
        <v>2953</v>
      </c>
      <c r="G462" t="s">
        <v>326</v>
      </c>
    </row>
    <row r="463" spans="1:7" hidden="1" x14ac:dyDescent="0.3">
      <c r="A463" t="s">
        <v>160</v>
      </c>
      <c r="B463" t="s">
        <v>1107</v>
      </c>
      <c r="C463" t="s">
        <v>1623</v>
      </c>
      <c r="D463">
        <f t="shared" si="7"/>
        <v>0</v>
      </c>
      <c r="E463" t="s">
        <v>19</v>
      </c>
      <c r="F463" t="s">
        <v>2954</v>
      </c>
      <c r="G463" t="s">
        <v>326</v>
      </c>
    </row>
    <row r="464" spans="1:7" hidden="1" x14ac:dyDescent="0.3">
      <c r="A464" t="s">
        <v>160</v>
      </c>
      <c r="B464" t="s">
        <v>482</v>
      </c>
      <c r="C464" t="s">
        <v>1625</v>
      </c>
      <c r="D464">
        <f t="shared" si="7"/>
        <v>0</v>
      </c>
      <c r="E464" t="s">
        <v>19</v>
      </c>
      <c r="F464" t="s">
        <v>2983</v>
      </c>
      <c r="G464" t="s">
        <v>326</v>
      </c>
    </row>
    <row r="465" spans="1:7" hidden="1" x14ac:dyDescent="0.3">
      <c r="A465" t="s">
        <v>161</v>
      </c>
      <c r="B465" t="s">
        <v>659</v>
      </c>
      <c r="C465" t="s">
        <v>1255</v>
      </c>
      <c r="D465">
        <f t="shared" si="7"/>
        <v>0</v>
      </c>
      <c r="E465" t="s">
        <v>19</v>
      </c>
      <c r="F465" t="s">
        <v>1665</v>
      </c>
      <c r="G465" t="s">
        <v>326</v>
      </c>
    </row>
    <row r="466" spans="1:7" hidden="1" x14ac:dyDescent="0.3">
      <c r="A466" t="s">
        <v>161</v>
      </c>
      <c r="B466" t="s">
        <v>674</v>
      </c>
      <c r="C466" t="s">
        <v>1276</v>
      </c>
      <c r="D466">
        <f t="shared" si="7"/>
        <v>0</v>
      </c>
      <c r="E466" t="s">
        <v>19</v>
      </c>
      <c r="F466" t="s">
        <v>1691</v>
      </c>
      <c r="G466" t="s">
        <v>326</v>
      </c>
    </row>
    <row r="467" spans="1:7" hidden="1" x14ac:dyDescent="0.3">
      <c r="A467" t="s">
        <v>161</v>
      </c>
      <c r="B467" t="s">
        <v>679</v>
      </c>
      <c r="C467" t="s">
        <v>1278</v>
      </c>
      <c r="D467">
        <f t="shared" si="7"/>
        <v>0</v>
      </c>
      <c r="E467" t="s">
        <v>19</v>
      </c>
      <c r="F467" t="s">
        <v>1699</v>
      </c>
      <c r="G467" t="s">
        <v>326</v>
      </c>
    </row>
    <row r="468" spans="1:7" hidden="1" x14ac:dyDescent="0.3">
      <c r="A468" t="s">
        <v>161</v>
      </c>
      <c r="B468" t="s">
        <v>754</v>
      </c>
      <c r="C468" t="s">
        <v>1304</v>
      </c>
      <c r="D468">
        <f t="shared" si="7"/>
        <v>0</v>
      </c>
      <c r="E468" t="s">
        <v>19</v>
      </c>
      <c r="F468" t="s">
        <v>1819</v>
      </c>
      <c r="G468" t="s">
        <v>326</v>
      </c>
    </row>
    <row r="469" spans="1:7" hidden="1" x14ac:dyDescent="0.3">
      <c r="A469" t="s">
        <v>161</v>
      </c>
      <c r="B469" t="s">
        <v>755</v>
      </c>
      <c r="C469" t="s">
        <v>1305</v>
      </c>
      <c r="D469">
        <f t="shared" si="7"/>
        <v>0</v>
      </c>
      <c r="E469" t="s">
        <v>19</v>
      </c>
      <c r="F469" t="s">
        <v>1820</v>
      </c>
      <c r="G469" t="s">
        <v>326</v>
      </c>
    </row>
    <row r="470" spans="1:7" hidden="1" x14ac:dyDescent="0.3">
      <c r="A470" t="s">
        <v>161</v>
      </c>
      <c r="B470" t="s">
        <v>777</v>
      </c>
      <c r="C470" t="s">
        <v>1323</v>
      </c>
      <c r="D470">
        <f t="shared" si="7"/>
        <v>0</v>
      </c>
      <c r="E470" t="s">
        <v>19</v>
      </c>
      <c r="F470" t="s">
        <v>1868</v>
      </c>
      <c r="G470" t="s">
        <v>326</v>
      </c>
    </row>
    <row r="471" spans="1:7" hidden="1" x14ac:dyDescent="0.3">
      <c r="A471" t="s">
        <v>161</v>
      </c>
      <c r="B471" t="s">
        <v>787</v>
      </c>
      <c r="C471" t="s">
        <v>1334</v>
      </c>
      <c r="D471">
        <f t="shared" si="7"/>
        <v>0</v>
      </c>
      <c r="E471" t="s">
        <v>19</v>
      </c>
      <c r="F471" t="s">
        <v>1885</v>
      </c>
      <c r="G471" t="s">
        <v>326</v>
      </c>
    </row>
    <row r="472" spans="1:7" hidden="1" x14ac:dyDescent="0.3">
      <c r="A472" t="s">
        <v>161</v>
      </c>
      <c r="B472" t="s">
        <v>788</v>
      </c>
      <c r="C472" t="s">
        <v>1334</v>
      </c>
      <c r="D472">
        <f t="shared" si="7"/>
        <v>0</v>
      </c>
      <c r="E472" t="s">
        <v>19</v>
      </c>
      <c r="F472" t="s">
        <v>1886</v>
      </c>
      <c r="G472" t="s">
        <v>326</v>
      </c>
    </row>
    <row r="473" spans="1:7" hidden="1" x14ac:dyDescent="0.3">
      <c r="A473" t="s">
        <v>161</v>
      </c>
      <c r="B473" t="s">
        <v>790</v>
      </c>
      <c r="C473" t="s">
        <v>1337</v>
      </c>
      <c r="D473">
        <f t="shared" si="7"/>
        <v>0</v>
      </c>
      <c r="E473" t="s">
        <v>19</v>
      </c>
      <c r="F473" t="s">
        <v>1889</v>
      </c>
      <c r="G473" t="s">
        <v>326</v>
      </c>
    </row>
    <row r="474" spans="1:7" hidden="1" x14ac:dyDescent="0.3">
      <c r="A474" t="s">
        <v>161</v>
      </c>
      <c r="B474" t="s">
        <v>814</v>
      </c>
      <c r="C474" t="s">
        <v>1341</v>
      </c>
      <c r="D474">
        <f t="shared" si="7"/>
        <v>0</v>
      </c>
      <c r="E474" t="s">
        <v>19</v>
      </c>
      <c r="F474" t="s">
        <v>1929</v>
      </c>
      <c r="G474" t="s">
        <v>326</v>
      </c>
    </row>
    <row r="475" spans="1:7" hidden="1" x14ac:dyDescent="0.3">
      <c r="A475" t="s">
        <v>161</v>
      </c>
      <c r="B475" t="s">
        <v>836</v>
      </c>
      <c r="C475" t="s">
        <v>1341</v>
      </c>
      <c r="D475">
        <f t="shared" si="7"/>
        <v>0</v>
      </c>
      <c r="E475" t="s">
        <v>19</v>
      </c>
      <c r="F475" t="s">
        <v>1981</v>
      </c>
      <c r="G475" t="s">
        <v>326</v>
      </c>
    </row>
    <row r="476" spans="1:7" hidden="1" x14ac:dyDescent="0.3">
      <c r="A476" t="s">
        <v>161</v>
      </c>
      <c r="B476" t="s">
        <v>847</v>
      </c>
      <c r="C476" t="s">
        <v>1349</v>
      </c>
      <c r="D476">
        <f t="shared" si="7"/>
        <v>0</v>
      </c>
      <c r="E476" t="s">
        <v>19</v>
      </c>
      <c r="F476" t="s">
        <v>2013</v>
      </c>
      <c r="G476" t="s">
        <v>326</v>
      </c>
    </row>
    <row r="477" spans="1:7" hidden="1" x14ac:dyDescent="0.3">
      <c r="A477" t="s">
        <v>161</v>
      </c>
      <c r="B477" t="s">
        <v>847</v>
      </c>
      <c r="C477" t="s">
        <v>1349</v>
      </c>
      <c r="D477">
        <f t="shared" si="7"/>
        <v>0</v>
      </c>
      <c r="E477" t="s">
        <v>19</v>
      </c>
      <c r="F477" t="s">
        <v>2014</v>
      </c>
      <c r="G477" t="s">
        <v>326</v>
      </c>
    </row>
    <row r="478" spans="1:7" hidden="1" x14ac:dyDescent="0.3">
      <c r="A478" t="s">
        <v>161</v>
      </c>
      <c r="B478" t="s">
        <v>679</v>
      </c>
      <c r="C478" t="s">
        <v>1361</v>
      </c>
      <c r="D478">
        <f t="shared" si="7"/>
        <v>0</v>
      </c>
      <c r="E478" t="s">
        <v>19</v>
      </c>
      <c r="F478" t="s">
        <v>2037</v>
      </c>
      <c r="G478" t="s">
        <v>326</v>
      </c>
    </row>
    <row r="479" spans="1:7" hidden="1" x14ac:dyDescent="0.3">
      <c r="A479" t="s">
        <v>161</v>
      </c>
      <c r="B479" t="s">
        <v>869</v>
      </c>
      <c r="C479" t="s">
        <v>1365</v>
      </c>
      <c r="D479">
        <f t="shared" si="7"/>
        <v>0</v>
      </c>
      <c r="E479" t="s">
        <v>19</v>
      </c>
      <c r="F479" t="s">
        <v>2052</v>
      </c>
      <c r="G479" t="s">
        <v>326</v>
      </c>
    </row>
    <row r="480" spans="1:7" hidden="1" x14ac:dyDescent="0.3">
      <c r="A480" t="s">
        <v>161</v>
      </c>
      <c r="B480" t="s">
        <v>788</v>
      </c>
      <c r="C480" t="s">
        <v>1366</v>
      </c>
      <c r="D480">
        <f t="shared" si="7"/>
        <v>0</v>
      </c>
      <c r="E480" t="s">
        <v>19</v>
      </c>
      <c r="F480" t="s">
        <v>2060</v>
      </c>
      <c r="G480" t="s">
        <v>326</v>
      </c>
    </row>
    <row r="481" spans="1:7" hidden="1" x14ac:dyDescent="0.3">
      <c r="A481" t="s">
        <v>161</v>
      </c>
      <c r="B481" t="s">
        <v>787</v>
      </c>
      <c r="C481" t="s">
        <v>1391</v>
      </c>
      <c r="D481">
        <f t="shared" si="7"/>
        <v>0</v>
      </c>
      <c r="E481" t="s">
        <v>19</v>
      </c>
      <c r="F481" t="s">
        <v>2118</v>
      </c>
      <c r="G481" t="s">
        <v>326</v>
      </c>
    </row>
    <row r="482" spans="1:7" hidden="1" x14ac:dyDescent="0.3">
      <c r="A482" t="s">
        <v>161</v>
      </c>
      <c r="B482" t="s">
        <v>903</v>
      </c>
      <c r="C482" t="s">
        <v>1392</v>
      </c>
      <c r="D482">
        <f t="shared" si="7"/>
        <v>0</v>
      </c>
      <c r="E482" t="s">
        <v>19</v>
      </c>
      <c r="F482" t="s">
        <v>2121</v>
      </c>
      <c r="G482" t="s">
        <v>326</v>
      </c>
    </row>
    <row r="483" spans="1:7" hidden="1" x14ac:dyDescent="0.3">
      <c r="A483" t="s">
        <v>161</v>
      </c>
      <c r="B483" t="s">
        <v>679</v>
      </c>
      <c r="C483" t="s">
        <v>1396</v>
      </c>
      <c r="D483">
        <f t="shared" si="7"/>
        <v>0</v>
      </c>
      <c r="E483" t="s">
        <v>19</v>
      </c>
      <c r="F483" t="s">
        <v>2127</v>
      </c>
      <c r="G483" t="s">
        <v>326</v>
      </c>
    </row>
    <row r="484" spans="1:7" hidden="1" x14ac:dyDescent="0.3">
      <c r="A484" t="s">
        <v>161</v>
      </c>
      <c r="B484" t="s">
        <v>659</v>
      </c>
      <c r="C484" t="s">
        <v>1399</v>
      </c>
      <c r="D484">
        <f t="shared" si="7"/>
        <v>0</v>
      </c>
      <c r="E484" t="s">
        <v>19</v>
      </c>
      <c r="F484" t="s">
        <v>2149</v>
      </c>
      <c r="G484" t="s">
        <v>326</v>
      </c>
    </row>
    <row r="485" spans="1:7" hidden="1" x14ac:dyDescent="0.3">
      <c r="A485" t="s">
        <v>161</v>
      </c>
      <c r="B485" t="s">
        <v>935</v>
      </c>
      <c r="C485" t="s">
        <v>1410</v>
      </c>
      <c r="D485">
        <f t="shared" si="7"/>
        <v>0</v>
      </c>
      <c r="E485" t="s">
        <v>19</v>
      </c>
      <c r="F485" t="s">
        <v>2203</v>
      </c>
      <c r="G485" t="s">
        <v>326</v>
      </c>
    </row>
    <row r="486" spans="1:7" hidden="1" x14ac:dyDescent="0.3">
      <c r="A486" t="s">
        <v>161</v>
      </c>
      <c r="B486" t="s">
        <v>935</v>
      </c>
      <c r="C486" t="s">
        <v>1412</v>
      </c>
      <c r="D486">
        <f t="shared" si="7"/>
        <v>0</v>
      </c>
      <c r="E486" t="s">
        <v>19</v>
      </c>
      <c r="F486" t="s">
        <v>2206</v>
      </c>
      <c r="G486" t="s">
        <v>326</v>
      </c>
    </row>
    <row r="487" spans="1:7" hidden="1" x14ac:dyDescent="0.3">
      <c r="A487" t="s">
        <v>161</v>
      </c>
      <c r="B487" t="s">
        <v>977</v>
      </c>
      <c r="C487" t="s">
        <v>1421</v>
      </c>
      <c r="D487">
        <f t="shared" si="7"/>
        <v>0</v>
      </c>
      <c r="E487" t="s">
        <v>19</v>
      </c>
      <c r="F487" t="s">
        <v>2259</v>
      </c>
      <c r="G487" t="s">
        <v>326</v>
      </c>
    </row>
    <row r="488" spans="1:7" hidden="1" x14ac:dyDescent="0.3">
      <c r="A488" t="s">
        <v>161</v>
      </c>
      <c r="B488" t="s">
        <v>679</v>
      </c>
      <c r="C488" t="s">
        <v>1428</v>
      </c>
      <c r="D488">
        <f t="shared" si="7"/>
        <v>0</v>
      </c>
      <c r="E488" t="s">
        <v>19</v>
      </c>
      <c r="F488" t="s">
        <v>2267</v>
      </c>
      <c r="G488" t="s">
        <v>326</v>
      </c>
    </row>
    <row r="489" spans="1:7" hidden="1" x14ac:dyDescent="0.3">
      <c r="A489" t="s">
        <v>161</v>
      </c>
      <c r="B489" t="s">
        <v>790</v>
      </c>
      <c r="C489" t="s">
        <v>1429</v>
      </c>
      <c r="D489">
        <f t="shared" si="7"/>
        <v>0</v>
      </c>
      <c r="E489" t="s">
        <v>19</v>
      </c>
      <c r="F489" t="s">
        <v>2272</v>
      </c>
      <c r="G489" t="s">
        <v>326</v>
      </c>
    </row>
    <row r="490" spans="1:7" hidden="1" x14ac:dyDescent="0.3">
      <c r="A490" t="s">
        <v>161</v>
      </c>
      <c r="B490" t="s">
        <v>790</v>
      </c>
      <c r="C490" t="s">
        <v>1430</v>
      </c>
      <c r="D490">
        <f t="shared" si="7"/>
        <v>0</v>
      </c>
      <c r="E490" t="s">
        <v>19</v>
      </c>
      <c r="F490" t="s">
        <v>2275</v>
      </c>
      <c r="G490" t="s">
        <v>326</v>
      </c>
    </row>
    <row r="491" spans="1:7" hidden="1" x14ac:dyDescent="0.3">
      <c r="A491" t="s">
        <v>161</v>
      </c>
      <c r="B491" t="s">
        <v>987</v>
      </c>
      <c r="C491" t="s">
        <v>1427</v>
      </c>
      <c r="D491">
        <f t="shared" si="7"/>
        <v>0</v>
      </c>
      <c r="E491" t="s">
        <v>19</v>
      </c>
      <c r="F491" t="s">
        <v>2283</v>
      </c>
      <c r="G491" t="s">
        <v>326</v>
      </c>
    </row>
    <row r="492" spans="1:7" hidden="1" x14ac:dyDescent="0.3">
      <c r="A492" t="s">
        <v>161</v>
      </c>
      <c r="B492" t="s">
        <v>998</v>
      </c>
      <c r="C492" t="s">
        <v>1439</v>
      </c>
      <c r="D492">
        <f t="shared" si="7"/>
        <v>0</v>
      </c>
      <c r="E492" t="s">
        <v>19</v>
      </c>
      <c r="F492" t="s">
        <v>2296</v>
      </c>
      <c r="G492" t="s">
        <v>326</v>
      </c>
    </row>
    <row r="493" spans="1:7" hidden="1" x14ac:dyDescent="0.3">
      <c r="A493" t="s">
        <v>161</v>
      </c>
      <c r="B493" t="s">
        <v>999</v>
      </c>
      <c r="C493" t="s">
        <v>1441</v>
      </c>
      <c r="D493">
        <f t="shared" si="7"/>
        <v>0</v>
      </c>
      <c r="E493" t="s">
        <v>19</v>
      </c>
      <c r="F493" t="s">
        <v>2298</v>
      </c>
      <c r="G493" t="s">
        <v>326</v>
      </c>
    </row>
    <row r="494" spans="1:7" hidden="1" x14ac:dyDescent="0.3">
      <c r="A494" t="s">
        <v>161</v>
      </c>
      <c r="B494" t="s">
        <v>1024</v>
      </c>
      <c r="C494" t="s">
        <v>1462</v>
      </c>
      <c r="D494">
        <f t="shared" si="7"/>
        <v>0</v>
      </c>
      <c r="E494" t="s">
        <v>19</v>
      </c>
      <c r="F494" t="s">
        <v>2363</v>
      </c>
      <c r="G494" t="s">
        <v>326</v>
      </c>
    </row>
    <row r="495" spans="1:7" hidden="1" x14ac:dyDescent="0.3">
      <c r="A495" t="s">
        <v>161</v>
      </c>
      <c r="B495" t="s">
        <v>1040</v>
      </c>
      <c r="C495" t="s">
        <v>1479</v>
      </c>
      <c r="D495">
        <f t="shared" si="7"/>
        <v>0</v>
      </c>
      <c r="E495" t="s">
        <v>19</v>
      </c>
      <c r="F495" t="s">
        <v>2393</v>
      </c>
      <c r="G495" t="s">
        <v>326</v>
      </c>
    </row>
    <row r="496" spans="1:7" hidden="1" x14ac:dyDescent="0.3">
      <c r="A496" t="s">
        <v>161</v>
      </c>
      <c r="B496" t="s">
        <v>1041</v>
      </c>
      <c r="C496" t="s">
        <v>1480</v>
      </c>
      <c r="D496">
        <f t="shared" si="7"/>
        <v>0</v>
      </c>
      <c r="E496" t="s">
        <v>19</v>
      </c>
      <c r="F496" t="s">
        <v>2394</v>
      </c>
      <c r="G496" t="s">
        <v>326</v>
      </c>
    </row>
    <row r="497" spans="1:7" hidden="1" x14ac:dyDescent="0.3">
      <c r="A497" t="s">
        <v>161</v>
      </c>
      <c r="B497" t="s">
        <v>1048</v>
      </c>
      <c r="C497" t="s">
        <v>1488</v>
      </c>
      <c r="D497">
        <f t="shared" si="7"/>
        <v>0</v>
      </c>
      <c r="E497" t="s">
        <v>19</v>
      </c>
      <c r="F497" t="s">
        <v>2410</v>
      </c>
      <c r="G497" t="s">
        <v>326</v>
      </c>
    </row>
    <row r="498" spans="1:7" hidden="1" x14ac:dyDescent="0.3">
      <c r="A498" t="s">
        <v>161</v>
      </c>
      <c r="B498" t="s">
        <v>1049</v>
      </c>
      <c r="C498" t="s">
        <v>1489</v>
      </c>
      <c r="D498">
        <f t="shared" si="7"/>
        <v>0</v>
      </c>
      <c r="E498" t="s">
        <v>19</v>
      </c>
      <c r="F498" t="s">
        <v>2411</v>
      </c>
      <c r="G498" t="s">
        <v>326</v>
      </c>
    </row>
    <row r="499" spans="1:7" hidden="1" x14ac:dyDescent="0.3">
      <c r="A499" t="s">
        <v>161</v>
      </c>
      <c r="B499" t="s">
        <v>1024</v>
      </c>
      <c r="C499" t="s">
        <v>1488</v>
      </c>
      <c r="D499">
        <f t="shared" si="7"/>
        <v>0</v>
      </c>
      <c r="E499" t="s">
        <v>19</v>
      </c>
      <c r="F499" t="s">
        <v>2412</v>
      </c>
      <c r="G499" t="s">
        <v>326</v>
      </c>
    </row>
    <row r="500" spans="1:7" hidden="1" x14ac:dyDescent="0.3">
      <c r="A500" t="s">
        <v>161</v>
      </c>
      <c r="B500" t="s">
        <v>1067</v>
      </c>
      <c r="C500" t="s">
        <v>1499</v>
      </c>
      <c r="D500">
        <f t="shared" si="7"/>
        <v>0</v>
      </c>
      <c r="E500" t="s">
        <v>19</v>
      </c>
      <c r="F500" t="s">
        <v>2484</v>
      </c>
      <c r="G500" t="s">
        <v>326</v>
      </c>
    </row>
    <row r="501" spans="1:7" hidden="1" x14ac:dyDescent="0.3">
      <c r="A501" t="s">
        <v>161</v>
      </c>
      <c r="B501" t="s">
        <v>1112</v>
      </c>
      <c r="C501" t="s">
        <v>1525</v>
      </c>
      <c r="D501">
        <f t="shared" si="7"/>
        <v>0</v>
      </c>
      <c r="E501" t="s">
        <v>19</v>
      </c>
      <c r="F501" t="s">
        <v>2572</v>
      </c>
      <c r="G501" t="s">
        <v>326</v>
      </c>
    </row>
    <row r="502" spans="1:7" hidden="1" x14ac:dyDescent="0.3">
      <c r="A502" t="s">
        <v>161</v>
      </c>
      <c r="B502" t="s">
        <v>1112</v>
      </c>
      <c r="C502" t="s">
        <v>1528</v>
      </c>
      <c r="D502">
        <f t="shared" si="7"/>
        <v>0</v>
      </c>
      <c r="E502" t="s">
        <v>19</v>
      </c>
      <c r="F502" t="s">
        <v>2625</v>
      </c>
      <c r="G502" t="s">
        <v>326</v>
      </c>
    </row>
    <row r="503" spans="1:7" hidden="1" x14ac:dyDescent="0.3">
      <c r="A503" t="s">
        <v>161</v>
      </c>
      <c r="B503" t="s">
        <v>674</v>
      </c>
      <c r="C503" t="s">
        <v>1528</v>
      </c>
      <c r="D503">
        <f t="shared" si="7"/>
        <v>0</v>
      </c>
      <c r="E503" t="s">
        <v>19</v>
      </c>
      <c r="F503" t="s">
        <v>2632</v>
      </c>
      <c r="G503" t="s">
        <v>326</v>
      </c>
    </row>
    <row r="504" spans="1:7" hidden="1" x14ac:dyDescent="0.3">
      <c r="A504" t="s">
        <v>161</v>
      </c>
      <c r="B504" t="s">
        <v>847</v>
      </c>
      <c r="C504" t="s">
        <v>1533</v>
      </c>
      <c r="D504">
        <f t="shared" si="7"/>
        <v>0</v>
      </c>
      <c r="E504" t="s">
        <v>19</v>
      </c>
      <c r="F504" t="s">
        <v>2663</v>
      </c>
      <c r="G504" t="s">
        <v>326</v>
      </c>
    </row>
    <row r="505" spans="1:7" hidden="1" x14ac:dyDescent="0.3">
      <c r="A505" t="s">
        <v>161</v>
      </c>
      <c r="B505" t="s">
        <v>1134</v>
      </c>
      <c r="C505" t="s">
        <v>1533</v>
      </c>
      <c r="D505">
        <f t="shared" si="7"/>
        <v>0</v>
      </c>
      <c r="E505" t="s">
        <v>19</v>
      </c>
      <c r="F505" t="s">
        <v>2666</v>
      </c>
      <c r="G505" t="s">
        <v>326</v>
      </c>
    </row>
    <row r="506" spans="1:7" hidden="1" x14ac:dyDescent="0.3">
      <c r="A506" t="s">
        <v>161</v>
      </c>
      <c r="B506" t="s">
        <v>1135</v>
      </c>
      <c r="C506" t="s">
        <v>1533</v>
      </c>
      <c r="D506">
        <f t="shared" si="7"/>
        <v>0</v>
      </c>
      <c r="E506" t="s">
        <v>19</v>
      </c>
      <c r="F506" t="s">
        <v>2667</v>
      </c>
      <c r="G506" t="s">
        <v>326</v>
      </c>
    </row>
    <row r="507" spans="1:7" hidden="1" x14ac:dyDescent="0.3">
      <c r="A507" t="s">
        <v>161</v>
      </c>
      <c r="B507" t="s">
        <v>1135</v>
      </c>
      <c r="C507" t="s">
        <v>1533</v>
      </c>
      <c r="D507">
        <f t="shared" si="7"/>
        <v>0</v>
      </c>
      <c r="E507" t="s">
        <v>19</v>
      </c>
      <c r="F507" t="s">
        <v>2668</v>
      </c>
      <c r="G507" t="s">
        <v>326</v>
      </c>
    </row>
    <row r="508" spans="1:7" hidden="1" x14ac:dyDescent="0.3">
      <c r="A508" t="s">
        <v>161</v>
      </c>
      <c r="B508" t="s">
        <v>1136</v>
      </c>
      <c r="C508" t="s">
        <v>1533</v>
      </c>
      <c r="D508">
        <f t="shared" si="7"/>
        <v>0</v>
      </c>
      <c r="E508" t="s">
        <v>19</v>
      </c>
      <c r="F508" t="s">
        <v>2670</v>
      </c>
      <c r="G508" t="s">
        <v>326</v>
      </c>
    </row>
    <row r="509" spans="1:7" hidden="1" x14ac:dyDescent="0.3">
      <c r="A509" t="s">
        <v>161</v>
      </c>
      <c r="B509" t="s">
        <v>1137</v>
      </c>
      <c r="C509" t="s">
        <v>1533</v>
      </c>
      <c r="D509">
        <f t="shared" si="7"/>
        <v>0</v>
      </c>
      <c r="E509" t="s">
        <v>19</v>
      </c>
      <c r="F509" t="s">
        <v>2671</v>
      </c>
      <c r="G509" t="s">
        <v>326</v>
      </c>
    </row>
    <row r="510" spans="1:7" hidden="1" x14ac:dyDescent="0.3">
      <c r="A510" t="s">
        <v>161</v>
      </c>
      <c r="B510" t="s">
        <v>484</v>
      </c>
      <c r="C510" t="s">
        <v>1547</v>
      </c>
      <c r="D510">
        <f t="shared" si="7"/>
        <v>0</v>
      </c>
      <c r="E510" t="s">
        <v>19</v>
      </c>
      <c r="F510" t="s">
        <v>2689</v>
      </c>
      <c r="G510" t="s">
        <v>326</v>
      </c>
    </row>
    <row r="511" spans="1:7" hidden="1" x14ac:dyDescent="0.3">
      <c r="A511" t="s">
        <v>161</v>
      </c>
      <c r="B511" t="s">
        <v>1188</v>
      </c>
      <c r="C511" t="s">
        <v>1579</v>
      </c>
      <c r="D511">
        <f t="shared" si="7"/>
        <v>0</v>
      </c>
      <c r="E511" t="s">
        <v>19</v>
      </c>
      <c r="F511" t="s">
        <v>2832</v>
      </c>
      <c r="G511" t="s">
        <v>326</v>
      </c>
    </row>
    <row r="512" spans="1:7" hidden="1" x14ac:dyDescent="0.3">
      <c r="A512" t="s">
        <v>161</v>
      </c>
      <c r="B512" t="s">
        <v>1199</v>
      </c>
      <c r="C512" t="s">
        <v>1593</v>
      </c>
      <c r="D512">
        <f t="shared" si="7"/>
        <v>0</v>
      </c>
      <c r="E512" t="s">
        <v>19</v>
      </c>
      <c r="F512" t="s">
        <v>2867</v>
      </c>
      <c r="G512" t="s">
        <v>326</v>
      </c>
    </row>
    <row r="513" spans="1:7" hidden="1" x14ac:dyDescent="0.3">
      <c r="A513" t="s">
        <v>161</v>
      </c>
      <c r="B513" t="s">
        <v>1210</v>
      </c>
      <c r="C513" t="s">
        <v>1607</v>
      </c>
      <c r="D513">
        <f t="shared" si="7"/>
        <v>0</v>
      </c>
      <c r="E513" t="s">
        <v>19</v>
      </c>
      <c r="F513" t="s">
        <v>2910</v>
      </c>
      <c r="G513" t="s">
        <v>326</v>
      </c>
    </row>
    <row r="514" spans="1:7" hidden="1" x14ac:dyDescent="0.3">
      <c r="A514" t="s">
        <v>161</v>
      </c>
      <c r="B514" t="s">
        <v>1214</v>
      </c>
      <c r="C514" t="s">
        <v>1614</v>
      </c>
      <c r="D514">
        <f t="shared" ref="D514:D577" si="8">SIGN(SUBTOTAL(3,E514))</f>
        <v>0</v>
      </c>
      <c r="E514" t="s">
        <v>19</v>
      </c>
      <c r="F514" t="s">
        <v>2921</v>
      </c>
      <c r="G514" t="s">
        <v>326</v>
      </c>
    </row>
    <row r="515" spans="1:7" hidden="1" x14ac:dyDescent="0.3">
      <c r="A515" t="s">
        <v>161</v>
      </c>
      <c r="B515" t="s">
        <v>1217</v>
      </c>
      <c r="C515" t="s">
        <v>1616</v>
      </c>
      <c r="D515">
        <f t="shared" si="8"/>
        <v>0</v>
      </c>
      <c r="E515" t="s">
        <v>19</v>
      </c>
      <c r="F515" t="s">
        <v>2927</v>
      </c>
      <c r="G515" t="s">
        <v>326</v>
      </c>
    </row>
    <row r="516" spans="1:7" hidden="1" x14ac:dyDescent="0.3">
      <c r="A516" t="s">
        <v>161</v>
      </c>
      <c r="B516" t="s">
        <v>790</v>
      </c>
      <c r="C516" t="s">
        <v>1646</v>
      </c>
      <c r="D516">
        <f t="shared" si="8"/>
        <v>0</v>
      </c>
      <c r="E516" t="s">
        <v>19</v>
      </c>
      <c r="F516" t="s">
        <v>3022</v>
      </c>
      <c r="G516" t="s">
        <v>326</v>
      </c>
    </row>
    <row r="517" spans="1:7" hidden="1" x14ac:dyDescent="0.3">
      <c r="A517" t="s">
        <v>161</v>
      </c>
      <c r="B517" t="s">
        <v>1049</v>
      </c>
      <c r="C517" t="s">
        <v>1646</v>
      </c>
      <c r="D517">
        <f t="shared" si="8"/>
        <v>0</v>
      </c>
      <c r="E517" t="s">
        <v>19</v>
      </c>
      <c r="F517" t="s">
        <v>3027</v>
      </c>
      <c r="G517" t="s">
        <v>326</v>
      </c>
    </row>
    <row r="518" spans="1:7" hidden="1" x14ac:dyDescent="0.3">
      <c r="A518" t="s">
        <v>162</v>
      </c>
      <c r="B518" t="s">
        <v>742</v>
      </c>
      <c r="C518" t="s">
        <v>1296</v>
      </c>
      <c r="D518">
        <f t="shared" si="8"/>
        <v>0</v>
      </c>
      <c r="E518" t="s">
        <v>19</v>
      </c>
      <c r="F518" t="s">
        <v>1796</v>
      </c>
      <c r="G518" t="s">
        <v>326</v>
      </c>
    </row>
    <row r="519" spans="1:7" hidden="1" x14ac:dyDescent="0.3">
      <c r="A519" t="s">
        <v>162</v>
      </c>
      <c r="B519" t="s">
        <v>827</v>
      </c>
      <c r="C519" t="s">
        <v>1341</v>
      </c>
      <c r="D519">
        <f t="shared" si="8"/>
        <v>0</v>
      </c>
      <c r="E519" t="s">
        <v>19</v>
      </c>
      <c r="F519" t="s">
        <v>1959</v>
      </c>
      <c r="G519" t="s">
        <v>326</v>
      </c>
    </row>
    <row r="520" spans="1:7" hidden="1" x14ac:dyDescent="0.3">
      <c r="A520" t="s">
        <v>162</v>
      </c>
      <c r="B520" t="s">
        <v>862</v>
      </c>
      <c r="C520" t="s">
        <v>1358</v>
      </c>
      <c r="D520">
        <f t="shared" si="8"/>
        <v>0</v>
      </c>
      <c r="E520" t="s">
        <v>19</v>
      </c>
      <c r="F520" t="s">
        <v>2032</v>
      </c>
      <c r="G520" t="s">
        <v>326</v>
      </c>
    </row>
    <row r="521" spans="1:7" hidden="1" x14ac:dyDescent="0.3">
      <c r="A521" t="s">
        <v>162</v>
      </c>
      <c r="B521" t="s">
        <v>514</v>
      </c>
      <c r="C521" t="s">
        <v>1443</v>
      </c>
      <c r="D521">
        <f t="shared" si="8"/>
        <v>0</v>
      </c>
      <c r="E521" t="s">
        <v>19</v>
      </c>
      <c r="F521" t="s">
        <v>2302</v>
      </c>
      <c r="G521" t="s">
        <v>326</v>
      </c>
    </row>
    <row r="522" spans="1:7" hidden="1" x14ac:dyDescent="0.3">
      <c r="A522" t="s">
        <v>162</v>
      </c>
      <c r="B522" t="s">
        <v>742</v>
      </c>
      <c r="C522" t="s">
        <v>1456</v>
      </c>
      <c r="D522">
        <f t="shared" si="8"/>
        <v>0</v>
      </c>
      <c r="E522" t="s">
        <v>19</v>
      </c>
      <c r="F522" t="s">
        <v>2342</v>
      </c>
      <c r="G522" t="s">
        <v>326</v>
      </c>
    </row>
    <row r="523" spans="1:7" hidden="1" x14ac:dyDescent="0.3">
      <c r="A523" t="s">
        <v>162</v>
      </c>
      <c r="B523" t="s">
        <v>1020</v>
      </c>
      <c r="C523" t="s">
        <v>1456</v>
      </c>
      <c r="D523">
        <f t="shared" si="8"/>
        <v>0</v>
      </c>
      <c r="E523" t="s">
        <v>19</v>
      </c>
      <c r="F523" t="s">
        <v>2343</v>
      </c>
      <c r="G523" t="s">
        <v>326</v>
      </c>
    </row>
    <row r="524" spans="1:7" hidden="1" x14ac:dyDescent="0.3">
      <c r="A524" t="s">
        <v>162</v>
      </c>
      <c r="B524" t="s">
        <v>1020</v>
      </c>
      <c r="C524" t="s">
        <v>1484</v>
      </c>
      <c r="D524">
        <f t="shared" si="8"/>
        <v>0</v>
      </c>
      <c r="E524" t="s">
        <v>19</v>
      </c>
      <c r="F524" t="s">
        <v>2403</v>
      </c>
      <c r="G524" t="s">
        <v>326</v>
      </c>
    </row>
    <row r="525" spans="1:7" hidden="1" x14ac:dyDescent="0.3">
      <c r="A525" t="s">
        <v>162</v>
      </c>
      <c r="B525" t="s">
        <v>742</v>
      </c>
      <c r="C525" t="s">
        <v>1575</v>
      </c>
      <c r="D525">
        <f t="shared" si="8"/>
        <v>0</v>
      </c>
      <c r="E525" t="s">
        <v>19</v>
      </c>
      <c r="F525" t="s">
        <v>2820</v>
      </c>
      <c r="G525" t="s">
        <v>326</v>
      </c>
    </row>
    <row r="526" spans="1:7" hidden="1" x14ac:dyDescent="0.3">
      <c r="A526" t="s">
        <v>162</v>
      </c>
      <c r="B526" t="s">
        <v>742</v>
      </c>
      <c r="C526" t="s">
        <v>1603</v>
      </c>
      <c r="D526">
        <f t="shared" si="8"/>
        <v>0</v>
      </c>
      <c r="E526" t="s">
        <v>19</v>
      </c>
      <c r="F526" t="s">
        <v>2904</v>
      </c>
      <c r="G526" t="s">
        <v>326</v>
      </c>
    </row>
    <row r="527" spans="1:7" hidden="1" x14ac:dyDescent="0.3">
      <c r="A527" t="s">
        <v>162</v>
      </c>
      <c r="B527" t="s">
        <v>1242</v>
      </c>
      <c r="C527" t="s">
        <v>1644</v>
      </c>
      <c r="D527">
        <f t="shared" si="8"/>
        <v>0</v>
      </c>
      <c r="E527" t="s">
        <v>19</v>
      </c>
      <c r="F527" t="s">
        <v>3020</v>
      </c>
      <c r="G527" t="s">
        <v>326</v>
      </c>
    </row>
    <row r="528" spans="1:7" hidden="1" x14ac:dyDescent="0.3">
      <c r="A528" t="s">
        <v>163</v>
      </c>
      <c r="B528" t="s">
        <v>485</v>
      </c>
      <c r="C528" t="s">
        <v>1277</v>
      </c>
      <c r="D528">
        <f t="shared" si="8"/>
        <v>0</v>
      </c>
      <c r="E528" t="s">
        <v>19</v>
      </c>
      <c r="F528" t="s">
        <v>1687</v>
      </c>
      <c r="G528" t="s">
        <v>326</v>
      </c>
    </row>
    <row r="529" spans="1:7" hidden="1" x14ac:dyDescent="0.3">
      <c r="A529" t="s">
        <v>163</v>
      </c>
      <c r="B529" t="s">
        <v>485</v>
      </c>
      <c r="C529" t="s">
        <v>1277</v>
      </c>
      <c r="D529">
        <f t="shared" si="8"/>
        <v>0</v>
      </c>
      <c r="E529" t="s">
        <v>19</v>
      </c>
      <c r="F529" t="s">
        <v>1689</v>
      </c>
      <c r="G529" t="s">
        <v>326</v>
      </c>
    </row>
    <row r="530" spans="1:7" hidden="1" x14ac:dyDescent="0.3">
      <c r="A530" t="s">
        <v>163</v>
      </c>
      <c r="B530" t="s">
        <v>485</v>
      </c>
      <c r="C530" t="s">
        <v>1278</v>
      </c>
      <c r="D530">
        <f t="shared" si="8"/>
        <v>0</v>
      </c>
      <c r="E530" t="s">
        <v>19</v>
      </c>
      <c r="F530" t="s">
        <v>1692</v>
      </c>
      <c r="G530" t="s">
        <v>326</v>
      </c>
    </row>
    <row r="531" spans="1:7" hidden="1" x14ac:dyDescent="0.3">
      <c r="A531" t="s">
        <v>163</v>
      </c>
      <c r="B531" t="s">
        <v>684</v>
      </c>
      <c r="C531" t="s">
        <v>1278</v>
      </c>
      <c r="D531">
        <f t="shared" si="8"/>
        <v>0</v>
      </c>
      <c r="E531" t="s">
        <v>19</v>
      </c>
      <c r="F531" t="s">
        <v>1707</v>
      </c>
      <c r="G531" t="s">
        <v>326</v>
      </c>
    </row>
    <row r="532" spans="1:7" hidden="1" x14ac:dyDescent="0.3">
      <c r="A532" t="s">
        <v>163</v>
      </c>
      <c r="B532" t="s">
        <v>485</v>
      </c>
      <c r="C532" t="s">
        <v>1301</v>
      </c>
      <c r="D532">
        <f t="shared" si="8"/>
        <v>0</v>
      </c>
      <c r="E532" t="s">
        <v>19</v>
      </c>
      <c r="F532" t="s">
        <v>1813</v>
      </c>
      <c r="G532" t="s">
        <v>326</v>
      </c>
    </row>
    <row r="533" spans="1:7" hidden="1" x14ac:dyDescent="0.3">
      <c r="A533" t="s">
        <v>163</v>
      </c>
      <c r="B533" t="s">
        <v>485</v>
      </c>
      <c r="C533" t="s">
        <v>1341</v>
      </c>
      <c r="D533">
        <f t="shared" si="8"/>
        <v>0</v>
      </c>
      <c r="E533" t="s">
        <v>19</v>
      </c>
      <c r="F533" t="s">
        <v>1972</v>
      </c>
      <c r="G533" t="s">
        <v>326</v>
      </c>
    </row>
    <row r="534" spans="1:7" hidden="1" x14ac:dyDescent="0.3">
      <c r="A534" t="s">
        <v>163</v>
      </c>
      <c r="B534" t="s">
        <v>485</v>
      </c>
      <c r="C534" t="s">
        <v>1399</v>
      </c>
      <c r="D534">
        <f t="shared" si="8"/>
        <v>0</v>
      </c>
      <c r="E534" t="s">
        <v>19</v>
      </c>
      <c r="F534" t="s">
        <v>2160</v>
      </c>
      <c r="G534" t="s">
        <v>326</v>
      </c>
    </row>
    <row r="535" spans="1:7" hidden="1" x14ac:dyDescent="0.3">
      <c r="A535" t="s">
        <v>163</v>
      </c>
      <c r="B535" t="s">
        <v>684</v>
      </c>
      <c r="C535" t="s">
        <v>1402</v>
      </c>
      <c r="D535">
        <f t="shared" si="8"/>
        <v>0</v>
      </c>
      <c r="E535" t="s">
        <v>19</v>
      </c>
      <c r="F535" t="s">
        <v>2177</v>
      </c>
      <c r="G535" t="s">
        <v>326</v>
      </c>
    </row>
    <row r="536" spans="1:7" hidden="1" x14ac:dyDescent="0.3">
      <c r="A536" t="s">
        <v>163</v>
      </c>
      <c r="B536" t="s">
        <v>485</v>
      </c>
      <c r="C536" t="s">
        <v>1401</v>
      </c>
      <c r="D536">
        <f t="shared" si="8"/>
        <v>0</v>
      </c>
      <c r="E536" t="s">
        <v>19</v>
      </c>
      <c r="F536" t="s">
        <v>2179</v>
      </c>
      <c r="G536" t="s">
        <v>326</v>
      </c>
    </row>
    <row r="537" spans="1:7" hidden="1" x14ac:dyDescent="0.3">
      <c r="A537" t="s">
        <v>163</v>
      </c>
      <c r="B537" t="s">
        <v>1060</v>
      </c>
      <c r="C537" t="s">
        <v>1496</v>
      </c>
      <c r="D537">
        <f t="shared" si="8"/>
        <v>0</v>
      </c>
      <c r="E537" t="s">
        <v>19</v>
      </c>
      <c r="F537" t="s">
        <v>2445</v>
      </c>
      <c r="G537" t="s">
        <v>326</v>
      </c>
    </row>
    <row r="538" spans="1:7" hidden="1" x14ac:dyDescent="0.3">
      <c r="A538" t="s">
        <v>163</v>
      </c>
      <c r="B538" t="s">
        <v>485</v>
      </c>
      <c r="C538" t="s">
        <v>1575</v>
      </c>
      <c r="D538">
        <f t="shared" si="8"/>
        <v>0</v>
      </c>
      <c r="E538" t="s">
        <v>19</v>
      </c>
      <c r="F538" t="s">
        <v>2798</v>
      </c>
      <c r="G538" t="s">
        <v>326</v>
      </c>
    </row>
    <row r="539" spans="1:7" hidden="1" x14ac:dyDescent="0.3">
      <c r="A539" t="s">
        <v>163</v>
      </c>
      <c r="B539" t="s">
        <v>485</v>
      </c>
      <c r="C539" t="s">
        <v>1597</v>
      </c>
      <c r="D539">
        <f t="shared" si="8"/>
        <v>0</v>
      </c>
      <c r="E539" t="s">
        <v>19</v>
      </c>
      <c r="F539" t="s">
        <v>2877</v>
      </c>
      <c r="G539" t="s">
        <v>326</v>
      </c>
    </row>
    <row r="540" spans="1:7" hidden="1" x14ac:dyDescent="0.3">
      <c r="A540" t="s">
        <v>164</v>
      </c>
      <c r="B540" t="s">
        <v>740</v>
      </c>
      <c r="C540" t="s">
        <v>1296</v>
      </c>
      <c r="D540">
        <f t="shared" si="8"/>
        <v>0</v>
      </c>
      <c r="E540" t="s">
        <v>19</v>
      </c>
      <c r="F540" t="s">
        <v>1793</v>
      </c>
      <c r="G540" t="s">
        <v>326</v>
      </c>
    </row>
    <row r="541" spans="1:7" hidden="1" x14ac:dyDescent="0.3">
      <c r="A541" t="s">
        <v>164</v>
      </c>
      <c r="B541" t="s">
        <v>833</v>
      </c>
      <c r="C541" t="s">
        <v>1341</v>
      </c>
      <c r="D541">
        <f t="shared" si="8"/>
        <v>0</v>
      </c>
      <c r="E541" t="s">
        <v>19</v>
      </c>
      <c r="F541" t="s">
        <v>1976</v>
      </c>
      <c r="G541" t="s">
        <v>326</v>
      </c>
    </row>
    <row r="542" spans="1:7" hidden="1" x14ac:dyDescent="0.3">
      <c r="A542" t="s">
        <v>164</v>
      </c>
      <c r="B542" t="s">
        <v>920</v>
      </c>
      <c r="C542" t="s">
        <v>1399</v>
      </c>
      <c r="D542">
        <f t="shared" si="8"/>
        <v>0</v>
      </c>
      <c r="E542" t="s">
        <v>19</v>
      </c>
      <c r="F542" t="s">
        <v>2158</v>
      </c>
      <c r="G542" t="s">
        <v>326</v>
      </c>
    </row>
    <row r="543" spans="1:7" hidden="1" x14ac:dyDescent="0.3">
      <c r="A543" t="s">
        <v>164</v>
      </c>
      <c r="B543" t="s">
        <v>740</v>
      </c>
      <c r="C543" t="s">
        <v>1443</v>
      </c>
      <c r="D543">
        <f t="shared" si="8"/>
        <v>0</v>
      </c>
      <c r="E543" t="s">
        <v>19</v>
      </c>
      <c r="F543" t="s">
        <v>2300</v>
      </c>
      <c r="G543" t="s">
        <v>326</v>
      </c>
    </row>
    <row r="544" spans="1:7" hidden="1" x14ac:dyDescent="0.3">
      <c r="A544" t="s">
        <v>164</v>
      </c>
      <c r="B544" t="s">
        <v>1000</v>
      </c>
      <c r="C544" t="s">
        <v>1443</v>
      </c>
      <c r="D544">
        <f t="shared" si="8"/>
        <v>0</v>
      </c>
      <c r="E544" t="s">
        <v>19</v>
      </c>
      <c r="F544" t="s">
        <v>2301</v>
      </c>
      <c r="G544" t="s">
        <v>326</v>
      </c>
    </row>
    <row r="545" spans="1:7" hidden="1" x14ac:dyDescent="0.3">
      <c r="A545" t="s">
        <v>164</v>
      </c>
      <c r="B545" t="s">
        <v>1003</v>
      </c>
      <c r="C545" t="s">
        <v>1442</v>
      </c>
      <c r="D545">
        <f t="shared" si="8"/>
        <v>0</v>
      </c>
      <c r="E545" t="s">
        <v>19</v>
      </c>
      <c r="F545" t="s">
        <v>2307</v>
      </c>
      <c r="G545" t="s">
        <v>326</v>
      </c>
    </row>
    <row r="546" spans="1:7" hidden="1" x14ac:dyDescent="0.3">
      <c r="A546" t="s">
        <v>164</v>
      </c>
      <c r="B546" t="s">
        <v>1016</v>
      </c>
      <c r="C546" t="s">
        <v>1452</v>
      </c>
      <c r="D546">
        <f t="shared" si="8"/>
        <v>0</v>
      </c>
      <c r="E546" t="s">
        <v>19</v>
      </c>
      <c r="F546" t="s">
        <v>2335</v>
      </c>
      <c r="G546" t="s">
        <v>326</v>
      </c>
    </row>
    <row r="547" spans="1:7" hidden="1" x14ac:dyDescent="0.3">
      <c r="A547" t="s">
        <v>164</v>
      </c>
      <c r="B547" t="s">
        <v>1019</v>
      </c>
      <c r="C547" t="s">
        <v>1456</v>
      </c>
      <c r="D547">
        <f t="shared" si="8"/>
        <v>0</v>
      </c>
      <c r="E547" t="s">
        <v>19</v>
      </c>
      <c r="F547" t="s">
        <v>2340</v>
      </c>
      <c r="G547" t="s">
        <v>326</v>
      </c>
    </row>
    <row r="548" spans="1:7" hidden="1" x14ac:dyDescent="0.3">
      <c r="A548" t="s">
        <v>164</v>
      </c>
      <c r="B548" t="s">
        <v>1019</v>
      </c>
      <c r="C548" t="s">
        <v>1456</v>
      </c>
      <c r="D548">
        <f t="shared" si="8"/>
        <v>0</v>
      </c>
      <c r="E548" t="s">
        <v>19</v>
      </c>
      <c r="F548" t="s">
        <v>2341</v>
      </c>
      <c r="G548" t="s">
        <v>326</v>
      </c>
    </row>
    <row r="549" spans="1:7" hidden="1" x14ac:dyDescent="0.3">
      <c r="A549" t="s">
        <v>164</v>
      </c>
      <c r="B549" t="s">
        <v>833</v>
      </c>
      <c r="C549" t="s">
        <v>1456</v>
      </c>
      <c r="D549">
        <f t="shared" si="8"/>
        <v>0</v>
      </c>
      <c r="E549" t="s">
        <v>19</v>
      </c>
      <c r="F549" t="s">
        <v>2350</v>
      </c>
      <c r="G549" t="s">
        <v>326</v>
      </c>
    </row>
    <row r="550" spans="1:7" hidden="1" x14ac:dyDescent="0.3">
      <c r="A550" t="s">
        <v>164</v>
      </c>
      <c r="B550" t="s">
        <v>833</v>
      </c>
      <c r="C550" t="s">
        <v>1456</v>
      </c>
      <c r="D550">
        <f t="shared" si="8"/>
        <v>0</v>
      </c>
      <c r="E550" t="s">
        <v>19</v>
      </c>
      <c r="F550" t="s">
        <v>2351</v>
      </c>
      <c r="G550" t="s">
        <v>326</v>
      </c>
    </row>
    <row r="551" spans="1:7" hidden="1" x14ac:dyDescent="0.3">
      <c r="A551" t="s">
        <v>164</v>
      </c>
      <c r="B551" t="s">
        <v>1003</v>
      </c>
      <c r="C551" t="s">
        <v>1484</v>
      </c>
      <c r="D551">
        <f t="shared" si="8"/>
        <v>0</v>
      </c>
      <c r="E551" t="s">
        <v>19</v>
      </c>
      <c r="F551" t="s">
        <v>2401</v>
      </c>
      <c r="G551" t="s">
        <v>326</v>
      </c>
    </row>
    <row r="552" spans="1:7" hidden="1" x14ac:dyDescent="0.3">
      <c r="A552" t="s">
        <v>164</v>
      </c>
      <c r="B552" t="s">
        <v>833</v>
      </c>
      <c r="C552" t="s">
        <v>1569</v>
      </c>
      <c r="D552">
        <f t="shared" si="8"/>
        <v>0</v>
      </c>
      <c r="E552" t="s">
        <v>19</v>
      </c>
      <c r="F552" t="s">
        <v>2784</v>
      </c>
      <c r="G552" t="s">
        <v>326</v>
      </c>
    </row>
    <row r="553" spans="1:7" hidden="1" x14ac:dyDescent="0.3">
      <c r="A553" t="s">
        <v>164</v>
      </c>
      <c r="B553" t="s">
        <v>1184</v>
      </c>
      <c r="C553" t="s">
        <v>1575</v>
      </c>
      <c r="D553">
        <f t="shared" si="8"/>
        <v>0</v>
      </c>
      <c r="E553" t="s">
        <v>19</v>
      </c>
      <c r="F553" t="s">
        <v>2799</v>
      </c>
      <c r="G553" t="s">
        <v>326</v>
      </c>
    </row>
    <row r="554" spans="1:7" hidden="1" x14ac:dyDescent="0.3">
      <c r="A554" t="s">
        <v>164</v>
      </c>
      <c r="B554" t="s">
        <v>833</v>
      </c>
      <c r="C554" t="s">
        <v>1604</v>
      </c>
      <c r="D554">
        <f t="shared" si="8"/>
        <v>0</v>
      </c>
      <c r="E554" t="s">
        <v>19</v>
      </c>
      <c r="F554" t="s">
        <v>2905</v>
      </c>
      <c r="G554" t="s">
        <v>326</v>
      </c>
    </row>
    <row r="555" spans="1:7" hidden="1" x14ac:dyDescent="0.3">
      <c r="A555" t="s">
        <v>164</v>
      </c>
      <c r="B555" t="s">
        <v>833</v>
      </c>
      <c r="C555" t="s">
        <v>1604</v>
      </c>
      <c r="D555">
        <f t="shared" si="8"/>
        <v>0</v>
      </c>
      <c r="E555" t="s">
        <v>19</v>
      </c>
      <c r="F555" t="s">
        <v>2906</v>
      </c>
      <c r="G555" t="s">
        <v>326</v>
      </c>
    </row>
    <row r="556" spans="1:7" hidden="1" x14ac:dyDescent="0.3">
      <c r="A556" t="s">
        <v>164</v>
      </c>
      <c r="B556" t="s">
        <v>833</v>
      </c>
      <c r="C556" t="s">
        <v>1613</v>
      </c>
      <c r="D556">
        <f t="shared" si="8"/>
        <v>0</v>
      </c>
      <c r="E556" t="s">
        <v>19</v>
      </c>
      <c r="F556" t="s">
        <v>2916</v>
      </c>
      <c r="G556" t="s">
        <v>326</v>
      </c>
    </row>
    <row r="557" spans="1:7" hidden="1" x14ac:dyDescent="0.3">
      <c r="A557" t="s">
        <v>165</v>
      </c>
      <c r="B557" t="s">
        <v>770</v>
      </c>
      <c r="C557" t="s">
        <v>1322</v>
      </c>
      <c r="D557">
        <f t="shared" si="8"/>
        <v>0</v>
      </c>
      <c r="E557" t="s">
        <v>19</v>
      </c>
      <c r="F557" t="s">
        <v>1847</v>
      </c>
      <c r="G557" t="s">
        <v>326</v>
      </c>
    </row>
    <row r="558" spans="1:7" hidden="1" x14ac:dyDescent="0.3">
      <c r="A558" t="s">
        <v>165</v>
      </c>
      <c r="B558" t="s">
        <v>773</v>
      </c>
      <c r="C558" t="s">
        <v>1322</v>
      </c>
      <c r="D558">
        <f t="shared" si="8"/>
        <v>0</v>
      </c>
      <c r="E558" t="s">
        <v>19</v>
      </c>
      <c r="F558" t="s">
        <v>1856</v>
      </c>
      <c r="G558" t="s">
        <v>326</v>
      </c>
    </row>
    <row r="559" spans="1:7" hidden="1" x14ac:dyDescent="0.3">
      <c r="A559" t="s">
        <v>165</v>
      </c>
      <c r="B559" t="s">
        <v>798</v>
      </c>
      <c r="C559" t="s">
        <v>1341</v>
      </c>
      <c r="D559">
        <f t="shared" si="8"/>
        <v>0</v>
      </c>
      <c r="E559" t="s">
        <v>19</v>
      </c>
      <c r="F559" t="s">
        <v>1900</v>
      </c>
      <c r="G559" t="s">
        <v>326</v>
      </c>
    </row>
    <row r="560" spans="1:7" hidden="1" x14ac:dyDescent="0.3">
      <c r="A560" t="s">
        <v>165</v>
      </c>
      <c r="B560" t="s">
        <v>724</v>
      </c>
      <c r="C560" t="s">
        <v>1341</v>
      </c>
      <c r="D560">
        <f t="shared" si="8"/>
        <v>0</v>
      </c>
      <c r="E560" t="s">
        <v>19</v>
      </c>
      <c r="F560" t="s">
        <v>1905</v>
      </c>
      <c r="G560" t="s">
        <v>326</v>
      </c>
    </row>
    <row r="561" spans="1:7" hidden="1" x14ac:dyDescent="0.3">
      <c r="A561" t="s">
        <v>165</v>
      </c>
      <c r="B561" t="s">
        <v>487</v>
      </c>
      <c r="C561" t="s">
        <v>1341</v>
      </c>
      <c r="D561">
        <f t="shared" si="8"/>
        <v>0</v>
      </c>
      <c r="E561" t="s">
        <v>19</v>
      </c>
      <c r="F561" t="s">
        <v>1919</v>
      </c>
      <c r="G561" t="s">
        <v>326</v>
      </c>
    </row>
    <row r="562" spans="1:7" hidden="1" x14ac:dyDescent="0.3">
      <c r="A562" t="s">
        <v>165</v>
      </c>
      <c r="B562" t="s">
        <v>808</v>
      </c>
      <c r="C562" t="s">
        <v>1341</v>
      </c>
      <c r="D562">
        <f t="shared" si="8"/>
        <v>0</v>
      </c>
      <c r="E562" t="s">
        <v>19</v>
      </c>
      <c r="F562" t="s">
        <v>1920</v>
      </c>
      <c r="G562" t="s">
        <v>326</v>
      </c>
    </row>
    <row r="563" spans="1:7" hidden="1" x14ac:dyDescent="0.3">
      <c r="A563" t="s">
        <v>165</v>
      </c>
      <c r="B563" t="s">
        <v>809</v>
      </c>
      <c r="C563" t="s">
        <v>1341</v>
      </c>
      <c r="D563">
        <f t="shared" si="8"/>
        <v>0</v>
      </c>
      <c r="E563" t="s">
        <v>19</v>
      </c>
      <c r="F563" t="s">
        <v>1921</v>
      </c>
      <c r="G563" t="s">
        <v>326</v>
      </c>
    </row>
    <row r="564" spans="1:7" hidden="1" x14ac:dyDescent="0.3">
      <c r="A564" t="s">
        <v>165</v>
      </c>
      <c r="B564" t="s">
        <v>809</v>
      </c>
      <c r="C564" t="s">
        <v>1341</v>
      </c>
      <c r="D564">
        <f t="shared" si="8"/>
        <v>0</v>
      </c>
      <c r="E564" t="s">
        <v>19</v>
      </c>
      <c r="F564" t="s">
        <v>1922</v>
      </c>
      <c r="G564" t="s">
        <v>326</v>
      </c>
    </row>
    <row r="565" spans="1:7" hidden="1" x14ac:dyDescent="0.3">
      <c r="A565" t="s">
        <v>165</v>
      </c>
      <c r="B565" t="s">
        <v>732</v>
      </c>
      <c r="C565" t="s">
        <v>1341</v>
      </c>
      <c r="D565">
        <f t="shared" si="8"/>
        <v>0</v>
      </c>
      <c r="E565" t="s">
        <v>19</v>
      </c>
      <c r="F565" t="s">
        <v>1924</v>
      </c>
      <c r="G565" t="s">
        <v>326</v>
      </c>
    </row>
    <row r="566" spans="1:7" hidden="1" x14ac:dyDescent="0.3">
      <c r="A566" t="s">
        <v>165</v>
      </c>
      <c r="B566" t="s">
        <v>810</v>
      </c>
      <c r="C566" t="s">
        <v>1341</v>
      </c>
      <c r="D566">
        <f t="shared" si="8"/>
        <v>0</v>
      </c>
      <c r="E566" t="s">
        <v>19</v>
      </c>
      <c r="F566" t="s">
        <v>1925</v>
      </c>
      <c r="G566" t="s">
        <v>326</v>
      </c>
    </row>
    <row r="567" spans="1:7" hidden="1" x14ac:dyDescent="0.3">
      <c r="A567" t="s">
        <v>165</v>
      </c>
      <c r="B567" t="s">
        <v>817</v>
      </c>
      <c r="C567" t="s">
        <v>1341</v>
      </c>
      <c r="D567">
        <f t="shared" si="8"/>
        <v>0</v>
      </c>
      <c r="E567" t="s">
        <v>19</v>
      </c>
      <c r="F567" t="s">
        <v>1932</v>
      </c>
      <c r="G567" t="s">
        <v>326</v>
      </c>
    </row>
    <row r="568" spans="1:7" hidden="1" x14ac:dyDescent="0.3">
      <c r="A568" t="s">
        <v>165</v>
      </c>
      <c r="B568" t="s">
        <v>825</v>
      </c>
      <c r="C568" t="s">
        <v>1341</v>
      </c>
      <c r="D568">
        <f t="shared" si="8"/>
        <v>0</v>
      </c>
      <c r="E568" t="s">
        <v>19</v>
      </c>
      <c r="F568" t="s">
        <v>1952</v>
      </c>
      <c r="G568" t="s">
        <v>326</v>
      </c>
    </row>
    <row r="569" spans="1:7" hidden="1" x14ac:dyDescent="0.3">
      <c r="A569" t="s">
        <v>165</v>
      </c>
      <c r="B569" t="s">
        <v>732</v>
      </c>
      <c r="C569" t="s">
        <v>1341</v>
      </c>
      <c r="D569">
        <f t="shared" si="8"/>
        <v>0</v>
      </c>
      <c r="E569" t="s">
        <v>19</v>
      </c>
      <c r="F569" t="s">
        <v>1957</v>
      </c>
      <c r="G569" t="s">
        <v>326</v>
      </c>
    </row>
    <row r="570" spans="1:7" hidden="1" x14ac:dyDescent="0.3">
      <c r="A570" t="s">
        <v>165</v>
      </c>
      <c r="B570" t="s">
        <v>732</v>
      </c>
      <c r="C570" t="s">
        <v>1344</v>
      </c>
      <c r="D570">
        <f t="shared" si="8"/>
        <v>0</v>
      </c>
      <c r="E570" t="s">
        <v>19</v>
      </c>
      <c r="F570" t="s">
        <v>1989</v>
      </c>
      <c r="G570" t="s">
        <v>326</v>
      </c>
    </row>
    <row r="571" spans="1:7" hidden="1" x14ac:dyDescent="0.3">
      <c r="A571" t="s">
        <v>165</v>
      </c>
      <c r="B571" t="s">
        <v>861</v>
      </c>
      <c r="C571" t="s">
        <v>1357</v>
      </c>
      <c r="D571">
        <f t="shared" si="8"/>
        <v>0</v>
      </c>
      <c r="E571" t="s">
        <v>19</v>
      </c>
      <c r="F571" t="s">
        <v>2031</v>
      </c>
      <c r="G571" t="s">
        <v>326</v>
      </c>
    </row>
    <row r="572" spans="1:7" hidden="1" x14ac:dyDescent="0.3">
      <c r="A572" t="s">
        <v>165</v>
      </c>
      <c r="B572" t="s">
        <v>893</v>
      </c>
      <c r="C572" t="s">
        <v>1377</v>
      </c>
      <c r="D572">
        <f t="shared" si="8"/>
        <v>0</v>
      </c>
      <c r="E572" t="s">
        <v>19</v>
      </c>
      <c r="F572" t="s">
        <v>2094</v>
      </c>
      <c r="G572" t="s">
        <v>326</v>
      </c>
    </row>
    <row r="573" spans="1:7" hidden="1" x14ac:dyDescent="0.3">
      <c r="A573" t="s">
        <v>165</v>
      </c>
      <c r="B573" t="s">
        <v>487</v>
      </c>
      <c r="C573" t="s">
        <v>1399</v>
      </c>
      <c r="D573">
        <f t="shared" si="8"/>
        <v>0</v>
      </c>
      <c r="E573" t="s">
        <v>19</v>
      </c>
      <c r="F573" t="s">
        <v>2138</v>
      </c>
      <c r="G573" t="s">
        <v>326</v>
      </c>
    </row>
    <row r="574" spans="1:7" hidden="1" x14ac:dyDescent="0.3">
      <c r="A574" t="s">
        <v>165</v>
      </c>
      <c r="B574" t="s">
        <v>911</v>
      </c>
      <c r="C574" t="s">
        <v>1399</v>
      </c>
      <c r="D574">
        <f t="shared" si="8"/>
        <v>0</v>
      </c>
      <c r="E574" t="s">
        <v>19</v>
      </c>
      <c r="F574" t="s">
        <v>2139</v>
      </c>
      <c r="G574" t="s">
        <v>326</v>
      </c>
    </row>
    <row r="575" spans="1:7" hidden="1" x14ac:dyDescent="0.3">
      <c r="A575" t="s">
        <v>165</v>
      </c>
      <c r="B575" t="s">
        <v>917</v>
      </c>
      <c r="C575" t="s">
        <v>1399</v>
      </c>
      <c r="D575">
        <f t="shared" si="8"/>
        <v>0</v>
      </c>
      <c r="E575" t="s">
        <v>19</v>
      </c>
      <c r="F575" t="s">
        <v>2154</v>
      </c>
      <c r="G575" t="s">
        <v>326</v>
      </c>
    </row>
    <row r="576" spans="1:7" hidden="1" x14ac:dyDescent="0.3">
      <c r="A576" t="s">
        <v>165</v>
      </c>
      <c r="B576" t="s">
        <v>918</v>
      </c>
      <c r="C576" t="s">
        <v>1399</v>
      </c>
      <c r="D576">
        <f t="shared" si="8"/>
        <v>0</v>
      </c>
      <c r="E576" t="s">
        <v>19</v>
      </c>
      <c r="F576" t="s">
        <v>2156</v>
      </c>
      <c r="G576" t="s">
        <v>326</v>
      </c>
    </row>
    <row r="577" spans="1:7" hidden="1" x14ac:dyDescent="0.3">
      <c r="A577" t="s">
        <v>165</v>
      </c>
      <c r="B577" t="s">
        <v>487</v>
      </c>
      <c r="C577" t="s">
        <v>1525</v>
      </c>
      <c r="D577">
        <f t="shared" si="8"/>
        <v>0</v>
      </c>
      <c r="E577" t="s">
        <v>19</v>
      </c>
      <c r="F577" t="s">
        <v>2570</v>
      </c>
      <c r="G577" t="s">
        <v>326</v>
      </c>
    </row>
    <row r="578" spans="1:7" hidden="1" x14ac:dyDescent="0.3">
      <c r="A578" t="s">
        <v>165</v>
      </c>
      <c r="B578" t="s">
        <v>809</v>
      </c>
      <c r="C578" t="s">
        <v>1525</v>
      </c>
      <c r="D578">
        <f t="shared" ref="D578:D641" si="9">SIGN(SUBTOTAL(3,E578))</f>
        <v>0</v>
      </c>
      <c r="E578" t="s">
        <v>19</v>
      </c>
      <c r="F578" t="s">
        <v>2578</v>
      </c>
      <c r="G578" t="s">
        <v>326</v>
      </c>
    </row>
    <row r="579" spans="1:7" hidden="1" x14ac:dyDescent="0.3">
      <c r="A579" t="s">
        <v>165</v>
      </c>
      <c r="B579" t="s">
        <v>810</v>
      </c>
      <c r="C579" t="s">
        <v>1527</v>
      </c>
      <c r="D579">
        <f t="shared" si="9"/>
        <v>0</v>
      </c>
      <c r="E579" t="s">
        <v>19</v>
      </c>
      <c r="F579" t="s">
        <v>2581</v>
      </c>
      <c r="G579" t="s">
        <v>326</v>
      </c>
    </row>
    <row r="580" spans="1:7" hidden="1" x14ac:dyDescent="0.3">
      <c r="A580" t="s">
        <v>165</v>
      </c>
      <c r="B580" t="s">
        <v>1117</v>
      </c>
      <c r="C580" t="s">
        <v>1528</v>
      </c>
      <c r="D580">
        <f t="shared" si="9"/>
        <v>0</v>
      </c>
      <c r="E580" t="s">
        <v>19</v>
      </c>
      <c r="F580" t="s">
        <v>2587</v>
      </c>
      <c r="G580" t="s">
        <v>326</v>
      </c>
    </row>
    <row r="581" spans="1:7" hidden="1" x14ac:dyDescent="0.3">
      <c r="A581" t="s">
        <v>165</v>
      </c>
      <c r="B581" t="s">
        <v>1118</v>
      </c>
      <c r="C581" t="s">
        <v>1528</v>
      </c>
      <c r="D581">
        <f t="shared" si="9"/>
        <v>0</v>
      </c>
      <c r="E581" t="s">
        <v>19</v>
      </c>
      <c r="F581" t="s">
        <v>2589</v>
      </c>
      <c r="G581" t="s">
        <v>326</v>
      </c>
    </row>
    <row r="582" spans="1:7" hidden="1" x14ac:dyDescent="0.3">
      <c r="A582" t="s">
        <v>165</v>
      </c>
      <c r="B582" t="s">
        <v>918</v>
      </c>
      <c r="C582" t="s">
        <v>1528</v>
      </c>
      <c r="D582">
        <f t="shared" si="9"/>
        <v>0</v>
      </c>
      <c r="E582" t="s">
        <v>19</v>
      </c>
      <c r="F582" t="s">
        <v>2590</v>
      </c>
      <c r="G582" t="s">
        <v>326</v>
      </c>
    </row>
    <row r="583" spans="1:7" hidden="1" x14ac:dyDescent="0.3">
      <c r="A583" t="s">
        <v>165</v>
      </c>
      <c r="B583" t="s">
        <v>1119</v>
      </c>
      <c r="C583" t="s">
        <v>1528</v>
      </c>
      <c r="D583">
        <f t="shared" si="9"/>
        <v>0</v>
      </c>
      <c r="E583" t="s">
        <v>19</v>
      </c>
      <c r="F583" t="s">
        <v>2592</v>
      </c>
      <c r="G583" t="s">
        <v>326</v>
      </c>
    </row>
    <row r="584" spans="1:7" hidden="1" x14ac:dyDescent="0.3">
      <c r="A584" t="s">
        <v>165</v>
      </c>
      <c r="B584" t="s">
        <v>809</v>
      </c>
      <c r="C584" t="s">
        <v>1528</v>
      </c>
      <c r="D584">
        <f t="shared" si="9"/>
        <v>0</v>
      </c>
      <c r="E584" t="s">
        <v>19</v>
      </c>
      <c r="F584" t="s">
        <v>2593</v>
      </c>
      <c r="G584" t="s">
        <v>326</v>
      </c>
    </row>
    <row r="585" spans="1:7" hidden="1" x14ac:dyDescent="0.3">
      <c r="A585" t="s">
        <v>165</v>
      </c>
      <c r="B585" t="s">
        <v>825</v>
      </c>
      <c r="C585" t="s">
        <v>1528</v>
      </c>
      <c r="D585">
        <f t="shared" si="9"/>
        <v>0</v>
      </c>
      <c r="E585" t="s">
        <v>19</v>
      </c>
      <c r="F585" t="s">
        <v>2597</v>
      </c>
      <c r="G585" t="s">
        <v>326</v>
      </c>
    </row>
    <row r="586" spans="1:7" hidden="1" x14ac:dyDescent="0.3">
      <c r="A586" t="s">
        <v>165</v>
      </c>
      <c r="B586" t="s">
        <v>1123</v>
      </c>
      <c r="C586" t="s">
        <v>1528</v>
      </c>
      <c r="D586">
        <f t="shared" si="9"/>
        <v>0</v>
      </c>
      <c r="E586" t="s">
        <v>19</v>
      </c>
      <c r="F586" t="s">
        <v>2607</v>
      </c>
      <c r="G586" t="s">
        <v>326</v>
      </c>
    </row>
    <row r="587" spans="1:7" hidden="1" x14ac:dyDescent="0.3">
      <c r="A587" t="s">
        <v>165</v>
      </c>
      <c r="B587" t="s">
        <v>487</v>
      </c>
      <c r="C587" t="s">
        <v>1528</v>
      </c>
      <c r="D587">
        <f t="shared" si="9"/>
        <v>0</v>
      </c>
      <c r="E587" t="s">
        <v>19</v>
      </c>
      <c r="F587" t="s">
        <v>2609</v>
      </c>
      <c r="G587" t="s">
        <v>326</v>
      </c>
    </row>
    <row r="588" spans="1:7" hidden="1" x14ac:dyDescent="0.3">
      <c r="A588" t="s">
        <v>165</v>
      </c>
      <c r="B588" t="s">
        <v>817</v>
      </c>
      <c r="C588" t="s">
        <v>1541</v>
      </c>
      <c r="D588">
        <f t="shared" si="9"/>
        <v>0</v>
      </c>
      <c r="E588" t="s">
        <v>19</v>
      </c>
      <c r="F588" t="s">
        <v>2683</v>
      </c>
      <c r="G588" t="s">
        <v>326</v>
      </c>
    </row>
    <row r="589" spans="1:7" hidden="1" x14ac:dyDescent="0.3">
      <c r="A589" t="s">
        <v>165</v>
      </c>
      <c r="B589" t="s">
        <v>1185</v>
      </c>
      <c r="C589" t="s">
        <v>1575</v>
      </c>
      <c r="D589">
        <f t="shared" si="9"/>
        <v>0</v>
      </c>
      <c r="E589" t="s">
        <v>19</v>
      </c>
      <c r="F589" t="s">
        <v>2801</v>
      </c>
      <c r="G589" t="s">
        <v>326</v>
      </c>
    </row>
    <row r="590" spans="1:7" hidden="1" x14ac:dyDescent="0.3">
      <c r="A590" t="s">
        <v>165</v>
      </c>
      <c r="B590" t="s">
        <v>825</v>
      </c>
      <c r="C590" t="s">
        <v>1575</v>
      </c>
      <c r="D590">
        <f t="shared" si="9"/>
        <v>0</v>
      </c>
      <c r="E590" t="s">
        <v>19</v>
      </c>
      <c r="F590" t="s">
        <v>2802</v>
      </c>
      <c r="G590" t="s">
        <v>326</v>
      </c>
    </row>
    <row r="591" spans="1:7" hidden="1" x14ac:dyDescent="0.3">
      <c r="A591" t="s">
        <v>165</v>
      </c>
      <c r="B591" t="s">
        <v>809</v>
      </c>
      <c r="C591" t="s">
        <v>1575</v>
      </c>
      <c r="D591">
        <f t="shared" si="9"/>
        <v>0</v>
      </c>
      <c r="E591" t="s">
        <v>19</v>
      </c>
      <c r="F591" t="s">
        <v>2803</v>
      </c>
      <c r="G591" t="s">
        <v>326</v>
      </c>
    </row>
    <row r="592" spans="1:7" hidden="1" x14ac:dyDescent="0.3">
      <c r="A592" t="s">
        <v>165</v>
      </c>
      <c r="B592" t="s">
        <v>1193</v>
      </c>
      <c r="C592" t="s">
        <v>1585</v>
      </c>
      <c r="D592">
        <f t="shared" si="9"/>
        <v>0</v>
      </c>
      <c r="E592" t="s">
        <v>19</v>
      </c>
      <c r="F592" t="s">
        <v>2840</v>
      </c>
      <c r="G592" t="s">
        <v>326</v>
      </c>
    </row>
    <row r="593" spans="1:7" hidden="1" x14ac:dyDescent="0.3">
      <c r="A593" t="s">
        <v>165</v>
      </c>
      <c r="B593" t="s">
        <v>1196</v>
      </c>
      <c r="C593" t="s">
        <v>1590</v>
      </c>
      <c r="D593">
        <f t="shared" si="9"/>
        <v>0</v>
      </c>
      <c r="E593" t="s">
        <v>19</v>
      </c>
      <c r="F593" t="s">
        <v>2846</v>
      </c>
      <c r="G593" t="s">
        <v>326</v>
      </c>
    </row>
    <row r="594" spans="1:7" hidden="1" x14ac:dyDescent="0.3">
      <c r="A594" t="s">
        <v>165</v>
      </c>
      <c r="B594" t="s">
        <v>817</v>
      </c>
      <c r="C594" t="s">
        <v>1593</v>
      </c>
      <c r="D594">
        <f t="shared" si="9"/>
        <v>0</v>
      </c>
      <c r="E594" t="s">
        <v>19</v>
      </c>
      <c r="F594" t="s">
        <v>2855</v>
      </c>
      <c r="G594" t="s">
        <v>326</v>
      </c>
    </row>
    <row r="595" spans="1:7" hidden="1" x14ac:dyDescent="0.3">
      <c r="A595" t="s">
        <v>165</v>
      </c>
      <c r="B595" t="s">
        <v>1237</v>
      </c>
      <c r="C595" t="s">
        <v>1631</v>
      </c>
      <c r="D595">
        <f t="shared" si="9"/>
        <v>0</v>
      </c>
      <c r="E595" t="s">
        <v>19</v>
      </c>
      <c r="F595" t="s">
        <v>3006</v>
      </c>
      <c r="G595" t="s">
        <v>326</v>
      </c>
    </row>
    <row r="596" spans="1:7" hidden="1" x14ac:dyDescent="0.3">
      <c r="A596" t="s">
        <v>165</v>
      </c>
      <c r="B596" t="s">
        <v>1240</v>
      </c>
      <c r="C596" t="s">
        <v>1641</v>
      </c>
      <c r="D596">
        <f t="shared" si="9"/>
        <v>0</v>
      </c>
      <c r="E596" t="s">
        <v>19</v>
      </c>
      <c r="F596" t="s">
        <v>3017</v>
      </c>
      <c r="G596" t="s">
        <v>326</v>
      </c>
    </row>
    <row r="597" spans="1:7" hidden="1" x14ac:dyDescent="0.3">
      <c r="A597" t="s">
        <v>165</v>
      </c>
      <c r="B597" t="s">
        <v>487</v>
      </c>
      <c r="C597" t="s">
        <v>1642</v>
      </c>
      <c r="D597">
        <f t="shared" si="9"/>
        <v>0</v>
      </c>
      <c r="E597" t="s">
        <v>19</v>
      </c>
      <c r="F597" t="s">
        <v>3018</v>
      </c>
      <c r="G597" t="s">
        <v>326</v>
      </c>
    </row>
    <row r="598" spans="1:7" hidden="1" x14ac:dyDescent="0.3">
      <c r="A598" t="s">
        <v>165</v>
      </c>
      <c r="B598" t="s">
        <v>1246</v>
      </c>
      <c r="C598" t="s">
        <v>1651</v>
      </c>
      <c r="D598">
        <f t="shared" si="9"/>
        <v>0</v>
      </c>
      <c r="E598" t="s">
        <v>19</v>
      </c>
      <c r="F598" t="s">
        <v>3035</v>
      </c>
      <c r="G598" t="s">
        <v>326</v>
      </c>
    </row>
    <row r="599" spans="1:7" hidden="1" x14ac:dyDescent="0.3">
      <c r="A599" t="s">
        <v>166</v>
      </c>
      <c r="B599" t="s">
        <v>651</v>
      </c>
      <c r="C599" t="s">
        <v>1249</v>
      </c>
      <c r="D599">
        <f t="shared" si="9"/>
        <v>0</v>
      </c>
      <c r="E599" t="s">
        <v>19</v>
      </c>
      <c r="F599" t="s">
        <v>1657</v>
      </c>
      <c r="G599" t="s">
        <v>326</v>
      </c>
    </row>
    <row r="600" spans="1:7" hidden="1" x14ac:dyDescent="0.3">
      <c r="A600" t="s">
        <v>166</v>
      </c>
      <c r="B600" t="s">
        <v>724</v>
      </c>
      <c r="C600" t="s">
        <v>1292</v>
      </c>
      <c r="D600">
        <f t="shared" si="9"/>
        <v>0</v>
      </c>
      <c r="E600" t="s">
        <v>19</v>
      </c>
      <c r="F600" t="s">
        <v>1773</v>
      </c>
      <c r="G600" t="s">
        <v>326</v>
      </c>
    </row>
    <row r="601" spans="1:7" hidden="1" x14ac:dyDescent="0.3">
      <c r="A601" t="s">
        <v>166</v>
      </c>
      <c r="B601" t="s">
        <v>725</v>
      </c>
      <c r="C601" t="s">
        <v>1293</v>
      </c>
      <c r="D601">
        <f t="shared" si="9"/>
        <v>0</v>
      </c>
      <c r="E601" t="s">
        <v>19</v>
      </c>
      <c r="F601" t="s">
        <v>1774</v>
      </c>
      <c r="G601" t="s">
        <v>326</v>
      </c>
    </row>
    <row r="602" spans="1:7" hidden="1" x14ac:dyDescent="0.3">
      <c r="A602" t="s">
        <v>166</v>
      </c>
      <c r="B602" t="s">
        <v>726</v>
      </c>
      <c r="C602" t="s">
        <v>1293</v>
      </c>
      <c r="D602">
        <f t="shared" si="9"/>
        <v>0</v>
      </c>
      <c r="E602" t="s">
        <v>19</v>
      </c>
      <c r="F602" t="s">
        <v>1775</v>
      </c>
      <c r="G602" t="s">
        <v>326</v>
      </c>
    </row>
    <row r="603" spans="1:7" hidden="1" x14ac:dyDescent="0.3">
      <c r="A603" t="s">
        <v>166</v>
      </c>
      <c r="B603" t="s">
        <v>731</v>
      </c>
      <c r="C603" t="s">
        <v>1292</v>
      </c>
      <c r="D603">
        <f t="shared" si="9"/>
        <v>0</v>
      </c>
      <c r="E603" t="s">
        <v>19</v>
      </c>
      <c r="F603" t="s">
        <v>1782</v>
      </c>
      <c r="G603" t="s">
        <v>326</v>
      </c>
    </row>
    <row r="604" spans="1:7" hidden="1" x14ac:dyDescent="0.3">
      <c r="A604" t="s">
        <v>166</v>
      </c>
      <c r="B604" t="s">
        <v>853</v>
      </c>
      <c r="C604" t="s">
        <v>1354</v>
      </c>
      <c r="D604">
        <f t="shared" si="9"/>
        <v>0</v>
      </c>
      <c r="E604" t="s">
        <v>19</v>
      </c>
      <c r="F604" t="s">
        <v>2023</v>
      </c>
      <c r="G604" t="s">
        <v>326</v>
      </c>
    </row>
    <row r="605" spans="1:7" hidden="1" x14ac:dyDescent="0.3">
      <c r="A605" t="s">
        <v>166</v>
      </c>
      <c r="B605" t="s">
        <v>854</v>
      </c>
      <c r="C605" t="s">
        <v>1354</v>
      </c>
      <c r="D605">
        <f t="shared" si="9"/>
        <v>0</v>
      </c>
      <c r="E605" t="s">
        <v>19</v>
      </c>
      <c r="F605" t="s">
        <v>2024</v>
      </c>
      <c r="G605" t="s">
        <v>326</v>
      </c>
    </row>
    <row r="606" spans="1:7" hidden="1" x14ac:dyDescent="0.3">
      <c r="A606" t="s">
        <v>166</v>
      </c>
      <c r="B606" t="s">
        <v>939</v>
      </c>
      <c r="C606" t="s">
        <v>1413</v>
      </c>
      <c r="D606">
        <f t="shared" si="9"/>
        <v>0</v>
      </c>
      <c r="E606" t="s">
        <v>19</v>
      </c>
      <c r="F606" t="s">
        <v>2209</v>
      </c>
      <c r="G606" t="s">
        <v>326</v>
      </c>
    </row>
    <row r="607" spans="1:7" hidden="1" x14ac:dyDescent="0.3">
      <c r="A607" t="s">
        <v>166</v>
      </c>
      <c r="B607" t="s">
        <v>825</v>
      </c>
      <c r="C607" t="s">
        <v>1412</v>
      </c>
      <c r="D607">
        <f t="shared" si="9"/>
        <v>0</v>
      </c>
      <c r="E607" t="s">
        <v>19</v>
      </c>
      <c r="F607" t="s">
        <v>2210</v>
      </c>
      <c r="G607" t="s">
        <v>326</v>
      </c>
    </row>
    <row r="608" spans="1:7" hidden="1" x14ac:dyDescent="0.3">
      <c r="A608" t="s">
        <v>166</v>
      </c>
      <c r="B608" t="s">
        <v>964</v>
      </c>
      <c r="C608" t="s">
        <v>1416</v>
      </c>
      <c r="D608">
        <f t="shared" si="9"/>
        <v>0</v>
      </c>
      <c r="E608" t="s">
        <v>19</v>
      </c>
      <c r="F608" t="s">
        <v>2241</v>
      </c>
      <c r="G608" t="s">
        <v>326</v>
      </c>
    </row>
    <row r="609" spans="1:7" hidden="1" x14ac:dyDescent="0.3">
      <c r="A609" t="s">
        <v>166</v>
      </c>
      <c r="B609" t="s">
        <v>939</v>
      </c>
      <c r="C609" t="s">
        <v>1416</v>
      </c>
      <c r="D609">
        <f t="shared" si="9"/>
        <v>0</v>
      </c>
      <c r="E609" t="s">
        <v>19</v>
      </c>
      <c r="F609" t="s">
        <v>2244</v>
      </c>
      <c r="G609" t="s">
        <v>326</v>
      </c>
    </row>
    <row r="610" spans="1:7" hidden="1" x14ac:dyDescent="0.3">
      <c r="A610" t="s">
        <v>166</v>
      </c>
      <c r="B610" t="s">
        <v>980</v>
      </c>
      <c r="C610" t="s">
        <v>1424</v>
      </c>
      <c r="D610">
        <f t="shared" si="9"/>
        <v>0</v>
      </c>
      <c r="E610" t="s">
        <v>19</v>
      </c>
      <c r="F610" t="s">
        <v>2263</v>
      </c>
      <c r="G610" t="s">
        <v>326</v>
      </c>
    </row>
    <row r="611" spans="1:7" hidden="1" x14ac:dyDescent="0.3">
      <c r="A611" t="s">
        <v>166</v>
      </c>
      <c r="B611" t="s">
        <v>1064</v>
      </c>
      <c r="C611" t="s">
        <v>1496</v>
      </c>
      <c r="D611">
        <f t="shared" si="9"/>
        <v>0</v>
      </c>
      <c r="E611" t="s">
        <v>19</v>
      </c>
      <c r="F611" t="s">
        <v>2454</v>
      </c>
      <c r="G611" t="s">
        <v>326</v>
      </c>
    </row>
    <row r="612" spans="1:7" hidden="1" x14ac:dyDescent="0.3">
      <c r="A612" t="s">
        <v>166</v>
      </c>
      <c r="B612" t="s">
        <v>754</v>
      </c>
      <c r="C612" t="s">
        <v>1518</v>
      </c>
      <c r="D612">
        <f t="shared" si="9"/>
        <v>0</v>
      </c>
      <c r="E612" t="s">
        <v>19</v>
      </c>
      <c r="F612" t="s">
        <v>2501</v>
      </c>
      <c r="G612" t="s">
        <v>326</v>
      </c>
    </row>
    <row r="613" spans="1:7" hidden="1" x14ac:dyDescent="0.3">
      <c r="A613" t="s">
        <v>166</v>
      </c>
      <c r="B613" t="s">
        <v>1076</v>
      </c>
      <c r="C613" t="s">
        <v>1518</v>
      </c>
      <c r="D613">
        <f t="shared" si="9"/>
        <v>0</v>
      </c>
      <c r="E613" t="s">
        <v>19</v>
      </c>
      <c r="F613" t="s">
        <v>2509</v>
      </c>
      <c r="G613" t="s">
        <v>326</v>
      </c>
    </row>
    <row r="614" spans="1:7" hidden="1" x14ac:dyDescent="0.3">
      <c r="A614" t="s">
        <v>166</v>
      </c>
      <c r="B614" t="s">
        <v>724</v>
      </c>
      <c r="C614" t="s">
        <v>1518</v>
      </c>
      <c r="D614">
        <f t="shared" si="9"/>
        <v>0</v>
      </c>
      <c r="E614" t="s">
        <v>19</v>
      </c>
      <c r="F614" t="s">
        <v>2510</v>
      </c>
      <c r="G614" t="s">
        <v>326</v>
      </c>
    </row>
    <row r="615" spans="1:7" hidden="1" x14ac:dyDescent="0.3">
      <c r="A615" t="s">
        <v>166</v>
      </c>
      <c r="B615" t="s">
        <v>501</v>
      </c>
      <c r="C615" t="s">
        <v>1518</v>
      </c>
      <c r="D615">
        <f t="shared" si="9"/>
        <v>0</v>
      </c>
      <c r="E615" t="s">
        <v>19</v>
      </c>
      <c r="F615" t="s">
        <v>2514</v>
      </c>
      <c r="G615" t="s">
        <v>326</v>
      </c>
    </row>
    <row r="616" spans="1:7" hidden="1" x14ac:dyDescent="0.3">
      <c r="A616" t="s">
        <v>166</v>
      </c>
      <c r="B616" t="s">
        <v>489</v>
      </c>
      <c r="C616" t="s">
        <v>1518</v>
      </c>
      <c r="D616">
        <f t="shared" si="9"/>
        <v>0</v>
      </c>
      <c r="E616" t="s">
        <v>19</v>
      </c>
      <c r="F616" t="s">
        <v>2522</v>
      </c>
      <c r="G616" t="s">
        <v>326</v>
      </c>
    </row>
    <row r="617" spans="1:7" hidden="1" x14ac:dyDescent="0.3">
      <c r="A617" t="s">
        <v>166</v>
      </c>
      <c r="B617" t="s">
        <v>1097</v>
      </c>
      <c r="C617" t="s">
        <v>1521</v>
      </c>
      <c r="D617">
        <f t="shared" si="9"/>
        <v>0</v>
      </c>
      <c r="E617" t="s">
        <v>19</v>
      </c>
      <c r="F617" t="s">
        <v>2543</v>
      </c>
      <c r="G617" t="s">
        <v>326</v>
      </c>
    </row>
    <row r="618" spans="1:7" hidden="1" x14ac:dyDescent="0.3">
      <c r="A618" t="s">
        <v>166</v>
      </c>
      <c r="B618" t="s">
        <v>731</v>
      </c>
      <c r="C618" t="s">
        <v>1553</v>
      </c>
      <c r="D618">
        <f t="shared" si="9"/>
        <v>0</v>
      </c>
      <c r="E618" t="s">
        <v>19</v>
      </c>
      <c r="F618" t="s">
        <v>2701</v>
      </c>
      <c r="G618" t="s">
        <v>326</v>
      </c>
    </row>
    <row r="619" spans="1:7" hidden="1" x14ac:dyDescent="0.3">
      <c r="A619" t="s">
        <v>166</v>
      </c>
      <c r="B619" t="s">
        <v>1149</v>
      </c>
      <c r="C619" t="s">
        <v>1557</v>
      </c>
      <c r="D619">
        <f t="shared" si="9"/>
        <v>0</v>
      </c>
      <c r="E619" t="s">
        <v>19</v>
      </c>
      <c r="F619" t="s">
        <v>2714</v>
      </c>
      <c r="G619" t="s">
        <v>326</v>
      </c>
    </row>
    <row r="620" spans="1:7" hidden="1" x14ac:dyDescent="0.3">
      <c r="A620" t="s">
        <v>166</v>
      </c>
      <c r="B620" t="s">
        <v>1152</v>
      </c>
      <c r="C620" t="s">
        <v>1557</v>
      </c>
      <c r="D620">
        <f t="shared" si="9"/>
        <v>0</v>
      </c>
      <c r="E620" t="s">
        <v>19</v>
      </c>
      <c r="F620" t="s">
        <v>2717</v>
      </c>
      <c r="G620" t="s">
        <v>326</v>
      </c>
    </row>
    <row r="621" spans="1:7" hidden="1" x14ac:dyDescent="0.3">
      <c r="A621" t="s">
        <v>166</v>
      </c>
      <c r="B621" t="s">
        <v>1153</v>
      </c>
      <c r="C621" t="s">
        <v>1557</v>
      </c>
      <c r="D621">
        <f t="shared" si="9"/>
        <v>0</v>
      </c>
      <c r="E621" t="s">
        <v>19</v>
      </c>
      <c r="F621" t="s">
        <v>2718</v>
      </c>
      <c r="G621" t="s">
        <v>326</v>
      </c>
    </row>
    <row r="622" spans="1:7" hidden="1" x14ac:dyDescent="0.3">
      <c r="A622" t="s">
        <v>166</v>
      </c>
      <c r="B622" t="s">
        <v>1076</v>
      </c>
      <c r="C622" t="s">
        <v>1568</v>
      </c>
      <c r="D622">
        <f t="shared" si="9"/>
        <v>0</v>
      </c>
      <c r="E622" t="s">
        <v>19</v>
      </c>
      <c r="F622" t="s">
        <v>2781</v>
      </c>
      <c r="G622" t="s">
        <v>326</v>
      </c>
    </row>
    <row r="623" spans="1:7" hidden="1" x14ac:dyDescent="0.3">
      <c r="A623" t="s">
        <v>166</v>
      </c>
      <c r="B623" t="s">
        <v>501</v>
      </c>
      <c r="C623" t="s">
        <v>1571</v>
      </c>
      <c r="D623">
        <f t="shared" si="9"/>
        <v>0</v>
      </c>
      <c r="E623" t="s">
        <v>19</v>
      </c>
      <c r="F623" t="s">
        <v>2786</v>
      </c>
      <c r="G623" t="s">
        <v>326</v>
      </c>
    </row>
    <row r="624" spans="1:7" hidden="1" x14ac:dyDescent="0.3">
      <c r="A624" t="s">
        <v>166</v>
      </c>
      <c r="B624" t="s">
        <v>726</v>
      </c>
      <c r="C624" t="s">
        <v>1620</v>
      </c>
      <c r="D624">
        <f t="shared" si="9"/>
        <v>0</v>
      </c>
      <c r="E624" t="s">
        <v>19</v>
      </c>
      <c r="F624" t="s">
        <v>2933</v>
      </c>
      <c r="G624" t="s">
        <v>326</v>
      </c>
    </row>
    <row r="625" spans="1:7" hidden="1" x14ac:dyDescent="0.3">
      <c r="A625" t="s">
        <v>166</v>
      </c>
      <c r="B625" t="s">
        <v>489</v>
      </c>
      <c r="C625" t="s">
        <v>1627</v>
      </c>
      <c r="D625">
        <f t="shared" si="9"/>
        <v>0</v>
      </c>
      <c r="E625" t="s">
        <v>19</v>
      </c>
      <c r="F625" t="s">
        <v>2996</v>
      </c>
      <c r="G625" t="s">
        <v>326</v>
      </c>
    </row>
    <row r="626" spans="1:7" hidden="1" x14ac:dyDescent="0.3">
      <c r="A626" t="s">
        <v>166</v>
      </c>
      <c r="B626" t="s">
        <v>726</v>
      </c>
      <c r="C626" t="s">
        <v>1646</v>
      </c>
      <c r="D626">
        <f t="shared" si="9"/>
        <v>0</v>
      </c>
      <c r="E626" t="s">
        <v>19</v>
      </c>
      <c r="F626" t="s">
        <v>3025</v>
      </c>
      <c r="G626" t="s">
        <v>326</v>
      </c>
    </row>
    <row r="627" spans="1:7" hidden="1" x14ac:dyDescent="0.3">
      <c r="A627" t="s">
        <v>167</v>
      </c>
      <c r="B627" t="s">
        <v>660</v>
      </c>
      <c r="C627" t="s">
        <v>1256</v>
      </c>
      <c r="D627">
        <f t="shared" si="9"/>
        <v>0</v>
      </c>
      <c r="E627" t="s">
        <v>19</v>
      </c>
      <c r="F627" t="s">
        <v>1666</v>
      </c>
      <c r="G627" t="s">
        <v>326</v>
      </c>
    </row>
    <row r="628" spans="1:7" hidden="1" x14ac:dyDescent="0.3">
      <c r="A628" t="s">
        <v>167</v>
      </c>
      <c r="B628" t="s">
        <v>661</v>
      </c>
      <c r="C628" t="s">
        <v>1257</v>
      </c>
      <c r="D628">
        <f t="shared" si="9"/>
        <v>0</v>
      </c>
      <c r="E628" t="s">
        <v>19</v>
      </c>
      <c r="F628" t="s">
        <v>1667</v>
      </c>
      <c r="G628" t="s">
        <v>326</v>
      </c>
    </row>
    <row r="629" spans="1:7" hidden="1" x14ac:dyDescent="0.3">
      <c r="A629" t="s">
        <v>167</v>
      </c>
      <c r="B629" t="s">
        <v>688</v>
      </c>
      <c r="C629" t="s">
        <v>1285</v>
      </c>
      <c r="D629">
        <f t="shared" si="9"/>
        <v>0</v>
      </c>
      <c r="E629" t="s">
        <v>19</v>
      </c>
      <c r="F629" t="s">
        <v>1720</v>
      </c>
      <c r="G629" t="s">
        <v>326</v>
      </c>
    </row>
    <row r="630" spans="1:7" hidden="1" x14ac:dyDescent="0.3">
      <c r="A630" t="s">
        <v>167</v>
      </c>
      <c r="B630" t="s">
        <v>739</v>
      </c>
      <c r="C630" t="s">
        <v>1294</v>
      </c>
      <c r="D630">
        <f t="shared" si="9"/>
        <v>0</v>
      </c>
      <c r="E630" t="s">
        <v>19</v>
      </c>
      <c r="F630" t="s">
        <v>1791</v>
      </c>
      <c r="G630" t="s">
        <v>326</v>
      </c>
    </row>
    <row r="631" spans="1:7" hidden="1" x14ac:dyDescent="0.3">
      <c r="A631" t="s">
        <v>167</v>
      </c>
      <c r="B631" t="s">
        <v>899</v>
      </c>
      <c r="C631" t="s">
        <v>1384</v>
      </c>
      <c r="D631">
        <f t="shared" si="9"/>
        <v>0</v>
      </c>
      <c r="E631" t="s">
        <v>19</v>
      </c>
      <c r="F631" t="s">
        <v>2106</v>
      </c>
      <c r="G631" t="s">
        <v>326</v>
      </c>
    </row>
    <row r="632" spans="1:7" hidden="1" x14ac:dyDescent="0.3">
      <c r="A632" t="s">
        <v>167</v>
      </c>
      <c r="B632" t="s">
        <v>660</v>
      </c>
      <c r="C632" t="s">
        <v>1385</v>
      </c>
      <c r="D632">
        <f t="shared" si="9"/>
        <v>0</v>
      </c>
      <c r="E632" t="s">
        <v>19</v>
      </c>
      <c r="F632" t="s">
        <v>2107</v>
      </c>
      <c r="G632" t="s">
        <v>326</v>
      </c>
    </row>
    <row r="633" spans="1:7" hidden="1" x14ac:dyDescent="0.3">
      <c r="A633" t="s">
        <v>167</v>
      </c>
      <c r="B633" t="s">
        <v>929</v>
      </c>
      <c r="C633" t="s">
        <v>1406</v>
      </c>
      <c r="D633">
        <f t="shared" si="9"/>
        <v>0</v>
      </c>
      <c r="E633" t="s">
        <v>19</v>
      </c>
      <c r="F633" t="s">
        <v>2188</v>
      </c>
      <c r="G633" t="s">
        <v>326</v>
      </c>
    </row>
    <row r="634" spans="1:7" hidden="1" x14ac:dyDescent="0.3">
      <c r="A634" t="s">
        <v>167</v>
      </c>
      <c r="B634" t="s">
        <v>936</v>
      </c>
      <c r="C634" t="s">
        <v>1412</v>
      </c>
      <c r="D634">
        <f t="shared" si="9"/>
        <v>0</v>
      </c>
      <c r="E634" t="s">
        <v>19</v>
      </c>
      <c r="F634" t="s">
        <v>2205</v>
      </c>
      <c r="G634" t="s">
        <v>326</v>
      </c>
    </row>
    <row r="635" spans="1:7" hidden="1" x14ac:dyDescent="0.3">
      <c r="A635" t="s">
        <v>167</v>
      </c>
      <c r="B635" t="s">
        <v>973</v>
      </c>
      <c r="C635" t="s">
        <v>1421</v>
      </c>
      <c r="D635">
        <f t="shared" si="9"/>
        <v>0</v>
      </c>
      <c r="E635" t="s">
        <v>19</v>
      </c>
      <c r="F635" t="s">
        <v>2254</v>
      </c>
      <c r="G635" t="s">
        <v>326</v>
      </c>
    </row>
    <row r="636" spans="1:7" hidden="1" x14ac:dyDescent="0.3">
      <c r="A636" t="s">
        <v>167</v>
      </c>
      <c r="B636" t="s">
        <v>1032</v>
      </c>
      <c r="C636" t="s">
        <v>1469</v>
      </c>
      <c r="D636">
        <f t="shared" si="9"/>
        <v>0</v>
      </c>
      <c r="E636" t="s">
        <v>19</v>
      </c>
      <c r="F636" t="s">
        <v>2379</v>
      </c>
      <c r="G636" t="s">
        <v>326</v>
      </c>
    </row>
    <row r="637" spans="1:7" hidden="1" x14ac:dyDescent="0.3">
      <c r="A637" t="s">
        <v>167</v>
      </c>
      <c r="B637" t="s">
        <v>1033</v>
      </c>
      <c r="C637" t="s">
        <v>1470</v>
      </c>
      <c r="D637">
        <f t="shared" si="9"/>
        <v>0</v>
      </c>
      <c r="E637" t="s">
        <v>19</v>
      </c>
      <c r="F637" t="s">
        <v>2380</v>
      </c>
      <c r="G637" t="s">
        <v>326</v>
      </c>
    </row>
    <row r="638" spans="1:7" hidden="1" x14ac:dyDescent="0.3">
      <c r="A638" t="s">
        <v>167</v>
      </c>
      <c r="B638" t="s">
        <v>660</v>
      </c>
      <c r="C638" t="s">
        <v>1506</v>
      </c>
      <c r="D638">
        <f t="shared" si="9"/>
        <v>0</v>
      </c>
      <c r="E638" t="s">
        <v>19</v>
      </c>
      <c r="F638" t="s">
        <v>2482</v>
      </c>
      <c r="G638" t="s">
        <v>326</v>
      </c>
    </row>
    <row r="639" spans="1:7" hidden="1" x14ac:dyDescent="0.3">
      <c r="A639" t="s">
        <v>167</v>
      </c>
      <c r="B639" t="s">
        <v>1069</v>
      </c>
      <c r="C639" t="s">
        <v>1515</v>
      </c>
      <c r="D639">
        <f t="shared" si="9"/>
        <v>0</v>
      </c>
      <c r="E639" t="s">
        <v>19</v>
      </c>
      <c r="F639" t="s">
        <v>2494</v>
      </c>
      <c r="G639" t="s">
        <v>326</v>
      </c>
    </row>
    <row r="640" spans="1:7" hidden="1" x14ac:dyDescent="0.3">
      <c r="A640" t="s">
        <v>167</v>
      </c>
      <c r="B640" t="s">
        <v>739</v>
      </c>
      <c r="C640" t="s">
        <v>1524</v>
      </c>
      <c r="D640">
        <f t="shared" si="9"/>
        <v>0</v>
      </c>
      <c r="E640" t="s">
        <v>19</v>
      </c>
      <c r="F640" t="s">
        <v>2558</v>
      </c>
      <c r="G640" t="s">
        <v>326</v>
      </c>
    </row>
    <row r="641" spans="1:7" hidden="1" x14ac:dyDescent="0.3">
      <c r="A641" t="s">
        <v>167</v>
      </c>
      <c r="B641" t="s">
        <v>661</v>
      </c>
      <c r="C641" t="s">
        <v>1533</v>
      </c>
      <c r="D641">
        <f t="shared" si="9"/>
        <v>0</v>
      </c>
      <c r="E641" t="s">
        <v>19</v>
      </c>
      <c r="F641" t="s">
        <v>2662</v>
      </c>
      <c r="G641" t="s">
        <v>326</v>
      </c>
    </row>
    <row r="642" spans="1:7" hidden="1" x14ac:dyDescent="0.3">
      <c r="A642" t="s">
        <v>167</v>
      </c>
      <c r="B642" t="s">
        <v>739</v>
      </c>
      <c r="C642" t="s">
        <v>1576</v>
      </c>
      <c r="D642">
        <f t="shared" ref="D642:D705" si="10">SIGN(SUBTOTAL(3,E642))</f>
        <v>0</v>
      </c>
      <c r="E642" t="s">
        <v>19</v>
      </c>
      <c r="F642" t="s">
        <v>2807</v>
      </c>
      <c r="G642" t="s">
        <v>326</v>
      </c>
    </row>
    <row r="643" spans="1:7" hidden="1" x14ac:dyDescent="0.3">
      <c r="A643" t="s">
        <v>167</v>
      </c>
      <c r="B643" t="s">
        <v>1032</v>
      </c>
      <c r="C643" t="s">
        <v>1576</v>
      </c>
      <c r="D643">
        <f t="shared" si="10"/>
        <v>0</v>
      </c>
      <c r="E643" t="s">
        <v>19</v>
      </c>
      <c r="F643" t="s">
        <v>2808</v>
      </c>
      <c r="G643" t="s">
        <v>326</v>
      </c>
    </row>
    <row r="644" spans="1:7" hidden="1" x14ac:dyDescent="0.3">
      <c r="A644" t="s">
        <v>167</v>
      </c>
      <c r="B644" t="s">
        <v>660</v>
      </c>
      <c r="C644" t="s">
        <v>1593</v>
      </c>
      <c r="D644">
        <f t="shared" si="10"/>
        <v>0</v>
      </c>
      <c r="E644" t="s">
        <v>19</v>
      </c>
      <c r="F644" t="s">
        <v>2869</v>
      </c>
      <c r="G644" t="s">
        <v>326</v>
      </c>
    </row>
    <row r="645" spans="1:7" hidden="1" x14ac:dyDescent="0.3">
      <c r="A645" t="s">
        <v>167</v>
      </c>
      <c r="B645" t="s">
        <v>899</v>
      </c>
      <c r="C645" t="s">
        <v>1600</v>
      </c>
      <c r="D645">
        <f t="shared" si="10"/>
        <v>0</v>
      </c>
      <c r="E645" t="s">
        <v>19</v>
      </c>
      <c r="F645" t="s">
        <v>2897</v>
      </c>
      <c r="G645" t="s">
        <v>326</v>
      </c>
    </row>
    <row r="646" spans="1:7" hidden="1" x14ac:dyDescent="0.3">
      <c r="A646" t="s">
        <v>167</v>
      </c>
      <c r="B646" t="s">
        <v>899</v>
      </c>
      <c r="C646" t="s">
        <v>1614</v>
      </c>
      <c r="D646">
        <f t="shared" si="10"/>
        <v>0</v>
      </c>
      <c r="E646" t="s">
        <v>19</v>
      </c>
      <c r="F646" t="s">
        <v>2917</v>
      </c>
      <c r="G646" t="s">
        <v>326</v>
      </c>
    </row>
    <row r="647" spans="1:7" hidden="1" x14ac:dyDescent="0.3">
      <c r="A647" t="s">
        <v>167</v>
      </c>
      <c r="B647" t="s">
        <v>936</v>
      </c>
      <c r="C647" t="s">
        <v>1614</v>
      </c>
      <c r="D647">
        <f t="shared" si="10"/>
        <v>0</v>
      </c>
      <c r="E647" t="s">
        <v>19</v>
      </c>
      <c r="F647" t="s">
        <v>2920</v>
      </c>
      <c r="G647" t="s">
        <v>326</v>
      </c>
    </row>
    <row r="648" spans="1:7" hidden="1" x14ac:dyDescent="0.3">
      <c r="A648" t="s">
        <v>167</v>
      </c>
      <c r="B648" t="s">
        <v>899</v>
      </c>
      <c r="C648" t="s">
        <v>1623</v>
      </c>
      <c r="D648">
        <f t="shared" si="10"/>
        <v>0</v>
      </c>
      <c r="E648" t="s">
        <v>19</v>
      </c>
      <c r="F648" t="s">
        <v>2955</v>
      </c>
      <c r="G648" t="s">
        <v>326</v>
      </c>
    </row>
    <row r="649" spans="1:7" hidden="1" x14ac:dyDescent="0.3">
      <c r="A649" t="s">
        <v>167</v>
      </c>
      <c r="B649" t="s">
        <v>739</v>
      </c>
      <c r="C649" t="s">
        <v>1623</v>
      </c>
      <c r="D649">
        <f t="shared" si="10"/>
        <v>0</v>
      </c>
      <c r="E649" t="s">
        <v>19</v>
      </c>
      <c r="F649" t="s">
        <v>2956</v>
      </c>
      <c r="G649" t="s">
        <v>326</v>
      </c>
    </row>
    <row r="650" spans="1:7" hidden="1" x14ac:dyDescent="0.3">
      <c r="A650" t="s">
        <v>167</v>
      </c>
      <c r="B650" t="s">
        <v>660</v>
      </c>
      <c r="C650" t="s">
        <v>1623</v>
      </c>
      <c r="D650">
        <f t="shared" si="10"/>
        <v>0</v>
      </c>
      <c r="E650" t="s">
        <v>19</v>
      </c>
      <c r="F650" t="s">
        <v>2977</v>
      </c>
      <c r="G650" t="s">
        <v>326</v>
      </c>
    </row>
    <row r="651" spans="1:7" hidden="1" x14ac:dyDescent="0.3">
      <c r="A651" t="s">
        <v>167</v>
      </c>
      <c r="B651" t="s">
        <v>1230</v>
      </c>
      <c r="C651" t="s">
        <v>1623</v>
      </c>
      <c r="D651">
        <f t="shared" si="10"/>
        <v>0</v>
      </c>
      <c r="E651" t="s">
        <v>19</v>
      </c>
      <c r="F651" t="s">
        <v>2982</v>
      </c>
      <c r="G651" t="s">
        <v>326</v>
      </c>
    </row>
    <row r="652" spans="1:7" hidden="1" x14ac:dyDescent="0.3">
      <c r="A652" t="s">
        <v>168</v>
      </c>
      <c r="B652" t="s">
        <v>654</v>
      </c>
      <c r="C652" t="s">
        <v>1251</v>
      </c>
      <c r="D652">
        <f t="shared" si="10"/>
        <v>0</v>
      </c>
      <c r="E652" t="s">
        <v>19</v>
      </c>
      <c r="F652" t="s">
        <v>1660</v>
      </c>
      <c r="G652" t="s">
        <v>326</v>
      </c>
    </row>
    <row r="653" spans="1:7" hidden="1" x14ac:dyDescent="0.3">
      <c r="A653" t="s">
        <v>168</v>
      </c>
      <c r="B653" t="s">
        <v>654</v>
      </c>
      <c r="C653" t="s">
        <v>1278</v>
      </c>
      <c r="D653">
        <f t="shared" si="10"/>
        <v>0</v>
      </c>
      <c r="E653" t="s">
        <v>19</v>
      </c>
      <c r="F653" t="s">
        <v>1701</v>
      </c>
      <c r="G653" t="s">
        <v>326</v>
      </c>
    </row>
    <row r="654" spans="1:7" hidden="1" x14ac:dyDescent="0.3">
      <c r="A654" t="s">
        <v>168</v>
      </c>
      <c r="B654" t="s">
        <v>654</v>
      </c>
      <c r="C654" t="s">
        <v>1289</v>
      </c>
      <c r="D654">
        <f t="shared" si="10"/>
        <v>0</v>
      </c>
      <c r="E654" t="s">
        <v>19</v>
      </c>
      <c r="F654" t="s">
        <v>1752</v>
      </c>
      <c r="G654" t="s">
        <v>326</v>
      </c>
    </row>
    <row r="655" spans="1:7" hidden="1" x14ac:dyDescent="0.3">
      <c r="A655" t="s">
        <v>168</v>
      </c>
      <c r="B655" t="s">
        <v>654</v>
      </c>
      <c r="C655" t="s">
        <v>1295</v>
      </c>
      <c r="D655">
        <f t="shared" si="10"/>
        <v>0</v>
      </c>
      <c r="E655" t="s">
        <v>19</v>
      </c>
      <c r="F655" t="s">
        <v>1792</v>
      </c>
      <c r="G655" t="s">
        <v>326</v>
      </c>
    </row>
    <row r="656" spans="1:7" hidden="1" x14ac:dyDescent="0.3">
      <c r="A656" t="s">
        <v>168</v>
      </c>
      <c r="B656" t="s">
        <v>766</v>
      </c>
      <c r="C656" t="s">
        <v>1319</v>
      </c>
      <c r="D656">
        <f t="shared" si="10"/>
        <v>0</v>
      </c>
      <c r="E656" t="s">
        <v>19</v>
      </c>
      <c r="F656" t="s">
        <v>1835</v>
      </c>
      <c r="G656" t="s">
        <v>326</v>
      </c>
    </row>
    <row r="657" spans="1:7" hidden="1" x14ac:dyDescent="0.3">
      <c r="A657" t="s">
        <v>168</v>
      </c>
      <c r="B657" t="s">
        <v>792</v>
      </c>
      <c r="C657" t="s">
        <v>1339</v>
      </c>
      <c r="D657">
        <f t="shared" si="10"/>
        <v>0</v>
      </c>
      <c r="E657" t="s">
        <v>19</v>
      </c>
      <c r="F657" t="s">
        <v>1891</v>
      </c>
      <c r="G657" t="s">
        <v>326</v>
      </c>
    </row>
    <row r="658" spans="1:7" hidden="1" x14ac:dyDescent="0.3">
      <c r="A658" t="s">
        <v>168</v>
      </c>
      <c r="B658" t="s">
        <v>654</v>
      </c>
      <c r="C658" t="s">
        <v>1341</v>
      </c>
      <c r="D658">
        <f t="shared" si="10"/>
        <v>0</v>
      </c>
      <c r="E658" t="s">
        <v>19</v>
      </c>
      <c r="F658" t="s">
        <v>1894</v>
      </c>
      <c r="G658" t="s">
        <v>326</v>
      </c>
    </row>
    <row r="659" spans="1:7" hidden="1" x14ac:dyDescent="0.3">
      <c r="A659" t="s">
        <v>168</v>
      </c>
      <c r="B659" t="s">
        <v>815</v>
      </c>
      <c r="C659" t="s">
        <v>1341</v>
      </c>
      <c r="D659">
        <f t="shared" si="10"/>
        <v>0</v>
      </c>
      <c r="E659" t="s">
        <v>19</v>
      </c>
      <c r="F659" t="s">
        <v>1930</v>
      </c>
      <c r="G659" t="s">
        <v>326</v>
      </c>
    </row>
    <row r="660" spans="1:7" hidden="1" x14ac:dyDescent="0.3">
      <c r="A660" t="s">
        <v>168</v>
      </c>
      <c r="B660" t="s">
        <v>846</v>
      </c>
      <c r="C660" t="s">
        <v>1347</v>
      </c>
      <c r="D660">
        <f t="shared" si="10"/>
        <v>0</v>
      </c>
      <c r="E660" t="s">
        <v>19</v>
      </c>
      <c r="F660" t="s">
        <v>2010</v>
      </c>
      <c r="G660" t="s">
        <v>326</v>
      </c>
    </row>
    <row r="661" spans="1:7" hidden="1" x14ac:dyDescent="0.3">
      <c r="A661" t="s">
        <v>168</v>
      </c>
      <c r="B661" t="s">
        <v>877</v>
      </c>
      <c r="C661" t="s">
        <v>1365</v>
      </c>
      <c r="D661">
        <f t="shared" si="10"/>
        <v>0</v>
      </c>
      <c r="E661" t="s">
        <v>19</v>
      </c>
      <c r="F661" t="s">
        <v>2067</v>
      </c>
      <c r="G661" t="s">
        <v>326</v>
      </c>
    </row>
    <row r="662" spans="1:7" hidden="1" x14ac:dyDescent="0.3">
      <c r="A662" t="s">
        <v>168</v>
      </c>
      <c r="B662" t="s">
        <v>885</v>
      </c>
      <c r="C662" t="s">
        <v>1371</v>
      </c>
      <c r="D662">
        <f t="shared" si="10"/>
        <v>0</v>
      </c>
      <c r="E662" t="s">
        <v>19</v>
      </c>
      <c r="F662" t="s">
        <v>2083</v>
      </c>
      <c r="G662" t="s">
        <v>326</v>
      </c>
    </row>
    <row r="663" spans="1:7" hidden="1" x14ac:dyDescent="0.3">
      <c r="A663" t="s">
        <v>168</v>
      </c>
      <c r="B663" t="s">
        <v>898</v>
      </c>
      <c r="C663" t="s">
        <v>1383</v>
      </c>
      <c r="D663">
        <f t="shared" si="10"/>
        <v>0</v>
      </c>
      <c r="E663" t="s">
        <v>19</v>
      </c>
      <c r="F663" t="s">
        <v>2105</v>
      </c>
      <c r="G663" t="s">
        <v>326</v>
      </c>
    </row>
    <row r="664" spans="1:7" hidden="1" x14ac:dyDescent="0.3">
      <c r="A664" t="s">
        <v>168</v>
      </c>
      <c r="B664" t="s">
        <v>963</v>
      </c>
      <c r="C664" t="s">
        <v>1416</v>
      </c>
      <c r="D664">
        <f t="shared" si="10"/>
        <v>0</v>
      </c>
      <c r="E664" t="s">
        <v>19</v>
      </c>
      <c r="F664" t="s">
        <v>2240</v>
      </c>
      <c r="G664" t="s">
        <v>326</v>
      </c>
    </row>
    <row r="665" spans="1:7" hidden="1" x14ac:dyDescent="0.3">
      <c r="A665" t="s">
        <v>168</v>
      </c>
      <c r="B665" t="s">
        <v>965</v>
      </c>
      <c r="C665" t="s">
        <v>1416</v>
      </c>
      <c r="D665">
        <f t="shared" si="10"/>
        <v>0</v>
      </c>
      <c r="E665" t="s">
        <v>19</v>
      </c>
      <c r="F665" t="s">
        <v>2242</v>
      </c>
      <c r="G665" t="s">
        <v>326</v>
      </c>
    </row>
    <row r="666" spans="1:7" hidden="1" x14ac:dyDescent="0.3">
      <c r="A666" t="s">
        <v>168</v>
      </c>
      <c r="B666" t="s">
        <v>975</v>
      </c>
      <c r="C666" t="s">
        <v>1421</v>
      </c>
      <c r="D666">
        <f t="shared" si="10"/>
        <v>0</v>
      </c>
      <c r="E666" t="s">
        <v>19</v>
      </c>
      <c r="F666" t="s">
        <v>2256</v>
      </c>
      <c r="G666" t="s">
        <v>326</v>
      </c>
    </row>
    <row r="667" spans="1:7" hidden="1" x14ac:dyDescent="0.3">
      <c r="A667" t="s">
        <v>168</v>
      </c>
      <c r="B667" t="s">
        <v>1011</v>
      </c>
      <c r="C667" t="s">
        <v>1449</v>
      </c>
      <c r="D667">
        <f t="shared" si="10"/>
        <v>0</v>
      </c>
      <c r="E667" t="s">
        <v>19</v>
      </c>
      <c r="F667" t="s">
        <v>2323</v>
      </c>
      <c r="G667" t="s">
        <v>326</v>
      </c>
    </row>
    <row r="668" spans="1:7" hidden="1" x14ac:dyDescent="0.3">
      <c r="A668" t="s">
        <v>168</v>
      </c>
      <c r="B668" t="s">
        <v>654</v>
      </c>
      <c r="C668" t="s">
        <v>1493</v>
      </c>
      <c r="D668">
        <f t="shared" si="10"/>
        <v>0</v>
      </c>
      <c r="E668" t="s">
        <v>19</v>
      </c>
      <c r="F668" t="s">
        <v>2428</v>
      </c>
      <c r="G668" t="s">
        <v>326</v>
      </c>
    </row>
    <row r="669" spans="1:7" hidden="1" x14ac:dyDescent="0.3">
      <c r="A669" t="s">
        <v>168</v>
      </c>
      <c r="B669" t="s">
        <v>520</v>
      </c>
      <c r="C669" t="s">
        <v>1518</v>
      </c>
      <c r="D669">
        <f t="shared" si="10"/>
        <v>0</v>
      </c>
      <c r="E669" t="s">
        <v>19</v>
      </c>
      <c r="F669" t="s">
        <v>2526</v>
      </c>
      <c r="G669" t="s">
        <v>326</v>
      </c>
    </row>
    <row r="670" spans="1:7" hidden="1" x14ac:dyDescent="0.3">
      <c r="A670" t="s">
        <v>168</v>
      </c>
      <c r="B670" t="s">
        <v>1087</v>
      </c>
      <c r="C670" t="s">
        <v>1518</v>
      </c>
      <c r="D670">
        <f t="shared" si="10"/>
        <v>0</v>
      </c>
      <c r="E670" t="s">
        <v>19</v>
      </c>
      <c r="F670" t="s">
        <v>2527</v>
      </c>
      <c r="G670" t="s">
        <v>326</v>
      </c>
    </row>
    <row r="671" spans="1:7" hidden="1" x14ac:dyDescent="0.3">
      <c r="A671" t="s">
        <v>168</v>
      </c>
      <c r="B671" t="s">
        <v>1089</v>
      </c>
      <c r="C671" t="s">
        <v>1518</v>
      </c>
      <c r="D671">
        <f t="shared" si="10"/>
        <v>0</v>
      </c>
      <c r="E671" t="s">
        <v>19</v>
      </c>
      <c r="F671" t="s">
        <v>2529</v>
      </c>
      <c r="G671" t="s">
        <v>326</v>
      </c>
    </row>
    <row r="672" spans="1:7" hidden="1" x14ac:dyDescent="0.3">
      <c r="A672" t="s">
        <v>168</v>
      </c>
      <c r="B672" t="s">
        <v>1090</v>
      </c>
      <c r="C672" t="s">
        <v>1518</v>
      </c>
      <c r="D672">
        <f t="shared" si="10"/>
        <v>0</v>
      </c>
      <c r="E672" t="s">
        <v>19</v>
      </c>
      <c r="F672" t="s">
        <v>2531</v>
      </c>
      <c r="G672" t="s">
        <v>326</v>
      </c>
    </row>
    <row r="673" spans="1:7" hidden="1" x14ac:dyDescent="0.3">
      <c r="A673" t="s">
        <v>168</v>
      </c>
      <c r="B673" t="s">
        <v>877</v>
      </c>
      <c r="C673" t="s">
        <v>1518</v>
      </c>
      <c r="D673">
        <f t="shared" si="10"/>
        <v>0</v>
      </c>
      <c r="E673" t="s">
        <v>19</v>
      </c>
      <c r="F673" t="s">
        <v>2555</v>
      </c>
      <c r="G673" t="s">
        <v>326</v>
      </c>
    </row>
    <row r="674" spans="1:7" hidden="1" x14ac:dyDescent="0.3">
      <c r="A674" t="s">
        <v>168</v>
      </c>
      <c r="B674" t="s">
        <v>1143</v>
      </c>
      <c r="C674" t="s">
        <v>1553</v>
      </c>
      <c r="D674">
        <f t="shared" si="10"/>
        <v>0</v>
      </c>
      <c r="E674" t="s">
        <v>19</v>
      </c>
      <c r="F674" t="s">
        <v>2698</v>
      </c>
      <c r="G674" t="s">
        <v>326</v>
      </c>
    </row>
    <row r="675" spans="1:7" hidden="1" x14ac:dyDescent="0.3">
      <c r="A675" t="s">
        <v>168</v>
      </c>
      <c r="B675" t="s">
        <v>654</v>
      </c>
      <c r="C675" t="s">
        <v>1609</v>
      </c>
      <c r="D675">
        <f t="shared" si="10"/>
        <v>0</v>
      </c>
      <c r="E675" t="s">
        <v>19</v>
      </c>
      <c r="F675" t="s">
        <v>2912</v>
      </c>
      <c r="G675" t="s">
        <v>326</v>
      </c>
    </row>
    <row r="676" spans="1:7" hidden="1" x14ac:dyDescent="0.3">
      <c r="A676" t="s">
        <v>168</v>
      </c>
      <c r="B676" t="s">
        <v>1211</v>
      </c>
      <c r="C676" t="s">
        <v>1610</v>
      </c>
      <c r="D676">
        <f t="shared" si="10"/>
        <v>0</v>
      </c>
      <c r="E676" t="s">
        <v>19</v>
      </c>
      <c r="F676" t="s">
        <v>2913</v>
      </c>
      <c r="G676" t="s">
        <v>326</v>
      </c>
    </row>
    <row r="677" spans="1:7" hidden="1" x14ac:dyDescent="0.3">
      <c r="A677" t="s">
        <v>168</v>
      </c>
      <c r="B677" t="s">
        <v>1228</v>
      </c>
      <c r="C677" t="s">
        <v>1623</v>
      </c>
      <c r="D677">
        <f t="shared" si="10"/>
        <v>0</v>
      </c>
      <c r="E677" t="s">
        <v>19</v>
      </c>
      <c r="F677" t="s">
        <v>2974</v>
      </c>
      <c r="G677" t="s">
        <v>326</v>
      </c>
    </row>
    <row r="678" spans="1:7" hidden="1" x14ac:dyDescent="0.3">
      <c r="A678" t="s">
        <v>168</v>
      </c>
      <c r="B678" t="s">
        <v>490</v>
      </c>
      <c r="C678" t="s">
        <v>1634</v>
      </c>
      <c r="D678">
        <f t="shared" si="10"/>
        <v>0</v>
      </c>
      <c r="E678" t="s">
        <v>19</v>
      </c>
      <c r="F678" t="s">
        <v>3009</v>
      </c>
      <c r="G678" t="s">
        <v>326</v>
      </c>
    </row>
    <row r="679" spans="1:7" hidden="1" x14ac:dyDescent="0.3">
      <c r="A679" t="s">
        <v>169</v>
      </c>
      <c r="B679" t="s">
        <v>850</v>
      </c>
      <c r="C679" t="s">
        <v>1352</v>
      </c>
      <c r="D679">
        <f t="shared" si="10"/>
        <v>0</v>
      </c>
      <c r="E679" t="s">
        <v>19</v>
      </c>
      <c r="F679" t="s">
        <v>2020</v>
      </c>
      <c r="G679" t="s">
        <v>326</v>
      </c>
    </row>
    <row r="680" spans="1:7" hidden="1" x14ac:dyDescent="0.3">
      <c r="A680" t="s">
        <v>169</v>
      </c>
      <c r="B680" t="s">
        <v>851</v>
      </c>
      <c r="C680" t="s">
        <v>1353</v>
      </c>
      <c r="D680">
        <f t="shared" si="10"/>
        <v>0</v>
      </c>
      <c r="E680" t="s">
        <v>19</v>
      </c>
      <c r="F680" t="s">
        <v>2021</v>
      </c>
      <c r="G680" t="s">
        <v>326</v>
      </c>
    </row>
    <row r="681" spans="1:7" hidden="1" x14ac:dyDescent="0.3">
      <c r="A681" t="s">
        <v>169</v>
      </c>
      <c r="B681" t="s">
        <v>852</v>
      </c>
      <c r="C681" t="s">
        <v>1353</v>
      </c>
      <c r="D681">
        <f t="shared" si="10"/>
        <v>0</v>
      </c>
      <c r="E681" t="s">
        <v>19</v>
      </c>
      <c r="F681" t="s">
        <v>2022</v>
      </c>
      <c r="G681" t="s">
        <v>326</v>
      </c>
    </row>
    <row r="682" spans="1:7" hidden="1" x14ac:dyDescent="0.3">
      <c r="A682" t="s">
        <v>169</v>
      </c>
      <c r="B682" t="s">
        <v>492</v>
      </c>
      <c r="C682" t="s">
        <v>1365</v>
      </c>
      <c r="D682">
        <f t="shared" si="10"/>
        <v>0</v>
      </c>
      <c r="E682" t="s">
        <v>19</v>
      </c>
      <c r="F682" t="s">
        <v>2054</v>
      </c>
      <c r="G682" t="s">
        <v>326</v>
      </c>
    </row>
    <row r="683" spans="1:7" hidden="1" x14ac:dyDescent="0.3">
      <c r="A683" t="s">
        <v>169</v>
      </c>
      <c r="B683" t="s">
        <v>870</v>
      </c>
      <c r="C683" t="s">
        <v>1365</v>
      </c>
      <c r="D683">
        <f t="shared" si="10"/>
        <v>0</v>
      </c>
      <c r="E683" t="s">
        <v>19</v>
      </c>
      <c r="F683" t="s">
        <v>2055</v>
      </c>
      <c r="G683" t="s">
        <v>326</v>
      </c>
    </row>
    <row r="684" spans="1:7" hidden="1" x14ac:dyDescent="0.3">
      <c r="A684" t="s">
        <v>169</v>
      </c>
      <c r="B684" t="s">
        <v>871</v>
      </c>
      <c r="C684" t="s">
        <v>1365</v>
      </c>
      <c r="D684">
        <f t="shared" si="10"/>
        <v>0</v>
      </c>
      <c r="E684" t="s">
        <v>19</v>
      </c>
      <c r="F684" t="s">
        <v>2056</v>
      </c>
      <c r="G684" t="s">
        <v>326</v>
      </c>
    </row>
    <row r="685" spans="1:7" hidden="1" x14ac:dyDescent="0.3">
      <c r="A685" t="s">
        <v>169</v>
      </c>
      <c r="B685" t="s">
        <v>872</v>
      </c>
      <c r="C685" t="s">
        <v>1365</v>
      </c>
      <c r="D685">
        <f t="shared" si="10"/>
        <v>0</v>
      </c>
      <c r="E685" t="s">
        <v>19</v>
      </c>
      <c r="F685" t="s">
        <v>2057</v>
      </c>
      <c r="G685" t="s">
        <v>326</v>
      </c>
    </row>
    <row r="686" spans="1:7" hidden="1" x14ac:dyDescent="0.3">
      <c r="A686" t="s">
        <v>169</v>
      </c>
      <c r="B686" t="s">
        <v>871</v>
      </c>
      <c r="C686" t="s">
        <v>1428</v>
      </c>
      <c r="D686">
        <f t="shared" si="10"/>
        <v>0</v>
      </c>
      <c r="E686" t="s">
        <v>19</v>
      </c>
      <c r="F686" t="s">
        <v>2268</v>
      </c>
      <c r="G686" t="s">
        <v>326</v>
      </c>
    </row>
    <row r="687" spans="1:7" hidden="1" x14ac:dyDescent="0.3">
      <c r="A687" t="s">
        <v>169</v>
      </c>
      <c r="B687" t="s">
        <v>871</v>
      </c>
      <c r="C687" t="s">
        <v>1473</v>
      </c>
      <c r="D687">
        <f t="shared" si="10"/>
        <v>0</v>
      </c>
      <c r="E687" t="s">
        <v>19</v>
      </c>
      <c r="F687" t="s">
        <v>2385</v>
      </c>
      <c r="G687" t="s">
        <v>326</v>
      </c>
    </row>
    <row r="688" spans="1:7" hidden="1" x14ac:dyDescent="0.3">
      <c r="A688" t="s">
        <v>169</v>
      </c>
      <c r="B688" t="s">
        <v>1170</v>
      </c>
      <c r="C688" t="s">
        <v>1562</v>
      </c>
      <c r="D688">
        <f t="shared" si="10"/>
        <v>0</v>
      </c>
      <c r="E688" t="s">
        <v>19</v>
      </c>
      <c r="F688" t="s">
        <v>2763</v>
      </c>
      <c r="G688" t="s">
        <v>326</v>
      </c>
    </row>
    <row r="689" spans="1:7" hidden="1" x14ac:dyDescent="0.3">
      <c r="A689" t="s">
        <v>169</v>
      </c>
      <c r="B689" t="s">
        <v>851</v>
      </c>
      <c r="C689" t="s">
        <v>1565</v>
      </c>
      <c r="D689">
        <f t="shared" si="10"/>
        <v>0</v>
      </c>
      <c r="E689" t="s">
        <v>19</v>
      </c>
      <c r="F689" t="s">
        <v>2774</v>
      </c>
      <c r="G689" t="s">
        <v>326</v>
      </c>
    </row>
    <row r="690" spans="1:7" hidden="1" x14ac:dyDescent="0.3">
      <c r="A690" t="s">
        <v>169</v>
      </c>
      <c r="B690" t="s">
        <v>492</v>
      </c>
      <c r="C690" t="s">
        <v>1565</v>
      </c>
      <c r="D690">
        <f t="shared" si="10"/>
        <v>0</v>
      </c>
      <c r="E690" t="s">
        <v>19</v>
      </c>
      <c r="F690" t="s">
        <v>2777</v>
      </c>
      <c r="G690" t="s">
        <v>326</v>
      </c>
    </row>
    <row r="691" spans="1:7" hidden="1" x14ac:dyDescent="0.3">
      <c r="A691" t="s">
        <v>169</v>
      </c>
      <c r="B691" t="s">
        <v>872</v>
      </c>
      <c r="C691" t="s">
        <v>1565</v>
      </c>
      <c r="D691">
        <f t="shared" si="10"/>
        <v>0</v>
      </c>
      <c r="E691" t="s">
        <v>19</v>
      </c>
      <c r="F691" t="s">
        <v>2778</v>
      </c>
      <c r="G691" t="s">
        <v>326</v>
      </c>
    </row>
    <row r="692" spans="1:7" hidden="1" x14ac:dyDescent="0.3">
      <c r="A692" t="s">
        <v>170</v>
      </c>
      <c r="B692" t="s">
        <v>707</v>
      </c>
      <c r="C692" t="s">
        <v>1289</v>
      </c>
      <c r="D692">
        <f t="shared" si="10"/>
        <v>0</v>
      </c>
      <c r="E692" t="s">
        <v>19</v>
      </c>
      <c r="F692" t="s">
        <v>1745</v>
      </c>
      <c r="G692" t="s">
        <v>326</v>
      </c>
    </row>
    <row r="693" spans="1:7" hidden="1" x14ac:dyDescent="0.3">
      <c r="A693" t="s">
        <v>170</v>
      </c>
      <c r="B693" t="s">
        <v>493</v>
      </c>
      <c r="C693" t="s">
        <v>1292</v>
      </c>
      <c r="D693">
        <f t="shared" si="10"/>
        <v>0</v>
      </c>
      <c r="E693" t="s">
        <v>19</v>
      </c>
      <c r="F693" t="s">
        <v>1777</v>
      </c>
      <c r="G693" t="s">
        <v>326</v>
      </c>
    </row>
    <row r="694" spans="1:7" hidden="1" x14ac:dyDescent="0.3">
      <c r="A694" t="s">
        <v>170</v>
      </c>
      <c r="B694" t="s">
        <v>875</v>
      </c>
      <c r="C694" t="s">
        <v>1365</v>
      </c>
      <c r="D694">
        <f t="shared" si="10"/>
        <v>0</v>
      </c>
      <c r="E694" t="s">
        <v>19</v>
      </c>
      <c r="F694" t="s">
        <v>2064</v>
      </c>
      <c r="G694" t="s">
        <v>326</v>
      </c>
    </row>
    <row r="695" spans="1:7" hidden="1" x14ac:dyDescent="0.3">
      <c r="A695" t="s">
        <v>170</v>
      </c>
      <c r="B695" t="s">
        <v>955</v>
      </c>
      <c r="C695" t="s">
        <v>1416</v>
      </c>
      <c r="D695">
        <f t="shared" si="10"/>
        <v>0</v>
      </c>
      <c r="E695" t="s">
        <v>19</v>
      </c>
      <c r="F695" t="s">
        <v>2232</v>
      </c>
      <c r="G695" t="s">
        <v>326</v>
      </c>
    </row>
    <row r="696" spans="1:7" hidden="1" x14ac:dyDescent="0.3">
      <c r="A696" t="s">
        <v>170</v>
      </c>
      <c r="B696" t="s">
        <v>1029</v>
      </c>
      <c r="C696" t="s">
        <v>1463</v>
      </c>
      <c r="D696">
        <f t="shared" si="10"/>
        <v>0</v>
      </c>
      <c r="E696" t="s">
        <v>19</v>
      </c>
      <c r="F696" t="s">
        <v>2372</v>
      </c>
      <c r="G696" t="s">
        <v>326</v>
      </c>
    </row>
    <row r="697" spans="1:7" hidden="1" x14ac:dyDescent="0.3">
      <c r="A697" t="s">
        <v>170</v>
      </c>
      <c r="B697" t="s">
        <v>1073</v>
      </c>
      <c r="C697" t="s">
        <v>1518</v>
      </c>
      <c r="D697">
        <f t="shared" si="10"/>
        <v>0</v>
      </c>
      <c r="E697" t="s">
        <v>19</v>
      </c>
      <c r="F697" t="s">
        <v>2502</v>
      </c>
      <c r="G697" t="s">
        <v>326</v>
      </c>
    </row>
    <row r="698" spans="1:7" hidden="1" x14ac:dyDescent="0.3">
      <c r="A698" t="s">
        <v>170</v>
      </c>
      <c r="B698" t="s">
        <v>1075</v>
      </c>
      <c r="C698" t="s">
        <v>1518</v>
      </c>
      <c r="D698">
        <f t="shared" si="10"/>
        <v>0</v>
      </c>
      <c r="E698" t="s">
        <v>19</v>
      </c>
      <c r="F698" t="s">
        <v>2508</v>
      </c>
      <c r="G698" t="s">
        <v>326</v>
      </c>
    </row>
    <row r="699" spans="1:7" hidden="1" x14ac:dyDescent="0.3">
      <c r="A699" t="s">
        <v>170</v>
      </c>
      <c r="B699" t="s">
        <v>493</v>
      </c>
      <c r="C699" t="s">
        <v>1518</v>
      </c>
      <c r="D699">
        <f t="shared" si="10"/>
        <v>0</v>
      </c>
      <c r="E699" t="s">
        <v>19</v>
      </c>
      <c r="F699" t="s">
        <v>2513</v>
      </c>
      <c r="G699" t="s">
        <v>326</v>
      </c>
    </row>
    <row r="700" spans="1:7" hidden="1" x14ac:dyDescent="0.3">
      <c r="A700" t="s">
        <v>170</v>
      </c>
      <c r="B700" t="s">
        <v>1086</v>
      </c>
      <c r="C700" t="s">
        <v>1518</v>
      </c>
      <c r="D700">
        <f t="shared" si="10"/>
        <v>0</v>
      </c>
      <c r="E700" t="s">
        <v>19</v>
      </c>
      <c r="F700" t="s">
        <v>2525</v>
      </c>
      <c r="G700" t="s">
        <v>326</v>
      </c>
    </row>
    <row r="701" spans="1:7" hidden="1" x14ac:dyDescent="0.3">
      <c r="A701" t="s">
        <v>170</v>
      </c>
      <c r="B701" t="s">
        <v>1150</v>
      </c>
      <c r="C701" t="s">
        <v>1557</v>
      </c>
      <c r="D701">
        <f t="shared" si="10"/>
        <v>0</v>
      </c>
      <c r="E701" t="s">
        <v>19</v>
      </c>
      <c r="F701" t="s">
        <v>2715</v>
      </c>
      <c r="G701" t="s">
        <v>326</v>
      </c>
    </row>
    <row r="702" spans="1:7" hidden="1" x14ac:dyDescent="0.3">
      <c r="A702" t="s">
        <v>170</v>
      </c>
      <c r="B702" t="s">
        <v>510</v>
      </c>
      <c r="C702" t="s">
        <v>1557</v>
      </c>
      <c r="D702">
        <f t="shared" si="10"/>
        <v>0</v>
      </c>
      <c r="E702" t="s">
        <v>19</v>
      </c>
      <c r="F702" t="s">
        <v>2719</v>
      </c>
      <c r="G702" t="s">
        <v>326</v>
      </c>
    </row>
    <row r="703" spans="1:7" hidden="1" x14ac:dyDescent="0.3">
      <c r="A703" t="s">
        <v>170</v>
      </c>
      <c r="B703" t="s">
        <v>1154</v>
      </c>
      <c r="C703" t="s">
        <v>1557</v>
      </c>
      <c r="D703">
        <f t="shared" si="10"/>
        <v>0</v>
      </c>
      <c r="E703" t="s">
        <v>19</v>
      </c>
      <c r="F703" t="s">
        <v>2720</v>
      </c>
      <c r="G703" t="s">
        <v>326</v>
      </c>
    </row>
    <row r="704" spans="1:7" hidden="1" x14ac:dyDescent="0.3">
      <c r="A704" t="s">
        <v>170</v>
      </c>
      <c r="B704" t="s">
        <v>535</v>
      </c>
      <c r="C704" t="s">
        <v>1557</v>
      </c>
      <c r="D704">
        <f t="shared" si="10"/>
        <v>0</v>
      </c>
      <c r="E704" t="s">
        <v>19</v>
      </c>
      <c r="F704" t="s">
        <v>2725</v>
      </c>
      <c r="G704" t="s">
        <v>326</v>
      </c>
    </row>
    <row r="705" spans="1:7" hidden="1" x14ac:dyDescent="0.3">
      <c r="A705" t="s">
        <v>170</v>
      </c>
      <c r="B705" t="s">
        <v>1164</v>
      </c>
      <c r="C705" t="s">
        <v>1557</v>
      </c>
      <c r="D705">
        <f t="shared" si="10"/>
        <v>0</v>
      </c>
      <c r="E705" t="s">
        <v>19</v>
      </c>
      <c r="F705" t="s">
        <v>2742</v>
      </c>
      <c r="G705" t="s">
        <v>326</v>
      </c>
    </row>
    <row r="706" spans="1:7" hidden="1" x14ac:dyDescent="0.3">
      <c r="A706" t="s">
        <v>170</v>
      </c>
      <c r="B706" t="s">
        <v>1171</v>
      </c>
      <c r="C706" t="s">
        <v>1563</v>
      </c>
      <c r="D706">
        <f t="shared" ref="D706:D769" si="11">SIGN(SUBTOTAL(3,E706))</f>
        <v>0</v>
      </c>
      <c r="E706" t="s">
        <v>19</v>
      </c>
      <c r="F706" t="s">
        <v>2764</v>
      </c>
      <c r="G706" t="s">
        <v>326</v>
      </c>
    </row>
    <row r="707" spans="1:7" hidden="1" x14ac:dyDescent="0.3">
      <c r="A707" t="s">
        <v>171</v>
      </c>
      <c r="B707" t="s">
        <v>494</v>
      </c>
      <c r="C707" t="s">
        <v>1286</v>
      </c>
      <c r="D707">
        <f t="shared" si="11"/>
        <v>0</v>
      </c>
      <c r="E707" t="s">
        <v>19</v>
      </c>
      <c r="F707" t="s">
        <v>1728</v>
      </c>
      <c r="G707" t="s">
        <v>326</v>
      </c>
    </row>
    <row r="708" spans="1:7" hidden="1" x14ac:dyDescent="0.3">
      <c r="A708" t="s">
        <v>171</v>
      </c>
      <c r="B708" t="s">
        <v>494</v>
      </c>
      <c r="C708" t="s">
        <v>1286</v>
      </c>
      <c r="D708">
        <f t="shared" si="11"/>
        <v>0</v>
      </c>
      <c r="E708" t="s">
        <v>19</v>
      </c>
      <c r="F708" t="s">
        <v>1734</v>
      </c>
      <c r="G708" t="s">
        <v>326</v>
      </c>
    </row>
    <row r="709" spans="1:7" hidden="1" x14ac:dyDescent="0.3">
      <c r="A709" t="s">
        <v>171</v>
      </c>
      <c r="B709" t="s">
        <v>494</v>
      </c>
      <c r="C709" t="s">
        <v>1303</v>
      </c>
      <c r="D709">
        <f t="shared" si="11"/>
        <v>0</v>
      </c>
      <c r="E709" t="s">
        <v>19</v>
      </c>
      <c r="F709" t="s">
        <v>1818</v>
      </c>
      <c r="G709" t="s">
        <v>326</v>
      </c>
    </row>
    <row r="710" spans="1:7" hidden="1" x14ac:dyDescent="0.3">
      <c r="A710" t="s">
        <v>171</v>
      </c>
      <c r="B710" t="s">
        <v>1014</v>
      </c>
      <c r="C710" t="s">
        <v>1450</v>
      </c>
      <c r="D710">
        <f t="shared" si="11"/>
        <v>0</v>
      </c>
      <c r="E710" t="s">
        <v>19</v>
      </c>
      <c r="F710" t="s">
        <v>2332</v>
      </c>
      <c r="G710" t="s">
        <v>326</v>
      </c>
    </row>
    <row r="711" spans="1:7" hidden="1" x14ac:dyDescent="0.3">
      <c r="A711" t="s">
        <v>171</v>
      </c>
      <c r="B711" t="s">
        <v>495</v>
      </c>
      <c r="C711" t="s">
        <v>1492</v>
      </c>
      <c r="D711">
        <f t="shared" si="11"/>
        <v>0</v>
      </c>
      <c r="E711" t="s">
        <v>19</v>
      </c>
      <c r="F711" t="s">
        <v>2417</v>
      </c>
      <c r="G711" t="s">
        <v>326</v>
      </c>
    </row>
    <row r="712" spans="1:7" hidden="1" x14ac:dyDescent="0.3">
      <c r="A712" t="s">
        <v>171</v>
      </c>
      <c r="B712" t="s">
        <v>494</v>
      </c>
      <c r="C712" t="s">
        <v>1504</v>
      </c>
      <c r="D712">
        <f t="shared" si="11"/>
        <v>0</v>
      </c>
      <c r="E712" t="s">
        <v>19</v>
      </c>
      <c r="F712" t="s">
        <v>2455</v>
      </c>
      <c r="G712" t="s">
        <v>326</v>
      </c>
    </row>
    <row r="713" spans="1:7" hidden="1" x14ac:dyDescent="0.3">
      <c r="A713" t="s">
        <v>171</v>
      </c>
      <c r="B713" t="s">
        <v>1131</v>
      </c>
      <c r="C713" t="s">
        <v>1530</v>
      </c>
      <c r="D713">
        <f t="shared" si="11"/>
        <v>0</v>
      </c>
      <c r="E713" t="s">
        <v>19</v>
      </c>
      <c r="F713" t="s">
        <v>2656</v>
      </c>
      <c r="G713" t="s">
        <v>326</v>
      </c>
    </row>
    <row r="714" spans="1:7" hidden="1" x14ac:dyDescent="0.3">
      <c r="A714" t="s">
        <v>171</v>
      </c>
      <c r="B714" t="s">
        <v>1177</v>
      </c>
      <c r="C714" t="s">
        <v>1564</v>
      </c>
      <c r="D714">
        <f t="shared" si="11"/>
        <v>0</v>
      </c>
      <c r="E714" t="s">
        <v>19</v>
      </c>
      <c r="F714" t="s">
        <v>2773</v>
      </c>
      <c r="G714" t="s">
        <v>326</v>
      </c>
    </row>
    <row r="715" spans="1:7" hidden="1" x14ac:dyDescent="0.3">
      <c r="A715" t="s">
        <v>171</v>
      </c>
      <c r="B715" t="s">
        <v>494</v>
      </c>
      <c r="C715" t="s">
        <v>1591</v>
      </c>
      <c r="D715">
        <f t="shared" si="11"/>
        <v>0</v>
      </c>
      <c r="E715" t="s">
        <v>19</v>
      </c>
      <c r="F715" t="s">
        <v>2847</v>
      </c>
      <c r="G715" t="s">
        <v>326</v>
      </c>
    </row>
    <row r="716" spans="1:7" hidden="1" x14ac:dyDescent="0.3">
      <c r="A716" t="s">
        <v>172</v>
      </c>
      <c r="B716" t="s">
        <v>786</v>
      </c>
      <c r="C716" t="s">
        <v>1330</v>
      </c>
      <c r="D716">
        <f t="shared" si="11"/>
        <v>0</v>
      </c>
      <c r="E716" t="s">
        <v>19</v>
      </c>
      <c r="F716" t="s">
        <v>1881</v>
      </c>
      <c r="G716" t="s">
        <v>326</v>
      </c>
    </row>
    <row r="717" spans="1:7" hidden="1" x14ac:dyDescent="0.3">
      <c r="A717" t="s">
        <v>172</v>
      </c>
      <c r="B717" t="s">
        <v>786</v>
      </c>
      <c r="C717" t="s">
        <v>1456</v>
      </c>
      <c r="D717">
        <f t="shared" si="11"/>
        <v>0</v>
      </c>
      <c r="E717" t="s">
        <v>19</v>
      </c>
      <c r="F717" t="s">
        <v>2344</v>
      </c>
      <c r="G717" t="s">
        <v>326</v>
      </c>
    </row>
    <row r="718" spans="1:7" hidden="1" x14ac:dyDescent="0.3">
      <c r="A718" t="s">
        <v>172</v>
      </c>
      <c r="B718" t="s">
        <v>786</v>
      </c>
      <c r="C718" t="s">
        <v>1456</v>
      </c>
      <c r="D718">
        <f t="shared" si="11"/>
        <v>0</v>
      </c>
      <c r="E718" t="s">
        <v>19</v>
      </c>
      <c r="F718" t="s">
        <v>2345</v>
      </c>
      <c r="G718" t="s">
        <v>326</v>
      </c>
    </row>
    <row r="719" spans="1:7" hidden="1" x14ac:dyDescent="0.3">
      <c r="A719" t="s">
        <v>172</v>
      </c>
      <c r="B719" t="s">
        <v>1045</v>
      </c>
      <c r="C719" t="s">
        <v>1484</v>
      </c>
      <c r="D719">
        <f t="shared" si="11"/>
        <v>0</v>
      </c>
      <c r="E719" t="s">
        <v>19</v>
      </c>
      <c r="F719" t="s">
        <v>2402</v>
      </c>
      <c r="G719" t="s">
        <v>326</v>
      </c>
    </row>
    <row r="720" spans="1:7" hidden="1" x14ac:dyDescent="0.3">
      <c r="A720" t="s">
        <v>173</v>
      </c>
      <c r="B720" t="s">
        <v>496</v>
      </c>
      <c r="C720" t="s">
        <v>1278</v>
      </c>
      <c r="D720">
        <f t="shared" si="11"/>
        <v>0</v>
      </c>
      <c r="E720" t="s">
        <v>19</v>
      </c>
      <c r="F720" t="s">
        <v>1708</v>
      </c>
      <c r="G720" t="s">
        <v>326</v>
      </c>
    </row>
    <row r="721" spans="1:7" hidden="1" x14ac:dyDescent="0.3">
      <c r="A721" t="s">
        <v>173</v>
      </c>
      <c r="B721" t="s">
        <v>706</v>
      </c>
      <c r="C721" t="s">
        <v>1289</v>
      </c>
      <c r="D721">
        <f t="shared" si="11"/>
        <v>0</v>
      </c>
      <c r="E721" t="s">
        <v>19</v>
      </c>
      <c r="F721" t="s">
        <v>1744</v>
      </c>
      <c r="G721" t="s">
        <v>326</v>
      </c>
    </row>
    <row r="722" spans="1:7" hidden="1" x14ac:dyDescent="0.3">
      <c r="A722" t="s">
        <v>173</v>
      </c>
      <c r="B722" t="s">
        <v>741</v>
      </c>
      <c r="C722" t="s">
        <v>1296</v>
      </c>
      <c r="D722">
        <f t="shared" si="11"/>
        <v>0</v>
      </c>
      <c r="E722" t="s">
        <v>19</v>
      </c>
      <c r="F722" t="s">
        <v>1794</v>
      </c>
      <c r="G722" t="s">
        <v>326</v>
      </c>
    </row>
    <row r="723" spans="1:7" hidden="1" x14ac:dyDescent="0.3">
      <c r="A723" t="s">
        <v>173</v>
      </c>
      <c r="B723" t="s">
        <v>743</v>
      </c>
      <c r="C723" t="s">
        <v>1296</v>
      </c>
      <c r="D723">
        <f t="shared" si="11"/>
        <v>0</v>
      </c>
      <c r="E723" t="s">
        <v>19</v>
      </c>
      <c r="F723" t="s">
        <v>1797</v>
      </c>
      <c r="G723" t="s">
        <v>326</v>
      </c>
    </row>
    <row r="724" spans="1:7" hidden="1" x14ac:dyDescent="0.3">
      <c r="A724" t="s">
        <v>173</v>
      </c>
      <c r="B724" t="s">
        <v>828</v>
      </c>
      <c r="C724" t="s">
        <v>1341</v>
      </c>
      <c r="D724">
        <f t="shared" si="11"/>
        <v>0</v>
      </c>
      <c r="E724" t="s">
        <v>19</v>
      </c>
      <c r="F724" t="s">
        <v>1960</v>
      </c>
      <c r="G724" t="s">
        <v>326</v>
      </c>
    </row>
    <row r="725" spans="1:7" hidden="1" x14ac:dyDescent="0.3">
      <c r="A725" t="s">
        <v>173</v>
      </c>
      <c r="B725" t="s">
        <v>828</v>
      </c>
      <c r="C725" t="s">
        <v>1341</v>
      </c>
      <c r="D725">
        <f t="shared" si="11"/>
        <v>0</v>
      </c>
      <c r="E725" t="s">
        <v>19</v>
      </c>
      <c r="F725" t="s">
        <v>1967</v>
      </c>
      <c r="G725" t="s">
        <v>326</v>
      </c>
    </row>
    <row r="726" spans="1:7" hidden="1" x14ac:dyDescent="0.3">
      <c r="A726" t="s">
        <v>173</v>
      </c>
      <c r="B726" t="s">
        <v>829</v>
      </c>
      <c r="C726" t="s">
        <v>1341</v>
      </c>
      <c r="D726">
        <f t="shared" si="11"/>
        <v>0</v>
      </c>
      <c r="E726" t="s">
        <v>19</v>
      </c>
      <c r="F726" t="s">
        <v>1968</v>
      </c>
      <c r="G726" t="s">
        <v>326</v>
      </c>
    </row>
    <row r="727" spans="1:7" hidden="1" x14ac:dyDescent="0.3">
      <c r="A727" t="s">
        <v>173</v>
      </c>
      <c r="B727" t="s">
        <v>830</v>
      </c>
      <c r="C727" t="s">
        <v>1341</v>
      </c>
      <c r="D727">
        <f t="shared" si="11"/>
        <v>0</v>
      </c>
      <c r="E727" t="s">
        <v>19</v>
      </c>
      <c r="F727" t="s">
        <v>1971</v>
      </c>
      <c r="G727" t="s">
        <v>326</v>
      </c>
    </row>
    <row r="728" spans="1:7" hidden="1" x14ac:dyDescent="0.3">
      <c r="A728" t="s">
        <v>173</v>
      </c>
      <c r="B728" t="s">
        <v>832</v>
      </c>
      <c r="C728" t="s">
        <v>1341</v>
      </c>
      <c r="D728">
        <f t="shared" si="11"/>
        <v>0</v>
      </c>
      <c r="E728" t="s">
        <v>19</v>
      </c>
      <c r="F728" t="s">
        <v>1974</v>
      </c>
      <c r="G728" t="s">
        <v>326</v>
      </c>
    </row>
    <row r="729" spans="1:7" hidden="1" x14ac:dyDescent="0.3">
      <c r="A729" t="s">
        <v>173</v>
      </c>
      <c r="B729" t="s">
        <v>835</v>
      </c>
      <c r="C729" t="s">
        <v>1341</v>
      </c>
      <c r="D729">
        <f t="shared" si="11"/>
        <v>0</v>
      </c>
      <c r="E729" t="s">
        <v>19</v>
      </c>
      <c r="F729" t="s">
        <v>1978</v>
      </c>
      <c r="G729" t="s">
        <v>326</v>
      </c>
    </row>
    <row r="730" spans="1:7" hidden="1" x14ac:dyDescent="0.3">
      <c r="A730" t="s">
        <v>173</v>
      </c>
      <c r="B730" t="s">
        <v>741</v>
      </c>
      <c r="C730" t="s">
        <v>1365</v>
      </c>
      <c r="D730">
        <f t="shared" si="11"/>
        <v>0</v>
      </c>
      <c r="E730" t="s">
        <v>19</v>
      </c>
      <c r="F730" t="s">
        <v>2043</v>
      </c>
      <c r="G730" t="s">
        <v>326</v>
      </c>
    </row>
    <row r="731" spans="1:7" hidden="1" x14ac:dyDescent="0.3">
      <c r="A731" t="s">
        <v>173</v>
      </c>
      <c r="B731" t="s">
        <v>741</v>
      </c>
      <c r="C731" t="s">
        <v>1365</v>
      </c>
      <c r="D731">
        <f t="shared" si="11"/>
        <v>0</v>
      </c>
      <c r="E731" t="s">
        <v>19</v>
      </c>
      <c r="F731" t="s">
        <v>2044</v>
      </c>
      <c r="G731" t="s">
        <v>326</v>
      </c>
    </row>
    <row r="732" spans="1:7" hidden="1" x14ac:dyDescent="0.3">
      <c r="A732" t="s">
        <v>173</v>
      </c>
      <c r="B732" t="s">
        <v>835</v>
      </c>
      <c r="C732" t="s">
        <v>1373</v>
      </c>
      <c r="D732">
        <f t="shared" si="11"/>
        <v>0</v>
      </c>
      <c r="E732" t="s">
        <v>19</v>
      </c>
      <c r="F732" t="s">
        <v>2088</v>
      </c>
      <c r="G732" t="s">
        <v>326</v>
      </c>
    </row>
    <row r="733" spans="1:7" hidden="1" x14ac:dyDescent="0.3">
      <c r="A733" t="s">
        <v>173</v>
      </c>
      <c r="B733" t="s">
        <v>900</v>
      </c>
      <c r="C733" t="s">
        <v>1386</v>
      </c>
      <c r="D733">
        <f t="shared" si="11"/>
        <v>0</v>
      </c>
      <c r="E733" t="s">
        <v>19</v>
      </c>
      <c r="F733" t="s">
        <v>2108</v>
      </c>
      <c r="G733" t="s">
        <v>326</v>
      </c>
    </row>
    <row r="734" spans="1:7" hidden="1" x14ac:dyDescent="0.3">
      <c r="A734" t="s">
        <v>173</v>
      </c>
      <c r="B734" t="s">
        <v>900</v>
      </c>
      <c r="C734" t="s">
        <v>1388</v>
      </c>
      <c r="D734">
        <f t="shared" si="11"/>
        <v>0</v>
      </c>
      <c r="E734" t="s">
        <v>19</v>
      </c>
      <c r="F734" t="s">
        <v>2115</v>
      </c>
      <c r="G734" t="s">
        <v>326</v>
      </c>
    </row>
    <row r="735" spans="1:7" hidden="1" x14ac:dyDescent="0.3">
      <c r="A735" t="s">
        <v>173</v>
      </c>
      <c r="B735" t="s">
        <v>919</v>
      </c>
      <c r="C735" t="s">
        <v>1399</v>
      </c>
      <c r="D735">
        <f t="shared" si="11"/>
        <v>0</v>
      </c>
      <c r="E735" t="s">
        <v>19</v>
      </c>
      <c r="F735" t="s">
        <v>2157</v>
      </c>
      <c r="G735" t="s">
        <v>326</v>
      </c>
    </row>
    <row r="736" spans="1:7" hidden="1" x14ac:dyDescent="0.3">
      <c r="A736" t="s">
        <v>173</v>
      </c>
      <c r="B736" t="s">
        <v>496</v>
      </c>
      <c r="C736" t="s">
        <v>1399</v>
      </c>
      <c r="D736">
        <f t="shared" si="11"/>
        <v>0</v>
      </c>
      <c r="E736" t="s">
        <v>19</v>
      </c>
      <c r="F736" t="s">
        <v>2163</v>
      </c>
      <c r="G736" t="s">
        <v>326</v>
      </c>
    </row>
    <row r="737" spans="1:7" hidden="1" x14ac:dyDescent="0.3">
      <c r="A737" t="s">
        <v>173</v>
      </c>
      <c r="B737" t="s">
        <v>919</v>
      </c>
      <c r="C737" t="s">
        <v>1399</v>
      </c>
      <c r="D737">
        <f t="shared" si="11"/>
        <v>0</v>
      </c>
      <c r="E737" t="s">
        <v>19</v>
      </c>
      <c r="F737" t="s">
        <v>2165</v>
      </c>
      <c r="G737" t="s">
        <v>326</v>
      </c>
    </row>
    <row r="738" spans="1:7" hidden="1" x14ac:dyDescent="0.3">
      <c r="A738" t="s">
        <v>173</v>
      </c>
      <c r="B738" t="s">
        <v>900</v>
      </c>
      <c r="C738" t="s">
        <v>1401</v>
      </c>
      <c r="D738">
        <f t="shared" si="11"/>
        <v>0</v>
      </c>
      <c r="E738" t="s">
        <v>19</v>
      </c>
      <c r="F738" t="s">
        <v>2178</v>
      </c>
      <c r="G738" t="s">
        <v>326</v>
      </c>
    </row>
    <row r="739" spans="1:7" hidden="1" x14ac:dyDescent="0.3">
      <c r="A739" t="s">
        <v>173</v>
      </c>
      <c r="B739" t="s">
        <v>741</v>
      </c>
      <c r="C739" t="s">
        <v>1401</v>
      </c>
      <c r="D739">
        <f t="shared" si="11"/>
        <v>0</v>
      </c>
      <c r="E739" t="s">
        <v>19</v>
      </c>
      <c r="F739" t="s">
        <v>2182</v>
      </c>
      <c r="G739" t="s">
        <v>326</v>
      </c>
    </row>
    <row r="740" spans="1:7" hidden="1" x14ac:dyDescent="0.3">
      <c r="A740" t="s">
        <v>173</v>
      </c>
      <c r="B740" t="s">
        <v>900</v>
      </c>
      <c r="C740" t="s">
        <v>1428</v>
      </c>
      <c r="D740">
        <f t="shared" si="11"/>
        <v>0</v>
      </c>
      <c r="E740" t="s">
        <v>19</v>
      </c>
      <c r="F740" t="s">
        <v>2270</v>
      </c>
      <c r="G740" t="s">
        <v>326</v>
      </c>
    </row>
    <row r="741" spans="1:7" hidden="1" x14ac:dyDescent="0.3">
      <c r="A741" t="s">
        <v>173</v>
      </c>
      <c r="B741" t="s">
        <v>988</v>
      </c>
      <c r="C741" t="s">
        <v>1435</v>
      </c>
      <c r="D741">
        <f t="shared" si="11"/>
        <v>0</v>
      </c>
      <c r="E741" t="s">
        <v>19</v>
      </c>
      <c r="F741" t="s">
        <v>2285</v>
      </c>
      <c r="G741" t="s">
        <v>326</v>
      </c>
    </row>
    <row r="742" spans="1:7" hidden="1" x14ac:dyDescent="0.3">
      <c r="A742" t="s">
        <v>173</v>
      </c>
      <c r="B742" t="s">
        <v>832</v>
      </c>
      <c r="C742" t="s">
        <v>1446</v>
      </c>
      <c r="D742">
        <f t="shared" si="11"/>
        <v>0</v>
      </c>
      <c r="E742" t="s">
        <v>19</v>
      </c>
      <c r="F742" t="s">
        <v>2320</v>
      </c>
      <c r="G742" t="s">
        <v>326</v>
      </c>
    </row>
    <row r="743" spans="1:7" hidden="1" x14ac:dyDescent="0.3">
      <c r="A743" t="s">
        <v>173</v>
      </c>
      <c r="B743" t="s">
        <v>832</v>
      </c>
      <c r="C743" t="s">
        <v>1478</v>
      </c>
      <c r="D743">
        <f t="shared" si="11"/>
        <v>0</v>
      </c>
      <c r="E743" t="s">
        <v>19</v>
      </c>
      <c r="F743" t="s">
        <v>2392</v>
      </c>
      <c r="G743" t="s">
        <v>326</v>
      </c>
    </row>
    <row r="744" spans="1:7" hidden="1" x14ac:dyDescent="0.3">
      <c r="A744" t="s">
        <v>173</v>
      </c>
      <c r="B744" t="s">
        <v>828</v>
      </c>
      <c r="C744" t="s">
        <v>1494</v>
      </c>
      <c r="D744">
        <f t="shared" si="11"/>
        <v>0</v>
      </c>
      <c r="E744" t="s">
        <v>19</v>
      </c>
      <c r="F744" t="s">
        <v>2430</v>
      </c>
      <c r="G744" t="s">
        <v>326</v>
      </c>
    </row>
    <row r="745" spans="1:7" hidden="1" x14ac:dyDescent="0.3">
      <c r="A745" t="s">
        <v>173</v>
      </c>
      <c r="B745" t="s">
        <v>1058</v>
      </c>
      <c r="C745" t="s">
        <v>1499</v>
      </c>
      <c r="D745">
        <f t="shared" si="11"/>
        <v>0</v>
      </c>
      <c r="E745" t="s">
        <v>19</v>
      </c>
      <c r="F745" t="s">
        <v>2435</v>
      </c>
      <c r="G745" t="s">
        <v>326</v>
      </c>
    </row>
    <row r="746" spans="1:7" hidden="1" x14ac:dyDescent="0.3">
      <c r="A746" t="s">
        <v>173</v>
      </c>
      <c r="B746" t="s">
        <v>1058</v>
      </c>
      <c r="C746" t="s">
        <v>1496</v>
      </c>
      <c r="D746">
        <f t="shared" si="11"/>
        <v>0</v>
      </c>
      <c r="E746" t="s">
        <v>19</v>
      </c>
      <c r="F746" t="s">
        <v>2442</v>
      </c>
      <c r="G746" t="s">
        <v>326</v>
      </c>
    </row>
    <row r="747" spans="1:7" hidden="1" x14ac:dyDescent="0.3">
      <c r="A747" t="s">
        <v>173</v>
      </c>
      <c r="B747" t="s">
        <v>741</v>
      </c>
      <c r="C747" t="s">
        <v>1577</v>
      </c>
      <c r="D747">
        <f t="shared" si="11"/>
        <v>0</v>
      </c>
      <c r="E747" t="s">
        <v>19</v>
      </c>
      <c r="F747" t="s">
        <v>2826</v>
      </c>
      <c r="G747" t="s">
        <v>326</v>
      </c>
    </row>
    <row r="748" spans="1:7" hidden="1" x14ac:dyDescent="0.3">
      <c r="A748" t="s">
        <v>173</v>
      </c>
      <c r="B748" t="s">
        <v>1198</v>
      </c>
      <c r="C748" t="s">
        <v>1593</v>
      </c>
      <c r="D748">
        <f t="shared" si="11"/>
        <v>0</v>
      </c>
      <c r="E748" t="s">
        <v>19</v>
      </c>
      <c r="F748" t="s">
        <v>2863</v>
      </c>
      <c r="G748" t="s">
        <v>326</v>
      </c>
    </row>
    <row r="749" spans="1:7" hidden="1" x14ac:dyDescent="0.3">
      <c r="A749" t="s">
        <v>173</v>
      </c>
      <c r="B749" t="s">
        <v>496</v>
      </c>
      <c r="C749" t="s">
        <v>1593</v>
      </c>
      <c r="D749">
        <f t="shared" si="11"/>
        <v>0</v>
      </c>
      <c r="E749" t="s">
        <v>19</v>
      </c>
      <c r="F749" t="s">
        <v>2865</v>
      </c>
      <c r="G749" t="s">
        <v>326</v>
      </c>
    </row>
    <row r="750" spans="1:7" hidden="1" x14ac:dyDescent="0.3">
      <c r="A750" t="s">
        <v>173</v>
      </c>
      <c r="B750" t="s">
        <v>1232</v>
      </c>
      <c r="C750" t="s">
        <v>1627</v>
      </c>
      <c r="D750">
        <f t="shared" si="11"/>
        <v>0</v>
      </c>
      <c r="E750" t="s">
        <v>19</v>
      </c>
      <c r="F750" t="s">
        <v>2992</v>
      </c>
      <c r="G750" t="s">
        <v>326</v>
      </c>
    </row>
    <row r="751" spans="1:7" hidden="1" x14ac:dyDescent="0.3">
      <c r="A751" t="s">
        <v>174</v>
      </c>
      <c r="B751" t="s">
        <v>497</v>
      </c>
      <c r="C751" t="s">
        <v>1368</v>
      </c>
      <c r="D751">
        <f t="shared" si="11"/>
        <v>0</v>
      </c>
      <c r="E751" t="s">
        <v>19</v>
      </c>
      <c r="F751" t="s">
        <v>2072</v>
      </c>
      <c r="G751" t="s">
        <v>326</v>
      </c>
    </row>
    <row r="752" spans="1:7" hidden="1" x14ac:dyDescent="0.3">
      <c r="A752" t="s">
        <v>174</v>
      </c>
      <c r="B752" t="s">
        <v>901</v>
      </c>
      <c r="C752" t="s">
        <v>1390</v>
      </c>
      <c r="D752">
        <f t="shared" si="11"/>
        <v>0</v>
      </c>
      <c r="E752" t="s">
        <v>19</v>
      </c>
      <c r="F752" t="s">
        <v>2117</v>
      </c>
      <c r="G752" t="s">
        <v>326</v>
      </c>
    </row>
    <row r="753" spans="1:7" hidden="1" x14ac:dyDescent="0.3">
      <c r="A753" t="s">
        <v>174</v>
      </c>
      <c r="B753" t="s">
        <v>1025</v>
      </c>
      <c r="C753" t="s">
        <v>1463</v>
      </c>
      <c r="D753">
        <f t="shared" si="11"/>
        <v>0</v>
      </c>
      <c r="E753" t="s">
        <v>19</v>
      </c>
      <c r="F753" t="s">
        <v>2366</v>
      </c>
      <c r="G753" t="s">
        <v>326</v>
      </c>
    </row>
    <row r="754" spans="1:7" hidden="1" x14ac:dyDescent="0.3">
      <c r="A754" t="s">
        <v>174</v>
      </c>
      <c r="B754" t="s">
        <v>1027</v>
      </c>
      <c r="C754" t="s">
        <v>1464</v>
      </c>
      <c r="D754">
        <f t="shared" si="11"/>
        <v>0</v>
      </c>
      <c r="E754" t="s">
        <v>19</v>
      </c>
      <c r="F754" t="s">
        <v>2369</v>
      </c>
      <c r="G754" t="s">
        <v>326</v>
      </c>
    </row>
    <row r="755" spans="1:7" hidden="1" x14ac:dyDescent="0.3">
      <c r="A755" t="s">
        <v>174</v>
      </c>
      <c r="B755" t="s">
        <v>497</v>
      </c>
      <c r="C755" t="s">
        <v>1464</v>
      </c>
      <c r="D755">
        <f t="shared" si="11"/>
        <v>0</v>
      </c>
      <c r="E755" t="s">
        <v>19</v>
      </c>
      <c r="F755" t="s">
        <v>2370</v>
      </c>
      <c r="G755" t="s">
        <v>326</v>
      </c>
    </row>
    <row r="756" spans="1:7" hidden="1" x14ac:dyDescent="0.3">
      <c r="A756" t="s">
        <v>174</v>
      </c>
      <c r="B756" t="s">
        <v>1072</v>
      </c>
      <c r="C756" t="s">
        <v>1517</v>
      </c>
      <c r="D756">
        <f t="shared" si="11"/>
        <v>0</v>
      </c>
      <c r="E756" t="s">
        <v>19</v>
      </c>
      <c r="F756" t="s">
        <v>2500</v>
      </c>
      <c r="G756" t="s">
        <v>326</v>
      </c>
    </row>
    <row r="757" spans="1:7" hidden="1" x14ac:dyDescent="0.3">
      <c r="A757" t="s">
        <v>174</v>
      </c>
      <c r="B757" t="s">
        <v>497</v>
      </c>
      <c r="C757" t="s">
        <v>1530</v>
      </c>
      <c r="D757">
        <f t="shared" si="11"/>
        <v>0</v>
      </c>
      <c r="E757" t="s">
        <v>19</v>
      </c>
      <c r="F757" t="s">
        <v>2651</v>
      </c>
      <c r="G757" t="s">
        <v>326</v>
      </c>
    </row>
    <row r="758" spans="1:7" hidden="1" x14ac:dyDescent="0.3">
      <c r="A758" t="s">
        <v>174</v>
      </c>
      <c r="B758" t="s">
        <v>1129</v>
      </c>
      <c r="C758" t="s">
        <v>1530</v>
      </c>
      <c r="D758">
        <f t="shared" si="11"/>
        <v>0</v>
      </c>
      <c r="E758" t="s">
        <v>19</v>
      </c>
      <c r="F758" t="s">
        <v>2652</v>
      </c>
      <c r="G758" t="s">
        <v>326</v>
      </c>
    </row>
    <row r="759" spans="1:7" hidden="1" x14ac:dyDescent="0.3">
      <c r="A759" t="s">
        <v>174</v>
      </c>
      <c r="B759" t="s">
        <v>1130</v>
      </c>
      <c r="C759" t="s">
        <v>1530</v>
      </c>
      <c r="D759">
        <f t="shared" si="11"/>
        <v>0</v>
      </c>
      <c r="E759" t="s">
        <v>19</v>
      </c>
      <c r="F759" t="s">
        <v>2654</v>
      </c>
      <c r="G759" t="s">
        <v>326</v>
      </c>
    </row>
    <row r="760" spans="1:7" hidden="1" x14ac:dyDescent="0.3">
      <c r="A760" t="s">
        <v>174</v>
      </c>
      <c r="B760" t="s">
        <v>497</v>
      </c>
      <c r="C760" t="s">
        <v>1548</v>
      </c>
      <c r="D760">
        <f t="shared" si="11"/>
        <v>0</v>
      </c>
      <c r="E760" t="s">
        <v>19</v>
      </c>
      <c r="F760" t="s">
        <v>2692</v>
      </c>
      <c r="G760" t="s">
        <v>326</v>
      </c>
    </row>
    <row r="761" spans="1:7" hidden="1" x14ac:dyDescent="0.3">
      <c r="A761" t="s">
        <v>174</v>
      </c>
      <c r="B761" t="s">
        <v>497</v>
      </c>
      <c r="C761" t="s">
        <v>1557</v>
      </c>
      <c r="D761">
        <f t="shared" si="11"/>
        <v>0</v>
      </c>
      <c r="E761" t="s">
        <v>19</v>
      </c>
      <c r="F761" t="s">
        <v>2709</v>
      </c>
      <c r="G761" t="s">
        <v>326</v>
      </c>
    </row>
    <row r="762" spans="1:7" hidden="1" x14ac:dyDescent="0.3">
      <c r="A762" t="s">
        <v>174</v>
      </c>
      <c r="B762" t="s">
        <v>1165</v>
      </c>
      <c r="C762" t="s">
        <v>1557</v>
      </c>
      <c r="D762">
        <f t="shared" si="11"/>
        <v>0</v>
      </c>
      <c r="E762" t="s">
        <v>19</v>
      </c>
      <c r="F762" t="s">
        <v>2744</v>
      </c>
      <c r="G762" t="s">
        <v>326</v>
      </c>
    </row>
    <row r="763" spans="1:7" hidden="1" x14ac:dyDescent="0.3">
      <c r="A763" t="s">
        <v>175</v>
      </c>
      <c r="B763" t="s">
        <v>672</v>
      </c>
      <c r="C763" t="s">
        <v>1277</v>
      </c>
      <c r="D763">
        <f t="shared" si="11"/>
        <v>0</v>
      </c>
      <c r="E763" t="s">
        <v>19</v>
      </c>
      <c r="F763" t="s">
        <v>1688</v>
      </c>
      <c r="G763" t="s">
        <v>326</v>
      </c>
    </row>
    <row r="764" spans="1:7" hidden="1" x14ac:dyDescent="0.3">
      <c r="A764" t="s">
        <v>175</v>
      </c>
      <c r="B764" t="s">
        <v>501</v>
      </c>
      <c r="C764" t="s">
        <v>1278</v>
      </c>
      <c r="D764">
        <f t="shared" si="11"/>
        <v>0</v>
      </c>
      <c r="E764" t="s">
        <v>19</v>
      </c>
      <c r="F764" t="s">
        <v>1694</v>
      </c>
      <c r="G764" t="s">
        <v>326</v>
      </c>
    </row>
    <row r="765" spans="1:7" hidden="1" x14ac:dyDescent="0.3">
      <c r="A765" t="s">
        <v>175</v>
      </c>
      <c r="B765" t="s">
        <v>676</v>
      </c>
      <c r="C765" t="s">
        <v>1278</v>
      </c>
      <c r="D765">
        <f t="shared" si="11"/>
        <v>0</v>
      </c>
      <c r="E765" t="s">
        <v>19</v>
      </c>
      <c r="F765" t="s">
        <v>1695</v>
      </c>
      <c r="G765" t="s">
        <v>326</v>
      </c>
    </row>
    <row r="766" spans="1:7" hidden="1" x14ac:dyDescent="0.3">
      <c r="A766" t="s">
        <v>175</v>
      </c>
      <c r="B766" t="s">
        <v>785</v>
      </c>
      <c r="C766" t="s">
        <v>1328</v>
      </c>
      <c r="D766">
        <f t="shared" si="11"/>
        <v>0</v>
      </c>
      <c r="E766" t="s">
        <v>19</v>
      </c>
      <c r="F766" t="s">
        <v>1878</v>
      </c>
      <c r="G766" t="s">
        <v>326</v>
      </c>
    </row>
    <row r="767" spans="1:7" hidden="1" x14ac:dyDescent="0.3">
      <c r="A767" t="s">
        <v>175</v>
      </c>
      <c r="B767" t="s">
        <v>785</v>
      </c>
      <c r="C767" t="s">
        <v>1328</v>
      </c>
      <c r="D767">
        <f t="shared" si="11"/>
        <v>0</v>
      </c>
      <c r="E767" t="s">
        <v>19</v>
      </c>
      <c r="F767" t="s">
        <v>1879</v>
      </c>
      <c r="G767" t="s">
        <v>326</v>
      </c>
    </row>
    <row r="768" spans="1:7" hidden="1" x14ac:dyDescent="0.3">
      <c r="A768" t="s">
        <v>175</v>
      </c>
      <c r="B768" t="s">
        <v>804</v>
      </c>
      <c r="C768" t="s">
        <v>1341</v>
      </c>
      <c r="D768">
        <f t="shared" si="11"/>
        <v>0</v>
      </c>
      <c r="E768" t="s">
        <v>19</v>
      </c>
      <c r="F768" t="s">
        <v>1911</v>
      </c>
      <c r="G768" t="s">
        <v>326</v>
      </c>
    </row>
    <row r="769" spans="1:7" hidden="1" x14ac:dyDescent="0.3">
      <c r="A769" t="s">
        <v>175</v>
      </c>
      <c r="B769" t="s">
        <v>805</v>
      </c>
      <c r="C769" t="s">
        <v>1341</v>
      </c>
      <c r="D769">
        <f t="shared" si="11"/>
        <v>0</v>
      </c>
      <c r="E769" t="s">
        <v>19</v>
      </c>
      <c r="F769" t="s">
        <v>1912</v>
      </c>
      <c r="G769" t="s">
        <v>326</v>
      </c>
    </row>
    <row r="770" spans="1:7" hidden="1" x14ac:dyDescent="0.3">
      <c r="A770" t="s">
        <v>175</v>
      </c>
      <c r="B770" t="s">
        <v>501</v>
      </c>
      <c r="C770" t="s">
        <v>1341</v>
      </c>
      <c r="D770">
        <f t="shared" ref="D770:D833" si="12">SIGN(SUBTOTAL(3,E770))</f>
        <v>0</v>
      </c>
      <c r="E770" t="s">
        <v>19</v>
      </c>
      <c r="F770" t="s">
        <v>1913</v>
      </c>
      <c r="G770" t="s">
        <v>326</v>
      </c>
    </row>
    <row r="771" spans="1:7" hidden="1" x14ac:dyDescent="0.3">
      <c r="A771" t="s">
        <v>175</v>
      </c>
      <c r="B771" t="s">
        <v>806</v>
      </c>
      <c r="C771" t="s">
        <v>1341</v>
      </c>
      <c r="D771">
        <f t="shared" si="12"/>
        <v>0</v>
      </c>
      <c r="E771" t="s">
        <v>19</v>
      </c>
      <c r="F771" t="s">
        <v>1914</v>
      </c>
      <c r="G771" t="s">
        <v>326</v>
      </c>
    </row>
    <row r="772" spans="1:7" hidden="1" x14ac:dyDescent="0.3">
      <c r="A772" t="s">
        <v>175</v>
      </c>
      <c r="B772" t="s">
        <v>807</v>
      </c>
      <c r="C772" t="s">
        <v>1341</v>
      </c>
      <c r="D772">
        <f t="shared" si="12"/>
        <v>0</v>
      </c>
      <c r="E772" t="s">
        <v>19</v>
      </c>
      <c r="F772" t="s">
        <v>1915</v>
      </c>
      <c r="G772" t="s">
        <v>326</v>
      </c>
    </row>
    <row r="773" spans="1:7" hidden="1" x14ac:dyDescent="0.3">
      <c r="A773" t="s">
        <v>175</v>
      </c>
      <c r="B773" t="s">
        <v>499</v>
      </c>
      <c r="C773" t="s">
        <v>1341</v>
      </c>
      <c r="D773">
        <f t="shared" si="12"/>
        <v>0</v>
      </c>
      <c r="E773" t="s">
        <v>19</v>
      </c>
      <c r="F773" t="s">
        <v>1916</v>
      </c>
      <c r="G773" t="s">
        <v>326</v>
      </c>
    </row>
    <row r="774" spans="1:7" hidden="1" x14ac:dyDescent="0.3">
      <c r="A774" t="s">
        <v>175</v>
      </c>
      <c r="B774" t="s">
        <v>501</v>
      </c>
      <c r="C774" t="s">
        <v>1341</v>
      </c>
      <c r="D774">
        <f t="shared" si="12"/>
        <v>0</v>
      </c>
      <c r="E774" t="s">
        <v>19</v>
      </c>
      <c r="F774" t="s">
        <v>1917</v>
      </c>
      <c r="G774" t="s">
        <v>326</v>
      </c>
    </row>
    <row r="775" spans="1:7" hidden="1" x14ac:dyDescent="0.3">
      <c r="A775" t="s">
        <v>175</v>
      </c>
      <c r="B775" t="s">
        <v>502</v>
      </c>
      <c r="C775" t="s">
        <v>1341</v>
      </c>
      <c r="D775">
        <f t="shared" si="12"/>
        <v>0</v>
      </c>
      <c r="E775" t="s">
        <v>19</v>
      </c>
      <c r="F775" t="s">
        <v>1961</v>
      </c>
      <c r="G775" t="s">
        <v>326</v>
      </c>
    </row>
    <row r="776" spans="1:7" hidden="1" x14ac:dyDescent="0.3">
      <c r="A776" t="s">
        <v>175</v>
      </c>
      <c r="B776" t="s">
        <v>501</v>
      </c>
      <c r="C776" t="s">
        <v>1341</v>
      </c>
      <c r="D776">
        <f t="shared" si="12"/>
        <v>0</v>
      </c>
      <c r="E776" t="s">
        <v>19</v>
      </c>
      <c r="F776" t="s">
        <v>1964</v>
      </c>
      <c r="G776" t="s">
        <v>326</v>
      </c>
    </row>
    <row r="777" spans="1:7" hidden="1" x14ac:dyDescent="0.3">
      <c r="A777" t="s">
        <v>175</v>
      </c>
      <c r="B777" t="s">
        <v>672</v>
      </c>
      <c r="C777" t="s">
        <v>1341</v>
      </c>
      <c r="D777">
        <f t="shared" si="12"/>
        <v>0</v>
      </c>
      <c r="E777" t="s">
        <v>19</v>
      </c>
      <c r="F777" t="s">
        <v>1975</v>
      </c>
      <c r="G777" t="s">
        <v>326</v>
      </c>
    </row>
    <row r="778" spans="1:7" hidden="1" x14ac:dyDescent="0.3">
      <c r="A778" t="s">
        <v>175</v>
      </c>
      <c r="B778" t="s">
        <v>498</v>
      </c>
      <c r="C778" t="s">
        <v>1343</v>
      </c>
      <c r="D778">
        <f t="shared" si="12"/>
        <v>0</v>
      </c>
      <c r="E778" t="s">
        <v>19</v>
      </c>
      <c r="F778" t="s">
        <v>1988</v>
      </c>
      <c r="G778" t="s">
        <v>326</v>
      </c>
    </row>
    <row r="779" spans="1:7" hidden="1" x14ac:dyDescent="0.3">
      <c r="A779" t="s">
        <v>175</v>
      </c>
      <c r="B779" t="s">
        <v>858</v>
      </c>
      <c r="C779" t="s">
        <v>1356</v>
      </c>
      <c r="D779">
        <f t="shared" si="12"/>
        <v>0</v>
      </c>
      <c r="E779" t="s">
        <v>19</v>
      </c>
      <c r="F779" t="s">
        <v>2028</v>
      </c>
      <c r="G779" t="s">
        <v>326</v>
      </c>
    </row>
    <row r="780" spans="1:7" hidden="1" x14ac:dyDescent="0.3">
      <c r="A780" t="s">
        <v>175</v>
      </c>
      <c r="B780" t="s">
        <v>909</v>
      </c>
      <c r="C780" t="s">
        <v>1398</v>
      </c>
      <c r="D780">
        <f t="shared" si="12"/>
        <v>0</v>
      </c>
      <c r="E780" t="s">
        <v>19</v>
      </c>
      <c r="F780" t="s">
        <v>2129</v>
      </c>
      <c r="G780" t="s">
        <v>326</v>
      </c>
    </row>
    <row r="781" spans="1:7" hidden="1" x14ac:dyDescent="0.3">
      <c r="A781" t="s">
        <v>175</v>
      </c>
      <c r="B781" t="s">
        <v>499</v>
      </c>
      <c r="C781" t="s">
        <v>1399</v>
      </c>
      <c r="D781">
        <f t="shared" si="12"/>
        <v>0</v>
      </c>
      <c r="E781" t="s">
        <v>19</v>
      </c>
      <c r="F781" t="s">
        <v>2132</v>
      </c>
      <c r="G781" t="s">
        <v>326</v>
      </c>
    </row>
    <row r="782" spans="1:7" hidden="1" x14ac:dyDescent="0.3">
      <c r="A782" t="s">
        <v>175</v>
      </c>
      <c r="B782" t="s">
        <v>501</v>
      </c>
      <c r="C782" t="s">
        <v>1399</v>
      </c>
      <c r="D782">
        <f t="shared" si="12"/>
        <v>0</v>
      </c>
      <c r="E782" t="s">
        <v>19</v>
      </c>
      <c r="F782" t="s">
        <v>2146</v>
      </c>
      <c r="G782" t="s">
        <v>326</v>
      </c>
    </row>
    <row r="783" spans="1:7" hidden="1" x14ac:dyDescent="0.3">
      <c r="A783" t="s">
        <v>175</v>
      </c>
      <c r="B783" t="s">
        <v>923</v>
      </c>
      <c r="C783" t="s">
        <v>1399</v>
      </c>
      <c r="D783">
        <f t="shared" si="12"/>
        <v>0</v>
      </c>
      <c r="E783" t="s">
        <v>19</v>
      </c>
      <c r="F783" t="s">
        <v>2166</v>
      </c>
      <c r="G783" t="s">
        <v>326</v>
      </c>
    </row>
    <row r="784" spans="1:7" hidden="1" x14ac:dyDescent="0.3">
      <c r="A784" t="s">
        <v>175</v>
      </c>
      <c r="B784" t="s">
        <v>925</v>
      </c>
      <c r="C784" t="s">
        <v>1401</v>
      </c>
      <c r="D784">
        <f t="shared" si="12"/>
        <v>0</v>
      </c>
      <c r="E784" t="s">
        <v>19</v>
      </c>
      <c r="F784" t="s">
        <v>2169</v>
      </c>
      <c r="G784" t="s">
        <v>326</v>
      </c>
    </row>
    <row r="785" spans="1:7" hidden="1" x14ac:dyDescent="0.3">
      <c r="A785" t="s">
        <v>175</v>
      </c>
      <c r="B785" t="s">
        <v>501</v>
      </c>
      <c r="C785" t="s">
        <v>1401</v>
      </c>
      <c r="D785">
        <f t="shared" si="12"/>
        <v>0</v>
      </c>
      <c r="E785" t="s">
        <v>19</v>
      </c>
      <c r="F785" t="s">
        <v>2170</v>
      </c>
      <c r="G785" t="s">
        <v>326</v>
      </c>
    </row>
    <row r="786" spans="1:7" hidden="1" x14ac:dyDescent="0.3">
      <c r="A786" t="s">
        <v>175</v>
      </c>
      <c r="B786" t="s">
        <v>805</v>
      </c>
      <c r="C786" t="s">
        <v>1401</v>
      </c>
      <c r="D786">
        <f t="shared" si="12"/>
        <v>0</v>
      </c>
      <c r="E786" t="s">
        <v>19</v>
      </c>
      <c r="F786" t="s">
        <v>2171</v>
      </c>
      <c r="G786" t="s">
        <v>326</v>
      </c>
    </row>
    <row r="787" spans="1:7" hidden="1" x14ac:dyDescent="0.3">
      <c r="A787" t="s">
        <v>175</v>
      </c>
      <c r="B787" t="s">
        <v>672</v>
      </c>
      <c r="C787" t="s">
        <v>1401</v>
      </c>
      <c r="D787">
        <f t="shared" si="12"/>
        <v>0</v>
      </c>
      <c r="E787" t="s">
        <v>19</v>
      </c>
      <c r="F787" t="s">
        <v>2176</v>
      </c>
      <c r="G787" t="s">
        <v>326</v>
      </c>
    </row>
    <row r="788" spans="1:7" hidden="1" x14ac:dyDescent="0.3">
      <c r="A788" t="s">
        <v>175</v>
      </c>
      <c r="B788" t="s">
        <v>785</v>
      </c>
      <c r="C788" t="s">
        <v>1407</v>
      </c>
      <c r="D788">
        <f t="shared" si="12"/>
        <v>0</v>
      </c>
      <c r="E788" t="s">
        <v>19</v>
      </c>
      <c r="F788" t="s">
        <v>2190</v>
      </c>
      <c r="G788" t="s">
        <v>326</v>
      </c>
    </row>
    <row r="789" spans="1:7" hidden="1" x14ac:dyDescent="0.3">
      <c r="A789" t="s">
        <v>175</v>
      </c>
      <c r="B789" t="s">
        <v>951</v>
      </c>
      <c r="C789" t="s">
        <v>1416</v>
      </c>
      <c r="D789">
        <f t="shared" si="12"/>
        <v>0</v>
      </c>
      <c r="E789" t="s">
        <v>19</v>
      </c>
      <c r="F789" t="s">
        <v>2228</v>
      </c>
      <c r="G789" t="s">
        <v>326</v>
      </c>
    </row>
    <row r="790" spans="1:7" hidden="1" x14ac:dyDescent="0.3">
      <c r="A790" t="s">
        <v>175</v>
      </c>
      <c r="B790" t="s">
        <v>952</v>
      </c>
      <c r="C790" t="s">
        <v>1416</v>
      </c>
      <c r="D790">
        <f t="shared" si="12"/>
        <v>0</v>
      </c>
      <c r="E790" t="s">
        <v>19</v>
      </c>
      <c r="F790" t="s">
        <v>2229</v>
      </c>
      <c r="G790" t="s">
        <v>326</v>
      </c>
    </row>
    <row r="791" spans="1:7" hidden="1" x14ac:dyDescent="0.3">
      <c r="A791" t="s">
        <v>175</v>
      </c>
      <c r="B791" t="s">
        <v>953</v>
      </c>
      <c r="C791" t="s">
        <v>1416</v>
      </c>
      <c r="D791">
        <f t="shared" si="12"/>
        <v>0</v>
      </c>
      <c r="E791" t="s">
        <v>19</v>
      </c>
      <c r="F791" t="s">
        <v>2230</v>
      </c>
      <c r="G791" t="s">
        <v>326</v>
      </c>
    </row>
    <row r="792" spans="1:7" hidden="1" x14ac:dyDescent="0.3">
      <c r="A792" t="s">
        <v>175</v>
      </c>
      <c r="B792" t="s">
        <v>954</v>
      </c>
      <c r="C792" t="s">
        <v>1416</v>
      </c>
      <c r="D792">
        <f t="shared" si="12"/>
        <v>0</v>
      </c>
      <c r="E792" t="s">
        <v>19</v>
      </c>
      <c r="F792" t="s">
        <v>2231</v>
      </c>
      <c r="G792" t="s">
        <v>326</v>
      </c>
    </row>
    <row r="793" spans="1:7" hidden="1" x14ac:dyDescent="0.3">
      <c r="A793" t="s">
        <v>175</v>
      </c>
      <c r="B793" t="s">
        <v>498</v>
      </c>
      <c r="C793" t="s">
        <v>1442</v>
      </c>
      <c r="D793">
        <f t="shared" si="12"/>
        <v>0</v>
      </c>
      <c r="E793" t="s">
        <v>19</v>
      </c>
      <c r="F793" t="s">
        <v>2299</v>
      </c>
      <c r="G793" t="s">
        <v>326</v>
      </c>
    </row>
    <row r="794" spans="1:7" hidden="1" x14ac:dyDescent="0.3">
      <c r="A794" t="s">
        <v>175</v>
      </c>
      <c r="B794" t="s">
        <v>1004</v>
      </c>
      <c r="C794" t="s">
        <v>1442</v>
      </c>
      <c r="D794">
        <f t="shared" si="12"/>
        <v>0</v>
      </c>
      <c r="E794" t="s">
        <v>19</v>
      </c>
      <c r="F794" t="s">
        <v>2308</v>
      </c>
      <c r="G794" t="s">
        <v>326</v>
      </c>
    </row>
    <row r="795" spans="1:7" hidden="1" x14ac:dyDescent="0.3">
      <c r="A795" t="s">
        <v>175</v>
      </c>
      <c r="B795" t="s">
        <v>1005</v>
      </c>
      <c r="C795" t="s">
        <v>1442</v>
      </c>
      <c r="D795">
        <f t="shared" si="12"/>
        <v>0</v>
      </c>
      <c r="E795" t="s">
        <v>19</v>
      </c>
      <c r="F795" t="s">
        <v>2309</v>
      </c>
      <c r="G795" t="s">
        <v>326</v>
      </c>
    </row>
    <row r="796" spans="1:7" hidden="1" x14ac:dyDescent="0.3">
      <c r="A796" t="s">
        <v>175</v>
      </c>
      <c r="B796" t="s">
        <v>1006</v>
      </c>
      <c r="C796" t="s">
        <v>1442</v>
      </c>
      <c r="D796">
        <f t="shared" si="12"/>
        <v>0</v>
      </c>
      <c r="E796" t="s">
        <v>19</v>
      </c>
      <c r="F796" t="s">
        <v>2310</v>
      </c>
      <c r="G796" t="s">
        <v>326</v>
      </c>
    </row>
    <row r="797" spans="1:7" hidden="1" x14ac:dyDescent="0.3">
      <c r="A797" t="s">
        <v>175</v>
      </c>
      <c r="B797" t="s">
        <v>502</v>
      </c>
      <c r="C797" t="s">
        <v>1443</v>
      </c>
      <c r="D797">
        <f t="shared" si="12"/>
        <v>0</v>
      </c>
      <c r="E797" t="s">
        <v>19</v>
      </c>
      <c r="F797" t="s">
        <v>2311</v>
      </c>
      <c r="G797" t="s">
        <v>326</v>
      </c>
    </row>
    <row r="798" spans="1:7" hidden="1" x14ac:dyDescent="0.3">
      <c r="A798" t="s">
        <v>175</v>
      </c>
      <c r="B798" t="s">
        <v>1004</v>
      </c>
      <c r="C798" t="s">
        <v>1443</v>
      </c>
      <c r="D798">
        <f t="shared" si="12"/>
        <v>0</v>
      </c>
      <c r="E798" t="s">
        <v>19</v>
      </c>
      <c r="F798" t="s">
        <v>2312</v>
      </c>
      <c r="G798" t="s">
        <v>326</v>
      </c>
    </row>
    <row r="799" spans="1:7" hidden="1" x14ac:dyDescent="0.3">
      <c r="A799" t="s">
        <v>175</v>
      </c>
      <c r="B799" t="s">
        <v>502</v>
      </c>
      <c r="C799" t="s">
        <v>1443</v>
      </c>
      <c r="D799">
        <f t="shared" si="12"/>
        <v>0</v>
      </c>
      <c r="E799" t="s">
        <v>19</v>
      </c>
      <c r="F799" t="s">
        <v>2313</v>
      </c>
      <c r="G799" t="s">
        <v>326</v>
      </c>
    </row>
    <row r="800" spans="1:7" hidden="1" x14ac:dyDescent="0.3">
      <c r="A800" t="s">
        <v>175</v>
      </c>
      <c r="B800" t="s">
        <v>498</v>
      </c>
      <c r="C800" t="s">
        <v>1442</v>
      </c>
      <c r="D800">
        <f t="shared" si="12"/>
        <v>0</v>
      </c>
      <c r="E800" t="s">
        <v>19</v>
      </c>
      <c r="F800" t="s">
        <v>2314</v>
      </c>
      <c r="G800" t="s">
        <v>326</v>
      </c>
    </row>
    <row r="801" spans="1:7" hidden="1" x14ac:dyDescent="0.3">
      <c r="A801" t="s">
        <v>175</v>
      </c>
      <c r="B801" t="s">
        <v>1017</v>
      </c>
      <c r="C801" t="s">
        <v>1454</v>
      </c>
      <c r="D801">
        <f t="shared" si="12"/>
        <v>0</v>
      </c>
      <c r="E801" t="s">
        <v>19</v>
      </c>
      <c r="F801" t="s">
        <v>2337</v>
      </c>
      <c r="G801" t="s">
        <v>326</v>
      </c>
    </row>
    <row r="802" spans="1:7" hidden="1" x14ac:dyDescent="0.3">
      <c r="A802" t="s">
        <v>175</v>
      </c>
      <c r="B802" t="s">
        <v>672</v>
      </c>
      <c r="C802" t="s">
        <v>1456</v>
      </c>
      <c r="D802">
        <f t="shared" si="12"/>
        <v>0</v>
      </c>
      <c r="E802" t="s">
        <v>19</v>
      </c>
      <c r="F802" t="s">
        <v>2346</v>
      </c>
      <c r="G802" t="s">
        <v>326</v>
      </c>
    </row>
    <row r="803" spans="1:7" hidden="1" x14ac:dyDescent="0.3">
      <c r="A803" t="s">
        <v>175</v>
      </c>
      <c r="B803" t="s">
        <v>1021</v>
      </c>
      <c r="C803" t="s">
        <v>1457</v>
      </c>
      <c r="D803">
        <f t="shared" si="12"/>
        <v>0</v>
      </c>
      <c r="E803" t="s">
        <v>19</v>
      </c>
      <c r="F803" t="s">
        <v>2349</v>
      </c>
      <c r="G803" t="s">
        <v>326</v>
      </c>
    </row>
    <row r="804" spans="1:7" hidden="1" x14ac:dyDescent="0.3">
      <c r="A804" t="s">
        <v>175</v>
      </c>
      <c r="B804" t="s">
        <v>1022</v>
      </c>
      <c r="C804" t="s">
        <v>1457</v>
      </c>
      <c r="D804">
        <f t="shared" si="12"/>
        <v>0</v>
      </c>
      <c r="E804" t="s">
        <v>19</v>
      </c>
      <c r="F804" t="s">
        <v>2353</v>
      </c>
      <c r="G804" t="s">
        <v>326</v>
      </c>
    </row>
    <row r="805" spans="1:7" hidden="1" x14ac:dyDescent="0.3">
      <c r="A805" t="s">
        <v>175</v>
      </c>
      <c r="B805" t="s">
        <v>1006</v>
      </c>
      <c r="C805" t="s">
        <v>1457</v>
      </c>
      <c r="D805">
        <f t="shared" si="12"/>
        <v>0</v>
      </c>
      <c r="E805" t="s">
        <v>19</v>
      </c>
      <c r="F805" t="s">
        <v>2354</v>
      </c>
      <c r="G805" t="s">
        <v>326</v>
      </c>
    </row>
    <row r="806" spans="1:7" hidden="1" x14ac:dyDescent="0.3">
      <c r="A806" t="s">
        <v>175</v>
      </c>
      <c r="B806" t="s">
        <v>1021</v>
      </c>
      <c r="C806" t="s">
        <v>1457</v>
      </c>
      <c r="D806">
        <f t="shared" si="12"/>
        <v>0</v>
      </c>
      <c r="E806" t="s">
        <v>19</v>
      </c>
      <c r="F806" t="s">
        <v>2355</v>
      </c>
      <c r="G806" t="s">
        <v>326</v>
      </c>
    </row>
    <row r="807" spans="1:7" hidden="1" x14ac:dyDescent="0.3">
      <c r="A807" t="s">
        <v>175</v>
      </c>
      <c r="B807" t="s">
        <v>913</v>
      </c>
      <c r="C807" t="s">
        <v>1465</v>
      </c>
      <c r="D807">
        <f t="shared" si="12"/>
        <v>0</v>
      </c>
      <c r="E807" t="s">
        <v>19</v>
      </c>
      <c r="F807" t="s">
        <v>2375</v>
      </c>
      <c r="G807" t="s">
        <v>326</v>
      </c>
    </row>
    <row r="808" spans="1:7" hidden="1" x14ac:dyDescent="0.3">
      <c r="A808" t="s">
        <v>175</v>
      </c>
      <c r="B808" t="s">
        <v>785</v>
      </c>
      <c r="C808" t="s">
        <v>1496</v>
      </c>
      <c r="D808">
        <f t="shared" si="12"/>
        <v>0</v>
      </c>
      <c r="E808" t="s">
        <v>19</v>
      </c>
      <c r="F808" t="s">
        <v>2441</v>
      </c>
      <c r="G808" t="s">
        <v>326</v>
      </c>
    </row>
    <row r="809" spans="1:7" hidden="1" x14ac:dyDescent="0.3">
      <c r="A809" t="s">
        <v>175</v>
      </c>
      <c r="B809" t="s">
        <v>1115</v>
      </c>
      <c r="C809" t="s">
        <v>1526</v>
      </c>
      <c r="D809">
        <f t="shared" si="12"/>
        <v>0</v>
      </c>
      <c r="E809" t="s">
        <v>19</v>
      </c>
      <c r="F809" t="s">
        <v>2580</v>
      </c>
      <c r="G809" t="s">
        <v>326</v>
      </c>
    </row>
    <row r="810" spans="1:7" hidden="1" x14ac:dyDescent="0.3">
      <c r="A810" t="s">
        <v>175</v>
      </c>
      <c r="B810" t="s">
        <v>1115</v>
      </c>
      <c r="C810" t="s">
        <v>1551</v>
      </c>
      <c r="D810">
        <f t="shared" si="12"/>
        <v>0</v>
      </c>
      <c r="E810" t="s">
        <v>19</v>
      </c>
      <c r="F810" t="s">
        <v>2696</v>
      </c>
      <c r="G810" t="s">
        <v>326</v>
      </c>
    </row>
    <row r="811" spans="1:7" hidden="1" x14ac:dyDescent="0.3">
      <c r="A811" t="s">
        <v>175</v>
      </c>
      <c r="B811" t="s">
        <v>1146</v>
      </c>
      <c r="C811" t="s">
        <v>1555</v>
      </c>
      <c r="D811">
        <f t="shared" si="12"/>
        <v>0</v>
      </c>
      <c r="E811" t="s">
        <v>19</v>
      </c>
      <c r="F811" t="s">
        <v>2705</v>
      </c>
      <c r="G811" t="s">
        <v>326</v>
      </c>
    </row>
    <row r="812" spans="1:7" hidden="1" x14ac:dyDescent="0.3">
      <c r="A812" t="s">
        <v>175</v>
      </c>
      <c r="B812" t="s">
        <v>1147</v>
      </c>
      <c r="C812" t="s">
        <v>1556</v>
      </c>
      <c r="D812">
        <f t="shared" si="12"/>
        <v>0</v>
      </c>
      <c r="E812" t="s">
        <v>19</v>
      </c>
      <c r="F812" t="s">
        <v>2706</v>
      </c>
      <c r="G812" t="s">
        <v>326</v>
      </c>
    </row>
    <row r="813" spans="1:7" hidden="1" x14ac:dyDescent="0.3">
      <c r="A813" t="s">
        <v>175</v>
      </c>
      <c r="B813" t="s">
        <v>807</v>
      </c>
      <c r="C813" t="s">
        <v>1576</v>
      </c>
      <c r="D813">
        <f t="shared" si="12"/>
        <v>0</v>
      </c>
      <c r="E813" t="s">
        <v>19</v>
      </c>
      <c r="F813" t="s">
        <v>2813</v>
      </c>
      <c r="G813" t="s">
        <v>326</v>
      </c>
    </row>
    <row r="814" spans="1:7" hidden="1" x14ac:dyDescent="0.3">
      <c r="A814" t="s">
        <v>175</v>
      </c>
      <c r="B814" t="s">
        <v>676</v>
      </c>
      <c r="C814" t="s">
        <v>1577</v>
      </c>
      <c r="D814">
        <f t="shared" si="12"/>
        <v>0</v>
      </c>
      <c r="E814" t="s">
        <v>19</v>
      </c>
      <c r="F814" t="s">
        <v>2830</v>
      </c>
      <c r="G814" t="s">
        <v>326</v>
      </c>
    </row>
    <row r="815" spans="1:7" hidden="1" x14ac:dyDescent="0.3">
      <c r="A815" t="s">
        <v>175</v>
      </c>
      <c r="B815" t="s">
        <v>1022</v>
      </c>
      <c r="C815" t="s">
        <v>1593</v>
      </c>
      <c r="D815">
        <f t="shared" si="12"/>
        <v>0</v>
      </c>
      <c r="E815" t="s">
        <v>19</v>
      </c>
      <c r="F815" t="s">
        <v>2860</v>
      </c>
      <c r="G815" t="s">
        <v>326</v>
      </c>
    </row>
    <row r="816" spans="1:7" hidden="1" x14ac:dyDescent="0.3">
      <c r="A816" t="s">
        <v>175</v>
      </c>
      <c r="B816" t="s">
        <v>1207</v>
      </c>
      <c r="C816" t="s">
        <v>1605</v>
      </c>
      <c r="D816">
        <f t="shared" si="12"/>
        <v>0</v>
      </c>
      <c r="E816" t="s">
        <v>19</v>
      </c>
      <c r="F816" t="s">
        <v>2907</v>
      </c>
      <c r="G816" t="s">
        <v>326</v>
      </c>
    </row>
    <row r="817" spans="1:7" hidden="1" x14ac:dyDescent="0.3">
      <c r="A817" t="s">
        <v>175</v>
      </c>
      <c r="B817" t="s">
        <v>1208</v>
      </c>
      <c r="C817" t="s">
        <v>1605</v>
      </c>
      <c r="D817">
        <f t="shared" si="12"/>
        <v>0</v>
      </c>
      <c r="E817" t="s">
        <v>19</v>
      </c>
      <c r="F817" t="s">
        <v>2908</v>
      </c>
      <c r="G817" t="s">
        <v>326</v>
      </c>
    </row>
    <row r="818" spans="1:7" hidden="1" x14ac:dyDescent="0.3">
      <c r="A818" t="s">
        <v>175</v>
      </c>
      <c r="B818" t="s">
        <v>785</v>
      </c>
      <c r="C818" t="s">
        <v>1629</v>
      </c>
      <c r="D818">
        <f t="shared" si="12"/>
        <v>0</v>
      </c>
      <c r="E818" t="s">
        <v>19</v>
      </c>
      <c r="F818" t="s">
        <v>3000</v>
      </c>
      <c r="G818" t="s">
        <v>326</v>
      </c>
    </row>
    <row r="819" spans="1:7" hidden="1" x14ac:dyDescent="0.3">
      <c r="A819" t="s">
        <v>175</v>
      </c>
      <c r="B819" t="s">
        <v>1115</v>
      </c>
      <c r="C819" t="s">
        <v>1630</v>
      </c>
      <c r="D819">
        <f t="shared" si="12"/>
        <v>0</v>
      </c>
      <c r="E819" t="s">
        <v>19</v>
      </c>
      <c r="F819" t="s">
        <v>3003</v>
      </c>
      <c r="G819" t="s">
        <v>326</v>
      </c>
    </row>
    <row r="820" spans="1:7" hidden="1" x14ac:dyDescent="0.3">
      <c r="A820" t="s">
        <v>175</v>
      </c>
      <c r="B820" t="s">
        <v>501</v>
      </c>
      <c r="C820" t="s">
        <v>1630</v>
      </c>
      <c r="D820">
        <f t="shared" si="12"/>
        <v>0</v>
      </c>
      <c r="E820" t="s">
        <v>19</v>
      </c>
      <c r="F820" t="s">
        <v>3004</v>
      </c>
      <c r="G820" t="s">
        <v>326</v>
      </c>
    </row>
    <row r="821" spans="1:7" hidden="1" x14ac:dyDescent="0.3">
      <c r="A821" t="s">
        <v>175</v>
      </c>
      <c r="B821" t="s">
        <v>1236</v>
      </c>
      <c r="C821" t="s">
        <v>1630</v>
      </c>
      <c r="D821">
        <f t="shared" si="12"/>
        <v>0</v>
      </c>
      <c r="E821" t="s">
        <v>19</v>
      </c>
      <c r="F821" t="s">
        <v>3005</v>
      </c>
      <c r="G821" t="s">
        <v>326</v>
      </c>
    </row>
    <row r="822" spans="1:7" hidden="1" x14ac:dyDescent="0.3">
      <c r="A822" t="s">
        <v>175</v>
      </c>
      <c r="B822" t="s">
        <v>1238</v>
      </c>
      <c r="C822" t="s">
        <v>1638</v>
      </c>
      <c r="D822">
        <f t="shared" si="12"/>
        <v>0</v>
      </c>
      <c r="E822" t="s">
        <v>19</v>
      </c>
      <c r="F822" t="s">
        <v>3014</v>
      </c>
      <c r="G822" t="s">
        <v>326</v>
      </c>
    </row>
    <row r="823" spans="1:7" hidden="1" x14ac:dyDescent="0.3">
      <c r="A823" t="s">
        <v>175</v>
      </c>
      <c r="B823" t="s">
        <v>1243</v>
      </c>
      <c r="C823" t="s">
        <v>1645</v>
      </c>
      <c r="D823">
        <f t="shared" si="12"/>
        <v>0</v>
      </c>
      <c r="E823" t="s">
        <v>19</v>
      </c>
      <c r="F823" t="s">
        <v>3021</v>
      </c>
      <c r="G823" t="s">
        <v>326</v>
      </c>
    </row>
    <row r="824" spans="1:7" hidden="1" x14ac:dyDescent="0.3">
      <c r="A824" t="s">
        <v>176</v>
      </c>
      <c r="B824" t="s">
        <v>671</v>
      </c>
      <c r="C824" t="s">
        <v>1276</v>
      </c>
      <c r="D824">
        <f t="shared" si="12"/>
        <v>0</v>
      </c>
      <c r="E824" t="s">
        <v>19</v>
      </c>
      <c r="F824" t="s">
        <v>1686</v>
      </c>
      <c r="G824" t="s">
        <v>326</v>
      </c>
    </row>
    <row r="825" spans="1:7" hidden="1" x14ac:dyDescent="0.3">
      <c r="A825" t="s">
        <v>176</v>
      </c>
      <c r="B825" t="s">
        <v>506</v>
      </c>
      <c r="C825" t="s">
        <v>1278</v>
      </c>
      <c r="D825">
        <f t="shared" si="12"/>
        <v>0</v>
      </c>
      <c r="E825" t="s">
        <v>19</v>
      </c>
      <c r="F825" t="s">
        <v>1706</v>
      </c>
      <c r="G825" t="s">
        <v>326</v>
      </c>
    </row>
    <row r="826" spans="1:7" hidden="1" x14ac:dyDescent="0.3">
      <c r="A826" t="s">
        <v>176</v>
      </c>
      <c r="B826" t="s">
        <v>671</v>
      </c>
      <c r="C826" t="s">
        <v>1281</v>
      </c>
      <c r="D826">
        <f t="shared" si="12"/>
        <v>0</v>
      </c>
      <c r="E826" t="s">
        <v>19</v>
      </c>
      <c r="F826" t="s">
        <v>1710</v>
      </c>
      <c r="G826" t="s">
        <v>326</v>
      </c>
    </row>
    <row r="827" spans="1:7" hidden="1" x14ac:dyDescent="0.3">
      <c r="A827" t="s">
        <v>176</v>
      </c>
      <c r="B827" t="s">
        <v>671</v>
      </c>
      <c r="C827" t="s">
        <v>1289</v>
      </c>
      <c r="D827">
        <f t="shared" si="12"/>
        <v>0</v>
      </c>
      <c r="E827" t="s">
        <v>19</v>
      </c>
      <c r="F827" t="s">
        <v>1751</v>
      </c>
      <c r="G827" t="s">
        <v>326</v>
      </c>
    </row>
    <row r="828" spans="1:7" hidden="1" x14ac:dyDescent="0.3">
      <c r="A828" t="s">
        <v>176</v>
      </c>
      <c r="B828" t="s">
        <v>505</v>
      </c>
      <c r="C828" t="s">
        <v>1309</v>
      </c>
      <c r="D828">
        <f t="shared" si="12"/>
        <v>0</v>
      </c>
      <c r="E828" t="s">
        <v>19</v>
      </c>
      <c r="F828" t="s">
        <v>1825</v>
      </c>
      <c r="G828" t="s">
        <v>326</v>
      </c>
    </row>
    <row r="829" spans="1:7" hidden="1" x14ac:dyDescent="0.3">
      <c r="A829" t="s">
        <v>176</v>
      </c>
      <c r="B829" t="s">
        <v>684</v>
      </c>
      <c r="C829" t="s">
        <v>1313</v>
      </c>
      <c r="D829">
        <f t="shared" si="12"/>
        <v>0</v>
      </c>
      <c r="E829" t="s">
        <v>19</v>
      </c>
      <c r="F829" t="s">
        <v>1829</v>
      </c>
      <c r="G829" t="s">
        <v>326</v>
      </c>
    </row>
    <row r="830" spans="1:7" hidden="1" x14ac:dyDescent="0.3">
      <c r="A830" t="s">
        <v>176</v>
      </c>
      <c r="B830" t="s">
        <v>506</v>
      </c>
      <c r="C830" t="s">
        <v>1314</v>
      </c>
      <c r="D830">
        <f t="shared" si="12"/>
        <v>0</v>
      </c>
      <c r="E830" t="s">
        <v>19</v>
      </c>
      <c r="F830" t="s">
        <v>1830</v>
      </c>
      <c r="G830" t="s">
        <v>326</v>
      </c>
    </row>
    <row r="831" spans="1:7" hidden="1" x14ac:dyDescent="0.3">
      <c r="A831" t="s">
        <v>176</v>
      </c>
      <c r="B831" t="s">
        <v>671</v>
      </c>
      <c r="C831" t="s">
        <v>1341</v>
      </c>
      <c r="D831">
        <f t="shared" si="12"/>
        <v>0</v>
      </c>
      <c r="E831" t="s">
        <v>19</v>
      </c>
      <c r="F831" t="s">
        <v>1966</v>
      </c>
      <c r="G831" t="s">
        <v>326</v>
      </c>
    </row>
    <row r="832" spans="1:7" hidden="1" x14ac:dyDescent="0.3">
      <c r="A832" t="s">
        <v>176</v>
      </c>
      <c r="B832" t="s">
        <v>844</v>
      </c>
      <c r="C832" t="s">
        <v>1347</v>
      </c>
      <c r="D832">
        <f t="shared" si="12"/>
        <v>0</v>
      </c>
      <c r="E832" t="s">
        <v>19</v>
      </c>
      <c r="F832" t="s">
        <v>2000</v>
      </c>
      <c r="G832" t="s">
        <v>326</v>
      </c>
    </row>
    <row r="833" spans="1:7" hidden="1" x14ac:dyDescent="0.3">
      <c r="A833" t="s">
        <v>176</v>
      </c>
      <c r="B833" t="s">
        <v>506</v>
      </c>
      <c r="C833" t="s">
        <v>1347</v>
      </c>
      <c r="D833">
        <f t="shared" si="12"/>
        <v>0</v>
      </c>
      <c r="E833" t="s">
        <v>19</v>
      </c>
      <c r="F833" t="s">
        <v>2001</v>
      </c>
      <c r="G833" t="s">
        <v>326</v>
      </c>
    </row>
    <row r="834" spans="1:7" hidden="1" x14ac:dyDescent="0.3">
      <c r="A834" t="s">
        <v>176</v>
      </c>
      <c r="B834" t="s">
        <v>505</v>
      </c>
      <c r="C834" t="s">
        <v>1347</v>
      </c>
      <c r="D834">
        <f t="shared" ref="D834:D897" si="13">SIGN(SUBTOTAL(3,E834))</f>
        <v>0</v>
      </c>
      <c r="E834" t="s">
        <v>19</v>
      </c>
      <c r="F834" t="s">
        <v>2005</v>
      </c>
      <c r="G834" t="s">
        <v>326</v>
      </c>
    </row>
    <row r="835" spans="1:7" hidden="1" x14ac:dyDescent="0.3">
      <c r="A835" t="s">
        <v>176</v>
      </c>
      <c r="B835" t="s">
        <v>505</v>
      </c>
      <c r="C835" t="s">
        <v>1347</v>
      </c>
      <c r="D835">
        <f t="shared" si="13"/>
        <v>0</v>
      </c>
      <c r="E835" t="s">
        <v>19</v>
      </c>
      <c r="F835" t="s">
        <v>2006</v>
      </c>
      <c r="G835" t="s">
        <v>326</v>
      </c>
    </row>
    <row r="836" spans="1:7" hidden="1" x14ac:dyDescent="0.3">
      <c r="A836" t="s">
        <v>176</v>
      </c>
      <c r="B836" t="s">
        <v>506</v>
      </c>
      <c r="C836" t="s">
        <v>1347</v>
      </c>
      <c r="D836">
        <f t="shared" si="13"/>
        <v>0</v>
      </c>
      <c r="E836" t="s">
        <v>19</v>
      </c>
      <c r="F836" t="s">
        <v>2011</v>
      </c>
      <c r="G836" t="s">
        <v>326</v>
      </c>
    </row>
    <row r="837" spans="1:7" hidden="1" x14ac:dyDescent="0.3">
      <c r="A837" t="s">
        <v>176</v>
      </c>
      <c r="B837" t="s">
        <v>505</v>
      </c>
      <c r="C837" t="s">
        <v>1359</v>
      </c>
      <c r="D837">
        <f t="shared" si="13"/>
        <v>0</v>
      </c>
      <c r="E837" t="s">
        <v>19</v>
      </c>
      <c r="F837" t="s">
        <v>2033</v>
      </c>
      <c r="G837" t="s">
        <v>326</v>
      </c>
    </row>
    <row r="838" spans="1:7" hidden="1" x14ac:dyDescent="0.3">
      <c r="A838" t="s">
        <v>176</v>
      </c>
      <c r="B838" t="s">
        <v>506</v>
      </c>
      <c r="C838" t="s">
        <v>1363</v>
      </c>
      <c r="D838">
        <f t="shared" si="13"/>
        <v>0</v>
      </c>
      <c r="E838" t="s">
        <v>19</v>
      </c>
      <c r="F838" t="s">
        <v>2039</v>
      </c>
      <c r="G838" t="s">
        <v>326</v>
      </c>
    </row>
    <row r="839" spans="1:7" hidden="1" x14ac:dyDescent="0.3">
      <c r="A839" t="s">
        <v>176</v>
      </c>
      <c r="B839" t="s">
        <v>905</v>
      </c>
      <c r="C839" t="s">
        <v>1394</v>
      </c>
      <c r="D839">
        <f t="shared" si="13"/>
        <v>0</v>
      </c>
      <c r="E839" t="s">
        <v>19</v>
      </c>
      <c r="F839" t="s">
        <v>2123</v>
      </c>
      <c r="G839" t="s">
        <v>326</v>
      </c>
    </row>
    <row r="840" spans="1:7" hidden="1" x14ac:dyDescent="0.3">
      <c r="A840" t="s">
        <v>176</v>
      </c>
      <c r="B840" t="s">
        <v>844</v>
      </c>
      <c r="C840" t="s">
        <v>1407</v>
      </c>
      <c r="D840">
        <f t="shared" si="13"/>
        <v>0</v>
      </c>
      <c r="E840" t="s">
        <v>19</v>
      </c>
      <c r="F840" t="s">
        <v>2195</v>
      </c>
      <c r="G840" t="s">
        <v>326</v>
      </c>
    </row>
    <row r="841" spans="1:7" hidden="1" x14ac:dyDescent="0.3">
      <c r="A841" t="s">
        <v>176</v>
      </c>
      <c r="B841" t="s">
        <v>940</v>
      </c>
      <c r="C841" t="s">
        <v>1412</v>
      </c>
      <c r="D841">
        <f t="shared" si="13"/>
        <v>0</v>
      </c>
      <c r="E841" t="s">
        <v>19</v>
      </c>
      <c r="F841" t="s">
        <v>2211</v>
      </c>
      <c r="G841" t="s">
        <v>326</v>
      </c>
    </row>
    <row r="842" spans="1:7" hidden="1" x14ac:dyDescent="0.3">
      <c r="A842" t="s">
        <v>176</v>
      </c>
      <c r="B842" t="s">
        <v>946</v>
      </c>
      <c r="C842" t="s">
        <v>1415</v>
      </c>
      <c r="D842">
        <f t="shared" si="13"/>
        <v>0</v>
      </c>
      <c r="E842" t="s">
        <v>19</v>
      </c>
      <c r="F842" t="s">
        <v>2221</v>
      </c>
      <c r="G842" t="s">
        <v>326</v>
      </c>
    </row>
    <row r="843" spans="1:7" hidden="1" x14ac:dyDescent="0.3">
      <c r="A843" t="s">
        <v>176</v>
      </c>
      <c r="B843" t="s">
        <v>997</v>
      </c>
      <c r="C843" t="s">
        <v>1438</v>
      </c>
      <c r="D843">
        <f t="shared" si="13"/>
        <v>0</v>
      </c>
      <c r="E843" t="s">
        <v>19</v>
      </c>
      <c r="F843" t="s">
        <v>2295</v>
      </c>
      <c r="G843" t="s">
        <v>326</v>
      </c>
    </row>
    <row r="844" spans="1:7" hidden="1" x14ac:dyDescent="0.3">
      <c r="A844" t="s">
        <v>176</v>
      </c>
      <c r="B844" t="s">
        <v>844</v>
      </c>
      <c r="C844" t="s">
        <v>1506</v>
      </c>
      <c r="D844">
        <f t="shared" si="13"/>
        <v>0</v>
      </c>
      <c r="E844" t="s">
        <v>19</v>
      </c>
      <c r="F844" t="s">
        <v>2463</v>
      </c>
      <c r="G844" t="s">
        <v>326</v>
      </c>
    </row>
    <row r="845" spans="1:7" hidden="1" x14ac:dyDescent="0.3">
      <c r="A845" t="s">
        <v>176</v>
      </c>
      <c r="B845" t="s">
        <v>506</v>
      </c>
      <c r="C845" t="s">
        <v>1506</v>
      </c>
      <c r="D845">
        <f t="shared" si="13"/>
        <v>0</v>
      </c>
      <c r="E845" t="s">
        <v>19</v>
      </c>
      <c r="F845" t="s">
        <v>2465</v>
      </c>
      <c r="G845" t="s">
        <v>326</v>
      </c>
    </row>
    <row r="846" spans="1:7" hidden="1" x14ac:dyDescent="0.3">
      <c r="A846" t="s">
        <v>176</v>
      </c>
      <c r="B846" t="s">
        <v>505</v>
      </c>
      <c r="C846" t="s">
        <v>1506</v>
      </c>
      <c r="D846">
        <f t="shared" si="13"/>
        <v>0</v>
      </c>
      <c r="E846" t="s">
        <v>19</v>
      </c>
      <c r="F846" t="s">
        <v>2470</v>
      </c>
      <c r="G846" t="s">
        <v>326</v>
      </c>
    </row>
    <row r="847" spans="1:7" hidden="1" x14ac:dyDescent="0.3">
      <c r="A847" t="s">
        <v>176</v>
      </c>
      <c r="B847" t="s">
        <v>505</v>
      </c>
      <c r="C847" t="s">
        <v>1506</v>
      </c>
      <c r="D847">
        <f t="shared" si="13"/>
        <v>0</v>
      </c>
      <c r="E847" t="s">
        <v>19</v>
      </c>
      <c r="F847" t="s">
        <v>2471</v>
      </c>
      <c r="G847" t="s">
        <v>326</v>
      </c>
    </row>
    <row r="848" spans="1:7" hidden="1" x14ac:dyDescent="0.3">
      <c r="A848" t="s">
        <v>176</v>
      </c>
      <c r="B848" t="s">
        <v>506</v>
      </c>
      <c r="C848" t="s">
        <v>1506</v>
      </c>
      <c r="D848">
        <f t="shared" si="13"/>
        <v>0</v>
      </c>
      <c r="E848" t="s">
        <v>19</v>
      </c>
      <c r="F848" t="s">
        <v>2472</v>
      </c>
      <c r="G848" t="s">
        <v>326</v>
      </c>
    </row>
    <row r="849" spans="1:7" hidden="1" x14ac:dyDescent="0.3">
      <c r="A849" t="s">
        <v>176</v>
      </c>
      <c r="B849" t="s">
        <v>844</v>
      </c>
      <c r="C849" t="s">
        <v>1506</v>
      </c>
      <c r="D849">
        <f t="shared" si="13"/>
        <v>0</v>
      </c>
      <c r="E849" t="s">
        <v>19</v>
      </c>
      <c r="F849" t="s">
        <v>2473</v>
      </c>
      <c r="G849" t="s">
        <v>326</v>
      </c>
    </row>
    <row r="850" spans="1:7" hidden="1" x14ac:dyDescent="0.3">
      <c r="A850" t="s">
        <v>176</v>
      </c>
      <c r="B850" t="s">
        <v>505</v>
      </c>
      <c r="C850" t="s">
        <v>1506</v>
      </c>
      <c r="D850">
        <f t="shared" si="13"/>
        <v>0</v>
      </c>
      <c r="E850" t="s">
        <v>19</v>
      </c>
      <c r="F850" t="s">
        <v>2474</v>
      </c>
      <c r="G850" t="s">
        <v>326</v>
      </c>
    </row>
    <row r="851" spans="1:7" hidden="1" x14ac:dyDescent="0.3">
      <c r="A851" t="s">
        <v>176</v>
      </c>
      <c r="B851" t="s">
        <v>844</v>
      </c>
      <c r="C851" t="s">
        <v>1506</v>
      </c>
      <c r="D851">
        <f t="shared" si="13"/>
        <v>0</v>
      </c>
      <c r="E851" t="s">
        <v>19</v>
      </c>
      <c r="F851" t="s">
        <v>2475</v>
      </c>
      <c r="G851" t="s">
        <v>326</v>
      </c>
    </row>
    <row r="852" spans="1:7" hidden="1" x14ac:dyDescent="0.3">
      <c r="A852" t="s">
        <v>176</v>
      </c>
      <c r="B852" t="s">
        <v>844</v>
      </c>
      <c r="C852" t="s">
        <v>1506</v>
      </c>
      <c r="D852">
        <f t="shared" si="13"/>
        <v>0</v>
      </c>
      <c r="E852" t="s">
        <v>19</v>
      </c>
      <c r="F852" t="s">
        <v>2476</v>
      </c>
      <c r="G852" t="s">
        <v>326</v>
      </c>
    </row>
    <row r="853" spans="1:7" hidden="1" x14ac:dyDescent="0.3">
      <c r="A853" t="s">
        <v>176</v>
      </c>
      <c r="B853" t="s">
        <v>671</v>
      </c>
      <c r="C853" t="s">
        <v>1510</v>
      </c>
      <c r="D853">
        <f t="shared" si="13"/>
        <v>0</v>
      </c>
      <c r="E853" t="s">
        <v>19</v>
      </c>
      <c r="F853" t="s">
        <v>2489</v>
      </c>
      <c r="G853" t="s">
        <v>326</v>
      </c>
    </row>
    <row r="854" spans="1:7" hidden="1" x14ac:dyDescent="0.3">
      <c r="A854" t="s">
        <v>176</v>
      </c>
      <c r="B854" t="s">
        <v>844</v>
      </c>
      <c r="C854" t="s">
        <v>1528</v>
      </c>
      <c r="D854">
        <f t="shared" si="13"/>
        <v>0</v>
      </c>
      <c r="E854" t="s">
        <v>19</v>
      </c>
      <c r="F854" t="s">
        <v>2627</v>
      </c>
      <c r="G854" t="s">
        <v>326</v>
      </c>
    </row>
    <row r="855" spans="1:7" hidden="1" x14ac:dyDescent="0.3">
      <c r="A855" t="s">
        <v>176</v>
      </c>
      <c r="B855" t="s">
        <v>844</v>
      </c>
      <c r="C855" t="s">
        <v>1528</v>
      </c>
      <c r="D855">
        <f t="shared" si="13"/>
        <v>0</v>
      </c>
      <c r="E855" t="s">
        <v>19</v>
      </c>
      <c r="F855" t="s">
        <v>2629</v>
      </c>
      <c r="G855" t="s">
        <v>326</v>
      </c>
    </row>
    <row r="856" spans="1:7" hidden="1" x14ac:dyDescent="0.3">
      <c r="A856" t="s">
        <v>176</v>
      </c>
      <c r="B856" t="s">
        <v>505</v>
      </c>
      <c r="C856" t="s">
        <v>1528</v>
      </c>
      <c r="D856">
        <f t="shared" si="13"/>
        <v>0</v>
      </c>
      <c r="E856" t="s">
        <v>19</v>
      </c>
      <c r="F856" t="s">
        <v>2631</v>
      </c>
      <c r="G856" t="s">
        <v>326</v>
      </c>
    </row>
    <row r="857" spans="1:7" hidden="1" x14ac:dyDescent="0.3">
      <c r="A857" t="s">
        <v>176</v>
      </c>
      <c r="B857" t="s">
        <v>505</v>
      </c>
      <c r="C857" t="s">
        <v>1538</v>
      </c>
      <c r="D857">
        <f t="shared" si="13"/>
        <v>0</v>
      </c>
      <c r="E857" t="s">
        <v>19</v>
      </c>
      <c r="F857" t="s">
        <v>2679</v>
      </c>
      <c r="G857" t="s">
        <v>326</v>
      </c>
    </row>
    <row r="858" spans="1:7" hidden="1" x14ac:dyDescent="0.3">
      <c r="A858" t="s">
        <v>176</v>
      </c>
      <c r="B858" t="s">
        <v>844</v>
      </c>
      <c r="C858" t="s">
        <v>1576</v>
      </c>
      <c r="D858">
        <f t="shared" si="13"/>
        <v>0</v>
      </c>
      <c r="E858" t="s">
        <v>19</v>
      </c>
      <c r="F858" t="s">
        <v>2805</v>
      </c>
      <c r="G858" t="s">
        <v>326</v>
      </c>
    </row>
    <row r="859" spans="1:7" hidden="1" x14ac:dyDescent="0.3">
      <c r="A859" t="s">
        <v>176</v>
      </c>
      <c r="B859" t="s">
        <v>505</v>
      </c>
      <c r="C859" t="s">
        <v>1576</v>
      </c>
      <c r="D859">
        <f t="shared" si="13"/>
        <v>0</v>
      </c>
      <c r="E859" t="s">
        <v>19</v>
      </c>
      <c r="F859" t="s">
        <v>2819</v>
      </c>
      <c r="G859" t="s">
        <v>326</v>
      </c>
    </row>
    <row r="860" spans="1:7" hidden="1" x14ac:dyDescent="0.3">
      <c r="A860" t="s">
        <v>176</v>
      </c>
      <c r="B860" t="s">
        <v>506</v>
      </c>
      <c r="C860" t="s">
        <v>1597</v>
      </c>
      <c r="D860">
        <f t="shared" si="13"/>
        <v>0</v>
      </c>
      <c r="E860" t="s">
        <v>19</v>
      </c>
      <c r="F860" t="s">
        <v>2872</v>
      </c>
      <c r="G860" t="s">
        <v>326</v>
      </c>
    </row>
    <row r="861" spans="1:7" hidden="1" x14ac:dyDescent="0.3">
      <c r="A861" t="s">
        <v>176</v>
      </c>
      <c r="B861" t="s">
        <v>946</v>
      </c>
      <c r="C861" t="s">
        <v>1597</v>
      </c>
      <c r="D861">
        <f t="shared" si="13"/>
        <v>0</v>
      </c>
      <c r="E861" t="s">
        <v>19</v>
      </c>
      <c r="F861" t="s">
        <v>2880</v>
      </c>
      <c r="G861" t="s">
        <v>326</v>
      </c>
    </row>
    <row r="862" spans="1:7" hidden="1" x14ac:dyDescent="0.3">
      <c r="A862" t="s">
        <v>176</v>
      </c>
      <c r="B862" t="s">
        <v>505</v>
      </c>
      <c r="C862" t="s">
        <v>1597</v>
      </c>
      <c r="D862">
        <f t="shared" si="13"/>
        <v>0</v>
      </c>
      <c r="E862" t="s">
        <v>19</v>
      </c>
      <c r="F862" t="s">
        <v>2882</v>
      </c>
      <c r="G862" t="s">
        <v>326</v>
      </c>
    </row>
    <row r="863" spans="1:7" hidden="1" x14ac:dyDescent="0.3">
      <c r="A863" t="s">
        <v>176</v>
      </c>
      <c r="B863" t="s">
        <v>1201</v>
      </c>
      <c r="C863" t="s">
        <v>1597</v>
      </c>
      <c r="D863">
        <f t="shared" si="13"/>
        <v>0</v>
      </c>
      <c r="E863" t="s">
        <v>19</v>
      </c>
      <c r="F863" t="s">
        <v>2887</v>
      </c>
      <c r="G863" t="s">
        <v>326</v>
      </c>
    </row>
    <row r="864" spans="1:7" hidden="1" x14ac:dyDescent="0.3">
      <c r="A864" t="s">
        <v>176</v>
      </c>
      <c r="B864" t="s">
        <v>505</v>
      </c>
      <c r="C864" t="s">
        <v>1597</v>
      </c>
      <c r="D864">
        <f t="shared" si="13"/>
        <v>0</v>
      </c>
      <c r="E864" t="s">
        <v>19</v>
      </c>
      <c r="F864" t="s">
        <v>2891</v>
      </c>
      <c r="G864" t="s">
        <v>326</v>
      </c>
    </row>
    <row r="865" spans="1:7" hidden="1" x14ac:dyDescent="0.3">
      <c r="A865" t="s">
        <v>176</v>
      </c>
      <c r="B865" t="s">
        <v>506</v>
      </c>
      <c r="C865" t="s">
        <v>1618</v>
      </c>
      <c r="D865">
        <f t="shared" si="13"/>
        <v>0</v>
      </c>
      <c r="E865" t="s">
        <v>19</v>
      </c>
      <c r="F865" t="s">
        <v>2929</v>
      </c>
      <c r="G865" t="s">
        <v>326</v>
      </c>
    </row>
    <row r="866" spans="1:7" hidden="1" x14ac:dyDescent="0.3">
      <c r="A866" t="s">
        <v>176</v>
      </c>
      <c r="B866" t="s">
        <v>505</v>
      </c>
      <c r="C866" t="s">
        <v>1623</v>
      </c>
      <c r="D866">
        <f t="shared" si="13"/>
        <v>0</v>
      </c>
      <c r="E866" t="s">
        <v>19</v>
      </c>
      <c r="F866" t="s">
        <v>2957</v>
      </c>
      <c r="G866" t="s">
        <v>326</v>
      </c>
    </row>
    <row r="867" spans="1:7" hidden="1" x14ac:dyDescent="0.3">
      <c r="A867" t="s">
        <v>176</v>
      </c>
      <c r="B867" t="s">
        <v>506</v>
      </c>
      <c r="C867" t="s">
        <v>1623</v>
      </c>
      <c r="D867">
        <f t="shared" si="13"/>
        <v>0</v>
      </c>
      <c r="E867" t="s">
        <v>19</v>
      </c>
      <c r="F867" t="s">
        <v>2958</v>
      </c>
      <c r="G867" t="s">
        <v>326</v>
      </c>
    </row>
    <row r="868" spans="1:7" hidden="1" x14ac:dyDescent="0.3">
      <c r="A868" t="s">
        <v>176</v>
      </c>
      <c r="B868" t="s">
        <v>844</v>
      </c>
      <c r="C868" t="s">
        <v>1623</v>
      </c>
      <c r="D868">
        <f t="shared" si="13"/>
        <v>0</v>
      </c>
      <c r="E868" t="s">
        <v>19</v>
      </c>
      <c r="F868" t="s">
        <v>2959</v>
      </c>
      <c r="G868" t="s">
        <v>326</v>
      </c>
    </row>
    <row r="869" spans="1:7" hidden="1" x14ac:dyDescent="0.3">
      <c r="A869" t="s">
        <v>177</v>
      </c>
      <c r="B869" t="s">
        <v>727</v>
      </c>
      <c r="C869" t="s">
        <v>1293</v>
      </c>
      <c r="D869">
        <f t="shared" si="13"/>
        <v>0</v>
      </c>
      <c r="E869" t="s">
        <v>19</v>
      </c>
      <c r="F869" t="s">
        <v>1776</v>
      </c>
      <c r="G869" t="s">
        <v>326</v>
      </c>
    </row>
    <row r="870" spans="1:7" hidden="1" x14ac:dyDescent="0.3">
      <c r="A870" t="s">
        <v>177</v>
      </c>
      <c r="B870" t="s">
        <v>849</v>
      </c>
      <c r="C870" t="s">
        <v>1352</v>
      </c>
      <c r="D870">
        <f t="shared" si="13"/>
        <v>0</v>
      </c>
      <c r="E870" t="s">
        <v>19</v>
      </c>
      <c r="F870" t="s">
        <v>2019</v>
      </c>
      <c r="G870" t="s">
        <v>326</v>
      </c>
    </row>
    <row r="871" spans="1:7" hidden="1" x14ac:dyDescent="0.3">
      <c r="A871" t="s">
        <v>177</v>
      </c>
      <c r="B871" t="s">
        <v>508</v>
      </c>
      <c r="C871" t="s">
        <v>1518</v>
      </c>
      <c r="D871">
        <f t="shared" si="13"/>
        <v>0</v>
      </c>
      <c r="E871" t="s">
        <v>19</v>
      </c>
      <c r="F871" t="s">
        <v>2503</v>
      </c>
      <c r="G871" t="s">
        <v>326</v>
      </c>
    </row>
    <row r="872" spans="1:7" hidden="1" x14ac:dyDescent="0.3">
      <c r="A872" t="s">
        <v>177</v>
      </c>
      <c r="B872" t="s">
        <v>1083</v>
      </c>
      <c r="C872" t="s">
        <v>1518</v>
      </c>
      <c r="D872">
        <f t="shared" si="13"/>
        <v>0</v>
      </c>
      <c r="E872" t="s">
        <v>19</v>
      </c>
      <c r="F872" t="s">
        <v>2520</v>
      </c>
      <c r="G872" t="s">
        <v>326</v>
      </c>
    </row>
    <row r="873" spans="1:7" hidden="1" x14ac:dyDescent="0.3">
      <c r="A873" t="s">
        <v>177</v>
      </c>
      <c r="B873" t="s">
        <v>1155</v>
      </c>
      <c r="C873" t="s">
        <v>1557</v>
      </c>
      <c r="D873">
        <f t="shared" si="13"/>
        <v>0</v>
      </c>
      <c r="E873" t="s">
        <v>19</v>
      </c>
      <c r="F873" t="s">
        <v>2721</v>
      </c>
      <c r="G873" t="s">
        <v>326</v>
      </c>
    </row>
    <row r="874" spans="1:7" hidden="1" x14ac:dyDescent="0.3">
      <c r="A874" t="s">
        <v>177</v>
      </c>
      <c r="B874" t="s">
        <v>1179</v>
      </c>
      <c r="C874" t="s">
        <v>1568</v>
      </c>
      <c r="D874">
        <f t="shared" si="13"/>
        <v>0</v>
      </c>
      <c r="E874" t="s">
        <v>19</v>
      </c>
      <c r="F874" t="s">
        <v>2783</v>
      </c>
      <c r="G874" t="s">
        <v>326</v>
      </c>
    </row>
    <row r="875" spans="1:7" hidden="1" x14ac:dyDescent="0.3">
      <c r="A875" t="s">
        <v>178</v>
      </c>
      <c r="B875" t="s">
        <v>652</v>
      </c>
      <c r="C875" t="s">
        <v>1250</v>
      </c>
      <c r="D875">
        <f t="shared" si="13"/>
        <v>0</v>
      </c>
      <c r="E875" t="s">
        <v>19</v>
      </c>
      <c r="F875" t="s">
        <v>1658</v>
      </c>
      <c r="G875" t="s">
        <v>326</v>
      </c>
    </row>
    <row r="876" spans="1:7" hidden="1" x14ac:dyDescent="0.3">
      <c r="A876" t="s">
        <v>178</v>
      </c>
      <c r="B876" t="s">
        <v>510</v>
      </c>
      <c r="C876" t="s">
        <v>1329</v>
      </c>
      <c r="D876">
        <f t="shared" si="13"/>
        <v>0</v>
      </c>
      <c r="E876" t="s">
        <v>19</v>
      </c>
      <c r="F876" t="s">
        <v>1880</v>
      </c>
      <c r="G876" t="s">
        <v>326</v>
      </c>
    </row>
    <row r="877" spans="1:7" hidden="1" x14ac:dyDescent="0.3">
      <c r="A877" t="s">
        <v>178</v>
      </c>
      <c r="B877" t="s">
        <v>652</v>
      </c>
      <c r="C877" t="s">
        <v>1341</v>
      </c>
      <c r="D877">
        <f t="shared" si="13"/>
        <v>0</v>
      </c>
      <c r="E877" t="s">
        <v>19</v>
      </c>
      <c r="F877" t="s">
        <v>1896</v>
      </c>
      <c r="G877" t="s">
        <v>326</v>
      </c>
    </row>
    <row r="878" spans="1:7" hidden="1" x14ac:dyDescent="0.3">
      <c r="A878" t="s">
        <v>178</v>
      </c>
      <c r="B878" t="s">
        <v>799</v>
      </c>
      <c r="C878" t="s">
        <v>1341</v>
      </c>
      <c r="D878">
        <f t="shared" si="13"/>
        <v>0</v>
      </c>
      <c r="E878" t="s">
        <v>19</v>
      </c>
      <c r="F878" t="s">
        <v>1901</v>
      </c>
      <c r="G878" t="s">
        <v>326</v>
      </c>
    </row>
    <row r="879" spans="1:7" hidden="1" x14ac:dyDescent="0.3">
      <c r="A879" t="s">
        <v>178</v>
      </c>
      <c r="B879" t="s">
        <v>800</v>
      </c>
      <c r="C879" t="s">
        <v>1341</v>
      </c>
      <c r="D879">
        <f t="shared" si="13"/>
        <v>0</v>
      </c>
      <c r="E879" t="s">
        <v>19</v>
      </c>
      <c r="F879" t="s">
        <v>1902</v>
      </c>
      <c r="G879" t="s">
        <v>326</v>
      </c>
    </row>
    <row r="880" spans="1:7" hidden="1" x14ac:dyDescent="0.3">
      <c r="A880" t="s">
        <v>178</v>
      </c>
      <c r="B880" t="s">
        <v>509</v>
      </c>
      <c r="C880" t="s">
        <v>1341</v>
      </c>
      <c r="D880">
        <f t="shared" si="13"/>
        <v>0</v>
      </c>
      <c r="E880" t="s">
        <v>19</v>
      </c>
      <c r="F880" t="s">
        <v>1904</v>
      </c>
      <c r="G880" t="s">
        <v>326</v>
      </c>
    </row>
    <row r="881" spans="1:7" hidden="1" x14ac:dyDescent="0.3">
      <c r="A881" t="s">
        <v>178</v>
      </c>
      <c r="B881" t="s">
        <v>510</v>
      </c>
      <c r="C881" t="s">
        <v>1341</v>
      </c>
      <c r="D881">
        <f t="shared" si="13"/>
        <v>0</v>
      </c>
      <c r="E881" t="s">
        <v>19</v>
      </c>
      <c r="F881" t="s">
        <v>1907</v>
      </c>
      <c r="G881" t="s">
        <v>326</v>
      </c>
    </row>
    <row r="882" spans="1:7" hidden="1" x14ac:dyDescent="0.3">
      <c r="A882" t="s">
        <v>178</v>
      </c>
      <c r="B882" t="s">
        <v>799</v>
      </c>
      <c r="C882" t="s">
        <v>1341</v>
      </c>
      <c r="D882">
        <f t="shared" si="13"/>
        <v>0</v>
      </c>
      <c r="E882" t="s">
        <v>19</v>
      </c>
      <c r="F882" t="s">
        <v>1918</v>
      </c>
      <c r="G882" t="s">
        <v>326</v>
      </c>
    </row>
    <row r="883" spans="1:7" hidden="1" x14ac:dyDescent="0.3">
      <c r="A883" t="s">
        <v>178</v>
      </c>
      <c r="B883" t="s">
        <v>819</v>
      </c>
      <c r="C883" t="s">
        <v>1341</v>
      </c>
      <c r="D883">
        <f t="shared" si="13"/>
        <v>0</v>
      </c>
      <c r="E883" t="s">
        <v>19</v>
      </c>
      <c r="F883" t="s">
        <v>1935</v>
      </c>
      <c r="G883" t="s">
        <v>326</v>
      </c>
    </row>
    <row r="884" spans="1:7" hidden="1" x14ac:dyDescent="0.3">
      <c r="A884" t="s">
        <v>178</v>
      </c>
      <c r="B884" t="s">
        <v>820</v>
      </c>
      <c r="C884" t="s">
        <v>1341</v>
      </c>
      <c r="D884">
        <f t="shared" si="13"/>
        <v>0</v>
      </c>
      <c r="E884" t="s">
        <v>19</v>
      </c>
      <c r="F884" t="s">
        <v>1938</v>
      </c>
      <c r="G884" t="s">
        <v>326</v>
      </c>
    </row>
    <row r="885" spans="1:7" hidden="1" x14ac:dyDescent="0.3">
      <c r="A885" t="s">
        <v>178</v>
      </c>
      <c r="B885" t="s">
        <v>510</v>
      </c>
      <c r="C885" t="s">
        <v>1341</v>
      </c>
      <c r="D885">
        <f t="shared" si="13"/>
        <v>0</v>
      </c>
      <c r="E885" t="s">
        <v>19</v>
      </c>
      <c r="F885" t="s">
        <v>1939</v>
      </c>
      <c r="G885" t="s">
        <v>326</v>
      </c>
    </row>
    <row r="886" spans="1:7" hidden="1" x14ac:dyDescent="0.3">
      <c r="A886" t="s">
        <v>178</v>
      </c>
      <c r="B886" t="s">
        <v>509</v>
      </c>
      <c r="C886" t="s">
        <v>1341</v>
      </c>
      <c r="D886">
        <f t="shared" si="13"/>
        <v>0</v>
      </c>
      <c r="E886" t="s">
        <v>19</v>
      </c>
      <c r="F886" t="s">
        <v>1945</v>
      </c>
      <c r="G886" t="s">
        <v>326</v>
      </c>
    </row>
    <row r="887" spans="1:7" hidden="1" x14ac:dyDescent="0.3">
      <c r="A887" t="s">
        <v>178</v>
      </c>
      <c r="B887" t="s">
        <v>766</v>
      </c>
      <c r="C887" t="s">
        <v>1341</v>
      </c>
      <c r="D887">
        <f t="shared" si="13"/>
        <v>0</v>
      </c>
      <c r="E887" t="s">
        <v>19</v>
      </c>
      <c r="F887" t="s">
        <v>1951</v>
      </c>
      <c r="G887" t="s">
        <v>326</v>
      </c>
    </row>
    <row r="888" spans="1:7" hidden="1" x14ac:dyDescent="0.3">
      <c r="A888" t="s">
        <v>178</v>
      </c>
      <c r="B888" t="s">
        <v>809</v>
      </c>
      <c r="C888" t="s">
        <v>1341</v>
      </c>
      <c r="D888">
        <f t="shared" si="13"/>
        <v>0</v>
      </c>
      <c r="E888" t="s">
        <v>19</v>
      </c>
      <c r="F888" t="s">
        <v>1954</v>
      </c>
      <c r="G888" t="s">
        <v>326</v>
      </c>
    </row>
    <row r="889" spans="1:7" hidden="1" x14ac:dyDescent="0.3">
      <c r="A889" t="s">
        <v>178</v>
      </c>
      <c r="B889" t="s">
        <v>820</v>
      </c>
      <c r="C889" t="s">
        <v>1386</v>
      </c>
      <c r="D889">
        <f t="shared" si="13"/>
        <v>0</v>
      </c>
      <c r="E889" t="s">
        <v>19</v>
      </c>
      <c r="F889" t="s">
        <v>2111</v>
      </c>
      <c r="G889" t="s">
        <v>326</v>
      </c>
    </row>
    <row r="890" spans="1:7" hidden="1" x14ac:dyDescent="0.3">
      <c r="A890" t="s">
        <v>178</v>
      </c>
      <c r="B890" t="s">
        <v>510</v>
      </c>
      <c r="C890" t="s">
        <v>1399</v>
      </c>
      <c r="D890">
        <f t="shared" si="13"/>
        <v>0</v>
      </c>
      <c r="E890" t="s">
        <v>19</v>
      </c>
      <c r="F890" t="s">
        <v>2131</v>
      </c>
      <c r="G890" t="s">
        <v>326</v>
      </c>
    </row>
    <row r="891" spans="1:7" hidden="1" x14ac:dyDescent="0.3">
      <c r="A891" t="s">
        <v>178</v>
      </c>
      <c r="B891" t="s">
        <v>910</v>
      </c>
      <c r="C891" t="s">
        <v>1399</v>
      </c>
      <c r="D891">
        <f t="shared" si="13"/>
        <v>0</v>
      </c>
      <c r="E891" t="s">
        <v>19</v>
      </c>
      <c r="F891" t="s">
        <v>2133</v>
      </c>
      <c r="G891" t="s">
        <v>326</v>
      </c>
    </row>
    <row r="892" spans="1:7" hidden="1" x14ac:dyDescent="0.3">
      <c r="A892" t="s">
        <v>178</v>
      </c>
      <c r="B892" t="s">
        <v>800</v>
      </c>
      <c r="C892" t="s">
        <v>1399</v>
      </c>
      <c r="D892">
        <f t="shared" si="13"/>
        <v>0</v>
      </c>
      <c r="E892" t="s">
        <v>19</v>
      </c>
      <c r="F892" t="s">
        <v>2137</v>
      </c>
      <c r="G892" t="s">
        <v>326</v>
      </c>
    </row>
    <row r="893" spans="1:7" hidden="1" x14ac:dyDescent="0.3">
      <c r="A893" t="s">
        <v>178</v>
      </c>
      <c r="B893" t="s">
        <v>509</v>
      </c>
      <c r="C893" t="s">
        <v>1399</v>
      </c>
      <c r="D893">
        <f t="shared" si="13"/>
        <v>0</v>
      </c>
      <c r="E893" t="s">
        <v>19</v>
      </c>
      <c r="F893" t="s">
        <v>2142</v>
      </c>
      <c r="G893" t="s">
        <v>326</v>
      </c>
    </row>
    <row r="894" spans="1:7" hidden="1" x14ac:dyDescent="0.3">
      <c r="A894" t="s">
        <v>178</v>
      </c>
      <c r="B894" t="s">
        <v>912</v>
      </c>
      <c r="C894" t="s">
        <v>1399</v>
      </c>
      <c r="D894">
        <f t="shared" si="13"/>
        <v>0</v>
      </c>
      <c r="E894" t="s">
        <v>19</v>
      </c>
      <c r="F894" t="s">
        <v>2143</v>
      </c>
      <c r="G894" t="s">
        <v>326</v>
      </c>
    </row>
    <row r="895" spans="1:7" hidden="1" x14ac:dyDescent="0.3">
      <c r="A895" t="s">
        <v>178</v>
      </c>
      <c r="B895" t="s">
        <v>510</v>
      </c>
      <c r="C895" t="s">
        <v>1399</v>
      </c>
      <c r="D895">
        <f t="shared" si="13"/>
        <v>0</v>
      </c>
      <c r="E895" t="s">
        <v>19</v>
      </c>
      <c r="F895" t="s">
        <v>2145</v>
      </c>
      <c r="G895" t="s">
        <v>326</v>
      </c>
    </row>
    <row r="896" spans="1:7" hidden="1" x14ac:dyDescent="0.3">
      <c r="A896" t="s">
        <v>178</v>
      </c>
      <c r="B896" t="s">
        <v>509</v>
      </c>
      <c r="C896" t="s">
        <v>1407</v>
      </c>
      <c r="D896">
        <f t="shared" si="13"/>
        <v>0</v>
      </c>
      <c r="E896" t="s">
        <v>19</v>
      </c>
      <c r="F896" t="s">
        <v>2191</v>
      </c>
      <c r="G896" t="s">
        <v>326</v>
      </c>
    </row>
    <row r="897" spans="1:7" hidden="1" x14ac:dyDescent="0.3">
      <c r="A897" t="s">
        <v>178</v>
      </c>
      <c r="B897" t="s">
        <v>820</v>
      </c>
      <c r="C897" t="s">
        <v>1408</v>
      </c>
      <c r="D897">
        <f t="shared" si="13"/>
        <v>0</v>
      </c>
      <c r="E897" t="s">
        <v>19</v>
      </c>
      <c r="F897" t="s">
        <v>2193</v>
      </c>
      <c r="G897" t="s">
        <v>326</v>
      </c>
    </row>
    <row r="898" spans="1:7" hidden="1" x14ac:dyDescent="0.3">
      <c r="A898" t="s">
        <v>178</v>
      </c>
      <c r="B898" t="s">
        <v>931</v>
      </c>
      <c r="C898" t="s">
        <v>1407</v>
      </c>
      <c r="D898">
        <f t="shared" ref="D898:D961" si="14">SIGN(SUBTOTAL(3,E898))</f>
        <v>0</v>
      </c>
      <c r="E898" t="s">
        <v>19</v>
      </c>
      <c r="F898" t="s">
        <v>2199</v>
      </c>
      <c r="G898" t="s">
        <v>326</v>
      </c>
    </row>
    <row r="899" spans="1:7" hidden="1" x14ac:dyDescent="0.3">
      <c r="A899" t="s">
        <v>178</v>
      </c>
      <c r="B899" t="s">
        <v>949</v>
      </c>
      <c r="C899" t="s">
        <v>1416</v>
      </c>
      <c r="D899">
        <f t="shared" si="14"/>
        <v>0</v>
      </c>
      <c r="E899" t="s">
        <v>19</v>
      </c>
      <c r="F899" t="s">
        <v>2224</v>
      </c>
      <c r="G899" t="s">
        <v>326</v>
      </c>
    </row>
    <row r="900" spans="1:7" hidden="1" x14ac:dyDescent="0.3">
      <c r="A900" t="s">
        <v>178</v>
      </c>
      <c r="B900" t="s">
        <v>747</v>
      </c>
      <c r="C900" t="s">
        <v>1416</v>
      </c>
      <c r="D900">
        <f t="shared" si="14"/>
        <v>0</v>
      </c>
      <c r="E900" t="s">
        <v>19</v>
      </c>
      <c r="F900" t="s">
        <v>2225</v>
      </c>
      <c r="G900" t="s">
        <v>326</v>
      </c>
    </row>
    <row r="901" spans="1:7" hidden="1" x14ac:dyDescent="0.3">
      <c r="A901" t="s">
        <v>178</v>
      </c>
      <c r="B901" t="s">
        <v>974</v>
      </c>
      <c r="C901" t="s">
        <v>1421</v>
      </c>
      <c r="D901">
        <f t="shared" si="14"/>
        <v>0</v>
      </c>
      <c r="E901" t="s">
        <v>19</v>
      </c>
      <c r="F901" t="s">
        <v>2255</v>
      </c>
      <c r="G901" t="s">
        <v>326</v>
      </c>
    </row>
    <row r="902" spans="1:7" hidden="1" x14ac:dyDescent="0.3">
      <c r="A902" t="s">
        <v>178</v>
      </c>
      <c r="B902" t="s">
        <v>510</v>
      </c>
      <c r="C902" t="s">
        <v>1461</v>
      </c>
      <c r="D902">
        <f t="shared" si="14"/>
        <v>0</v>
      </c>
      <c r="E902" t="s">
        <v>19</v>
      </c>
      <c r="F902" t="s">
        <v>2360</v>
      </c>
      <c r="G902" t="s">
        <v>326</v>
      </c>
    </row>
    <row r="903" spans="1:7" hidden="1" x14ac:dyDescent="0.3">
      <c r="A903" t="s">
        <v>178</v>
      </c>
      <c r="B903" t="s">
        <v>652</v>
      </c>
      <c r="C903" t="s">
        <v>1496</v>
      </c>
      <c r="D903">
        <f t="shared" si="14"/>
        <v>0</v>
      </c>
      <c r="E903" t="s">
        <v>19</v>
      </c>
      <c r="F903" t="s">
        <v>2444</v>
      </c>
      <c r="G903" t="s">
        <v>326</v>
      </c>
    </row>
    <row r="904" spans="1:7" hidden="1" x14ac:dyDescent="0.3">
      <c r="A904" t="s">
        <v>178</v>
      </c>
      <c r="B904" t="s">
        <v>800</v>
      </c>
      <c r="C904" t="s">
        <v>1496</v>
      </c>
      <c r="D904">
        <f t="shared" si="14"/>
        <v>0</v>
      </c>
      <c r="E904" t="s">
        <v>19</v>
      </c>
      <c r="F904" t="s">
        <v>2446</v>
      </c>
      <c r="G904" t="s">
        <v>326</v>
      </c>
    </row>
    <row r="905" spans="1:7" hidden="1" x14ac:dyDescent="0.3">
      <c r="A905" t="s">
        <v>178</v>
      </c>
      <c r="B905" t="s">
        <v>820</v>
      </c>
      <c r="C905" t="s">
        <v>1512</v>
      </c>
      <c r="D905">
        <f t="shared" si="14"/>
        <v>0</v>
      </c>
      <c r="E905" t="s">
        <v>19</v>
      </c>
      <c r="F905" t="s">
        <v>2491</v>
      </c>
      <c r="G905" t="s">
        <v>326</v>
      </c>
    </row>
    <row r="906" spans="1:7" hidden="1" x14ac:dyDescent="0.3">
      <c r="A906" t="s">
        <v>178</v>
      </c>
      <c r="B906" t="s">
        <v>1105</v>
      </c>
      <c r="C906" t="s">
        <v>1525</v>
      </c>
      <c r="D906">
        <f t="shared" si="14"/>
        <v>0</v>
      </c>
      <c r="E906" t="s">
        <v>19</v>
      </c>
      <c r="F906" t="s">
        <v>2560</v>
      </c>
      <c r="G906" t="s">
        <v>326</v>
      </c>
    </row>
    <row r="907" spans="1:7" hidden="1" x14ac:dyDescent="0.3">
      <c r="A907" t="s">
        <v>178</v>
      </c>
      <c r="B907" t="s">
        <v>1108</v>
      </c>
      <c r="C907" t="s">
        <v>1525</v>
      </c>
      <c r="D907">
        <f t="shared" si="14"/>
        <v>0</v>
      </c>
      <c r="E907" t="s">
        <v>19</v>
      </c>
      <c r="F907" t="s">
        <v>2565</v>
      </c>
      <c r="G907" t="s">
        <v>326</v>
      </c>
    </row>
    <row r="908" spans="1:7" hidden="1" x14ac:dyDescent="0.3">
      <c r="A908" t="s">
        <v>178</v>
      </c>
      <c r="B908" t="s">
        <v>910</v>
      </c>
      <c r="C908" t="s">
        <v>1525</v>
      </c>
      <c r="D908">
        <f t="shared" si="14"/>
        <v>0</v>
      </c>
      <c r="E908" t="s">
        <v>19</v>
      </c>
      <c r="F908" t="s">
        <v>2566</v>
      </c>
      <c r="G908" t="s">
        <v>326</v>
      </c>
    </row>
    <row r="909" spans="1:7" hidden="1" x14ac:dyDescent="0.3">
      <c r="A909" t="s">
        <v>178</v>
      </c>
      <c r="B909" t="s">
        <v>1109</v>
      </c>
      <c r="C909" t="s">
        <v>1525</v>
      </c>
      <c r="D909">
        <f t="shared" si="14"/>
        <v>0</v>
      </c>
      <c r="E909" t="s">
        <v>19</v>
      </c>
      <c r="F909" t="s">
        <v>2567</v>
      </c>
      <c r="G909" t="s">
        <v>326</v>
      </c>
    </row>
    <row r="910" spans="1:7" hidden="1" x14ac:dyDescent="0.3">
      <c r="A910" t="s">
        <v>178</v>
      </c>
      <c r="B910" t="s">
        <v>509</v>
      </c>
      <c r="C910" t="s">
        <v>1525</v>
      </c>
      <c r="D910">
        <f t="shared" si="14"/>
        <v>0</v>
      </c>
      <c r="E910" t="s">
        <v>19</v>
      </c>
      <c r="F910" t="s">
        <v>2569</v>
      </c>
      <c r="G910" t="s">
        <v>326</v>
      </c>
    </row>
    <row r="911" spans="1:7" hidden="1" x14ac:dyDescent="0.3">
      <c r="A911" t="s">
        <v>178</v>
      </c>
      <c r="B911" t="s">
        <v>1114</v>
      </c>
      <c r="C911" t="s">
        <v>1525</v>
      </c>
      <c r="D911">
        <f t="shared" si="14"/>
        <v>0</v>
      </c>
      <c r="E911" t="s">
        <v>19</v>
      </c>
      <c r="F911" t="s">
        <v>2579</v>
      </c>
      <c r="G911" t="s">
        <v>326</v>
      </c>
    </row>
    <row r="912" spans="1:7" hidden="1" x14ac:dyDescent="0.3">
      <c r="A912" t="s">
        <v>178</v>
      </c>
      <c r="B912" t="s">
        <v>180</v>
      </c>
      <c r="C912" t="s">
        <v>1528</v>
      </c>
      <c r="D912">
        <f t="shared" si="14"/>
        <v>0</v>
      </c>
      <c r="E912" t="s">
        <v>19</v>
      </c>
      <c r="F912" t="s">
        <v>2591</v>
      </c>
      <c r="G912" t="s">
        <v>326</v>
      </c>
    </row>
    <row r="913" spans="1:7" hidden="1" x14ac:dyDescent="0.3">
      <c r="A913" t="s">
        <v>178</v>
      </c>
      <c r="B913" t="s">
        <v>799</v>
      </c>
      <c r="C913" t="s">
        <v>1528</v>
      </c>
      <c r="D913">
        <f t="shared" si="14"/>
        <v>0</v>
      </c>
      <c r="E913" t="s">
        <v>19</v>
      </c>
      <c r="F913" t="s">
        <v>2595</v>
      </c>
      <c r="G913" t="s">
        <v>326</v>
      </c>
    </row>
    <row r="914" spans="1:7" hidden="1" x14ac:dyDescent="0.3">
      <c r="A914" t="s">
        <v>178</v>
      </c>
      <c r="B914" t="s">
        <v>1120</v>
      </c>
      <c r="C914" t="s">
        <v>1528</v>
      </c>
      <c r="D914">
        <f t="shared" si="14"/>
        <v>0</v>
      </c>
      <c r="E914" t="s">
        <v>19</v>
      </c>
      <c r="F914" t="s">
        <v>2600</v>
      </c>
      <c r="G914" t="s">
        <v>326</v>
      </c>
    </row>
    <row r="915" spans="1:7" hidden="1" x14ac:dyDescent="0.3">
      <c r="A915" t="s">
        <v>178</v>
      </c>
      <c r="B915" t="s">
        <v>510</v>
      </c>
      <c r="C915" t="s">
        <v>1528</v>
      </c>
      <c r="D915">
        <f t="shared" si="14"/>
        <v>0</v>
      </c>
      <c r="E915" t="s">
        <v>19</v>
      </c>
      <c r="F915" t="s">
        <v>2601</v>
      </c>
      <c r="G915" t="s">
        <v>326</v>
      </c>
    </row>
    <row r="916" spans="1:7" hidden="1" x14ac:dyDescent="0.3">
      <c r="A916" t="s">
        <v>178</v>
      </c>
      <c r="B916" t="s">
        <v>510</v>
      </c>
      <c r="C916" t="s">
        <v>1528</v>
      </c>
      <c r="D916">
        <f t="shared" si="14"/>
        <v>0</v>
      </c>
      <c r="E916" t="s">
        <v>19</v>
      </c>
      <c r="F916" t="s">
        <v>2602</v>
      </c>
      <c r="G916" t="s">
        <v>326</v>
      </c>
    </row>
    <row r="917" spans="1:7" hidden="1" x14ac:dyDescent="0.3">
      <c r="A917" t="s">
        <v>178</v>
      </c>
      <c r="B917" t="s">
        <v>652</v>
      </c>
      <c r="C917" t="s">
        <v>1528</v>
      </c>
      <c r="D917">
        <f t="shared" si="14"/>
        <v>0</v>
      </c>
      <c r="E917" t="s">
        <v>19</v>
      </c>
      <c r="F917" t="s">
        <v>2603</v>
      </c>
      <c r="G917" t="s">
        <v>326</v>
      </c>
    </row>
    <row r="918" spans="1:7" hidden="1" x14ac:dyDescent="0.3">
      <c r="A918" t="s">
        <v>178</v>
      </c>
      <c r="B918" t="s">
        <v>1122</v>
      </c>
      <c r="C918" t="s">
        <v>1528</v>
      </c>
      <c r="D918">
        <f t="shared" si="14"/>
        <v>0</v>
      </c>
      <c r="E918" t="s">
        <v>19</v>
      </c>
      <c r="F918" t="s">
        <v>2605</v>
      </c>
      <c r="G918" t="s">
        <v>326</v>
      </c>
    </row>
    <row r="919" spans="1:7" hidden="1" x14ac:dyDescent="0.3">
      <c r="A919" t="s">
        <v>178</v>
      </c>
      <c r="B919" t="s">
        <v>766</v>
      </c>
      <c r="C919" t="s">
        <v>1528</v>
      </c>
      <c r="D919">
        <f t="shared" si="14"/>
        <v>0</v>
      </c>
      <c r="E919" t="s">
        <v>19</v>
      </c>
      <c r="F919" t="s">
        <v>2610</v>
      </c>
      <c r="G919" t="s">
        <v>326</v>
      </c>
    </row>
    <row r="920" spans="1:7" hidden="1" x14ac:dyDescent="0.3">
      <c r="A920" t="s">
        <v>178</v>
      </c>
      <c r="B920" t="s">
        <v>1124</v>
      </c>
      <c r="C920" t="s">
        <v>1528</v>
      </c>
      <c r="D920">
        <f t="shared" si="14"/>
        <v>0</v>
      </c>
      <c r="E920" t="s">
        <v>19</v>
      </c>
      <c r="F920" t="s">
        <v>2616</v>
      </c>
      <c r="G920" t="s">
        <v>326</v>
      </c>
    </row>
    <row r="921" spans="1:7" hidden="1" x14ac:dyDescent="0.3">
      <c r="A921" t="s">
        <v>178</v>
      </c>
      <c r="B921" t="s">
        <v>510</v>
      </c>
      <c r="C921" t="s">
        <v>1575</v>
      </c>
      <c r="D921">
        <f t="shared" si="14"/>
        <v>0</v>
      </c>
      <c r="E921" t="s">
        <v>19</v>
      </c>
      <c r="F921" t="s">
        <v>2800</v>
      </c>
      <c r="G921" t="s">
        <v>326</v>
      </c>
    </row>
    <row r="922" spans="1:7" hidden="1" x14ac:dyDescent="0.3">
      <c r="A922" t="s">
        <v>178</v>
      </c>
      <c r="B922" t="s">
        <v>800</v>
      </c>
      <c r="C922" t="s">
        <v>1577</v>
      </c>
      <c r="D922">
        <f t="shared" si="14"/>
        <v>0</v>
      </c>
      <c r="E922" t="s">
        <v>19</v>
      </c>
      <c r="F922" t="s">
        <v>2827</v>
      </c>
      <c r="G922" t="s">
        <v>326</v>
      </c>
    </row>
    <row r="923" spans="1:7" hidden="1" x14ac:dyDescent="0.3">
      <c r="A923" t="s">
        <v>178</v>
      </c>
      <c r="B923" t="s">
        <v>820</v>
      </c>
      <c r="C923" t="s">
        <v>1577</v>
      </c>
      <c r="D923">
        <f t="shared" si="14"/>
        <v>0</v>
      </c>
      <c r="E923" t="s">
        <v>19</v>
      </c>
      <c r="F923" t="s">
        <v>2828</v>
      </c>
      <c r="G923" t="s">
        <v>326</v>
      </c>
    </row>
    <row r="924" spans="1:7" hidden="1" x14ac:dyDescent="0.3">
      <c r="A924" t="s">
        <v>178</v>
      </c>
      <c r="B924" t="s">
        <v>1225</v>
      </c>
      <c r="C924" t="s">
        <v>1623</v>
      </c>
      <c r="D924">
        <f t="shared" si="14"/>
        <v>0</v>
      </c>
      <c r="E924" t="s">
        <v>19</v>
      </c>
      <c r="F924" t="s">
        <v>2960</v>
      </c>
      <c r="G924" t="s">
        <v>326</v>
      </c>
    </row>
    <row r="925" spans="1:7" hidden="1" x14ac:dyDescent="0.3">
      <c r="A925" t="s">
        <v>178</v>
      </c>
      <c r="B925" t="s">
        <v>1233</v>
      </c>
      <c r="C925" t="s">
        <v>1627</v>
      </c>
      <c r="D925">
        <f t="shared" si="14"/>
        <v>0</v>
      </c>
      <c r="E925" t="s">
        <v>19</v>
      </c>
      <c r="F925" t="s">
        <v>2994</v>
      </c>
      <c r="G925" t="s">
        <v>326</v>
      </c>
    </row>
    <row r="926" spans="1:7" hidden="1" x14ac:dyDescent="0.3">
      <c r="A926" t="s">
        <v>179</v>
      </c>
      <c r="B926" t="s">
        <v>689</v>
      </c>
      <c r="C926" t="s">
        <v>1287</v>
      </c>
      <c r="D926">
        <f t="shared" si="14"/>
        <v>0</v>
      </c>
      <c r="E926" t="s">
        <v>19</v>
      </c>
      <c r="F926" t="s">
        <v>1722</v>
      </c>
      <c r="G926" t="s">
        <v>326</v>
      </c>
    </row>
    <row r="927" spans="1:7" hidden="1" x14ac:dyDescent="0.3">
      <c r="A927" t="s">
        <v>179</v>
      </c>
      <c r="B927" t="s">
        <v>695</v>
      </c>
      <c r="C927" t="s">
        <v>1286</v>
      </c>
      <c r="D927">
        <f t="shared" si="14"/>
        <v>0</v>
      </c>
      <c r="E927" t="s">
        <v>19</v>
      </c>
      <c r="F927" t="s">
        <v>1729</v>
      </c>
      <c r="G927" t="s">
        <v>326</v>
      </c>
    </row>
    <row r="928" spans="1:7" hidden="1" x14ac:dyDescent="0.3">
      <c r="A928" t="s">
        <v>179</v>
      </c>
      <c r="B928" t="s">
        <v>689</v>
      </c>
      <c r="C928" t="s">
        <v>1289</v>
      </c>
      <c r="D928">
        <f t="shared" si="14"/>
        <v>0</v>
      </c>
      <c r="E928" t="s">
        <v>19</v>
      </c>
      <c r="F928" t="s">
        <v>1754</v>
      </c>
      <c r="G928" t="s">
        <v>326</v>
      </c>
    </row>
    <row r="929" spans="1:7" hidden="1" x14ac:dyDescent="0.3">
      <c r="A929" t="s">
        <v>179</v>
      </c>
      <c r="B929" t="s">
        <v>689</v>
      </c>
      <c r="C929" t="s">
        <v>1289</v>
      </c>
      <c r="D929">
        <f t="shared" si="14"/>
        <v>0</v>
      </c>
      <c r="E929" t="s">
        <v>19</v>
      </c>
      <c r="F929" t="s">
        <v>1755</v>
      </c>
      <c r="G929" t="s">
        <v>326</v>
      </c>
    </row>
    <row r="930" spans="1:7" hidden="1" x14ac:dyDescent="0.3">
      <c r="A930" t="s">
        <v>179</v>
      </c>
      <c r="B930" t="s">
        <v>713</v>
      </c>
      <c r="C930" t="s">
        <v>1289</v>
      </c>
      <c r="D930">
        <f t="shared" si="14"/>
        <v>0</v>
      </c>
      <c r="E930" t="s">
        <v>19</v>
      </c>
      <c r="F930" t="s">
        <v>1756</v>
      </c>
      <c r="G930" t="s">
        <v>326</v>
      </c>
    </row>
    <row r="931" spans="1:7" hidden="1" x14ac:dyDescent="0.3">
      <c r="A931" t="s">
        <v>179</v>
      </c>
      <c r="B931" t="s">
        <v>713</v>
      </c>
      <c r="C931" t="s">
        <v>1289</v>
      </c>
      <c r="D931">
        <f t="shared" si="14"/>
        <v>0</v>
      </c>
      <c r="E931" t="s">
        <v>19</v>
      </c>
      <c r="F931" t="s">
        <v>1757</v>
      </c>
      <c r="G931" t="s">
        <v>326</v>
      </c>
    </row>
    <row r="932" spans="1:7" hidden="1" x14ac:dyDescent="0.3">
      <c r="A932" t="s">
        <v>179</v>
      </c>
      <c r="B932" t="s">
        <v>511</v>
      </c>
      <c r="C932" t="s">
        <v>1365</v>
      </c>
      <c r="D932">
        <f t="shared" si="14"/>
        <v>0</v>
      </c>
      <c r="E932" t="s">
        <v>19</v>
      </c>
      <c r="F932" t="s">
        <v>2041</v>
      </c>
      <c r="G932" t="s">
        <v>326</v>
      </c>
    </row>
    <row r="933" spans="1:7" hidden="1" x14ac:dyDescent="0.3">
      <c r="A933" t="s">
        <v>179</v>
      </c>
      <c r="B933" t="s">
        <v>868</v>
      </c>
      <c r="C933" t="s">
        <v>1365</v>
      </c>
      <c r="D933">
        <f t="shared" si="14"/>
        <v>0</v>
      </c>
      <c r="E933" t="s">
        <v>19</v>
      </c>
      <c r="F933" t="s">
        <v>2051</v>
      </c>
      <c r="G933" t="s">
        <v>326</v>
      </c>
    </row>
    <row r="934" spans="1:7" hidden="1" x14ac:dyDescent="0.3">
      <c r="A934" t="s">
        <v>179</v>
      </c>
      <c r="B934" t="s">
        <v>873</v>
      </c>
      <c r="C934" t="s">
        <v>1365</v>
      </c>
      <c r="D934">
        <f t="shared" si="14"/>
        <v>0</v>
      </c>
      <c r="E934" t="s">
        <v>19</v>
      </c>
      <c r="F934" t="s">
        <v>2058</v>
      </c>
      <c r="G934" t="s">
        <v>326</v>
      </c>
    </row>
    <row r="935" spans="1:7" hidden="1" x14ac:dyDescent="0.3">
      <c r="A935" t="s">
        <v>179</v>
      </c>
      <c r="B935" t="s">
        <v>878</v>
      </c>
      <c r="C935" t="s">
        <v>1365</v>
      </c>
      <c r="D935">
        <f t="shared" si="14"/>
        <v>0</v>
      </c>
      <c r="E935" t="s">
        <v>19</v>
      </c>
      <c r="F935" t="s">
        <v>2068</v>
      </c>
      <c r="G935" t="s">
        <v>326</v>
      </c>
    </row>
    <row r="936" spans="1:7" hidden="1" x14ac:dyDescent="0.3">
      <c r="A936" t="s">
        <v>179</v>
      </c>
      <c r="B936" t="s">
        <v>897</v>
      </c>
      <c r="C936" t="s">
        <v>1381</v>
      </c>
      <c r="D936">
        <f t="shared" si="14"/>
        <v>0</v>
      </c>
      <c r="E936" t="s">
        <v>19</v>
      </c>
      <c r="F936" t="s">
        <v>2102</v>
      </c>
      <c r="G936" t="s">
        <v>326</v>
      </c>
    </row>
    <row r="937" spans="1:7" hidden="1" x14ac:dyDescent="0.3">
      <c r="A937" t="s">
        <v>179</v>
      </c>
      <c r="B937" t="s">
        <v>1051</v>
      </c>
      <c r="C937" t="s">
        <v>1491</v>
      </c>
      <c r="D937">
        <f t="shared" si="14"/>
        <v>0</v>
      </c>
      <c r="E937" t="s">
        <v>19</v>
      </c>
      <c r="F937" t="s">
        <v>2414</v>
      </c>
      <c r="G937" t="s">
        <v>326</v>
      </c>
    </row>
    <row r="938" spans="1:7" hidden="1" x14ac:dyDescent="0.3">
      <c r="A938" t="s">
        <v>179</v>
      </c>
      <c r="B938" t="s">
        <v>512</v>
      </c>
      <c r="C938" t="s">
        <v>1518</v>
      </c>
      <c r="D938">
        <f t="shared" si="14"/>
        <v>0</v>
      </c>
      <c r="E938" t="s">
        <v>19</v>
      </c>
      <c r="F938" t="s">
        <v>2521</v>
      </c>
      <c r="G938" t="s">
        <v>326</v>
      </c>
    </row>
    <row r="939" spans="1:7" hidden="1" x14ac:dyDescent="0.3">
      <c r="A939" t="s">
        <v>179</v>
      </c>
      <c r="B939" t="s">
        <v>1084</v>
      </c>
      <c r="C939" t="s">
        <v>1518</v>
      </c>
      <c r="D939">
        <f t="shared" si="14"/>
        <v>0</v>
      </c>
      <c r="E939" t="s">
        <v>19</v>
      </c>
      <c r="F939" t="s">
        <v>2523</v>
      </c>
      <c r="G939" t="s">
        <v>326</v>
      </c>
    </row>
    <row r="940" spans="1:7" hidden="1" x14ac:dyDescent="0.3">
      <c r="A940" t="s">
        <v>179</v>
      </c>
      <c r="B940" t="s">
        <v>1088</v>
      </c>
      <c r="C940" t="s">
        <v>1518</v>
      </c>
      <c r="D940">
        <f t="shared" si="14"/>
        <v>0</v>
      </c>
      <c r="E940" t="s">
        <v>19</v>
      </c>
      <c r="F940" t="s">
        <v>2528</v>
      </c>
      <c r="G940" t="s">
        <v>326</v>
      </c>
    </row>
    <row r="941" spans="1:7" hidden="1" x14ac:dyDescent="0.3">
      <c r="A941" t="s">
        <v>179</v>
      </c>
      <c r="B941" t="s">
        <v>511</v>
      </c>
      <c r="C941" t="s">
        <v>1518</v>
      </c>
      <c r="D941">
        <f t="shared" si="14"/>
        <v>0</v>
      </c>
      <c r="E941" t="s">
        <v>19</v>
      </c>
      <c r="F941" t="s">
        <v>2530</v>
      </c>
      <c r="G941" t="s">
        <v>326</v>
      </c>
    </row>
    <row r="942" spans="1:7" hidden="1" x14ac:dyDescent="0.3">
      <c r="A942" t="s">
        <v>179</v>
      </c>
      <c r="B942" t="s">
        <v>689</v>
      </c>
      <c r="C942" t="s">
        <v>1557</v>
      </c>
      <c r="D942">
        <f t="shared" si="14"/>
        <v>0</v>
      </c>
      <c r="E942" t="s">
        <v>19</v>
      </c>
      <c r="F942" t="s">
        <v>2734</v>
      </c>
      <c r="G942" t="s">
        <v>326</v>
      </c>
    </row>
    <row r="943" spans="1:7" hidden="1" x14ac:dyDescent="0.3">
      <c r="A943" t="s">
        <v>179</v>
      </c>
      <c r="B943" t="s">
        <v>511</v>
      </c>
      <c r="C943" t="s">
        <v>1576</v>
      </c>
      <c r="D943">
        <f t="shared" si="14"/>
        <v>0</v>
      </c>
      <c r="E943" t="s">
        <v>19</v>
      </c>
      <c r="F943" t="s">
        <v>2821</v>
      </c>
      <c r="G943" t="s">
        <v>326</v>
      </c>
    </row>
    <row r="944" spans="1:7" hidden="1" x14ac:dyDescent="0.3">
      <c r="A944" t="s">
        <v>179</v>
      </c>
      <c r="B944" t="s">
        <v>512</v>
      </c>
      <c r="C944" t="s">
        <v>1584</v>
      </c>
      <c r="D944">
        <f t="shared" si="14"/>
        <v>0</v>
      </c>
      <c r="E944" t="s">
        <v>19</v>
      </c>
      <c r="F944" t="s">
        <v>2839</v>
      </c>
      <c r="G944" t="s">
        <v>326</v>
      </c>
    </row>
    <row r="945" spans="1:7" hidden="1" x14ac:dyDescent="0.3">
      <c r="A945" t="s">
        <v>179</v>
      </c>
      <c r="B945" t="s">
        <v>511</v>
      </c>
      <c r="C945" t="s">
        <v>1623</v>
      </c>
      <c r="D945">
        <f t="shared" si="14"/>
        <v>0</v>
      </c>
      <c r="E945" t="s">
        <v>19</v>
      </c>
      <c r="F945" t="s">
        <v>2961</v>
      </c>
      <c r="G945" t="s">
        <v>326</v>
      </c>
    </row>
    <row r="946" spans="1:7" hidden="1" x14ac:dyDescent="0.3">
      <c r="A946" t="s">
        <v>179</v>
      </c>
      <c r="B946" t="s">
        <v>511</v>
      </c>
      <c r="C946" t="s">
        <v>1627</v>
      </c>
      <c r="D946">
        <f t="shared" si="14"/>
        <v>0</v>
      </c>
      <c r="E946" t="s">
        <v>19</v>
      </c>
      <c r="F946" t="s">
        <v>2997</v>
      </c>
      <c r="G946" t="s">
        <v>326</v>
      </c>
    </row>
    <row r="947" spans="1:7" x14ac:dyDescent="0.3">
      <c r="A947" t="s">
        <v>180</v>
      </c>
      <c r="B947" t="s">
        <v>514</v>
      </c>
      <c r="C947" t="s">
        <v>1258</v>
      </c>
      <c r="D947">
        <f t="shared" si="14"/>
        <v>1</v>
      </c>
      <c r="E947" t="s">
        <v>19</v>
      </c>
      <c r="F947" t="s">
        <v>1668</v>
      </c>
      <c r="G947" t="s">
        <v>326</v>
      </c>
    </row>
    <row r="948" spans="1:7" x14ac:dyDescent="0.3">
      <c r="A948" t="s">
        <v>180</v>
      </c>
      <c r="B948" t="s">
        <v>514</v>
      </c>
      <c r="C948" t="s">
        <v>1299</v>
      </c>
      <c r="D948">
        <f t="shared" si="14"/>
        <v>1</v>
      </c>
      <c r="E948" t="s">
        <v>19</v>
      </c>
      <c r="F948" t="s">
        <v>1811</v>
      </c>
      <c r="G948" t="s">
        <v>326</v>
      </c>
    </row>
    <row r="949" spans="1:7" x14ac:dyDescent="0.3">
      <c r="A949" t="s">
        <v>180</v>
      </c>
      <c r="B949" t="s">
        <v>514</v>
      </c>
      <c r="C949" t="s">
        <v>1365</v>
      </c>
      <c r="D949">
        <f t="shared" si="14"/>
        <v>1</v>
      </c>
      <c r="E949" t="s">
        <v>19</v>
      </c>
      <c r="F949" t="s">
        <v>2053</v>
      </c>
      <c r="G949" t="s">
        <v>326</v>
      </c>
    </row>
    <row r="950" spans="1:7" x14ac:dyDescent="0.3">
      <c r="A950" t="s">
        <v>180</v>
      </c>
      <c r="B950" t="s">
        <v>514</v>
      </c>
      <c r="C950" t="s">
        <v>1366</v>
      </c>
      <c r="D950">
        <f t="shared" si="14"/>
        <v>1</v>
      </c>
      <c r="E950" t="s">
        <v>19</v>
      </c>
      <c r="F950" t="s">
        <v>2059</v>
      </c>
      <c r="G950" t="s">
        <v>326</v>
      </c>
    </row>
    <row r="951" spans="1:7" x14ac:dyDescent="0.3">
      <c r="A951" t="s">
        <v>180</v>
      </c>
      <c r="B951" t="s">
        <v>1007</v>
      </c>
      <c r="C951" t="s">
        <v>1443</v>
      </c>
      <c r="D951">
        <f t="shared" si="14"/>
        <v>1</v>
      </c>
      <c r="E951" t="s">
        <v>19</v>
      </c>
      <c r="F951" t="s">
        <v>2315</v>
      </c>
      <c r="G951" t="s">
        <v>326</v>
      </c>
    </row>
    <row r="952" spans="1:7" x14ac:dyDescent="0.3">
      <c r="A952" t="s">
        <v>180</v>
      </c>
      <c r="B952" t="s">
        <v>514</v>
      </c>
      <c r="C952" t="s">
        <v>1455</v>
      </c>
      <c r="D952">
        <f t="shared" si="14"/>
        <v>1</v>
      </c>
      <c r="E952" t="s">
        <v>19</v>
      </c>
      <c r="F952" t="s">
        <v>2338</v>
      </c>
      <c r="G952" t="s">
        <v>326</v>
      </c>
    </row>
    <row r="953" spans="1:7" x14ac:dyDescent="0.3">
      <c r="A953" t="s">
        <v>180</v>
      </c>
      <c r="B953" t="s">
        <v>513</v>
      </c>
      <c r="C953" t="s">
        <v>1492</v>
      </c>
      <c r="D953">
        <f t="shared" si="14"/>
        <v>1</v>
      </c>
      <c r="E953" t="s">
        <v>19</v>
      </c>
      <c r="F953" t="s">
        <v>2415</v>
      </c>
      <c r="G953" t="s">
        <v>326</v>
      </c>
    </row>
    <row r="954" spans="1:7" x14ac:dyDescent="0.3">
      <c r="A954" t="s">
        <v>180</v>
      </c>
      <c r="B954" t="s">
        <v>514</v>
      </c>
      <c r="C954" t="s">
        <v>1502</v>
      </c>
      <c r="D954">
        <f t="shared" si="14"/>
        <v>1</v>
      </c>
      <c r="E954" t="s">
        <v>19</v>
      </c>
      <c r="F954" t="s">
        <v>2438</v>
      </c>
      <c r="G954" t="s">
        <v>326</v>
      </c>
    </row>
    <row r="955" spans="1:7" x14ac:dyDescent="0.3">
      <c r="A955" t="s">
        <v>180</v>
      </c>
      <c r="B955" t="s">
        <v>514</v>
      </c>
      <c r="C955" t="s">
        <v>1537</v>
      </c>
      <c r="D955">
        <f t="shared" si="14"/>
        <v>1</v>
      </c>
      <c r="E955" t="s">
        <v>19</v>
      </c>
      <c r="F955" t="s">
        <v>2675</v>
      </c>
      <c r="G955" t="s">
        <v>326</v>
      </c>
    </row>
    <row r="956" spans="1:7" x14ac:dyDescent="0.3">
      <c r="A956" t="s">
        <v>180</v>
      </c>
      <c r="B956" t="s">
        <v>514</v>
      </c>
      <c r="C956" t="s">
        <v>1557</v>
      </c>
      <c r="D956">
        <f t="shared" si="14"/>
        <v>1</v>
      </c>
      <c r="E956" t="s">
        <v>19</v>
      </c>
      <c r="F956" t="s">
        <v>2713</v>
      </c>
      <c r="G956" t="s">
        <v>326</v>
      </c>
    </row>
    <row r="957" spans="1:7" x14ac:dyDescent="0.3">
      <c r="A957" t="s">
        <v>180</v>
      </c>
      <c r="B957" t="s">
        <v>514</v>
      </c>
      <c r="C957" t="s">
        <v>1592</v>
      </c>
      <c r="D957">
        <f t="shared" si="14"/>
        <v>1</v>
      </c>
      <c r="E957" t="s">
        <v>19</v>
      </c>
      <c r="F957" t="s">
        <v>2848</v>
      </c>
      <c r="G957" t="s">
        <v>326</v>
      </c>
    </row>
    <row r="958" spans="1:7" x14ac:dyDescent="0.3">
      <c r="A958" t="s">
        <v>180</v>
      </c>
      <c r="B958" t="s">
        <v>1218</v>
      </c>
      <c r="C958" t="s">
        <v>1619</v>
      </c>
      <c r="D958">
        <f t="shared" si="14"/>
        <v>1</v>
      </c>
      <c r="E958" t="s">
        <v>19</v>
      </c>
      <c r="F958" t="s">
        <v>2931</v>
      </c>
      <c r="G958" t="s">
        <v>326</v>
      </c>
    </row>
    <row r="959" spans="1:7" x14ac:dyDescent="0.3">
      <c r="A959" t="s">
        <v>180</v>
      </c>
      <c r="B959" t="s">
        <v>514</v>
      </c>
      <c r="C959" t="s">
        <v>1627</v>
      </c>
      <c r="D959">
        <f t="shared" si="14"/>
        <v>1</v>
      </c>
      <c r="E959" t="s">
        <v>19</v>
      </c>
      <c r="F959" t="s">
        <v>2993</v>
      </c>
      <c r="G959" t="s">
        <v>326</v>
      </c>
    </row>
    <row r="960" spans="1:7" x14ac:dyDescent="0.3">
      <c r="A960" t="s">
        <v>180</v>
      </c>
      <c r="B960" t="s">
        <v>514</v>
      </c>
      <c r="C960" t="s">
        <v>1654</v>
      </c>
      <c r="D960">
        <f t="shared" si="14"/>
        <v>1</v>
      </c>
      <c r="E960" t="s">
        <v>19</v>
      </c>
      <c r="F960" t="s">
        <v>3038</v>
      </c>
      <c r="G960" t="s">
        <v>326</v>
      </c>
    </row>
    <row r="961" spans="1:7" hidden="1" x14ac:dyDescent="0.3">
      <c r="A961" t="s">
        <v>181</v>
      </c>
      <c r="B961" t="s">
        <v>653</v>
      </c>
      <c r="C961" t="s">
        <v>1250</v>
      </c>
      <c r="D961">
        <f t="shared" si="14"/>
        <v>0</v>
      </c>
      <c r="E961" t="s">
        <v>19</v>
      </c>
      <c r="F961" t="s">
        <v>1659</v>
      </c>
      <c r="G961" t="s">
        <v>326</v>
      </c>
    </row>
    <row r="962" spans="1:7" hidden="1" x14ac:dyDescent="0.3">
      <c r="A962" t="s">
        <v>181</v>
      </c>
      <c r="B962" t="s">
        <v>515</v>
      </c>
      <c r="C962" t="s">
        <v>1297</v>
      </c>
      <c r="D962">
        <f t="shared" ref="D962:D1025" si="15">SIGN(SUBTOTAL(3,E962))</f>
        <v>0</v>
      </c>
      <c r="E962" t="s">
        <v>19</v>
      </c>
      <c r="F962" t="s">
        <v>1798</v>
      </c>
      <c r="G962" t="s">
        <v>326</v>
      </c>
    </row>
    <row r="963" spans="1:7" hidden="1" x14ac:dyDescent="0.3">
      <c r="A963" t="s">
        <v>181</v>
      </c>
      <c r="B963" t="s">
        <v>744</v>
      </c>
      <c r="C963" t="s">
        <v>1298</v>
      </c>
      <c r="D963">
        <f t="shared" si="15"/>
        <v>0</v>
      </c>
      <c r="E963" t="s">
        <v>19</v>
      </c>
      <c r="F963" t="s">
        <v>1799</v>
      </c>
      <c r="G963" t="s">
        <v>326</v>
      </c>
    </row>
    <row r="964" spans="1:7" hidden="1" x14ac:dyDescent="0.3">
      <c r="A964" t="s">
        <v>181</v>
      </c>
      <c r="B964" t="s">
        <v>745</v>
      </c>
      <c r="C964" t="s">
        <v>1298</v>
      </c>
      <c r="D964">
        <f t="shared" si="15"/>
        <v>0</v>
      </c>
      <c r="E964" t="s">
        <v>19</v>
      </c>
      <c r="F964" t="s">
        <v>1800</v>
      </c>
      <c r="G964" t="s">
        <v>326</v>
      </c>
    </row>
    <row r="965" spans="1:7" hidden="1" x14ac:dyDescent="0.3">
      <c r="A965" t="s">
        <v>181</v>
      </c>
      <c r="B965" t="s">
        <v>746</v>
      </c>
      <c r="C965" t="s">
        <v>1298</v>
      </c>
      <c r="D965">
        <f t="shared" si="15"/>
        <v>0</v>
      </c>
      <c r="E965" t="s">
        <v>19</v>
      </c>
      <c r="F965" t="s">
        <v>1801</v>
      </c>
      <c r="G965" t="s">
        <v>326</v>
      </c>
    </row>
    <row r="966" spans="1:7" hidden="1" x14ac:dyDescent="0.3">
      <c r="A966" t="s">
        <v>181</v>
      </c>
      <c r="B966" t="s">
        <v>747</v>
      </c>
      <c r="C966" t="s">
        <v>1298</v>
      </c>
      <c r="D966">
        <f t="shared" si="15"/>
        <v>0</v>
      </c>
      <c r="E966" t="s">
        <v>19</v>
      </c>
      <c r="F966" t="s">
        <v>1802</v>
      </c>
      <c r="G966" t="s">
        <v>326</v>
      </c>
    </row>
    <row r="967" spans="1:7" hidden="1" x14ac:dyDescent="0.3">
      <c r="A967" t="s">
        <v>181</v>
      </c>
      <c r="B967" t="s">
        <v>518</v>
      </c>
      <c r="C967" t="s">
        <v>1298</v>
      </c>
      <c r="D967">
        <f t="shared" si="15"/>
        <v>0</v>
      </c>
      <c r="E967" t="s">
        <v>19</v>
      </c>
      <c r="F967" t="s">
        <v>1803</v>
      </c>
      <c r="G967" t="s">
        <v>326</v>
      </c>
    </row>
    <row r="968" spans="1:7" hidden="1" x14ac:dyDescent="0.3">
      <c r="A968" t="s">
        <v>181</v>
      </c>
      <c r="B968" t="s">
        <v>748</v>
      </c>
      <c r="C968" t="s">
        <v>1298</v>
      </c>
      <c r="D968">
        <f t="shared" si="15"/>
        <v>0</v>
      </c>
      <c r="E968" t="s">
        <v>19</v>
      </c>
      <c r="F968" t="s">
        <v>1804</v>
      </c>
      <c r="G968" t="s">
        <v>326</v>
      </c>
    </row>
    <row r="969" spans="1:7" hidden="1" x14ac:dyDescent="0.3">
      <c r="A969" t="s">
        <v>181</v>
      </c>
      <c r="B969" t="s">
        <v>749</v>
      </c>
      <c r="C969" t="s">
        <v>1298</v>
      </c>
      <c r="D969">
        <f t="shared" si="15"/>
        <v>0</v>
      </c>
      <c r="E969" t="s">
        <v>19</v>
      </c>
      <c r="F969" t="s">
        <v>1805</v>
      </c>
      <c r="G969" t="s">
        <v>326</v>
      </c>
    </row>
    <row r="970" spans="1:7" hidden="1" x14ac:dyDescent="0.3">
      <c r="A970" t="s">
        <v>181</v>
      </c>
      <c r="B970" t="s">
        <v>750</v>
      </c>
      <c r="C970" t="s">
        <v>1298</v>
      </c>
      <c r="D970">
        <f t="shared" si="15"/>
        <v>0</v>
      </c>
      <c r="E970" t="s">
        <v>19</v>
      </c>
      <c r="F970" t="s">
        <v>1806</v>
      </c>
      <c r="G970" t="s">
        <v>326</v>
      </c>
    </row>
    <row r="971" spans="1:7" hidden="1" x14ac:dyDescent="0.3">
      <c r="A971" t="s">
        <v>181</v>
      </c>
      <c r="B971" t="s">
        <v>751</v>
      </c>
      <c r="C971" t="s">
        <v>1298</v>
      </c>
      <c r="D971">
        <f t="shared" si="15"/>
        <v>0</v>
      </c>
      <c r="E971" t="s">
        <v>19</v>
      </c>
      <c r="F971" t="s">
        <v>1807</v>
      </c>
      <c r="G971" t="s">
        <v>326</v>
      </c>
    </row>
    <row r="972" spans="1:7" hidden="1" x14ac:dyDescent="0.3">
      <c r="A972" t="s">
        <v>181</v>
      </c>
      <c r="B972" t="s">
        <v>752</v>
      </c>
      <c r="C972" t="s">
        <v>1298</v>
      </c>
      <c r="D972">
        <f t="shared" si="15"/>
        <v>0</v>
      </c>
      <c r="E972" t="s">
        <v>19</v>
      </c>
      <c r="F972" t="s">
        <v>1808</v>
      </c>
      <c r="G972" t="s">
        <v>326</v>
      </c>
    </row>
    <row r="973" spans="1:7" hidden="1" x14ac:dyDescent="0.3">
      <c r="A973" t="s">
        <v>181</v>
      </c>
      <c r="B973" t="s">
        <v>518</v>
      </c>
      <c r="C973" t="s">
        <v>1298</v>
      </c>
      <c r="D973">
        <f t="shared" si="15"/>
        <v>0</v>
      </c>
      <c r="E973" t="s">
        <v>19</v>
      </c>
      <c r="F973" t="s">
        <v>1809</v>
      </c>
      <c r="G973" t="s">
        <v>326</v>
      </c>
    </row>
    <row r="974" spans="1:7" hidden="1" x14ac:dyDescent="0.3">
      <c r="A974" t="s">
        <v>181</v>
      </c>
      <c r="B974" t="s">
        <v>802</v>
      </c>
      <c r="C974" t="s">
        <v>1341</v>
      </c>
      <c r="D974">
        <f t="shared" si="15"/>
        <v>0</v>
      </c>
      <c r="E974" t="s">
        <v>19</v>
      </c>
      <c r="F974" t="s">
        <v>1908</v>
      </c>
      <c r="G974" t="s">
        <v>326</v>
      </c>
    </row>
    <row r="975" spans="1:7" hidden="1" x14ac:dyDescent="0.3">
      <c r="A975" t="s">
        <v>181</v>
      </c>
      <c r="B975" t="s">
        <v>803</v>
      </c>
      <c r="C975" t="s">
        <v>1341</v>
      </c>
      <c r="D975">
        <f t="shared" si="15"/>
        <v>0</v>
      </c>
      <c r="E975" t="s">
        <v>19</v>
      </c>
      <c r="F975" t="s">
        <v>1909</v>
      </c>
      <c r="G975" t="s">
        <v>326</v>
      </c>
    </row>
    <row r="976" spans="1:7" hidden="1" x14ac:dyDescent="0.3">
      <c r="A976" t="s">
        <v>181</v>
      </c>
      <c r="B976" t="s">
        <v>818</v>
      </c>
      <c r="C976" t="s">
        <v>1341</v>
      </c>
      <c r="D976">
        <f t="shared" si="15"/>
        <v>0</v>
      </c>
      <c r="E976" t="s">
        <v>19</v>
      </c>
      <c r="F976" t="s">
        <v>1933</v>
      </c>
      <c r="G976" t="s">
        <v>326</v>
      </c>
    </row>
    <row r="977" spans="1:7" hidden="1" x14ac:dyDescent="0.3">
      <c r="A977" t="s">
        <v>181</v>
      </c>
      <c r="B977" t="s">
        <v>745</v>
      </c>
      <c r="C977" t="s">
        <v>1341</v>
      </c>
      <c r="D977">
        <f t="shared" si="15"/>
        <v>0</v>
      </c>
      <c r="E977" t="s">
        <v>19</v>
      </c>
      <c r="F977" t="s">
        <v>1936</v>
      </c>
      <c r="G977" t="s">
        <v>326</v>
      </c>
    </row>
    <row r="978" spans="1:7" hidden="1" x14ac:dyDescent="0.3">
      <c r="A978" t="s">
        <v>181</v>
      </c>
      <c r="B978" t="s">
        <v>834</v>
      </c>
      <c r="C978" t="s">
        <v>1341</v>
      </c>
      <c r="D978">
        <f t="shared" si="15"/>
        <v>0</v>
      </c>
      <c r="E978" t="s">
        <v>19</v>
      </c>
      <c r="F978" t="s">
        <v>1977</v>
      </c>
      <c r="G978" t="s">
        <v>326</v>
      </c>
    </row>
    <row r="979" spans="1:7" hidden="1" x14ac:dyDescent="0.3">
      <c r="A979" t="s">
        <v>181</v>
      </c>
      <c r="B979" t="s">
        <v>838</v>
      </c>
      <c r="C979" t="s">
        <v>1341</v>
      </c>
      <c r="D979">
        <f t="shared" si="15"/>
        <v>0</v>
      </c>
      <c r="E979" t="s">
        <v>19</v>
      </c>
      <c r="F979" t="s">
        <v>1985</v>
      </c>
      <c r="G979" t="s">
        <v>326</v>
      </c>
    </row>
    <row r="980" spans="1:7" hidden="1" x14ac:dyDescent="0.3">
      <c r="A980" t="s">
        <v>181</v>
      </c>
      <c r="B980" t="s">
        <v>839</v>
      </c>
      <c r="C980" t="s">
        <v>1341</v>
      </c>
      <c r="D980">
        <f t="shared" si="15"/>
        <v>0</v>
      </c>
      <c r="E980" t="s">
        <v>19</v>
      </c>
      <c r="F980" t="s">
        <v>1986</v>
      </c>
      <c r="G980" t="s">
        <v>326</v>
      </c>
    </row>
    <row r="981" spans="1:7" hidden="1" x14ac:dyDescent="0.3">
      <c r="A981" t="s">
        <v>181</v>
      </c>
      <c r="B981" t="s">
        <v>840</v>
      </c>
      <c r="C981" t="s">
        <v>1342</v>
      </c>
      <c r="D981">
        <f t="shared" si="15"/>
        <v>0</v>
      </c>
      <c r="E981" t="s">
        <v>19</v>
      </c>
      <c r="F981" t="s">
        <v>1987</v>
      </c>
      <c r="G981" t="s">
        <v>326</v>
      </c>
    </row>
    <row r="982" spans="1:7" hidden="1" x14ac:dyDescent="0.3">
      <c r="A982" t="s">
        <v>181</v>
      </c>
      <c r="B982" t="s">
        <v>859</v>
      </c>
      <c r="C982" t="s">
        <v>1357</v>
      </c>
      <c r="D982">
        <f t="shared" si="15"/>
        <v>0</v>
      </c>
      <c r="E982" t="s">
        <v>19</v>
      </c>
      <c r="F982" t="s">
        <v>2029</v>
      </c>
      <c r="G982" t="s">
        <v>326</v>
      </c>
    </row>
    <row r="983" spans="1:7" hidden="1" x14ac:dyDescent="0.3">
      <c r="A983" t="s">
        <v>181</v>
      </c>
      <c r="B983" t="s">
        <v>517</v>
      </c>
      <c r="C983" t="s">
        <v>1382</v>
      </c>
      <c r="D983">
        <f t="shared" si="15"/>
        <v>0</v>
      </c>
      <c r="E983" t="s">
        <v>19</v>
      </c>
      <c r="F983" t="s">
        <v>2103</v>
      </c>
      <c r="G983" t="s">
        <v>326</v>
      </c>
    </row>
    <row r="984" spans="1:7" hidden="1" x14ac:dyDescent="0.3">
      <c r="A984" t="s">
        <v>181</v>
      </c>
      <c r="B984" t="s">
        <v>740</v>
      </c>
      <c r="C984" t="s">
        <v>1382</v>
      </c>
      <c r="D984">
        <f t="shared" si="15"/>
        <v>0</v>
      </c>
      <c r="E984" t="s">
        <v>19</v>
      </c>
      <c r="F984" t="s">
        <v>2104</v>
      </c>
      <c r="G984" t="s">
        <v>326</v>
      </c>
    </row>
    <row r="985" spans="1:7" hidden="1" x14ac:dyDescent="0.3">
      <c r="A985" t="s">
        <v>181</v>
      </c>
      <c r="B985" t="s">
        <v>517</v>
      </c>
      <c r="C985" t="s">
        <v>1386</v>
      </c>
      <c r="D985">
        <f t="shared" si="15"/>
        <v>0</v>
      </c>
      <c r="E985" t="s">
        <v>19</v>
      </c>
      <c r="F985" t="s">
        <v>2109</v>
      </c>
      <c r="G985" t="s">
        <v>326</v>
      </c>
    </row>
    <row r="986" spans="1:7" hidden="1" x14ac:dyDescent="0.3">
      <c r="A986" t="s">
        <v>181</v>
      </c>
      <c r="B986" t="s">
        <v>517</v>
      </c>
      <c r="C986" t="s">
        <v>1386</v>
      </c>
      <c r="D986">
        <f t="shared" si="15"/>
        <v>0</v>
      </c>
      <c r="E986" t="s">
        <v>19</v>
      </c>
      <c r="F986" t="s">
        <v>2110</v>
      </c>
      <c r="G986" t="s">
        <v>326</v>
      </c>
    </row>
    <row r="987" spans="1:7" hidden="1" x14ac:dyDescent="0.3">
      <c r="A987" t="s">
        <v>181</v>
      </c>
      <c r="B987" t="s">
        <v>517</v>
      </c>
      <c r="C987" t="s">
        <v>1395</v>
      </c>
      <c r="D987">
        <f t="shared" si="15"/>
        <v>0</v>
      </c>
      <c r="E987" t="s">
        <v>19</v>
      </c>
      <c r="F987" t="s">
        <v>2126</v>
      </c>
      <c r="G987" t="s">
        <v>326</v>
      </c>
    </row>
    <row r="988" spans="1:7" hidden="1" x14ac:dyDescent="0.3">
      <c r="A988" t="s">
        <v>181</v>
      </c>
      <c r="B988" t="s">
        <v>744</v>
      </c>
      <c r="C988" t="s">
        <v>1399</v>
      </c>
      <c r="D988">
        <f t="shared" si="15"/>
        <v>0</v>
      </c>
      <c r="E988" t="s">
        <v>19</v>
      </c>
      <c r="F988" t="s">
        <v>2134</v>
      </c>
      <c r="G988" t="s">
        <v>326</v>
      </c>
    </row>
    <row r="989" spans="1:7" hidden="1" x14ac:dyDescent="0.3">
      <c r="A989" t="s">
        <v>181</v>
      </c>
      <c r="B989" t="s">
        <v>748</v>
      </c>
      <c r="C989" t="s">
        <v>1399</v>
      </c>
      <c r="D989">
        <f t="shared" si="15"/>
        <v>0</v>
      </c>
      <c r="E989" t="s">
        <v>19</v>
      </c>
      <c r="F989" t="s">
        <v>2135</v>
      </c>
      <c r="G989" t="s">
        <v>326</v>
      </c>
    </row>
    <row r="990" spans="1:7" hidden="1" x14ac:dyDescent="0.3">
      <c r="A990" t="s">
        <v>181</v>
      </c>
      <c r="B990" t="s">
        <v>518</v>
      </c>
      <c r="C990" t="s">
        <v>1399</v>
      </c>
      <c r="D990">
        <f t="shared" si="15"/>
        <v>0</v>
      </c>
      <c r="E990" t="s">
        <v>19</v>
      </c>
      <c r="F990" t="s">
        <v>2136</v>
      </c>
      <c r="G990" t="s">
        <v>326</v>
      </c>
    </row>
    <row r="991" spans="1:7" hidden="1" x14ac:dyDescent="0.3">
      <c r="A991" t="s">
        <v>181</v>
      </c>
      <c r="B991" t="s">
        <v>751</v>
      </c>
      <c r="C991" t="s">
        <v>1399</v>
      </c>
      <c r="D991">
        <f t="shared" si="15"/>
        <v>0</v>
      </c>
      <c r="E991" t="s">
        <v>19</v>
      </c>
      <c r="F991" t="s">
        <v>2141</v>
      </c>
      <c r="G991" t="s">
        <v>326</v>
      </c>
    </row>
    <row r="992" spans="1:7" hidden="1" x14ac:dyDescent="0.3">
      <c r="A992" t="s">
        <v>181</v>
      </c>
      <c r="B992" t="s">
        <v>750</v>
      </c>
      <c r="C992" t="s">
        <v>1399</v>
      </c>
      <c r="D992">
        <f t="shared" si="15"/>
        <v>0</v>
      </c>
      <c r="E992" t="s">
        <v>19</v>
      </c>
      <c r="F992" t="s">
        <v>2144</v>
      </c>
      <c r="G992" t="s">
        <v>326</v>
      </c>
    </row>
    <row r="993" spans="1:7" hidden="1" x14ac:dyDescent="0.3">
      <c r="A993" t="s">
        <v>181</v>
      </c>
      <c r="B993" t="s">
        <v>752</v>
      </c>
      <c r="C993" t="s">
        <v>1399</v>
      </c>
      <c r="D993">
        <f t="shared" si="15"/>
        <v>0</v>
      </c>
      <c r="E993" t="s">
        <v>19</v>
      </c>
      <c r="F993" t="s">
        <v>2147</v>
      </c>
      <c r="G993" t="s">
        <v>326</v>
      </c>
    </row>
    <row r="994" spans="1:7" hidden="1" x14ac:dyDescent="0.3">
      <c r="A994" t="s">
        <v>181</v>
      </c>
      <c r="B994" t="s">
        <v>913</v>
      </c>
      <c r="C994" t="s">
        <v>1399</v>
      </c>
      <c r="D994">
        <f t="shared" si="15"/>
        <v>0</v>
      </c>
      <c r="E994" t="s">
        <v>19</v>
      </c>
      <c r="F994" t="s">
        <v>2148</v>
      </c>
      <c r="G994" t="s">
        <v>326</v>
      </c>
    </row>
    <row r="995" spans="1:7" hidden="1" x14ac:dyDescent="0.3">
      <c r="A995" t="s">
        <v>181</v>
      </c>
      <c r="B995" t="s">
        <v>916</v>
      </c>
      <c r="C995" t="s">
        <v>1399</v>
      </c>
      <c r="D995">
        <f t="shared" si="15"/>
        <v>0</v>
      </c>
      <c r="E995" t="s">
        <v>19</v>
      </c>
      <c r="F995" t="s">
        <v>2153</v>
      </c>
      <c r="G995" t="s">
        <v>326</v>
      </c>
    </row>
    <row r="996" spans="1:7" hidden="1" x14ac:dyDescent="0.3">
      <c r="A996" t="s">
        <v>181</v>
      </c>
      <c r="B996" t="s">
        <v>749</v>
      </c>
      <c r="C996" t="s">
        <v>1399</v>
      </c>
      <c r="D996">
        <f t="shared" si="15"/>
        <v>0</v>
      </c>
      <c r="E996" t="s">
        <v>19</v>
      </c>
      <c r="F996" t="s">
        <v>2159</v>
      </c>
      <c r="G996" t="s">
        <v>326</v>
      </c>
    </row>
    <row r="997" spans="1:7" hidden="1" x14ac:dyDescent="0.3">
      <c r="A997" t="s">
        <v>181</v>
      </c>
      <c r="B997" t="s">
        <v>802</v>
      </c>
      <c r="C997" t="s">
        <v>1399</v>
      </c>
      <c r="D997">
        <f t="shared" si="15"/>
        <v>0</v>
      </c>
      <c r="E997" t="s">
        <v>19</v>
      </c>
      <c r="F997" t="s">
        <v>2161</v>
      </c>
      <c r="G997" t="s">
        <v>326</v>
      </c>
    </row>
    <row r="998" spans="1:7" hidden="1" x14ac:dyDescent="0.3">
      <c r="A998" t="s">
        <v>181</v>
      </c>
      <c r="B998" t="s">
        <v>922</v>
      </c>
      <c r="C998" t="s">
        <v>1399</v>
      </c>
      <c r="D998">
        <f t="shared" si="15"/>
        <v>0</v>
      </c>
      <c r="E998" t="s">
        <v>19</v>
      </c>
      <c r="F998" t="s">
        <v>2164</v>
      </c>
      <c r="G998" t="s">
        <v>326</v>
      </c>
    </row>
    <row r="999" spans="1:7" hidden="1" x14ac:dyDescent="0.3">
      <c r="A999" t="s">
        <v>181</v>
      </c>
      <c r="B999" t="s">
        <v>924</v>
      </c>
      <c r="C999" t="s">
        <v>1399</v>
      </c>
      <c r="D999">
        <f t="shared" si="15"/>
        <v>0</v>
      </c>
      <c r="E999" t="s">
        <v>19</v>
      </c>
      <c r="F999" t="s">
        <v>2167</v>
      </c>
      <c r="G999" t="s">
        <v>326</v>
      </c>
    </row>
    <row r="1000" spans="1:7" hidden="1" x14ac:dyDescent="0.3">
      <c r="A1000" t="s">
        <v>181</v>
      </c>
      <c r="B1000" t="s">
        <v>744</v>
      </c>
      <c r="C1000" t="s">
        <v>1407</v>
      </c>
      <c r="D1000">
        <f t="shared" si="15"/>
        <v>0</v>
      </c>
      <c r="E1000" t="s">
        <v>19</v>
      </c>
      <c r="F1000" t="s">
        <v>2189</v>
      </c>
      <c r="G1000" t="s">
        <v>326</v>
      </c>
    </row>
    <row r="1001" spans="1:7" hidden="1" x14ac:dyDescent="0.3">
      <c r="A1001" t="s">
        <v>181</v>
      </c>
      <c r="B1001" t="s">
        <v>930</v>
      </c>
      <c r="C1001" t="s">
        <v>1407</v>
      </c>
      <c r="D1001">
        <f t="shared" si="15"/>
        <v>0</v>
      </c>
      <c r="E1001" t="s">
        <v>19</v>
      </c>
      <c r="F1001" t="s">
        <v>2196</v>
      </c>
      <c r="G1001" t="s">
        <v>326</v>
      </c>
    </row>
    <row r="1002" spans="1:7" hidden="1" x14ac:dyDescent="0.3">
      <c r="A1002" t="s">
        <v>181</v>
      </c>
      <c r="B1002" t="s">
        <v>748</v>
      </c>
      <c r="C1002" t="s">
        <v>1407</v>
      </c>
      <c r="D1002">
        <f t="shared" si="15"/>
        <v>0</v>
      </c>
      <c r="E1002" t="s">
        <v>19</v>
      </c>
      <c r="F1002" t="s">
        <v>2197</v>
      </c>
      <c r="G1002" t="s">
        <v>326</v>
      </c>
    </row>
    <row r="1003" spans="1:7" hidden="1" x14ac:dyDescent="0.3">
      <c r="A1003" t="s">
        <v>181</v>
      </c>
      <c r="B1003" t="s">
        <v>839</v>
      </c>
      <c r="C1003" t="s">
        <v>1407</v>
      </c>
      <c r="D1003">
        <f t="shared" si="15"/>
        <v>0</v>
      </c>
      <c r="E1003" t="s">
        <v>19</v>
      </c>
      <c r="F1003" t="s">
        <v>2198</v>
      </c>
      <c r="G1003" t="s">
        <v>326</v>
      </c>
    </row>
    <row r="1004" spans="1:7" hidden="1" x14ac:dyDescent="0.3">
      <c r="A1004" t="s">
        <v>181</v>
      </c>
      <c r="B1004" t="s">
        <v>932</v>
      </c>
      <c r="C1004" t="s">
        <v>1407</v>
      </c>
      <c r="D1004">
        <f t="shared" si="15"/>
        <v>0</v>
      </c>
      <c r="E1004" t="s">
        <v>19</v>
      </c>
      <c r="F1004" t="s">
        <v>2200</v>
      </c>
      <c r="G1004" t="s">
        <v>326</v>
      </c>
    </row>
    <row r="1005" spans="1:7" hidden="1" x14ac:dyDescent="0.3">
      <c r="A1005" t="s">
        <v>181</v>
      </c>
      <c r="B1005" t="s">
        <v>950</v>
      </c>
      <c r="C1005" t="s">
        <v>1416</v>
      </c>
      <c r="D1005">
        <f t="shared" si="15"/>
        <v>0</v>
      </c>
      <c r="E1005" t="s">
        <v>19</v>
      </c>
      <c r="F1005" t="s">
        <v>2226</v>
      </c>
      <c r="G1005" t="s">
        <v>326</v>
      </c>
    </row>
    <row r="1006" spans="1:7" hidden="1" x14ac:dyDescent="0.3">
      <c r="A1006" t="s">
        <v>181</v>
      </c>
      <c r="B1006" t="s">
        <v>818</v>
      </c>
      <c r="C1006" t="s">
        <v>1416</v>
      </c>
      <c r="D1006">
        <f t="shared" si="15"/>
        <v>0</v>
      </c>
      <c r="E1006" t="s">
        <v>19</v>
      </c>
      <c r="F1006" t="s">
        <v>2227</v>
      </c>
      <c r="G1006" t="s">
        <v>326</v>
      </c>
    </row>
    <row r="1007" spans="1:7" hidden="1" x14ac:dyDescent="0.3">
      <c r="A1007" t="s">
        <v>181</v>
      </c>
      <c r="B1007" t="s">
        <v>838</v>
      </c>
      <c r="C1007" t="s">
        <v>1443</v>
      </c>
      <c r="D1007">
        <f t="shared" si="15"/>
        <v>0</v>
      </c>
      <c r="E1007" t="s">
        <v>19</v>
      </c>
      <c r="F1007" t="s">
        <v>2306</v>
      </c>
      <c r="G1007" t="s">
        <v>326</v>
      </c>
    </row>
    <row r="1008" spans="1:7" hidden="1" x14ac:dyDescent="0.3">
      <c r="A1008" t="s">
        <v>181</v>
      </c>
      <c r="B1008" t="s">
        <v>1009</v>
      </c>
      <c r="C1008" t="s">
        <v>1446</v>
      </c>
      <c r="D1008">
        <f t="shared" si="15"/>
        <v>0</v>
      </c>
      <c r="E1008" t="s">
        <v>19</v>
      </c>
      <c r="F1008" t="s">
        <v>2319</v>
      </c>
      <c r="G1008" t="s">
        <v>326</v>
      </c>
    </row>
    <row r="1009" spans="1:7" hidden="1" x14ac:dyDescent="0.3">
      <c r="A1009" t="s">
        <v>181</v>
      </c>
      <c r="B1009" t="s">
        <v>517</v>
      </c>
      <c r="C1009" t="s">
        <v>1451</v>
      </c>
      <c r="D1009">
        <f t="shared" si="15"/>
        <v>0</v>
      </c>
      <c r="E1009" t="s">
        <v>19</v>
      </c>
      <c r="F1009" t="s">
        <v>2334</v>
      </c>
      <c r="G1009" t="s">
        <v>326</v>
      </c>
    </row>
    <row r="1010" spans="1:7" hidden="1" x14ac:dyDescent="0.3">
      <c r="A1010" t="s">
        <v>181</v>
      </c>
      <c r="B1010" t="s">
        <v>517</v>
      </c>
      <c r="C1010" t="s">
        <v>1496</v>
      </c>
      <c r="D1010">
        <f t="shared" si="15"/>
        <v>0</v>
      </c>
      <c r="E1010" t="s">
        <v>19</v>
      </c>
      <c r="F1010" t="s">
        <v>2432</v>
      </c>
      <c r="G1010" t="s">
        <v>326</v>
      </c>
    </row>
    <row r="1011" spans="1:7" hidden="1" x14ac:dyDescent="0.3">
      <c r="A1011" t="s">
        <v>181</v>
      </c>
      <c r="B1011" t="s">
        <v>1095</v>
      </c>
      <c r="C1011" t="s">
        <v>1525</v>
      </c>
      <c r="D1011">
        <f t="shared" si="15"/>
        <v>0</v>
      </c>
      <c r="E1011" t="s">
        <v>19</v>
      </c>
      <c r="F1011" t="s">
        <v>2564</v>
      </c>
      <c r="G1011" t="s">
        <v>326</v>
      </c>
    </row>
    <row r="1012" spans="1:7" hidden="1" x14ac:dyDescent="0.3">
      <c r="A1012" t="s">
        <v>181</v>
      </c>
      <c r="B1012" t="s">
        <v>1111</v>
      </c>
      <c r="C1012" t="s">
        <v>1525</v>
      </c>
      <c r="D1012">
        <f t="shared" si="15"/>
        <v>0</v>
      </c>
      <c r="E1012" t="s">
        <v>19</v>
      </c>
      <c r="F1012" t="s">
        <v>2571</v>
      </c>
      <c r="G1012" t="s">
        <v>326</v>
      </c>
    </row>
    <row r="1013" spans="1:7" hidden="1" x14ac:dyDescent="0.3">
      <c r="A1013" t="s">
        <v>181</v>
      </c>
      <c r="B1013" t="s">
        <v>1209</v>
      </c>
      <c r="C1013" t="s">
        <v>1606</v>
      </c>
      <c r="D1013">
        <f t="shared" si="15"/>
        <v>0</v>
      </c>
      <c r="E1013" t="s">
        <v>19</v>
      </c>
      <c r="F1013" t="s">
        <v>2909</v>
      </c>
      <c r="G1013" t="s">
        <v>326</v>
      </c>
    </row>
    <row r="1014" spans="1:7" hidden="1" x14ac:dyDescent="0.3">
      <c r="A1014" t="s">
        <v>181</v>
      </c>
      <c r="B1014" t="s">
        <v>750</v>
      </c>
      <c r="C1014" t="s">
        <v>1628</v>
      </c>
      <c r="D1014">
        <f t="shared" si="15"/>
        <v>0</v>
      </c>
      <c r="E1014" t="s">
        <v>19</v>
      </c>
      <c r="F1014" t="s">
        <v>2999</v>
      </c>
      <c r="G1014" t="s">
        <v>326</v>
      </c>
    </row>
    <row r="1015" spans="1:7" hidden="1" x14ac:dyDescent="0.3">
      <c r="A1015" t="s">
        <v>181</v>
      </c>
      <c r="B1015" t="s">
        <v>1235</v>
      </c>
      <c r="C1015" t="s">
        <v>1630</v>
      </c>
      <c r="D1015">
        <f t="shared" si="15"/>
        <v>0</v>
      </c>
      <c r="E1015" t="s">
        <v>19</v>
      </c>
      <c r="F1015" t="s">
        <v>3002</v>
      </c>
      <c r="G1015" t="s">
        <v>326</v>
      </c>
    </row>
    <row r="1016" spans="1:7" hidden="1" x14ac:dyDescent="0.3">
      <c r="A1016" t="s">
        <v>181</v>
      </c>
      <c r="B1016" t="s">
        <v>1241</v>
      </c>
      <c r="C1016" t="s">
        <v>1643</v>
      </c>
      <c r="D1016">
        <f t="shared" si="15"/>
        <v>0</v>
      </c>
      <c r="E1016" t="s">
        <v>19</v>
      </c>
      <c r="F1016" t="s">
        <v>3019</v>
      </c>
      <c r="G1016" t="s">
        <v>326</v>
      </c>
    </row>
    <row r="1017" spans="1:7" hidden="1" x14ac:dyDescent="0.3">
      <c r="A1017" t="s">
        <v>182</v>
      </c>
      <c r="B1017" t="s">
        <v>519</v>
      </c>
      <c r="C1017" t="s">
        <v>1331</v>
      </c>
      <c r="D1017">
        <f t="shared" si="15"/>
        <v>0</v>
      </c>
      <c r="E1017" t="s">
        <v>19</v>
      </c>
      <c r="F1017" t="s">
        <v>1882</v>
      </c>
      <c r="G1017" t="s">
        <v>326</v>
      </c>
    </row>
    <row r="1018" spans="1:7" hidden="1" x14ac:dyDescent="0.3">
      <c r="A1018" t="s">
        <v>182</v>
      </c>
      <c r="B1018" t="s">
        <v>984</v>
      </c>
      <c r="C1018" t="s">
        <v>1431</v>
      </c>
      <c r="D1018">
        <f t="shared" si="15"/>
        <v>0</v>
      </c>
      <c r="E1018" t="s">
        <v>19</v>
      </c>
      <c r="F1018" t="s">
        <v>2276</v>
      </c>
      <c r="G1018" t="s">
        <v>326</v>
      </c>
    </row>
    <row r="1019" spans="1:7" hidden="1" x14ac:dyDescent="0.3">
      <c r="A1019" t="s">
        <v>182</v>
      </c>
      <c r="B1019" t="s">
        <v>519</v>
      </c>
      <c r="C1019" t="s">
        <v>1456</v>
      </c>
      <c r="D1019">
        <f t="shared" si="15"/>
        <v>0</v>
      </c>
      <c r="E1019" t="s">
        <v>19</v>
      </c>
      <c r="F1019" t="s">
        <v>2347</v>
      </c>
      <c r="G1019" t="s">
        <v>326</v>
      </c>
    </row>
    <row r="1020" spans="1:7" hidden="1" x14ac:dyDescent="0.3">
      <c r="A1020" t="s">
        <v>182</v>
      </c>
      <c r="B1020" t="s">
        <v>984</v>
      </c>
      <c r="C1020" t="s">
        <v>1456</v>
      </c>
      <c r="D1020">
        <f t="shared" si="15"/>
        <v>0</v>
      </c>
      <c r="E1020" t="s">
        <v>19</v>
      </c>
      <c r="F1020" t="s">
        <v>2352</v>
      </c>
      <c r="G1020" t="s">
        <v>326</v>
      </c>
    </row>
    <row r="1021" spans="1:7" hidden="1" x14ac:dyDescent="0.3">
      <c r="A1021" t="s">
        <v>182</v>
      </c>
      <c r="B1021" t="s">
        <v>519</v>
      </c>
      <c r="C1021" t="s">
        <v>1466</v>
      </c>
      <c r="D1021">
        <f t="shared" si="15"/>
        <v>0</v>
      </c>
      <c r="E1021" t="s">
        <v>19</v>
      </c>
      <c r="F1021" t="s">
        <v>2376</v>
      </c>
      <c r="G1021" t="s">
        <v>326</v>
      </c>
    </row>
    <row r="1022" spans="1:7" hidden="1" x14ac:dyDescent="0.3">
      <c r="A1022" t="s">
        <v>182</v>
      </c>
      <c r="B1022" t="s">
        <v>519</v>
      </c>
      <c r="C1022" t="s">
        <v>1467</v>
      </c>
      <c r="D1022">
        <f t="shared" si="15"/>
        <v>0</v>
      </c>
      <c r="E1022" t="s">
        <v>19</v>
      </c>
      <c r="F1022" t="s">
        <v>2377</v>
      </c>
      <c r="G1022" t="s">
        <v>326</v>
      </c>
    </row>
    <row r="1023" spans="1:7" hidden="1" x14ac:dyDescent="0.3">
      <c r="A1023" t="s">
        <v>182</v>
      </c>
      <c r="B1023" t="s">
        <v>519</v>
      </c>
      <c r="C1023" t="s">
        <v>1593</v>
      </c>
      <c r="D1023">
        <f t="shared" si="15"/>
        <v>0</v>
      </c>
      <c r="E1023" t="s">
        <v>19</v>
      </c>
      <c r="F1023" t="s">
        <v>2866</v>
      </c>
      <c r="G1023" t="s">
        <v>326</v>
      </c>
    </row>
    <row r="1024" spans="1:7" hidden="1" x14ac:dyDescent="0.3">
      <c r="A1024" t="s">
        <v>182</v>
      </c>
      <c r="B1024" t="s">
        <v>1200</v>
      </c>
      <c r="C1024" t="s">
        <v>1595</v>
      </c>
      <c r="D1024">
        <f t="shared" si="15"/>
        <v>0</v>
      </c>
      <c r="E1024" t="s">
        <v>19</v>
      </c>
      <c r="F1024" t="s">
        <v>2870</v>
      </c>
      <c r="G1024" t="s">
        <v>326</v>
      </c>
    </row>
    <row r="1025" spans="1:7" hidden="1" x14ac:dyDescent="0.3">
      <c r="A1025" t="s">
        <v>183</v>
      </c>
      <c r="B1025" t="s">
        <v>521</v>
      </c>
      <c r="C1025" t="s">
        <v>1274</v>
      </c>
      <c r="D1025">
        <f t="shared" si="15"/>
        <v>0</v>
      </c>
      <c r="E1025" t="s">
        <v>19</v>
      </c>
      <c r="F1025" t="s">
        <v>1684</v>
      </c>
      <c r="G1025" t="s">
        <v>326</v>
      </c>
    </row>
    <row r="1026" spans="1:7" hidden="1" x14ac:dyDescent="0.3">
      <c r="A1026" t="s">
        <v>183</v>
      </c>
      <c r="B1026" t="s">
        <v>763</v>
      </c>
      <c r="C1026" t="s">
        <v>1316</v>
      </c>
      <c r="D1026">
        <f t="shared" ref="D1026:D1089" si="16">SIGN(SUBTOTAL(3,E1026))</f>
        <v>0</v>
      </c>
      <c r="E1026" t="s">
        <v>19</v>
      </c>
      <c r="F1026" t="s">
        <v>1832</v>
      </c>
      <c r="G1026" t="s">
        <v>326</v>
      </c>
    </row>
    <row r="1027" spans="1:7" hidden="1" x14ac:dyDescent="0.3">
      <c r="A1027" t="s">
        <v>183</v>
      </c>
      <c r="B1027" t="s">
        <v>775</v>
      </c>
      <c r="C1027" t="s">
        <v>1322</v>
      </c>
      <c r="D1027">
        <f t="shared" si="16"/>
        <v>0</v>
      </c>
      <c r="E1027" t="s">
        <v>19</v>
      </c>
      <c r="F1027" t="s">
        <v>1863</v>
      </c>
      <c r="G1027" t="s">
        <v>326</v>
      </c>
    </row>
    <row r="1028" spans="1:7" hidden="1" x14ac:dyDescent="0.3">
      <c r="A1028" t="s">
        <v>183</v>
      </c>
      <c r="B1028" t="s">
        <v>775</v>
      </c>
      <c r="C1028" t="s">
        <v>1322</v>
      </c>
      <c r="D1028">
        <f t="shared" si="16"/>
        <v>0</v>
      </c>
      <c r="E1028" t="s">
        <v>19</v>
      </c>
      <c r="F1028" t="s">
        <v>1864</v>
      </c>
      <c r="G1028" t="s">
        <v>326</v>
      </c>
    </row>
    <row r="1029" spans="1:7" hidden="1" x14ac:dyDescent="0.3">
      <c r="A1029" t="s">
        <v>183</v>
      </c>
      <c r="B1029" t="s">
        <v>776</v>
      </c>
      <c r="C1029" t="s">
        <v>1322</v>
      </c>
      <c r="D1029">
        <f t="shared" si="16"/>
        <v>0</v>
      </c>
      <c r="E1029" t="s">
        <v>19</v>
      </c>
      <c r="F1029" t="s">
        <v>1865</v>
      </c>
      <c r="G1029" t="s">
        <v>326</v>
      </c>
    </row>
    <row r="1030" spans="1:7" hidden="1" x14ac:dyDescent="0.3">
      <c r="A1030" t="s">
        <v>183</v>
      </c>
      <c r="B1030" t="s">
        <v>776</v>
      </c>
      <c r="C1030" t="s">
        <v>1322</v>
      </c>
      <c r="D1030">
        <f t="shared" si="16"/>
        <v>0</v>
      </c>
      <c r="E1030" t="s">
        <v>19</v>
      </c>
      <c r="F1030" t="s">
        <v>1866</v>
      </c>
      <c r="G1030" t="s">
        <v>326</v>
      </c>
    </row>
    <row r="1031" spans="1:7" hidden="1" x14ac:dyDescent="0.3">
      <c r="A1031" t="s">
        <v>183</v>
      </c>
      <c r="B1031" t="s">
        <v>775</v>
      </c>
      <c r="C1031" t="s">
        <v>1341</v>
      </c>
      <c r="D1031">
        <f t="shared" si="16"/>
        <v>0</v>
      </c>
      <c r="E1031" t="s">
        <v>19</v>
      </c>
      <c r="F1031" t="s">
        <v>1948</v>
      </c>
      <c r="G1031" t="s">
        <v>326</v>
      </c>
    </row>
    <row r="1032" spans="1:7" hidden="1" x14ac:dyDescent="0.3">
      <c r="A1032" t="s">
        <v>183</v>
      </c>
      <c r="B1032" t="s">
        <v>824</v>
      </c>
      <c r="C1032" t="s">
        <v>1341</v>
      </c>
      <c r="D1032">
        <f t="shared" si="16"/>
        <v>0</v>
      </c>
      <c r="E1032" t="s">
        <v>19</v>
      </c>
      <c r="F1032" t="s">
        <v>1949</v>
      </c>
      <c r="G1032" t="s">
        <v>326</v>
      </c>
    </row>
    <row r="1033" spans="1:7" hidden="1" x14ac:dyDescent="0.3">
      <c r="A1033" t="s">
        <v>183</v>
      </c>
      <c r="B1033" t="s">
        <v>776</v>
      </c>
      <c r="C1033" t="s">
        <v>1341</v>
      </c>
      <c r="D1033">
        <f t="shared" si="16"/>
        <v>0</v>
      </c>
      <c r="E1033" t="s">
        <v>19</v>
      </c>
      <c r="F1033" t="s">
        <v>1955</v>
      </c>
      <c r="G1033" t="s">
        <v>326</v>
      </c>
    </row>
    <row r="1034" spans="1:7" hidden="1" x14ac:dyDescent="0.3">
      <c r="A1034" t="s">
        <v>183</v>
      </c>
      <c r="B1034" t="s">
        <v>521</v>
      </c>
      <c r="C1034" t="s">
        <v>1341</v>
      </c>
      <c r="D1034">
        <f t="shared" si="16"/>
        <v>0</v>
      </c>
      <c r="E1034" t="s">
        <v>19</v>
      </c>
      <c r="F1034" t="s">
        <v>1965</v>
      </c>
      <c r="G1034" t="s">
        <v>326</v>
      </c>
    </row>
    <row r="1035" spans="1:7" hidden="1" x14ac:dyDescent="0.3">
      <c r="A1035" t="s">
        <v>183</v>
      </c>
      <c r="B1035" t="s">
        <v>860</v>
      </c>
      <c r="C1035" t="s">
        <v>1357</v>
      </c>
      <c r="D1035">
        <f t="shared" si="16"/>
        <v>0</v>
      </c>
      <c r="E1035" t="s">
        <v>19</v>
      </c>
      <c r="F1035" t="s">
        <v>2030</v>
      </c>
      <c r="G1035" t="s">
        <v>326</v>
      </c>
    </row>
    <row r="1036" spans="1:7" hidden="1" x14ac:dyDescent="0.3">
      <c r="A1036" t="s">
        <v>183</v>
      </c>
      <c r="B1036" t="s">
        <v>783</v>
      </c>
      <c r="C1036" t="s">
        <v>1415</v>
      </c>
      <c r="D1036">
        <f t="shared" si="16"/>
        <v>0</v>
      </c>
      <c r="E1036" t="s">
        <v>19</v>
      </c>
      <c r="F1036" t="s">
        <v>2217</v>
      </c>
      <c r="G1036" t="s">
        <v>326</v>
      </c>
    </row>
    <row r="1037" spans="1:7" hidden="1" x14ac:dyDescent="0.3">
      <c r="A1037" t="s">
        <v>183</v>
      </c>
      <c r="B1037" t="s">
        <v>947</v>
      </c>
      <c r="C1037" t="s">
        <v>1415</v>
      </c>
      <c r="D1037">
        <f t="shared" si="16"/>
        <v>0</v>
      </c>
      <c r="E1037" t="s">
        <v>19</v>
      </c>
      <c r="F1037" t="s">
        <v>2222</v>
      </c>
      <c r="G1037" t="s">
        <v>326</v>
      </c>
    </row>
    <row r="1038" spans="1:7" hidden="1" x14ac:dyDescent="0.3">
      <c r="A1038" t="s">
        <v>183</v>
      </c>
      <c r="B1038" t="s">
        <v>521</v>
      </c>
      <c r="C1038" t="s">
        <v>1507</v>
      </c>
      <c r="D1038">
        <f t="shared" si="16"/>
        <v>0</v>
      </c>
      <c r="E1038" t="s">
        <v>19</v>
      </c>
      <c r="F1038" t="s">
        <v>2466</v>
      </c>
      <c r="G1038" t="s">
        <v>326</v>
      </c>
    </row>
    <row r="1039" spans="1:7" hidden="1" x14ac:dyDescent="0.3">
      <c r="A1039" t="s">
        <v>183</v>
      </c>
      <c r="B1039" t="s">
        <v>776</v>
      </c>
      <c r="C1039" t="s">
        <v>1506</v>
      </c>
      <c r="D1039">
        <f t="shared" si="16"/>
        <v>0</v>
      </c>
      <c r="E1039" t="s">
        <v>19</v>
      </c>
      <c r="F1039" t="s">
        <v>2477</v>
      </c>
      <c r="G1039" t="s">
        <v>326</v>
      </c>
    </row>
    <row r="1040" spans="1:7" hidden="1" x14ac:dyDescent="0.3">
      <c r="A1040" t="s">
        <v>183</v>
      </c>
      <c r="B1040" t="s">
        <v>776</v>
      </c>
      <c r="C1040" t="s">
        <v>1506</v>
      </c>
      <c r="D1040">
        <f t="shared" si="16"/>
        <v>0</v>
      </c>
      <c r="E1040" t="s">
        <v>19</v>
      </c>
      <c r="F1040" t="s">
        <v>2478</v>
      </c>
      <c r="G1040" t="s">
        <v>326</v>
      </c>
    </row>
    <row r="1041" spans="1:7" hidden="1" x14ac:dyDescent="0.3">
      <c r="A1041" t="s">
        <v>183</v>
      </c>
      <c r="B1041" t="s">
        <v>775</v>
      </c>
      <c r="C1041" t="s">
        <v>1505</v>
      </c>
      <c r="D1041">
        <f t="shared" si="16"/>
        <v>0</v>
      </c>
      <c r="E1041" t="s">
        <v>19</v>
      </c>
      <c r="F1041" t="s">
        <v>2479</v>
      </c>
      <c r="G1041" t="s">
        <v>326</v>
      </c>
    </row>
    <row r="1042" spans="1:7" hidden="1" x14ac:dyDescent="0.3">
      <c r="A1042" t="s">
        <v>183</v>
      </c>
      <c r="B1042" t="s">
        <v>1068</v>
      </c>
      <c r="C1042" t="s">
        <v>1499</v>
      </c>
      <c r="D1042">
        <f t="shared" si="16"/>
        <v>0</v>
      </c>
      <c r="E1042" t="s">
        <v>19</v>
      </c>
      <c r="F1042" t="s">
        <v>2485</v>
      </c>
      <c r="G1042" t="s">
        <v>326</v>
      </c>
    </row>
    <row r="1043" spans="1:7" hidden="1" x14ac:dyDescent="0.3">
      <c r="A1043" t="s">
        <v>183</v>
      </c>
      <c r="B1043" t="s">
        <v>824</v>
      </c>
      <c r="C1043" t="s">
        <v>1528</v>
      </c>
      <c r="D1043">
        <f t="shared" si="16"/>
        <v>0</v>
      </c>
      <c r="E1043" t="s">
        <v>19</v>
      </c>
      <c r="F1043" t="s">
        <v>2612</v>
      </c>
      <c r="G1043" t="s">
        <v>326</v>
      </c>
    </row>
    <row r="1044" spans="1:7" hidden="1" x14ac:dyDescent="0.3">
      <c r="A1044" t="s">
        <v>183</v>
      </c>
      <c r="B1044" t="s">
        <v>775</v>
      </c>
      <c r="C1044" t="s">
        <v>1576</v>
      </c>
      <c r="D1044">
        <f t="shared" si="16"/>
        <v>0</v>
      </c>
      <c r="E1044" t="s">
        <v>19</v>
      </c>
      <c r="F1044" t="s">
        <v>2806</v>
      </c>
      <c r="G1044" t="s">
        <v>326</v>
      </c>
    </row>
    <row r="1045" spans="1:7" hidden="1" x14ac:dyDescent="0.3">
      <c r="A1045" t="s">
        <v>183</v>
      </c>
      <c r="B1045" t="s">
        <v>775</v>
      </c>
      <c r="C1045" t="s">
        <v>1597</v>
      </c>
      <c r="D1045">
        <f t="shared" si="16"/>
        <v>0</v>
      </c>
      <c r="E1045" t="s">
        <v>19</v>
      </c>
      <c r="F1045" t="s">
        <v>2886</v>
      </c>
      <c r="G1045" t="s">
        <v>326</v>
      </c>
    </row>
    <row r="1046" spans="1:7" hidden="1" x14ac:dyDescent="0.3">
      <c r="A1046" t="s">
        <v>183</v>
      </c>
      <c r="B1046" t="s">
        <v>1215</v>
      </c>
      <c r="C1046" t="s">
        <v>1615</v>
      </c>
      <c r="D1046">
        <f t="shared" si="16"/>
        <v>0</v>
      </c>
      <c r="E1046" t="s">
        <v>19</v>
      </c>
      <c r="F1046" t="s">
        <v>2923</v>
      </c>
      <c r="G1046" t="s">
        <v>326</v>
      </c>
    </row>
    <row r="1047" spans="1:7" hidden="1" x14ac:dyDescent="0.3">
      <c r="A1047" t="s">
        <v>183</v>
      </c>
      <c r="B1047" t="s">
        <v>775</v>
      </c>
      <c r="C1047" t="s">
        <v>1623</v>
      </c>
      <c r="D1047">
        <f t="shared" si="16"/>
        <v>0</v>
      </c>
      <c r="E1047" t="s">
        <v>19</v>
      </c>
      <c r="F1047" t="s">
        <v>2962</v>
      </c>
      <c r="G1047" t="s">
        <v>326</v>
      </c>
    </row>
    <row r="1048" spans="1:7" hidden="1" x14ac:dyDescent="0.3">
      <c r="A1048" t="s">
        <v>184</v>
      </c>
      <c r="B1048" t="s">
        <v>1047</v>
      </c>
      <c r="C1048" t="s">
        <v>1485</v>
      </c>
      <c r="D1048">
        <f t="shared" si="16"/>
        <v>0</v>
      </c>
      <c r="E1048" t="s">
        <v>19</v>
      </c>
      <c r="F1048" t="s">
        <v>2405</v>
      </c>
      <c r="G1048" t="s">
        <v>326</v>
      </c>
    </row>
    <row r="1049" spans="1:7" hidden="1" x14ac:dyDescent="0.3">
      <c r="A1049" t="s">
        <v>184</v>
      </c>
      <c r="B1049" t="s">
        <v>1079</v>
      </c>
      <c r="C1049" t="s">
        <v>1518</v>
      </c>
      <c r="D1049">
        <f t="shared" si="16"/>
        <v>0</v>
      </c>
      <c r="E1049" t="s">
        <v>19</v>
      </c>
      <c r="F1049" t="s">
        <v>2516</v>
      </c>
      <c r="G1049" t="s">
        <v>326</v>
      </c>
    </row>
    <row r="1050" spans="1:7" hidden="1" x14ac:dyDescent="0.3">
      <c r="A1050" t="s">
        <v>184</v>
      </c>
      <c r="B1050" t="s">
        <v>1082</v>
      </c>
      <c r="C1050" t="s">
        <v>1518</v>
      </c>
      <c r="D1050">
        <f t="shared" si="16"/>
        <v>0</v>
      </c>
      <c r="E1050" t="s">
        <v>19</v>
      </c>
      <c r="F1050" t="s">
        <v>2519</v>
      </c>
      <c r="G1050" t="s">
        <v>326</v>
      </c>
    </row>
    <row r="1051" spans="1:7" hidden="1" x14ac:dyDescent="0.3">
      <c r="A1051" t="s">
        <v>184</v>
      </c>
      <c r="B1051" t="s">
        <v>1102</v>
      </c>
      <c r="C1051" t="s">
        <v>1518</v>
      </c>
      <c r="D1051">
        <f t="shared" si="16"/>
        <v>0</v>
      </c>
      <c r="E1051" t="s">
        <v>19</v>
      </c>
      <c r="F1051" t="s">
        <v>2550</v>
      </c>
      <c r="G1051" t="s">
        <v>326</v>
      </c>
    </row>
    <row r="1052" spans="1:7" hidden="1" x14ac:dyDescent="0.3">
      <c r="A1052" t="s">
        <v>184</v>
      </c>
      <c r="B1052" t="s">
        <v>1157</v>
      </c>
      <c r="C1052" t="s">
        <v>1557</v>
      </c>
      <c r="D1052">
        <f t="shared" si="16"/>
        <v>0</v>
      </c>
      <c r="E1052" t="s">
        <v>19</v>
      </c>
      <c r="F1052" t="s">
        <v>2724</v>
      </c>
      <c r="G1052" t="s">
        <v>326</v>
      </c>
    </row>
    <row r="1053" spans="1:7" hidden="1" x14ac:dyDescent="0.3">
      <c r="A1053" t="s">
        <v>184</v>
      </c>
      <c r="B1053" t="s">
        <v>1158</v>
      </c>
      <c r="C1053" t="s">
        <v>1557</v>
      </c>
      <c r="D1053">
        <f t="shared" si="16"/>
        <v>0</v>
      </c>
      <c r="E1053" t="s">
        <v>19</v>
      </c>
      <c r="F1053" t="s">
        <v>2726</v>
      </c>
      <c r="G1053" t="s">
        <v>326</v>
      </c>
    </row>
    <row r="1054" spans="1:7" hidden="1" x14ac:dyDescent="0.3">
      <c r="A1054" t="s">
        <v>184</v>
      </c>
      <c r="B1054" t="s">
        <v>973</v>
      </c>
      <c r="C1054" t="s">
        <v>1557</v>
      </c>
      <c r="D1054">
        <f t="shared" si="16"/>
        <v>0</v>
      </c>
      <c r="E1054" t="s">
        <v>19</v>
      </c>
      <c r="F1054" t="s">
        <v>2727</v>
      </c>
      <c r="G1054" t="s">
        <v>326</v>
      </c>
    </row>
    <row r="1055" spans="1:7" hidden="1" x14ac:dyDescent="0.3">
      <c r="A1055" t="s">
        <v>184</v>
      </c>
      <c r="B1055" t="s">
        <v>1079</v>
      </c>
      <c r="C1055" t="s">
        <v>1557</v>
      </c>
      <c r="D1055">
        <f t="shared" si="16"/>
        <v>0</v>
      </c>
      <c r="E1055" t="s">
        <v>19</v>
      </c>
      <c r="F1055" t="s">
        <v>2729</v>
      </c>
      <c r="G1055" t="s">
        <v>326</v>
      </c>
    </row>
    <row r="1056" spans="1:7" hidden="1" x14ac:dyDescent="0.3">
      <c r="A1056" t="s">
        <v>184</v>
      </c>
      <c r="B1056" t="s">
        <v>1167</v>
      </c>
      <c r="C1056" t="s">
        <v>1557</v>
      </c>
      <c r="D1056">
        <f t="shared" si="16"/>
        <v>0</v>
      </c>
      <c r="E1056" t="s">
        <v>19</v>
      </c>
      <c r="F1056" t="s">
        <v>2751</v>
      </c>
      <c r="G1056" t="s">
        <v>326</v>
      </c>
    </row>
    <row r="1057" spans="1:7" hidden="1" x14ac:dyDescent="0.3">
      <c r="A1057" t="s">
        <v>185</v>
      </c>
      <c r="B1057" t="s">
        <v>525</v>
      </c>
      <c r="C1057" t="s">
        <v>1278</v>
      </c>
      <c r="D1057">
        <f t="shared" si="16"/>
        <v>0</v>
      </c>
      <c r="E1057" t="s">
        <v>19</v>
      </c>
      <c r="F1057" t="s">
        <v>1696</v>
      </c>
      <c r="G1057" t="s">
        <v>326</v>
      </c>
    </row>
    <row r="1058" spans="1:7" hidden="1" x14ac:dyDescent="0.3">
      <c r="A1058" t="s">
        <v>185</v>
      </c>
      <c r="B1058" t="s">
        <v>525</v>
      </c>
      <c r="C1058" t="s">
        <v>1285</v>
      </c>
      <c r="D1058">
        <f t="shared" si="16"/>
        <v>0</v>
      </c>
      <c r="E1058" t="s">
        <v>19</v>
      </c>
      <c r="F1058" t="s">
        <v>1714</v>
      </c>
      <c r="G1058" t="s">
        <v>326</v>
      </c>
    </row>
    <row r="1059" spans="1:7" hidden="1" x14ac:dyDescent="0.3">
      <c r="A1059" t="s">
        <v>185</v>
      </c>
      <c r="B1059" t="s">
        <v>524</v>
      </c>
      <c r="C1059" t="s">
        <v>1285</v>
      </c>
      <c r="D1059">
        <f t="shared" si="16"/>
        <v>0</v>
      </c>
      <c r="E1059" t="s">
        <v>19</v>
      </c>
      <c r="F1059" t="s">
        <v>1715</v>
      </c>
      <c r="G1059" t="s">
        <v>326</v>
      </c>
    </row>
    <row r="1060" spans="1:7" hidden="1" x14ac:dyDescent="0.3">
      <c r="A1060" t="s">
        <v>185</v>
      </c>
      <c r="B1060" t="s">
        <v>697</v>
      </c>
      <c r="C1060" t="s">
        <v>1286</v>
      </c>
      <c r="D1060">
        <f t="shared" si="16"/>
        <v>0</v>
      </c>
      <c r="E1060" t="s">
        <v>19</v>
      </c>
      <c r="F1060" t="s">
        <v>1731</v>
      </c>
      <c r="G1060" t="s">
        <v>326</v>
      </c>
    </row>
    <row r="1061" spans="1:7" hidden="1" x14ac:dyDescent="0.3">
      <c r="A1061" t="s">
        <v>185</v>
      </c>
      <c r="B1061" t="s">
        <v>525</v>
      </c>
      <c r="C1061" t="s">
        <v>1289</v>
      </c>
      <c r="D1061">
        <f t="shared" si="16"/>
        <v>0</v>
      </c>
      <c r="E1061" t="s">
        <v>19</v>
      </c>
      <c r="F1061" t="s">
        <v>1747</v>
      </c>
      <c r="G1061" t="s">
        <v>326</v>
      </c>
    </row>
    <row r="1062" spans="1:7" hidden="1" x14ac:dyDescent="0.3">
      <c r="A1062" t="s">
        <v>185</v>
      </c>
      <c r="B1062" t="s">
        <v>837</v>
      </c>
      <c r="C1062" t="s">
        <v>1341</v>
      </c>
      <c r="D1062">
        <f t="shared" si="16"/>
        <v>0</v>
      </c>
      <c r="E1062" t="s">
        <v>19</v>
      </c>
      <c r="F1062" t="s">
        <v>1984</v>
      </c>
      <c r="G1062" t="s">
        <v>326</v>
      </c>
    </row>
    <row r="1063" spans="1:7" hidden="1" x14ac:dyDescent="0.3">
      <c r="A1063" t="s">
        <v>185</v>
      </c>
      <c r="B1063" t="s">
        <v>524</v>
      </c>
      <c r="C1063" t="s">
        <v>1347</v>
      </c>
      <c r="D1063">
        <f t="shared" si="16"/>
        <v>0</v>
      </c>
      <c r="E1063" t="s">
        <v>19</v>
      </c>
      <c r="F1063" t="s">
        <v>1994</v>
      </c>
      <c r="G1063" t="s">
        <v>326</v>
      </c>
    </row>
    <row r="1064" spans="1:7" hidden="1" x14ac:dyDescent="0.3">
      <c r="A1064" t="s">
        <v>185</v>
      </c>
      <c r="B1064" t="s">
        <v>524</v>
      </c>
      <c r="C1064" t="s">
        <v>1347</v>
      </c>
      <c r="D1064">
        <f t="shared" si="16"/>
        <v>0</v>
      </c>
      <c r="E1064" t="s">
        <v>19</v>
      </c>
      <c r="F1064" t="s">
        <v>1995</v>
      </c>
      <c r="G1064" t="s">
        <v>326</v>
      </c>
    </row>
    <row r="1065" spans="1:7" hidden="1" x14ac:dyDescent="0.3">
      <c r="A1065" t="s">
        <v>185</v>
      </c>
      <c r="B1065" t="s">
        <v>526</v>
      </c>
      <c r="C1065" t="s">
        <v>1347</v>
      </c>
      <c r="D1065">
        <f t="shared" si="16"/>
        <v>0</v>
      </c>
      <c r="E1065" t="s">
        <v>19</v>
      </c>
      <c r="F1065" t="s">
        <v>1996</v>
      </c>
      <c r="G1065" t="s">
        <v>326</v>
      </c>
    </row>
    <row r="1066" spans="1:7" hidden="1" x14ac:dyDescent="0.3">
      <c r="A1066" t="s">
        <v>185</v>
      </c>
      <c r="B1066" t="s">
        <v>526</v>
      </c>
      <c r="C1066" t="s">
        <v>1348</v>
      </c>
      <c r="D1066">
        <f t="shared" si="16"/>
        <v>0</v>
      </c>
      <c r="E1066" t="s">
        <v>19</v>
      </c>
      <c r="F1066" t="s">
        <v>1997</v>
      </c>
      <c r="G1066" t="s">
        <v>326</v>
      </c>
    </row>
    <row r="1067" spans="1:7" hidden="1" x14ac:dyDescent="0.3">
      <c r="A1067" t="s">
        <v>185</v>
      </c>
      <c r="B1067" t="s">
        <v>843</v>
      </c>
      <c r="C1067" t="s">
        <v>1347</v>
      </c>
      <c r="D1067">
        <f t="shared" si="16"/>
        <v>0</v>
      </c>
      <c r="E1067" t="s">
        <v>19</v>
      </c>
      <c r="F1067" t="s">
        <v>1998</v>
      </c>
      <c r="G1067" t="s">
        <v>326</v>
      </c>
    </row>
    <row r="1068" spans="1:7" hidden="1" x14ac:dyDescent="0.3">
      <c r="A1068" t="s">
        <v>185</v>
      </c>
      <c r="B1068" t="s">
        <v>843</v>
      </c>
      <c r="C1068" t="s">
        <v>1347</v>
      </c>
      <c r="D1068">
        <f t="shared" si="16"/>
        <v>0</v>
      </c>
      <c r="E1068" t="s">
        <v>19</v>
      </c>
      <c r="F1068" t="s">
        <v>1999</v>
      </c>
      <c r="G1068" t="s">
        <v>326</v>
      </c>
    </row>
    <row r="1069" spans="1:7" hidden="1" x14ac:dyDescent="0.3">
      <c r="A1069" t="s">
        <v>185</v>
      </c>
      <c r="B1069" t="s">
        <v>843</v>
      </c>
      <c r="C1069" t="s">
        <v>1360</v>
      </c>
      <c r="D1069">
        <f t="shared" si="16"/>
        <v>0</v>
      </c>
      <c r="E1069" t="s">
        <v>19</v>
      </c>
      <c r="F1069" t="s">
        <v>2034</v>
      </c>
      <c r="G1069" t="s">
        <v>326</v>
      </c>
    </row>
    <row r="1070" spans="1:7" hidden="1" x14ac:dyDescent="0.3">
      <c r="A1070" t="s">
        <v>185</v>
      </c>
      <c r="B1070" t="s">
        <v>524</v>
      </c>
      <c r="C1070" t="s">
        <v>1376</v>
      </c>
      <c r="D1070">
        <f t="shared" si="16"/>
        <v>0</v>
      </c>
      <c r="E1070" t="s">
        <v>19</v>
      </c>
      <c r="F1070" t="s">
        <v>2093</v>
      </c>
      <c r="G1070" t="s">
        <v>326</v>
      </c>
    </row>
    <row r="1071" spans="1:7" hidden="1" x14ac:dyDescent="0.3">
      <c r="A1071" t="s">
        <v>185</v>
      </c>
      <c r="B1071" t="s">
        <v>524</v>
      </c>
      <c r="C1071" t="s">
        <v>1378</v>
      </c>
      <c r="D1071">
        <f t="shared" si="16"/>
        <v>0</v>
      </c>
      <c r="E1071" t="s">
        <v>19</v>
      </c>
      <c r="F1071" t="s">
        <v>2095</v>
      </c>
      <c r="G1071" t="s">
        <v>326</v>
      </c>
    </row>
    <row r="1072" spans="1:7" hidden="1" x14ac:dyDescent="0.3">
      <c r="A1072" t="s">
        <v>185</v>
      </c>
      <c r="B1072" t="s">
        <v>525</v>
      </c>
      <c r="C1072" t="s">
        <v>1378</v>
      </c>
      <c r="D1072">
        <f t="shared" si="16"/>
        <v>0</v>
      </c>
      <c r="E1072" t="s">
        <v>19</v>
      </c>
      <c r="F1072" t="s">
        <v>2096</v>
      </c>
      <c r="G1072" t="s">
        <v>326</v>
      </c>
    </row>
    <row r="1073" spans="1:7" hidden="1" x14ac:dyDescent="0.3">
      <c r="A1073" t="s">
        <v>185</v>
      </c>
      <c r="B1073" t="s">
        <v>526</v>
      </c>
      <c r="C1073" t="s">
        <v>1386</v>
      </c>
      <c r="D1073">
        <f t="shared" si="16"/>
        <v>0</v>
      </c>
      <c r="E1073" t="s">
        <v>19</v>
      </c>
      <c r="F1073" t="s">
        <v>2112</v>
      </c>
      <c r="G1073" t="s">
        <v>326</v>
      </c>
    </row>
    <row r="1074" spans="1:7" hidden="1" x14ac:dyDescent="0.3">
      <c r="A1074" t="s">
        <v>185</v>
      </c>
      <c r="B1074" t="s">
        <v>526</v>
      </c>
      <c r="C1074" t="s">
        <v>1386</v>
      </c>
      <c r="D1074">
        <f t="shared" si="16"/>
        <v>0</v>
      </c>
      <c r="E1074" t="s">
        <v>19</v>
      </c>
      <c r="F1074" t="s">
        <v>2113</v>
      </c>
      <c r="G1074" t="s">
        <v>326</v>
      </c>
    </row>
    <row r="1075" spans="1:7" hidden="1" x14ac:dyDescent="0.3">
      <c r="A1075" t="s">
        <v>185</v>
      </c>
      <c r="B1075" t="s">
        <v>524</v>
      </c>
      <c r="C1075" t="s">
        <v>1428</v>
      </c>
      <c r="D1075">
        <f t="shared" si="16"/>
        <v>0</v>
      </c>
      <c r="E1075" t="s">
        <v>19</v>
      </c>
      <c r="F1075" t="s">
        <v>2269</v>
      </c>
      <c r="G1075" t="s">
        <v>326</v>
      </c>
    </row>
    <row r="1076" spans="1:7" hidden="1" x14ac:dyDescent="0.3">
      <c r="A1076" t="s">
        <v>185</v>
      </c>
      <c r="B1076" t="s">
        <v>525</v>
      </c>
      <c r="C1076" t="s">
        <v>1431</v>
      </c>
      <c r="D1076">
        <f t="shared" si="16"/>
        <v>0</v>
      </c>
      <c r="E1076" t="s">
        <v>19</v>
      </c>
      <c r="F1076" t="s">
        <v>2281</v>
      </c>
      <c r="G1076" t="s">
        <v>326</v>
      </c>
    </row>
    <row r="1077" spans="1:7" hidden="1" x14ac:dyDescent="0.3">
      <c r="A1077" t="s">
        <v>185</v>
      </c>
      <c r="B1077" t="s">
        <v>843</v>
      </c>
      <c r="C1077" t="s">
        <v>1506</v>
      </c>
      <c r="D1077">
        <f t="shared" si="16"/>
        <v>0</v>
      </c>
      <c r="E1077" t="s">
        <v>19</v>
      </c>
      <c r="F1077" t="s">
        <v>2467</v>
      </c>
      <c r="G1077" t="s">
        <v>326</v>
      </c>
    </row>
    <row r="1078" spans="1:7" hidden="1" x14ac:dyDescent="0.3">
      <c r="A1078" t="s">
        <v>185</v>
      </c>
      <c r="B1078" t="s">
        <v>526</v>
      </c>
      <c r="C1078" t="s">
        <v>1506</v>
      </c>
      <c r="D1078">
        <f t="shared" si="16"/>
        <v>0</v>
      </c>
      <c r="E1078" t="s">
        <v>19</v>
      </c>
      <c r="F1078" t="s">
        <v>2480</v>
      </c>
      <c r="G1078" t="s">
        <v>326</v>
      </c>
    </row>
    <row r="1079" spans="1:7" hidden="1" x14ac:dyDescent="0.3">
      <c r="A1079" t="s">
        <v>185</v>
      </c>
      <c r="B1079" t="s">
        <v>1106</v>
      </c>
      <c r="C1079" t="s">
        <v>1525</v>
      </c>
      <c r="D1079">
        <f t="shared" si="16"/>
        <v>0</v>
      </c>
      <c r="E1079" t="s">
        <v>19</v>
      </c>
      <c r="F1079" t="s">
        <v>2561</v>
      </c>
      <c r="G1079" t="s">
        <v>326</v>
      </c>
    </row>
    <row r="1080" spans="1:7" hidden="1" x14ac:dyDescent="0.3">
      <c r="A1080" t="s">
        <v>185</v>
      </c>
      <c r="B1080" t="s">
        <v>526</v>
      </c>
      <c r="C1080" t="s">
        <v>1525</v>
      </c>
      <c r="D1080">
        <f t="shared" si="16"/>
        <v>0</v>
      </c>
      <c r="E1080" t="s">
        <v>19</v>
      </c>
      <c r="F1080" t="s">
        <v>2574</v>
      </c>
      <c r="G1080" t="s">
        <v>326</v>
      </c>
    </row>
    <row r="1081" spans="1:7" hidden="1" x14ac:dyDescent="0.3">
      <c r="A1081" t="s">
        <v>185</v>
      </c>
      <c r="B1081" t="s">
        <v>524</v>
      </c>
      <c r="C1081" t="s">
        <v>1525</v>
      </c>
      <c r="D1081">
        <f t="shared" si="16"/>
        <v>0</v>
      </c>
      <c r="E1081" t="s">
        <v>19</v>
      </c>
      <c r="F1081" t="s">
        <v>2577</v>
      </c>
      <c r="G1081" t="s">
        <v>326</v>
      </c>
    </row>
    <row r="1082" spans="1:7" hidden="1" x14ac:dyDescent="0.3">
      <c r="A1082" t="s">
        <v>185</v>
      </c>
      <c r="B1082" t="s">
        <v>526</v>
      </c>
      <c r="C1082" t="s">
        <v>1528</v>
      </c>
      <c r="D1082">
        <f t="shared" si="16"/>
        <v>0</v>
      </c>
      <c r="E1082" t="s">
        <v>19</v>
      </c>
      <c r="F1082" t="s">
        <v>2611</v>
      </c>
      <c r="G1082" t="s">
        <v>326</v>
      </c>
    </row>
    <row r="1083" spans="1:7" hidden="1" x14ac:dyDescent="0.3">
      <c r="A1083" t="s">
        <v>185</v>
      </c>
      <c r="B1083" t="s">
        <v>524</v>
      </c>
      <c r="C1083" t="s">
        <v>1528</v>
      </c>
      <c r="D1083">
        <f t="shared" si="16"/>
        <v>0</v>
      </c>
      <c r="E1083" t="s">
        <v>19</v>
      </c>
      <c r="F1083" t="s">
        <v>2624</v>
      </c>
      <c r="G1083" t="s">
        <v>326</v>
      </c>
    </row>
    <row r="1084" spans="1:7" hidden="1" x14ac:dyDescent="0.3">
      <c r="A1084" t="s">
        <v>185</v>
      </c>
      <c r="B1084" t="s">
        <v>524</v>
      </c>
      <c r="C1084" t="s">
        <v>1528</v>
      </c>
      <c r="D1084">
        <f t="shared" si="16"/>
        <v>0</v>
      </c>
      <c r="E1084" t="s">
        <v>19</v>
      </c>
      <c r="F1084" t="s">
        <v>2630</v>
      </c>
      <c r="G1084" t="s">
        <v>326</v>
      </c>
    </row>
    <row r="1085" spans="1:7" hidden="1" x14ac:dyDescent="0.3">
      <c r="A1085" t="s">
        <v>185</v>
      </c>
      <c r="B1085" t="s">
        <v>843</v>
      </c>
      <c r="C1085" t="s">
        <v>1535</v>
      </c>
      <c r="D1085">
        <f t="shared" si="16"/>
        <v>0</v>
      </c>
      <c r="E1085" t="s">
        <v>19</v>
      </c>
      <c r="F1085" t="s">
        <v>2673</v>
      </c>
      <c r="G1085" t="s">
        <v>326</v>
      </c>
    </row>
    <row r="1086" spans="1:7" hidden="1" x14ac:dyDescent="0.3">
      <c r="A1086" t="s">
        <v>185</v>
      </c>
      <c r="B1086" t="s">
        <v>526</v>
      </c>
      <c r="C1086" t="s">
        <v>1576</v>
      </c>
      <c r="D1086">
        <f t="shared" si="16"/>
        <v>0</v>
      </c>
      <c r="E1086" t="s">
        <v>19</v>
      </c>
      <c r="F1086" t="s">
        <v>2818</v>
      </c>
      <c r="G1086" t="s">
        <v>326</v>
      </c>
    </row>
    <row r="1087" spans="1:7" hidden="1" x14ac:dyDescent="0.3">
      <c r="A1087" t="s">
        <v>185</v>
      </c>
      <c r="B1087" t="s">
        <v>843</v>
      </c>
      <c r="C1087" t="s">
        <v>1576</v>
      </c>
      <c r="D1087">
        <f t="shared" si="16"/>
        <v>0</v>
      </c>
      <c r="E1087" t="s">
        <v>19</v>
      </c>
      <c r="F1087" t="s">
        <v>2823</v>
      </c>
      <c r="G1087" t="s">
        <v>326</v>
      </c>
    </row>
    <row r="1088" spans="1:7" hidden="1" x14ac:dyDescent="0.3">
      <c r="A1088" t="s">
        <v>185</v>
      </c>
      <c r="B1088" t="s">
        <v>524</v>
      </c>
      <c r="C1088" t="s">
        <v>1576</v>
      </c>
      <c r="D1088">
        <f t="shared" si="16"/>
        <v>0</v>
      </c>
      <c r="E1088" t="s">
        <v>19</v>
      </c>
      <c r="F1088" t="s">
        <v>2824</v>
      </c>
      <c r="G1088" t="s">
        <v>326</v>
      </c>
    </row>
    <row r="1089" spans="1:7" hidden="1" x14ac:dyDescent="0.3">
      <c r="A1089" t="s">
        <v>185</v>
      </c>
      <c r="B1089" t="s">
        <v>526</v>
      </c>
      <c r="C1089" t="s">
        <v>1593</v>
      </c>
      <c r="D1089">
        <f t="shared" si="16"/>
        <v>0</v>
      </c>
      <c r="E1089" t="s">
        <v>19</v>
      </c>
      <c r="F1089" t="s">
        <v>2862</v>
      </c>
      <c r="G1089" t="s">
        <v>326</v>
      </c>
    </row>
    <row r="1090" spans="1:7" hidden="1" x14ac:dyDescent="0.3">
      <c r="A1090" t="s">
        <v>185</v>
      </c>
      <c r="B1090" t="s">
        <v>524</v>
      </c>
      <c r="C1090" t="s">
        <v>1593</v>
      </c>
      <c r="D1090">
        <f t="shared" ref="D1090:D1153" si="17">SIGN(SUBTOTAL(3,E1090))</f>
        <v>0</v>
      </c>
      <c r="E1090" t="s">
        <v>19</v>
      </c>
      <c r="F1090" t="s">
        <v>2864</v>
      </c>
      <c r="G1090" t="s">
        <v>326</v>
      </c>
    </row>
    <row r="1091" spans="1:7" hidden="1" x14ac:dyDescent="0.3">
      <c r="A1091" t="s">
        <v>185</v>
      </c>
      <c r="B1091" t="s">
        <v>525</v>
      </c>
      <c r="C1091" t="s">
        <v>1627</v>
      </c>
      <c r="D1091">
        <f t="shared" si="17"/>
        <v>0</v>
      </c>
      <c r="E1091" t="s">
        <v>19</v>
      </c>
      <c r="F1091" t="s">
        <v>2995</v>
      </c>
      <c r="G1091" t="s">
        <v>326</v>
      </c>
    </row>
    <row r="1092" spans="1:7" hidden="1" x14ac:dyDescent="0.3">
      <c r="A1092" t="s">
        <v>186</v>
      </c>
      <c r="B1092" t="s">
        <v>656</v>
      </c>
      <c r="C1092" t="s">
        <v>1252</v>
      </c>
      <c r="D1092">
        <f t="shared" si="17"/>
        <v>0</v>
      </c>
      <c r="E1092" t="s">
        <v>19</v>
      </c>
      <c r="F1092" t="s">
        <v>1662</v>
      </c>
      <c r="G1092" t="s">
        <v>326</v>
      </c>
    </row>
    <row r="1093" spans="1:7" hidden="1" x14ac:dyDescent="0.3">
      <c r="A1093" t="s">
        <v>186</v>
      </c>
      <c r="B1093" t="s">
        <v>657</v>
      </c>
      <c r="C1093" t="s">
        <v>1253</v>
      </c>
      <c r="D1093">
        <f t="shared" si="17"/>
        <v>0</v>
      </c>
      <c r="E1093" t="s">
        <v>19</v>
      </c>
      <c r="F1093" t="s">
        <v>1663</v>
      </c>
      <c r="G1093" t="s">
        <v>326</v>
      </c>
    </row>
    <row r="1094" spans="1:7" hidden="1" x14ac:dyDescent="0.3">
      <c r="A1094" t="s">
        <v>186</v>
      </c>
      <c r="B1094" t="s">
        <v>686</v>
      </c>
      <c r="C1094" t="s">
        <v>1285</v>
      </c>
      <c r="D1094">
        <f t="shared" si="17"/>
        <v>0</v>
      </c>
      <c r="E1094" t="s">
        <v>19</v>
      </c>
      <c r="F1094" t="s">
        <v>1718</v>
      </c>
      <c r="G1094" t="s">
        <v>326</v>
      </c>
    </row>
    <row r="1095" spans="1:7" hidden="1" x14ac:dyDescent="0.3">
      <c r="A1095" t="s">
        <v>186</v>
      </c>
      <c r="B1095" t="s">
        <v>687</v>
      </c>
      <c r="C1095" t="s">
        <v>1285</v>
      </c>
      <c r="D1095">
        <f t="shared" si="17"/>
        <v>0</v>
      </c>
      <c r="E1095" t="s">
        <v>19</v>
      </c>
      <c r="F1095" t="s">
        <v>1719</v>
      </c>
      <c r="G1095" t="s">
        <v>326</v>
      </c>
    </row>
    <row r="1096" spans="1:7" hidden="1" x14ac:dyDescent="0.3">
      <c r="A1096" t="s">
        <v>186</v>
      </c>
      <c r="B1096" t="s">
        <v>528</v>
      </c>
      <c r="C1096" t="s">
        <v>1286</v>
      </c>
      <c r="D1096">
        <f t="shared" si="17"/>
        <v>0</v>
      </c>
      <c r="E1096" t="s">
        <v>19</v>
      </c>
      <c r="F1096" t="s">
        <v>1721</v>
      </c>
      <c r="G1096" t="s">
        <v>326</v>
      </c>
    </row>
    <row r="1097" spans="1:7" hidden="1" x14ac:dyDescent="0.3">
      <c r="A1097" t="s">
        <v>186</v>
      </c>
      <c r="B1097" t="s">
        <v>692</v>
      </c>
      <c r="C1097" t="s">
        <v>1286</v>
      </c>
      <c r="D1097">
        <f t="shared" si="17"/>
        <v>0</v>
      </c>
      <c r="E1097" t="s">
        <v>19</v>
      </c>
      <c r="F1097" t="s">
        <v>1725</v>
      </c>
      <c r="G1097" t="s">
        <v>326</v>
      </c>
    </row>
    <row r="1098" spans="1:7" hidden="1" x14ac:dyDescent="0.3">
      <c r="A1098" t="s">
        <v>186</v>
      </c>
      <c r="B1098" t="s">
        <v>699</v>
      </c>
      <c r="C1098" t="s">
        <v>1286</v>
      </c>
      <c r="D1098">
        <f t="shared" si="17"/>
        <v>0</v>
      </c>
      <c r="E1098" t="s">
        <v>19</v>
      </c>
      <c r="F1098" t="s">
        <v>1733</v>
      </c>
      <c r="G1098" t="s">
        <v>326</v>
      </c>
    </row>
    <row r="1099" spans="1:7" hidden="1" x14ac:dyDescent="0.3">
      <c r="A1099" t="s">
        <v>186</v>
      </c>
      <c r="B1099" t="s">
        <v>701</v>
      </c>
      <c r="C1099" t="s">
        <v>1285</v>
      </c>
      <c r="D1099">
        <f t="shared" si="17"/>
        <v>0</v>
      </c>
      <c r="E1099" t="s">
        <v>19</v>
      </c>
      <c r="F1099" t="s">
        <v>1736</v>
      </c>
      <c r="G1099" t="s">
        <v>326</v>
      </c>
    </row>
    <row r="1100" spans="1:7" hidden="1" x14ac:dyDescent="0.3">
      <c r="A1100" t="s">
        <v>186</v>
      </c>
      <c r="B1100" t="s">
        <v>702</v>
      </c>
      <c r="C1100" t="s">
        <v>1285</v>
      </c>
      <c r="D1100">
        <f t="shared" si="17"/>
        <v>0</v>
      </c>
      <c r="E1100" t="s">
        <v>19</v>
      </c>
      <c r="F1100" t="s">
        <v>1737</v>
      </c>
      <c r="G1100" t="s">
        <v>326</v>
      </c>
    </row>
    <row r="1101" spans="1:7" hidden="1" x14ac:dyDescent="0.3">
      <c r="A1101" t="s">
        <v>186</v>
      </c>
      <c r="B1101" t="s">
        <v>718</v>
      </c>
      <c r="C1101" t="s">
        <v>1292</v>
      </c>
      <c r="D1101">
        <f t="shared" si="17"/>
        <v>0</v>
      </c>
      <c r="E1101" t="s">
        <v>19</v>
      </c>
      <c r="F1101" t="s">
        <v>1765</v>
      </c>
      <c r="G1101" t="s">
        <v>326</v>
      </c>
    </row>
    <row r="1102" spans="1:7" hidden="1" x14ac:dyDescent="0.3">
      <c r="A1102" t="s">
        <v>186</v>
      </c>
      <c r="B1102" t="s">
        <v>528</v>
      </c>
      <c r="C1102" t="s">
        <v>1292</v>
      </c>
      <c r="D1102">
        <f t="shared" si="17"/>
        <v>0</v>
      </c>
      <c r="E1102" t="s">
        <v>19</v>
      </c>
      <c r="F1102" t="s">
        <v>1766</v>
      </c>
      <c r="G1102" t="s">
        <v>326</v>
      </c>
    </row>
    <row r="1103" spans="1:7" hidden="1" x14ac:dyDescent="0.3">
      <c r="A1103" t="s">
        <v>186</v>
      </c>
      <c r="B1103" t="s">
        <v>719</v>
      </c>
      <c r="C1103" t="s">
        <v>1292</v>
      </c>
      <c r="D1103">
        <f t="shared" si="17"/>
        <v>0</v>
      </c>
      <c r="E1103" t="s">
        <v>19</v>
      </c>
      <c r="F1103" t="s">
        <v>1767</v>
      </c>
      <c r="G1103" t="s">
        <v>326</v>
      </c>
    </row>
    <row r="1104" spans="1:7" hidden="1" x14ac:dyDescent="0.3">
      <c r="A1104" t="s">
        <v>186</v>
      </c>
      <c r="B1104" t="s">
        <v>720</v>
      </c>
      <c r="C1104" t="s">
        <v>1292</v>
      </c>
      <c r="D1104">
        <f t="shared" si="17"/>
        <v>0</v>
      </c>
      <c r="E1104" t="s">
        <v>19</v>
      </c>
      <c r="F1104" t="s">
        <v>1768</v>
      </c>
      <c r="G1104" t="s">
        <v>326</v>
      </c>
    </row>
    <row r="1105" spans="1:7" hidden="1" x14ac:dyDescent="0.3">
      <c r="A1105" t="s">
        <v>186</v>
      </c>
      <c r="B1105" t="s">
        <v>533</v>
      </c>
      <c r="C1105" t="s">
        <v>1292</v>
      </c>
      <c r="D1105">
        <f t="shared" si="17"/>
        <v>0</v>
      </c>
      <c r="E1105" t="s">
        <v>19</v>
      </c>
      <c r="F1105" t="s">
        <v>1769</v>
      </c>
      <c r="G1105" t="s">
        <v>326</v>
      </c>
    </row>
    <row r="1106" spans="1:7" hidden="1" x14ac:dyDescent="0.3">
      <c r="A1106" t="s">
        <v>186</v>
      </c>
      <c r="B1106" t="s">
        <v>730</v>
      </c>
      <c r="C1106" t="s">
        <v>1292</v>
      </c>
      <c r="D1106">
        <f t="shared" si="17"/>
        <v>0</v>
      </c>
      <c r="E1106" t="s">
        <v>19</v>
      </c>
      <c r="F1106" t="s">
        <v>1780</v>
      </c>
      <c r="G1106" t="s">
        <v>326</v>
      </c>
    </row>
    <row r="1107" spans="1:7" hidden="1" x14ac:dyDescent="0.3">
      <c r="A1107" t="s">
        <v>186</v>
      </c>
      <c r="B1107" t="s">
        <v>533</v>
      </c>
      <c r="C1107" t="s">
        <v>1292</v>
      </c>
      <c r="D1107">
        <f t="shared" si="17"/>
        <v>0</v>
      </c>
      <c r="E1107" t="s">
        <v>19</v>
      </c>
      <c r="F1107" t="s">
        <v>1781</v>
      </c>
      <c r="G1107" t="s">
        <v>326</v>
      </c>
    </row>
    <row r="1108" spans="1:7" hidden="1" x14ac:dyDescent="0.3">
      <c r="A1108" t="s">
        <v>186</v>
      </c>
      <c r="B1108" t="s">
        <v>732</v>
      </c>
      <c r="C1108" t="s">
        <v>1292</v>
      </c>
      <c r="D1108">
        <f t="shared" si="17"/>
        <v>0</v>
      </c>
      <c r="E1108" t="s">
        <v>19</v>
      </c>
      <c r="F1108" t="s">
        <v>1783</v>
      </c>
      <c r="G1108" t="s">
        <v>326</v>
      </c>
    </row>
    <row r="1109" spans="1:7" hidden="1" x14ac:dyDescent="0.3">
      <c r="A1109" t="s">
        <v>186</v>
      </c>
      <c r="B1109" t="s">
        <v>733</v>
      </c>
      <c r="C1109" t="s">
        <v>1292</v>
      </c>
      <c r="D1109">
        <f t="shared" si="17"/>
        <v>0</v>
      </c>
      <c r="E1109" t="s">
        <v>19</v>
      </c>
      <c r="F1109" t="s">
        <v>1784</v>
      </c>
      <c r="G1109" t="s">
        <v>326</v>
      </c>
    </row>
    <row r="1110" spans="1:7" hidden="1" x14ac:dyDescent="0.3">
      <c r="A1110" t="s">
        <v>186</v>
      </c>
      <c r="B1110" t="s">
        <v>702</v>
      </c>
      <c r="C1110" t="s">
        <v>1303</v>
      </c>
      <c r="D1110">
        <f t="shared" si="17"/>
        <v>0</v>
      </c>
      <c r="E1110" t="s">
        <v>19</v>
      </c>
      <c r="F1110" t="s">
        <v>1817</v>
      </c>
      <c r="G1110" t="s">
        <v>326</v>
      </c>
    </row>
    <row r="1111" spans="1:7" hidden="1" x14ac:dyDescent="0.3">
      <c r="A1111" t="s">
        <v>186</v>
      </c>
      <c r="B1111" t="s">
        <v>772</v>
      </c>
      <c r="C1111" t="s">
        <v>1322</v>
      </c>
      <c r="D1111">
        <f t="shared" si="17"/>
        <v>0</v>
      </c>
      <c r="E1111" t="s">
        <v>19</v>
      </c>
      <c r="F1111" t="s">
        <v>1852</v>
      </c>
      <c r="G1111" t="s">
        <v>326</v>
      </c>
    </row>
    <row r="1112" spans="1:7" hidden="1" x14ac:dyDescent="0.3">
      <c r="A1112" t="s">
        <v>186</v>
      </c>
      <c r="B1112" t="s">
        <v>527</v>
      </c>
      <c r="C1112" t="s">
        <v>1322</v>
      </c>
      <c r="D1112">
        <f t="shared" si="17"/>
        <v>0</v>
      </c>
      <c r="E1112" t="s">
        <v>19</v>
      </c>
      <c r="F1112" t="s">
        <v>1853</v>
      </c>
      <c r="G1112" t="s">
        <v>326</v>
      </c>
    </row>
    <row r="1113" spans="1:7" hidden="1" x14ac:dyDescent="0.3">
      <c r="A1113" t="s">
        <v>186</v>
      </c>
      <c r="B1113" t="s">
        <v>532</v>
      </c>
      <c r="C1113" t="s">
        <v>1322</v>
      </c>
      <c r="D1113">
        <f t="shared" si="17"/>
        <v>0</v>
      </c>
      <c r="E1113" t="s">
        <v>19</v>
      </c>
      <c r="F1113" t="s">
        <v>1855</v>
      </c>
      <c r="G1113" t="s">
        <v>326</v>
      </c>
    </row>
    <row r="1114" spans="1:7" hidden="1" x14ac:dyDescent="0.3">
      <c r="A1114" t="s">
        <v>186</v>
      </c>
      <c r="B1114" t="s">
        <v>527</v>
      </c>
      <c r="C1114" t="s">
        <v>1322</v>
      </c>
      <c r="D1114">
        <f t="shared" si="17"/>
        <v>0</v>
      </c>
      <c r="E1114" t="s">
        <v>19</v>
      </c>
      <c r="F1114" t="s">
        <v>1861</v>
      </c>
      <c r="G1114" t="s">
        <v>326</v>
      </c>
    </row>
    <row r="1115" spans="1:7" hidden="1" x14ac:dyDescent="0.3">
      <c r="A1115" t="s">
        <v>186</v>
      </c>
      <c r="B1115" t="s">
        <v>774</v>
      </c>
      <c r="C1115" t="s">
        <v>1322</v>
      </c>
      <c r="D1115">
        <f t="shared" si="17"/>
        <v>0</v>
      </c>
      <c r="E1115" t="s">
        <v>19</v>
      </c>
      <c r="F1115" t="s">
        <v>1862</v>
      </c>
      <c r="G1115" t="s">
        <v>326</v>
      </c>
    </row>
    <row r="1116" spans="1:7" hidden="1" x14ac:dyDescent="0.3">
      <c r="A1116" t="s">
        <v>186</v>
      </c>
      <c r="B1116" t="s">
        <v>780</v>
      </c>
      <c r="C1116" t="s">
        <v>1324</v>
      </c>
      <c r="D1116">
        <f t="shared" si="17"/>
        <v>0</v>
      </c>
      <c r="E1116" t="s">
        <v>19</v>
      </c>
      <c r="F1116" t="s">
        <v>1871</v>
      </c>
      <c r="G1116" t="s">
        <v>326</v>
      </c>
    </row>
    <row r="1117" spans="1:7" hidden="1" x14ac:dyDescent="0.3">
      <c r="A1117" t="s">
        <v>186</v>
      </c>
      <c r="B1117" t="s">
        <v>732</v>
      </c>
      <c r="C1117" t="s">
        <v>1327</v>
      </c>
      <c r="D1117">
        <f t="shared" si="17"/>
        <v>0</v>
      </c>
      <c r="E1117" t="s">
        <v>19</v>
      </c>
      <c r="F1117" t="s">
        <v>1876</v>
      </c>
      <c r="G1117" t="s">
        <v>326</v>
      </c>
    </row>
    <row r="1118" spans="1:7" hidden="1" x14ac:dyDescent="0.3">
      <c r="A1118" t="s">
        <v>186</v>
      </c>
      <c r="B1118" t="s">
        <v>784</v>
      </c>
      <c r="C1118" t="s">
        <v>1327</v>
      </c>
      <c r="D1118">
        <f t="shared" si="17"/>
        <v>0</v>
      </c>
      <c r="E1118" t="s">
        <v>19</v>
      </c>
      <c r="F1118" t="s">
        <v>1877</v>
      </c>
      <c r="G1118" t="s">
        <v>326</v>
      </c>
    </row>
    <row r="1119" spans="1:7" hidden="1" x14ac:dyDescent="0.3">
      <c r="A1119" t="s">
        <v>186</v>
      </c>
      <c r="B1119" t="s">
        <v>656</v>
      </c>
      <c r="C1119" t="s">
        <v>1332</v>
      </c>
      <c r="D1119">
        <f t="shared" si="17"/>
        <v>0</v>
      </c>
      <c r="E1119" t="s">
        <v>19</v>
      </c>
      <c r="F1119" t="s">
        <v>1883</v>
      </c>
      <c r="G1119" t="s">
        <v>326</v>
      </c>
    </row>
    <row r="1120" spans="1:7" hidden="1" x14ac:dyDescent="0.3">
      <c r="A1120" t="s">
        <v>186</v>
      </c>
      <c r="B1120" t="s">
        <v>656</v>
      </c>
      <c r="C1120" t="s">
        <v>1333</v>
      </c>
      <c r="D1120">
        <f t="shared" si="17"/>
        <v>0</v>
      </c>
      <c r="E1120" t="s">
        <v>19</v>
      </c>
      <c r="F1120" t="s">
        <v>1884</v>
      </c>
      <c r="G1120" t="s">
        <v>326</v>
      </c>
    </row>
    <row r="1121" spans="1:7" hidden="1" x14ac:dyDescent="0.3">
      <c r="A1121" t="s">
        <v>186</v>
      </c>
      <c r="B1121" t="s">
        <v>791</v>
      </c>
      <c r="C1121" t="s">
        <v>1338</v>
      </c>
      <c r="D1121">
        <f t="shared" si="17"/>
        <v>0</v>
      </c>
      <c r="E1121" t="s">
        <v>19</v>
      </c>
      <c r="F1121" t="s">
        <v>1890</v>
      </c>
      <c r="G1121" t="s">
        <v>326</v>
      </c>
    </row>
    <row r="1122" spans="1:7" hidden="1" x14ac:dyDescent="0.3">
      <c r="A1122" t="s">
        <v>186</v>
      </c>
      <c r="B1122" t="s">
        <v>699</v>
      </c>
      <c r="C1122" t="s">
        <v>1346</v>
      </c>
      <c r="D1122">
        <f t="shared" si="17"/>
        <v>0</v>
      </c>
      <c r="E1122" t="s">
        <v>19</v>
      </c>
      <c r="F1122" t="s">
        <v>1992</v>
      </c>
      <c r="G1122" t="s">
        <v>326</v>
      </c>
    </row>
    <row r="1123" spans="1:7" hidden="1" x14ac:dyDescent="0.3">
      <c r="A1123" t="s">
        <v>186</v>
      </c>
      <c r="B1123" t="s">
        <v>857</v>
      </c>
      <c r="C1123" t="s">
        <v>1355</v>
      </c>
      <c r="D1123">
        <f t="shared" si="17"/>
        <v>0</v>
      </c>
      <c r="E1123" t="s">
        <v>19</v>
      </c>
      <c r="F1123" t="s">
        <v>2027</v>
      </c>
      <c r="G1123" t="s">
        <v>326</v>
      </c>
    </row>
    <row r="1124" spans="1:7" hidden="1" x14ac:dyDescent="0.3">
      <c r="A1124" t="s">
        <v>186</v>
      </c>
      <c r="B1124" t="s">
        <v>735</v>
      </c>
      <c r="C1124" t="s">
        <v>1366</v>
      </c>
      <c r="D1124">
        <f t="shared" si="17"/>
        <v>0</v>
      </c>
      <c r="E1124" t="s">
        <v>19</v>
      </c>
      <c r="F1124" t="s">
        <v>2063</v>
      </c>
      <c r="G1124" t="s">
        <v>326</v>
      </c>
    </row>
    <row r="1125" spans="1:7" hidden="1" x14ac:dyDescent="0.3">
      <c r="A1125" t="s">
        <v>186</v>
      </c>
      <c r="B1125" t="s">
        <v>702</v>
      </c>
      <c r="C1125" t="s">
        <v>1365</v>
      </c>
      <c r="D1125">
        <f t="shared" si="17"/>
        <v>0</v>
      </c>
      <c r="E1125" t="s">
        <v>19</v>
      </c>
      <c r="F1125" t="s">
        <v>2069</v>
      </c>
      <c r="G1125" t="s">
        <v>326</v>
      </c>
    </row>
    <row r="1126" spans="1:7" hidden="1" x14ac:dyDescent="0.3">
      <c r="A1126" t="s">
        <v>186</v>
      </c>
      <c r="B1126" t="s">
        <v>880</v>
      </c>
      <c r="C1126" t="s">
        <v>1368</v>
      </c>
      <c r="D1126">
        <f t="shared" si="17"/>
        <v>0</v>
      </c>
      <c r="E1126" t="s">
        <v>19</v>
      </c>
      <c r="F1126" t="s">
        <v>2075</v>
      </c>
      <c r="G1126" t="s">
        <v>326</v>
      </c>
    </row>
    <row r="1127" spans="1:7" hidden="1" x14ac:dyDescent="0.3">
      <c r="A1127" t="s">
        <v>186</v>
      </c>
      <c r="B1127" t="s">
        <v>857</v>
      </c>
      <c r="C1127" t="s">
        <v>1368</v>
      </c>
      <c r="D1127">
        <f t="shared" si="17"/>
        <v>0</v>
      </c>
      <c r="E1127" t="s">
        <v>19</v>
      </c>
      <c r="F1127" t="s">
        <v>2079</v>
      </c>
      <c r="G1127" t="s">
        <v>326</v>
      </c>
    </row>
    <row r="1128" spans="1:7" hidden="1" x14ac:dyDescent="0.3">
      <c r="A1128" t="s">
        <v>186</v>
      </c>
      <c r="B1128" t="s">
        <v>532</v>
      </c>
      <c r="C1128" t="s">
        <v>1371</v>
      </c>
      <c r="D1128">
        <f t="shared" si="17"/>
        <v>0</v>
      </c>
      <c r="E1128" t="s">
        <v>19</v>
      </c>
      <c r="F1128" t="s">
        <v>2082</v>
      </c>
      <c r="G1128" t="s">
        <v>326</v>
      </c>
    </row>
    <row r="1129" spans="1:7" hidden="1" x14ac:dyDescent="0.3">
      <c r="A1129" t="s">
        <v>186</v>
      </c>
      <c r="B1129" t="s">
        <v>887</v>
      </c>
      <c r="C1129" t="s">
        <v>1372</v>
      </c>
      <c r="D1129">
        <f t="shared" si="17"/>
        <v>0</v>
      </c>
      <c r="E1129" t="s">
        <v>19</v>
      </c>
      <c r="F1129" t="s">
        <v>2087</v>
      </c>
      <c r="G1129" t="s">
        <v>326</v>
      </c>
    </row>
    <row r="1130" spans="1:7" hidden="1" x14ac:dyDescent="0.3">
      <c r="A1130" t="s">
        <v>186</v>
      </c>
      <c r="B1130" t="s">
        <v>894</v>
      </c>
      <c r="C1130" t="s">
        <v>1379</v>
      </c>
      <c r="D1130">
        <f t="shared" si="17"/>
        <v>0</v>
      </c>
      <c r="E1130" t="s">
        <v>19</v>
      </c>
      <c r="F1130" t="s">
        <v>2097</v>
      </c>
      <c r="G1130" t="s">
        <v>326</v>
      </c>
    </row>
    <row r="1131" spans="1:7" hidden="1" x14ac:dyDescent="0.3">
      <c r="A1131" t="s">
        <v>186</v>
      </c>
      <c r="B1131" t="s">
        <v>895</v>
      </c>
      <c r="C1131" t="s">
        <v>1380</v>
      </c>
      <c r="D1131">
        <f t="shared" si="17"/>
        <v>0</v>
      </c>
      <c r="E1131" t="s">
        <v>19</v>
      </c>
      <c r="F1131" t="s">
        <v>2098</v>
      </c>
      <c r="G1131" t="s">
        <v>326</v>
      </c>
    </row>
    <row r="1132" spans="1:7" hidden="1" x14ac:dyDescent="0.3">
      <c r="A1132" t="s">
        <v>186</v>
      </c>
      <c r="B1132" t="s">
        <v>896</v>
      </c>
      <c r="C1132" t="s">
        <v>1380</v>
      </c>
      <c r="D1132">
        <f t="shared" si="17"/>
        <v>0</v>
      </c>
      <c r="E1132" t="s">
        <v>19</v>
      </c>
      <c r="F1132" t="s">
        <v>2099</v>
      </c>
      <c r="G1132" t="s">
        <v>326</v>
      </c>
    </row>
    <row r="1133" spans="1:7" hidden="1" x14ac:dyDescent="0.3">
      <c r="A1133" t="s">
        <v>186</v>
      </c>
      <c r="B1133" t="s">
        <v>686</v>
      </c>
      <c r="C1133" t="s">
        <v>1380</v>
      </c>
      <c r="D1133">
        <f t="shared" si="17"/>
        <v>0</v>
      </c>
      <c r="E1133" t="s">
        <v>19</v>
      </c>
      <c r="F1133" t="s">
        <v>2101</v>
      </c>
      <c r="G1133" t="s">
        <v>326</v>
      </c>
    </row>
    <row r="1134" spans="1:7" hidden="1" x14ac:dyDescent="0.3">
      <c r="A1134" t="s">
        <v>186</v>
      </c>
      <c r="B1134" t="s">
        <v>902</v>
      </c>
      <c r="C1134" t="s">
        <v>1391</v>
      </c>
      <c r="D1134">
        <f t="shared" si="17"/>
        <v>0</v>
      </c>
      <c r="E1134" t="s">
        <v>19</v>
      </c>
      <c r="F1134" t="s">
        <v>2119</v>
      </c>
      <c r="G1134" t="s">
        <v>326</v>
      </c>
    </row>
    <row r="1135" spans="1:7" hidden="1" x14ac:dyDescent="0.3">
      <c r="A1135" t="s">
        <v>186</v>
      </c>
      <c r="B1135" t="s">
        <v>735</v>
      </c>
      <c r="C1135" t="s">
        <v>1391</v>
      </c>
      <c r="D1135">
        <f t="shared" si="17"/>
        <v>0</v>
      </c>
      <c r="E1135" t="s">
        <v>19</v>
      </c>
      <c r="F1135" t="s">
        <v>2120</v>
      </c>
      <c r="G1135" t="s">
        <v>326</v>
      </c>
    </row>
    <row r="1136" spans="1:7" hidden="1" x14ac:dyDescent="0.3">
      <c r="A1136" t="s">
        <v>186</v>
      </c>
      <c r="B1136" t="s">
        <v>904</v>
      </c>
      <c r="C1136" t="s">
        <v>1393</v>
      </c>
      <c r="D1136">
        <f t="shared" si="17"/>
        <v>0</v>
      </c>
      <c r="E1136" t="s">
        <v>19</v>
      </c>
      <c r="F1136" t="s">
        <v>2122</v>
      </c>
      <c r="G1136" t="s">
        <v>326</v>
      </c>
    </row>
    <row r="1137" spans="1:7" hidden="1" x14ac:dyDescent="0.3">
      <c r="A1137" t="s">
        <v>186</v>
      </c>
      <c r="B1137" t="s">
        <v>908</v>
      </c>
      <c r="C1137" t="s">
        <v>1397</v>
      </c>
      <c r="D1137">
        <f t="shared" si="17"/>
        <v>0</v>
      </c>
      <c r="E1137" t="s">
        <v>19</v>
      </c>
      <c r="F1137" t="s">
        <v>2128</v>
      </c>
      <c r="G1137" t="s">
        <v>326</v>
      </c>
    </row>
    <row r="1138" spans="1:7" hidden="1" x14ac:dyDescent="0.3">
      <c r="A1138" t="s">
        <v>186</v>
      </c>
      <c r="B1138" t="s">
        <v>887</v>
      </c>
      <c r="C1138" t="s">
        <v>1399</v>
      </c>
      <c r="D1138">
        <f t="shared" si="17"/>
        <v>0</v>
      </c>
      <c r="E1138" t="s">
        <v>19</v>
      </c>
      <c r="F1138" t="s">
        <v>2130</v>
      </c>
      <c r="G1138" t="s">
        <v>326</v>
      </c>
    </row>
    <row r="1139" spans="1:7" hidden="1" x14ac:dyDescent="0.3">
      <c r="A1139" t="s">
        <v>186</v>
      </c>
      <c r="B1139" t="s">
        <v>914</v>
      </c>
      <c r="C1139" t="s">
        <v>1399</v>
      </c>
      <c r="D1139">
        <f t="shared" si="17"/>
        <v>0</v>
      </c>
      <c r="E1139" t="s">
        <v>19</v>
      </c>
      <c r="F1139" t="s">
        <v>2150</v>
      </c>
      <c r="G1139" t="s">
        <v>326</v>
      </c>
    </row>
    <row r="1140" spans="1:7" hidden="1" x14ac:dyDescent="0.3">
      <c r="A1140" t="s">
        <v>186</v>
      </c>
      <c r="B1140" t="s">
        <v>784</v>
      </c>
      <c r="C1140" t="s">
        <v>1399</v>
      </c>
      <c r="D1140">
        <f t="shared" si="17"/>
        <v>0</v>
      </c>
      <c r="E1140" t="s">
        <v>19</v>
      </c>
      <c r="F1140" t="s">
        <v>2151</v>
      </c>
      <c r="G1140" t="s">
        <v>326</v>
      </c>
    </row>
    <row r="1141" spans="1:7" hidden="1" x14ac:dyDescent="0.3">
      <c r="A1141" t="s">
        <v>186</v>
      </c>
      <c r="B1141" t="s">
        <v>915</v>
      </c>
      <c r="C1141" t="s">
        <v>1399</v>
      </c>
      <c r="D1141">
        <f t="shared" si="17"/>
        <v>0</v>
      </c>
      <c r="E1141" t="s">
        <v>19</v>
      </c>
      <c r="F1141" t="s">
        <v>2152</v>
      </c>
      <c r="G1141" t="s">
        <v>326</v>
      </c>
    </row>
    <row r="1142" spans="1:7" hidden="1" x14ac:dyDescent="0.3">
      <c r="A1142" t="s">
        <v>186</v>
      </c>
      <c r="B1142" t="s">
        <v>780</v>
      </c>
      <c r="C1142" t="s">
        <v>1399</v>
      </c>
      <c r="D1142">
        <f t="shared" si="17"/>
        <v>0</v>
      </c>
      <c r="E1142" t="s">
        <v>19</v>
      </c>
      <c r="F1142" t="s">
        <v>2155</v>
      </c>
      <c r="G1142" t="s">
        <v>326</v>
      </c>
    </row>
    <row r="1143" spans="1:7" hidden="1" x14ac:dyDescent="0.3">
      <c r="A1143" t="s">
        <v>186</v>
      </c>
      <c r="B1143" t="s">
        <v>887</v>
      </c>
      <c r="C1143" t="s">
        <v>1400</v>
      </c>
      <c r="D1143">
        <f t="shared" si="17"/>
        <v>0</v>
      </c>
      <c r="E1143" t="s">
        <v>19</v>
      </c>
      <c r="F1143" t="s">
        <v>2168</v>
      </c>
      <c r="G1143" t="s">
        <v>326</v>
      </c>
    </row>
    <row r="1144" spans="1:7" hidden="1" x14ac:dyDescent="0.3">
      <c r="A1144" t="s">
        <v>186</v>
      </c>
      <c r="B1144" t="s">
        <v>926</v>
      </c>
      <c r="C1144" t="s">
        <v>1401</v>
      </c>
      <c r="D1144">
        <f t="shared" si="17"/>
        <v>0</v>
      </c>
      <c r="E1144" t="s">
        <v>19</v>
      </c>
      <c r="F1144" t="s">
        <v>2173</v>
      </c>
      <c r="G1144" t="s">
        <v>326</v>
      </c>
    </row>
    <row r="1145" spans="1:7" hidden="1" x14ac:dyDescent="0.3">
      <c r="A1145" t="s">
        <v>186</v>
      </c>
      <c r="B1145" t="s">
        <v>718</v>
      </c>
      <c r="C1145" t="s">
        <v>1401</v>
      </c>
      <c r="D1145">
        <f t="shared" si="17"/>
        <v>0</v>
      </c>
      <c r="E1145" t="s">
        <v>19</v>
      </c>
      <c r="F1145" t="s">
        <v>2175</v>
      </c>
      <c r="G1145" t="s">
        <v>326</v>
      </c>
    </row>
    <row r="1146" spans="1:7" hidden="1" x14ac:dyDescent="0.3">
      <c r="A1146" t="s">
        <v>186</v>
      </c>
      <c r="B1146" t="s">
        <v>656</v>
      </c>
      <c r="C1146" t="s">
        <v>1401</v>
      </c>
      <c r="D1146">
        <f t="shared" si="17"/>
        <v>0</v>
      </c>
      <c r="E1146" t="s">
        <v>19</v>
      </c>
      <c r="F1146" t="s">
        <v>2184</v>
      </c>
      <c r="G1146" t="s">
        <v>326</v>
      </c>
    </row>
    <row r="1147" spans="1:7" hidden="1" x14ac:dyDescent="0.3">
      <c r="A1147" t="s">
        <v>186</v>
      </c>
      <c r="B1147" t="s">
        <v>532</v>
      </c>
      <c r="C1147" t="s">
        <v>1403</v>
      </c>
      <c r="D1147">
        <f t="shared" si="17"/>
        <v>0</v>
      </c>
      <c r="E1147" t="s">
        <v>19</v>
      </c>
      <c r="F1147" t="s">
        <v>2185</v>
      </c>
      <c r="G1147" t="s">
        <v>326</v>
      </c>
    </row>
    <row r="1148" spans="1:7" hidden="1" x14ac:dyDescent="0.3">
      <c r="A1148" t="s">
        <v>186</v>
      </c>
      <c r="B1148" t="s">
        <v>887</v>
      </c>
      <c r="C1148" t="s">
        <v>1404</v>
      </c>
      <c r="D1148">
        <f t="shared" si="17"/>
        <v>0</v>
      </c>
      <c r="E1148" t="s">
        <v>19</v>
      </c>
      <c r="F1148" t="s">
        <v>2186</v>
      </c>
      <c r="G1148" t="s">
        <v>326</v>
      </c>
    </row>
    <row r="1149" spans="1:7" hidden="1" x14ac:dyDescent="0.3">
      <c r="A1149" t="s">
        <v>186</v>
      </c>
      <c r="B1149" t="s">
        <v>928</v>
      </c>
      <c r="C1149" t="s">
        <v>1405</v>
      </c>
      <c r="D1149">
        <f t="shared" si="17"/>
        <v>0</v>
      </c>
      <c r="E1149" t="s">
        <v>19</v>
      </c>
      <c r="F1149" t="s">
        <v>2187</v>
      </c>
      <c r="G1149" t="s">
        <v>326</v>
      </c>
    </row>
    <row r="1150" spans="1:7" hidden="1" x14ac:dyDescent="0.3">
      <c r="A1150" t="s">
        <v>186</v>
      </c>
      <c r="B1150" t="s">
        <v>934</v>
      </c>
      <c r="C1150" t="s">
        <v>1409</v>
      </c>
      <c r="D1150">
        <f t="shared" si="17"/>
        <v>0</v>
      </c>
      <c r="E1150" t="s">
        <v>19</v>
      </c>
      <c r="F1150" t="s">
        <v>2202</v>
      </c>
      <c r="G1150" t="s">
        <v>326</v>
      </c>
    </row>
    <row r="1151" spans="1:7" hidden="1" x14ac:dyDescent="0.3">
      <c r="A1151" t="s">
        <v>186</v>
      </c>
      <c r="B1151" t="s">
        <v>532</v>
      </c>
      <c r="C1151" t="s">
        <v>1411</v>
      </c>
      <c r="D1151">
        <f t="shared" si="17"/>
        <v>0</v>
      </c>
      <c r="E1151" t="s">
        <v>19</v>
      </c>
      <c r="F1151" t="s">
        <v>2204</v>
      </c>
      <c r="G1151" t="s">
        <v>326</v>
      </c>
    </row>
    <row r="1152" spans="1:7" hidden="1" x14ac:dyDescent="0.3">
      <c r="A1152" t="s">
        <v>186</v>
      </c>
      <c r="B1152" t="s">
        <v>942</v>
      </c>
      <c r="C1152" t="s">
        <v>1412</v>
      </c>
      <c r="D1152">
        <f t="shared" si="17"/>
        <v>0</v>
      </c>
      <c r="E1152" t="s">
        <v>19</v>
      </c>
      <c r="F1152" t="s">
        <v>2213</v>
      </c>
      <c r="G1152" t="s">
        <v>326</v>
      </c>
    </row>
    <row r="1153" spans="1:7" hidden="1" x14ac:dyDescent="0.3">
      <c r="A1153" t="s">
        <v>186</v>
      </c>
      <c r="B1153" t="s">
        <v>928</v>
      </c>
      <c r="C1153" t="s">
        <v>1414</v>
      </c>
      <c r="D1153">
        <f t="shared" si="17"/>
        <v>0</v>
      </c>
      <c r="E1153" t="s">
        <v>19</v>
      </c>
      <c r="F1153" t="s">
        <v>2214</v>
      </c>
      <c r="G1153" t="s">
        <v>326</v>
      </c>
    </row>
    <row r="1154" spans="1:7" hidden="1" x14ac:dyDescent="0.3">
      <c r="A1154" t="s">
        <v>186</v>
      </c>
      <c r="B1154" t="s">
        <v>956</v>
      </c>
      <c r="C1154" t="s">
        <v>1416</v>
      </c>
      <c r="D1154">
        <f t="shared" ref="D1154:D1217" si="18">SIGN(SUBTOTAL(3,E1154))</f>
        <v>0</v>
      </c>
      <c r="E1154" t="s">
        <v>19</v>
      </c>
      <c r="F1154" t="s">
        <v>2233</v>
      </c>
      <c r="G1154" t="s">
        <v>326</v>
      </c>
    </row>
    <row r="1155" spans="1:7" hidden="1" x14ac:dyDescent="0.3">
      <c r="A1155" t="s">
        <v>186</v>
      </c>
      <c r="B1155" t="s">
        <v>969</v>
      </c>
      <c r="C1155" t="s">
        <v>1419</v>
      </c>
      <c r="D1155">
        <f t="shared" si="18"/>
        <v>0</v>
      </c>
      <c r="E1155" t="s">
        <v>19</v>
      </c>
      <c r="F1155" t="s">
        <v>2247</v>
      </c>
      <c r="G1155" t="s">
        <v>326</v>
      </c>
    </row>
    <row r="1156" spans="1:7" hidden="1" x14ac:dyDescent="0.3">
      <c r="A1156" t="s">
        <v>186</v>
      </c>
      <c r="B1156" t="s">
        <v>532</v>
      </c>
      <c r="C1156" t="s">
        <v>1420</v>
      </c>
      <c r="D1156">
        <f t="shared" si="18"/>
        <v>0</v>
      </c>
      <c r="E1156" t="s">
        <v>19</v>
      </c>
      <c r="F1156" t="s">
        <v>2248</v>
      </c>
      <c r="G1156" t="s">
        <v>326</v>
      </c>
    </row>
    <row r="1157" spans="1:7" hidden="1" x14ac:dyDescent="0.3">
      <c r="A1157" t="s">
        <v>186</v>
      </c>
      <c r="B1157" t="s">
        <v>970</v>
      </c>
      <c r="C1157" t="s">
        <v>1420</v>
      </c>
      <c r="D1157">
        <f t="shared" si="18"/>
        <v>0</v>
      </c>
      <c r="E1157" t="s">
        <v>19</v>
      </c>
      <c r="F1157" t="s">
        <v>2249</v>
      </c>
      <c r="G1157" t="s">
        <v>326</v>
      </c>
    </row>
    <row r="1158" spans="1:7" hidden="1" x14ac:dyDescent="0.3">
      <c r="A1158" t="s">
        <v>186</v>
      </c>
      <c r="B1158" t="s">
        <v>699</v>
      </c>
      <c r="C1158" t="s">
        <v>1420</v>
      </c>
      <c r="D1158">
        <f t="shared" si="18"/>
        <v>0</v>
      </c>
      <c r="E1158" t="s">
        <v>19</v>
      </c>
      <c r="F1158" t="s">
        <v>2250</v>
      </c>
      <c r="G1158" t="s">
        <v>326</v>
      </c>
    </row>
    <row r="1159" spans="1:7" hidden="1" x14ac:dyDescent="0.3">
      <c r="A1159" t="s">
        <v>186</v>
      </c>
      <c r="B1159" t="s">
        <v>902</v>
      </c>
      <c r="C1159" t="s">
        <v>1420</v>
      </c>
      <c r="D1159">
        <f t="shared" si="18"/>
        <v>0</v>
      </c>
      <c r="E1159" t="s">
        <v>19</v>
      </c>
      <c r="F1159" t="s">
        <v>2251</v>
      </c>
      <c r="G1159" t="s">
        <v>326</v>
      </c>
    </row>
    <row r="1160" spans="1:7" hidden="1" x14ac:dyDescent="0.3">
      <c r="A1160" t="s">
        <v>186</v>
      </c>
      <c r="B1160" t="s">
        <v>972</v>
      </c>
      <c r="C1160" t="s">
        <v>1421</v>
      </c>
      <c r="D1160">
        <f t="shared" si="18"/>
        <v>0</v>
      </c>
      <c r="E1160" t="s">
        <v>19</v>
      </c>
      <c r="F1160" t="s">
        <v>2253</v>
      </c>
      <c r="G1160" t="s">
        <v>326</v>
      </c>
    </row>
    <row r="1161" spans="1:7" hidden="1" x14ac:dyDescent="0.3">
      <c r="A1161" t="s">
        <v>186</v>
      </c>
      <c r="B1161" t="s">
        <v>532</v>
      </c>
      <c r="C1161" t="s">
        <v>1421</v>
      </c>
      <c r="D1161">
        <f t="shared" si="18"/>
        <v>0</v>
      </c>
      <c r="E1161" t="s">
        <v>19</v>
      </c>
      <c r="F1161" t="s">
        <v>2258</v>
      </c>
      <c r="G1161" t="s">
        <v>326</v>
      </c>
    </row>
    <row r="1162" spans="1:7" hidden="1" x14ac:dyDescent="0.3">
      <c r="A1162" t="s">
        <v>186</v>
      </c>
      <c r="B1162" t="s">
        <v>978</v>
      </c>
      <c r="C1162" t="s">
        <v>1421</v>
      </c>
      <c r="D1162">
        <f t="shared" si="18"/>
        <v>0</v>
      </c>
      <c r="E1162" t="s">
        <v>19</v>
      </c>
      <c r="F1162" t="s">
        <v>2260</v>
      </c>
      <c r="G1162" t="s">
        <v>326</v>
      </c>
    </row>
    <row r="1163" spans="1:7" hidden="1" x14ac:dyDescent="0.3">
      <c r="A1163" t="s">
        <v>186</v>
      </c>
      <c r="B1163" t="s">
        <v>780</v>
      </c>
      <c r="C1163" t="s">
        <v>1422</v>
      </c>
      <c r="D1163">
        <f t="shared" si="18"/>
        <v>0</v>
      </c>
      <c r="E1163" t="s">
        <v>19</v>
      </c>
      <c r="F1163" t="s">
        <v>2261</v>
      </c>
      <c r="G1163" t="s">
        <v>326</v>
      </c>
    </row>
    <row r="1164" spans="1:7" hidden="1" x14ac:dyDescent="0.3">
      <c r="A1164" t="s">
        <v>186</v>
      </c>
      <c r="B1164" t="s">
        <v>533</v>
      </c>
      <c r="C1164" t="s">
        <v>1428</v>
      </c>
      <c r="D1164">
        <f t="shared" si="18"/>
        <v>0</v>
      </c>
      <c r="E1164" t="s">
        <v>19</v>
      </c>
      <c r="F1164" t="s">
        <v>2271</v>
      </c>
      <c r="G1164" t="s">
        <v>326</v>
      </c>
    </row>
    <row r="1165" spans="1:7" hidden="1" x14ac:dyDescent="0.3">
      <c r="A1165" t="s">
        <v>186</v>
      </c>
      <c r="B1165" t="s">
        <v>780</v>
      </c>
      <c r="C1165" t="s">
        <v>1428</v>
      </c>
      <c r="D1165">
        <f t="shared" si="18"/>
        <v>0</v>
      </c>
      <c r="E1165" t="s">
        <v>19</v>
      </c>
      <c r="F1165" t="s">
        <v>2273</v>
      </c>
      <c r="G1165" t="s">
        <v>326</v>
      </c>
    </row>
    <row r="1166" spans="1:7" hidden="1" x14ac:dyDescent="0.3">
      <c r="A1166" t="s">
        <v>186</v>
      </c>
      <c r="B1166" t="s">
        <v>532</v>
      </c>
      <c r="C1166" t="s">
        <v>1432</v>
      </c>
      <c r="D1166">
        <f t="shared" si="18"/>
        <v>0</v>
      </c>
      <c r="E1166" t="s">
        <v>19</v>
      </c>
      <c r="F1166" t="s">
        <v>2277</v>
      </c>
      <c r="G1166" t="s">
        <v>326</v>
      </c>
    </row>
    <row r="1167" spans="1:7" hidden="1" x14ac:dyDescent="0.3">
      <c r="A1167" t="s">
        <v>186</v>
      </c>
      <c r="B1167" t="s">
        <v>532</v>
      </c>
      <c r="C1167" t="s">
        <v>1431</v>
      </c>
      <c r="D1167">
        <f t="shared" si="18"/>
        <v>0</v>
      </c>
      <c r="E1167" t="s">
        <v>19</v>
      </c>
      <c r="F1167" t="s">
        <v>2278</v>
      </c>
      <c r="G1167" t="s">
        <v>326</v>
      </c>
    </row>
    <row r="1168" spans="1:7" hidden="1" x14ac:dyDescent="0.3">
      <c r="A1168" t="s">
        <v>186</v>
      </c>
      <c r="B1168" t="s">
        <v>985</v>
      </c>
      <c r="C1168" t="s">
        <v>1431</v>
      </c>
      <c r="D1168">
        <f t="shared" si="18"/>
        <v>0</v>
      </c>
      <c r="E1168" t="s">
        <v>19</v>
      </c>
      <c r="F1168" t="s">
        <v>2279</v>
      </c>
      <c r="G1168" t="s">
        <v>326</v>
      </c>
    </row>
    <row r="1169" spans="1:7" hidden="1" x14ac:dyDescent="0.3">
      <c r="A1169" t="s">
        <v>186</v>
      </c>
      <c r="B1169" t="s">
        <v>986</v>
      </c>
      <c r="C1169" t="s">
        <v>1433</v>
      </c>
      <c r="D1169">
        <f t="shared" si="18"/>
        <v>0</v>
      </c>
      <c r="E1169" t="s">
        <v>19</v>
      </c>
      <c r="F1169" t="s">
        <v>2282</v>
      </c>
      <c r="G1169" t="s">
        <v>326</v>
      </c>
    </row>
    <row r="1170" spans="1:7" hidden="1" x14ac:dyDescent="0.3">
      <c r="A1170" t="s">
        <v>186</v>
      </c>
      <c r="B1170" t="s">
        <v>978</v>
      </c>
      <c r="C1170" t="s">
        <v>1434</v>
      </c>
      <c r="D1170">
        <f t="shared" si="18"/>
        <v>0</v>
      </c>
      <c r="E1170" t="s">
        <v>19</v>
      </c>
      <c r="F1170" t="s">
        <v>2284</v>
      </c>
      <c r="G1170" t="s">
        <v>326</v>
      </c>
    </row>
    <row r="1171" spans="1:7" hidden="1" x14ac:dyDescent="0.3">
      <c r="A1171" t="s">
        <v>186</v>
      </c>
      <c r="B1171" t="s">
        <v>720</v>
      </c>
      <c r="C1171" t="s">
        <v>1437</v>
      </c>
      <c r="D1171">
        <f t="shared" si="18"/>
        <v>0</v>
      </c>
      <c r="E1171" t="s">
        <v>19</v>
      </c>
      <c r="F1171" t="s">
        <v>2294</v>
      </c>
      <c r="G1171" t="s">
        <v>326</v>
      </c>
    </row>
    <row r="1172" spans="1:7" hidden="1" x14ac:dyDescent="0.3">
      <c r="A1172" t="s">
        <v>186</v>
      </c>
      <c r="B1172" t="s">
        <v>532</v>
      </c>
      <c r="C1172" t="s">
        <v>1440</v>
      </c>
      <c r="D1172">
        <f t="shared" si="18"/>
        <v>0</v>
      </c>
      <c r="E1172" t="s">
        <v>19</v>
      </c>
      <c r="F1172" t="s">
        <v>2297</v>
      </c>
      <c r="G1172" t="s">
        <v>326</v>
      </c>
    </row>
    <row r="1173" spans="1:7" hidden="1" x14ac:dyDescent="0.3">
      <c r="A1173" t="s">
        <v>186</v>
      </c>
      <c r="B1173" t="s">
        <v>972</v>
      </c>
      <c r="C1173" t="s">
        <v>1458</v>
      </c>
      <c r="D1173">
        <f t="shared" si="18"/>
        <v>0</v>
      </c>
      <c r="E1173" t="s">
        <v>19</v>
      </c>
      <c r="F1173" t="s">
        <v>2356</v>
      </c>
      <c r="G1173" t="s">
        <v>326</v>
      </c>
    </row>
    <row r="1174" spans="1:7" hidden="1" x14ac:dyDescent="0.3">
      <c r="A1174" t="s">
        <v>186</v>
      </c>
      <c r="B1174" t="s">
        <v>699</v>
      </c>
      <c r="C1174" t="s">
        <v>1459</v>
      </c>
      <c r="D1174">
        <f t="shared" si="18"/>
        <v>0</v>
      </c>
      <c r="E1174" t="s">
        <v>19</v>
      </c>
      <c r="F1174" t="s">
        <v>2357</v>
      </c>
      <c r="G1174" t="s">
        <v>326</v>
      </c>
    </row>
    <row r="1175" spans="1:7" hidden="1" x14ac:dyDescent="0.3">
      <c r="A1175" t="s">
        <v>186</v>
      </c>
      <c r="B1175" t="s">
        <v>972</v>
      </c>
      <c r="C1175" t="s">
        <v>1460</v>
      </c>
      <c r="D1175">
        <f t="shared" si="18"/>
        <v>0</v>
      </c>
      <c r="E1175" t="s">
        <v>19</v>
      </c>
      <c r="F1175" t="s">
        <v>2358</v>
      </c>
      <c r="G1175" t="s">
        <v>326</v>
      </c>
    </row>
    <row r="1176" spans="1:7" hidden="1" x14ac:dyDescent="0.3">
      <c r="A1176" t="s">
        <v>186</v>
      </c>
      <c r="B1176" t="s">
        <v>531</v>
      </c>
      <c r="C1176" t="s">
        <v>1463</v>
      </c>
      <c r="D1176">
        <f t="shared" si="18"/>
        <v>0</v>
      </c>
      <c r="E1176" t="s">
        <v>19</v>
      </c>
      <c r="F1176" t="s">
        <v>2365</v>
      </c>
      <c r="G1176" t="s">
        <v>326</v>
      </c>
    </row>
    <row r="1177" spans="1:7" hidden="1" x14ac:dyDescent="0.3">
      <c r="A1177" t="s">
        <v>186</v>
      </c>
      <c r="B1177" t="s">
        <v>1026</v>
      </c>
      <c r="C1177" t="s">
        <v>1463</v>
      </c>
      <c r="D1177">
        <f t="shared" si="18"/>
        <v>0</v>
      </c>
      <c r="E1177" t="s">
        <v>19</v>
      </c>
      <c r="F1177" t="s">
        <v>2367</v>
      </c>
      <c r="G1177" t="s">
        <v>326</v>
      </c>
    </row>
    <row r="1178" spans="1:7" hidden="1" x14ac:dyDescent="0.3">
      <c r="A1178" t="s">
        <v>186</v>
      </c>
      <c r="B1178" t="s">
        <v>895</v>
      </c>
      <c r="C1178" t="s">
        <v>1463</v>
      </c>
      <c r="D1178">
        <f t="shared" si="18"/>
        <v>0</v>
      </c>
      <c r="E1178" t="s">
        <v>19</v>
      </c>
      <c r="F1178" t="s">
        <v>2368</v>
      </c>
      <c r="G1178" t="s">
        <v>326</v>
      </c>
    </row>
    <row r="1179" spans="1:7" hidden="1" x14ac:dyDescent="0.3">
      <c r="A1179" t="s">
        <v>186</v>
      </c>
      <c r="B1179" t="s">
        <v>1030</v>
      </c>
      <c r="C1179" t="s">
        <v>1463</v>
      </c>
      <c r="D1179">
        <f t="shared" si="18"/>
        <v>0</v>
      </c>
      <c r="E1179" t="s">
        <v>19</v>
      </c>
      <c r="F1179" t="s">
        <v>2373</v>
      </c>
      <c r="G1179" t="s">
        <v>326</v>
      </c>
    </row>
    <row r="1180" spans="1:7" hidden="1" x14ac:dyDescent="0.3">
      <c r="A1180" t="s">
        <v>186</v>
      </c>
      <c r="B1180" t="s">
        <v>1037</v>
      </c>
      <c r="C1180" t="s">
        <v>1475</v>
      </c>
      <c r="D1180">
        <f t="shared" si="18"/>
        <v>0</v>
      </c>
      <c r="E1180" t="s">
        <v>19</v>
      </c>
      <c r="F1180" t="s">
        <v>2389</v>
      </c>
      <c r="G1180" t="s">
        <v>326</v>
      </c>
    </row>
    <row r="1181" spans="1:7" hidden="1" x14ac:dyDescent="0.3">
      <c r="A1181" t="s">
        <v>186</v>
      </c>
      <c r="B1181" t="s">
        <v>1038</v>
      </c>
      <c r="C1181" t="s">
        <v>1476</v>
      </c>
      <c r="D1181">
        <f t="shared" si="18"/>
        <v>0</v>
      </c>
      <c r="E1181" t="s">
        <v>19</v>
      </c>
      <c r="F1181" t="s">
        <v>2390</v>
      </c>
      <c r="G1181" t="s">
        <v>326</v>
      </c>
    </row>
    <row r="1182" spans="1:7" hidden="1" x14ac:dyDescent="0.3">
      <c r="A1182" t="s">
        <v>186</v>
      </c>
      <c r="B1182" t="s">
        <v>1039</v>
      </c>
      <c r="C1182" t="s">
        <v>1477</v>
      </c>
      <c r="D1182">
        <f t="shared" si="18"/>
        <v>0</v>
      </c>
      <c r="E1182" t="s">
        <v>19</v>
      </c>
      <c r="F1182" t="s">
        <v>2391</v>
      </c>
      <c r="G1182" t="s">
        <v>326</v>
      </c>
    </row>
    <row r="1183" spans="1:7" hidden="1" x14ac:dyDescent="0.3">
      <c r="A1183" t="s">
        <v>186</v>
      </c>
      <c r="B1183" t="s">
        <v>720</v>
      </c>
      <c r="C1183" t="s">
        <v>1485</v>
      </c>
      <c r="D1183">
        <f t="shared" si="18"/>
        <v>0</v>
      </c>
      <c r="E1183" t="s">
        <v>19</v>
      </c>
      <c r="F1183" t="s">
        <v>2406</v>
      </c>
      <c r="G1183" t="s">
        <v>326</v>
      </c>
    </row>
    <row r="1184" spans="1:7" hidden="1" x14ac:dyDescent="0.3">
      <c r="A1184" t="s">
        <v>186</v>
      </c>
      <c r="B1184" t="s">
        <v>1050</v>
      </c>
      <c r="C1184" t="s">
        <v>1490</v>
      </c>
      <c r="D1184">
        <f t="shared" si="18"/>
        <v>0</v>
      </c>
      <c r="E1184" t="s">
        <v>19</v>
      </c>
      <c r="F1184" t="s">
        <v>2413</v>
      </c>
      <c r="G1184" t="s">
        <v>326</v>
      </c>
    </row>
    <row r="1185" spans="1:7" hidden="1" x14ac:dyDescent="0.3">
      <c r="A1185" t="s">
        <v>186</v>
      </c>
      <c r="B1185" t="s">
        <v>1038</v>
      </c>
      <c r="C1185" t="s">
        <v>1495</v>
      </c>
      <c r="D1185">
        <f t="shared" si="18"/>
        <v>0</v>
      </c>
      <c r="E1185" t="s">
        <v>19</v>
      </c>
      <c r="F1185" t="s">
        <v>2431</v>
      </c>
      <c r="G1185" t="s">
        <v>326</v>
      </c>
    </row>
    <row r="1186" spans="1:7" hidden="1" x14ac:dyDescent="0.3">
      <c r="A1186" t="s">
        <v>186</v>
      </c>
      <c r="B1186" t="s">
        <v>657</v>
      </c>
      <c r="C1186" t="s">
        <v>1501</v>
      </c>
      <c r="D1186">
        <f t="shared" si="18"/>
        <v>0</v>
      </c>
      <c r="E1186" t="s">
        <v>19</v>
      </c>
      <c r="F1186" t="s">
        <v>2437</v>
      </c>
      <c r="G1186" t="s">
        <v>326</v>
      </c>
    </row>
    <row r="1187" spans="1:7" hidden="1" x14ac:dyDescent="0.3">
      <c r="A1187" t="s">
        <v>186</v>
      </c>
      <c r="B1187" t="s">
        <v>1038</v>
      </c>
      <c r="C1187" t="s">
        <v>1501</v>
      </c>
      <c r="D1187">
        <f t="shared" si="18"/>
        <v>0</v>
      </c>
      <c r="E1187" t="s">
        <v>19</v>
      </c>
      <c r="F1187" t="s">
        <v>2439</v>
      </c>
      <c r="G1187" t="s">
        <v>326</v>
      </c>
    </row>
    <row r="1188" spans="1:7" hidden="1" x14ac:dyDescent="0.3">
      <c r="A1188" t="s">
        <v>186</v>
      </c>
      <c r="B1188" t="s">
        <v>718</v>
      </c>
      <c r="C1188" t="s">
        <v>1499</v>
      </c>
      <c r="D1188">
        <f t="shared" si="18"/>
        <v>0</v>
      </c>
      <c r="E1188" t="s">
        <v>19</v>
      </c>
      <c r="F1188" t="s">
        <v>2486</v>
      </c>
      <c r="G1188" t="s">
        <v>326</v>
      </c>
    </row>
    <row r="1189" spans="1:7" hidden="1" x14ac:dyDescent="0.3">
      <c r="A1189" t="s">
        <v>186</v>
      </c>
      <c r="B1189" t="s">
        <v>1039</v>
      </c>
      <c r="C1189" t="s">
        <v>1508</v>
      </c>
      <c r="D1189">
        <f t="shared" si="18"/>
        <v>0</v>
      </c>
      <c r="E1189" t="s">
        <v>19</v>
      </c>
      <c r="F1189" t="s">
        <v>2487</v>
      </c>
      <c r="G1189" t="s">
        <v>326</v>
      </c>
    </row>
    <row r="1190" spans="1:7" hidden="1" x14ac:dyDescent="0.3">
      <c r="A1190" t="s">
        <v>186</v>
      </c>
      <c r="B1190" t="s">
        <v>657</v>
      </c>
      <c r="C1190" t="s">
        <v>1511</v>
      </c>
      <c r="D1190">
        <f t="shared" si="18"/>
        <v>0</v>
      </c>
      <c r="E1190" t="s">
        <v>19</v>
      </c>
      <c r="F1190" t="s">
        <v>2490</v>
      </c>
      <c r="G1190" t="s">
        <v>326</v>
      </c>
    </row>
    <row r="1191" spans="1:7" hidden="1" x14ac:dyDescent="0.3">
      <c r="A1191" t="s">
        <v>186</v>
      </c>
      <c r="B1191" t="s">
        <v>532</v>
      </c>
      <c r="C1191" t="s">
        <v>1513</v>
      </c>
      <c r="D1191">
        <f t="shared" si="18"/>
        <v>0</v>
      </c>
      <c r="E1191" t="s">
        <v>19</v>
      </c>
      <c r="F1191" t="s">
        <v>2492</v>
      </c>
      <c r="G1191" t="s">
        <v>326</v>
      </c>
    </row>
    <row r="1192" spans="1:7" hidden="1" x14ac:dyDescent="0.3">
      <c r="A1192" t="s">
        <v>186</v>
      </c>
      <c r="B1192" t="s">
        <v>1038</v>
      </c>
      <c r="C1192" t="s">
        <v>1516</v>
      </c>
      <c r="D1192">
        <f t="shared" si="18"/>
        <v>0</v>
      </c>
      <c r="E1192" t="s">
        <v>19</v>
      </c>
      <c r="F1192" t="s">
        <v>2495</v>
      </c>
      <c r="G1192" t="s">
        <v>326</v>
      </c>
    </row>
    <row r="1193" spans="1:7" hidden="1" x14ac:dyDescent="0.3">
      <c r="A1193" t="s">
        <v>186</v>
      </c>
      <c r="B1193" t="s">
        <v>1085</v>
      </c>
      <c r="C1193" t="s">
        <v>1518</v>
      </c>
      <c r="D1193">
        <f t="shared" si="18"/>
        <v>0</v>
      </c>
      <c r="E1193" t="s">
        <v>19</v>
      </c>
      <c r="F1193" t="s">
        <v>2524</v>
      </c>
      <c r="G1193" t="s">
        <v>326</v>
      </c>
    </row>
    <row r="1194" spans="1:7" hidden="1" x14ac:dyDescent="0.3">
      <c r="A1194" t="s">
        <v>186</v>
      </c>
      <c r="B1194" t="s">
        <v>532</v>
      </c>
      <c r="C1194" t="s">
        <v>1519</v>
      </c>
      <c r="D1194">
        <f t="shared" si="18"/>
        <v>0</v>
      </c>
      <c r="E1194" t="s">
        <v>19</v>
      </c>
      <c r="F1194" t="s">
        <v>2537</v>
      </c>
      <c r="G1194" t="s">
        <v>326</v>
      </c>
    </row>
    <row r="1195" spans="1:7" hidden="1" x14ac:dyDescent="0.3">
      <c r="A1195" t="s">
        <v>186</v>
      </c>
      <c r="B1195" t="s">
        <v>1094</v>
      </c>
      <c r="C1195" t="s">
        <v>1519</v>
      </c>
      <c r="D1195">
        <f t="shared" si="18"/>
        <v>0</v>
      </c>
      <c r="E1195" t="s">
        <v>19</v>
      </c>
      <c r="F1195" t="s">
        <v>2538</v>
      </c>
      <c r="G1195" t="s">
        <v>326</v>
      </c>
    </row>
    <row r="1196" spans="1:7" hidden="1" x14ac:dyDescent="0.3">
      <c r="A1196" t="s">
        <v>186</v>
      </c>
      <c r="B1196" t="s">
        <v>1095</v>
      </c>
      <c r="C1196" t="s">
        <v>1520</v>
      </c>
      <c r="D1196">
        <f t="shared" si="18"/>
        <v>0</v>
      </c>
      <c r="E1196" t="s">
        <v>19</v>
      </c>
      <c r="F1196" t="s">
        <v>2539</v>
      </c>
      <c r="G1196" t="s">
        <v>326</v>
      </c>
    </row>
    <row r="1197" spans="1:7" hidden="1" x14ac:dyDescent="0.3">
      <c r="A1197" t="s">
        <v>186</v>
      </c>
      <c r="B1197" t="s">
        <v>529</v>
      </c>
      <c r="C1197" t="s">
        <v>1518</v>
      </c>
      <c r="D1197">
        <f t="shared" si="18"/>
        <v>0</v>
      </c>
      <c r="E1197" t="s">
        <v>19</v>
      </c>
      <c r="F1197" t="s">
        <v>2541</v>
      </c>
      <c r="G1197" t="s">
        <v>326</v>
      </c>
    </row>
    <row r="1198" spans="1:7" hidden="1" x14ac:dyDescent="0.3">
      <c r="A1198" t="s">
        <v>186</v>
      </c>
      <c r="B1198" t="s">
        <v>1098</v>
      </c>
      <c r="C1198" t="s">
        <v>1518</v>
      </c>
      <c r="D1198">
        <f t="shared" si="18"/>
        <v>0</v>
      </c>
      <c r="E1198" t="s">
        <v>19</v>
      </c>
      <c r="F1198" t="s">
        <v>2544</v>
      </c>
      <c r="G1198" t="s">
        <v>326</v>
      </c>
    </row>
    <row r="1199" spans="1:7" hidden="1" x14ac:dyDescent="0.3">
      <c r="A1199" t="s">
        <v>186</v>
      </c>
      <c r="B1199" t="s">
        <v>531</v>
      </c>
      <c r="C1199" t="s">
        <v>1518</v>
      </c>
      <c r="D1199">
        <f t="shared" si="18"/>
        <v>0</v>
      </c>
      <c r="E1199" t="s">
        <v>19</v>
      </c>
      <c r="F1199" t="s">
        <v>2546</v>
      </c>
      <c r="G1199" t="s">
        <v>326</v>
      </c>
    </row>
    <row r="1200" spans="1:7" hidden="1" x14ac:dyDescent="0.3">
      <c r="A1200" t="s">
        <v>186</v>
      </c>
      <c r="B1200" t="s">
        <v>1100</v>
      </c>
      <c r="C1200" t="s">
        <v>1518</v>
      </c>
      <c r="D1200">
        <f t="shared" si="18"/>
        <v>0</v>
      </c>
      <c r="E1200" t="s">
        <v>19</v>
      </c>
      <c r="F1200" t="s">
        <v>2547</v>
      </c>
      <c r="G1200" t="s">
        <v>326</v>
      </c>
    </row>
    <row r="1201" spans="1:7" hidden="1" x14ac:dyDescent="0.3">
      <c r="A1201" t="s">
        <v>186</v>
      </c>
      <c r="B1201" t="s">
        <v>657</v>
      </c>
      <c r="C1201" t="s">
        <v>1522</v>
      </c>
      <c r="D1201">
        <f t="shared" si="18"/>
        <v>0</v>
      </c>
      <c r="E1201" t="s">
        <v>19</v>
      </c>
      <c r="F1201" t="s">
        <v>2556</v>
      </c>
      <c r="G1201" t="s">
        <v>326</v>
      </c>
    </row>
    <row r="1202" spans="1:7" hidden="1" x14ac:dyDescent="0.3">
      <c r="A1202" t="s">
        <v>186</v>
      </c>
      <c r="B1202" t="s">
        <v>699</v>
      </c>
      <c r="C1202" t="s">
        <v>1523</v>
      </c>
      <c r="D1202">
        <f t="shared" si="18"/>
        <v>0</v>
      </c>
      <c r="E1202" t="s">
        <v>19</v>
      </c>
      <c r="F1202" t="s">
        <v>2557</v>
      </c>
      <c r="G1202" t="s">
        <v>326</v>
      </c>
    </row>
    <row r="1203" spans="1:7" hidden="1" x14ac:dyDescent="0.3">
      <c r="A1203" t="s">
        <v>186</v>
      </c>
      <c r="B1203" t="s">
        <v>531</v>
      </c>
      <c r="C1203" t="s">
        <v>1530</v>
      </c>
      <c r="D1203">
        <f t="shared" si="18"/>
        <v>0</v>
      </c>
      <c r="E1203" t="s">
        <v>19</v>
      </c>
      <c r="F1203" t="s">
        <v>2650</v>
      </c>
      <c r="G1203" t="s">
        <v>326</v>
      </c>
    </row>
    <row r="1204" spans="1:7" hidden="1" x14ac:dyDescent="0.3">
      <c r="A1204" t="s">
        <v>186</v>
      </c>
      <c r="B1204" t="s">
        <v>970</v>
      </c>
      <c r="C1204" t="s">
        <v>1531</v>
      </c>
      <c r="D1204">
        <f t="shared" si="18"/>
        <v>0</v>
      </c>
      <c r="E1204" t="s">
        <v>19</v>
      </c>
      <c r="F1204" t="s">
        <v>2657</v>
      </c>
      <c r="G1204" t="s">
        <v>326</v>
      </c>
    </row>
    <row r="1205" spans="1:7" hidden="1" x14ac:dyDescent="0.3">
      <c r="A1205" t="s">
        <v>186</v>
      </c>
      <c r="B1205" t="s">
        <v>780</v>
      </c>
      <c r="C1205" t="s">
        <v>1532</v>
      </c>
      <c r="D1205">
        <f t="shared" si="18"/>
        <v>0</v>
      </c>
      <c r="E1205" t="s">
        <v>19</v>
      </c>
      <c r="F1205" t="s">
        <v>2658</v>
      </c>
      <c r="G1205" t="s">
        <v>326</v>
      </c>
    </row>
    <row r="1206" spans="1:7" hidden="1" x14ac:dyDescent="0.3">
      <c r="A1206" t="s">
        <v>186</v>
      </c>
      <c r="B1206" t="s">
        <v>780</v>
      </c>
      <c r="C1206" t="s">
        <v>1532</v>
      </c>
      <c r="D1206">
        <f t="shared" si="18"/>
        <v>0</v>
      </c>
      <c r="E1206" t="s">
        <v>19</v>
      </c>
      <c r="F1206" t="s">
        <v>2659</v>
      </c>
      <c r="G1206" t="s">
        <v>326</v>
      </c>
    </row>
    <row r="1207" spans="1:7" hidden="1" x14ac:dyDescent="0.3">
      <c r="A1207" t="s">
        <v>186</v>
      </c>
      <c r="B1207" t="s">
        <v>934</v>
      </c>
      <c r="C1207" t="s">
        <v>1533</v>
      </c>
      <c r="D1207">
        <f t="shared" si="18"/>
        <v>0</v>
      </c>
      <c r="E1207" t="s">
        <v>19</v>
      </c>
      <c r="F1207" t="s">
        <v>2664</v>
      </c>
      <c r="G1207" t="s">
        <v>326</v>
      </c>
    </row>
    <row r="1208" spans="1:7" hidden="1" x14ac:dyDescent="0.3">
      <c r="A1208" t="s">
        <v>186</v>
      </c>
      <c r="B1208" t="s">
        <v>1133</v>
      </c>
      <c r="C1208" t="s">
        <v>1533</v>
      </c>
      <c r="D1208">
        <f t="shared" si="18"/>
        <v>0</v>
      </c>
      <c r="E1208" t="s">
        <v>19</v>
      </c>
      <c r="F1208" t="s">
        <v>2665</v>
      </c>
      <c r="G1208" t="s">
        <v>326</v>
      </c>
    </row>
    <row r="1209" spans="1:7" hidden="1" x14ac:dyDescent="0.3">
      <c r="A1209" t="s">
        <v>186</v>
      </c>
      <c r="B1209" t="s">
        <v>972</v>
      </c>
      <c r="C1209" t="s">
        <v>1533</v>
      </c>
      <c r="D1209">
        <f t="shared" si="18"/>
        <v>0</v>
      </c>
      <c r="E1209" t="s">
        <v>19</v>
      </c>
      <c r="F1209" t="s">
        <v>2669</v>
      </c>
      <c r="G1209" t="s">
        <v>326</v>
      </c>
    </row>
    <row r="1210" spans="1:7" hidden="1" x14ac:dyDescent="0.3">
      <c r="A1210" t="s">
        <v>186</v>
      </c>
      <c r="B1210" t="s">
        <v>908</v>
      </c>
      <c r="C1210" t="s">
        <v>1542</v>
      </c>
      <c r="D1210">
        <f t="shared" si="18"/>
        <v>0</v>
      </c>
      <c r="E1210" t="s">
        <v>19</v>
      </c>
      <c r="F1210" t="s">
        <v>2684</v>
      </c>
      <c r="G1210" t="s">
        <v>326</v>
      </c>
    </row>
    <row r="1211" spans="1:7" hidden="1" x14ac:dyDescent="0.3">
      <c r="A1211" t="s">
        <v>186</v>
      </c>
      <c r="B1211" t="s">
        <v>656</v>
      </c>
      <c r="C1211" t="s">
        <v>1544</v>
      </c>
      <c r="D1211">
        <f t="shared" si="18"/>
        <v>0</v>
      </c>
      <c r="E1211" t="s">
        <v>19</v>
      </c>
      <c r="F1211" t="s">
        <v>2686</v>
      </c>
      <c r="G1211" t="s">
        <v>326</v>
      </c>
    </row>
    <row r="1212" spans="1:7" hidden="1" x14ac:dyDescent="0.3">
      <c r="A1212" t="s">
        <v>186</v>
      </c>
      <c r="B1212" t="s">
        <v>656</v>
      </c>
      <c r="C1212" t="s">
        <v>1545</v>
      </c>
      <c r="D1212">
        <f t="shared" si="18"/>
        <v>0</v>
      </c>
      <c r="E1212" t="s">
        <v>19</v>
      </c>
      <c r="F1212" t="s">
        <v>2687</v>
      </c>
      <c r="G1212" t="s">
        <v>326</v>
      </c>
    </row>
    <row r="1213" spans="1:7" hidden="1" x14ac:dyDescent="0.3">
      <c r="A1213" t="s">
        <v>186</v>
      </c>
      <c r="B1213" t="s">
        <v>527</v>
      </c>
      <c r="C1213" t="s">
        <v>1548</v>
      </c>
      <c r="D1213">
        <f t="shared" si="18"/>
        <v>0</v>
      </c>
      <c r="E1213" t="s">
        <v>19</v>
      </c>
      <c r="F1213" t="s">
        <v>2690</v>
      </c>
      <c r="G1213" t="s">
        <v>326</v>
      </c>
    </row>
    <row r="1214" spans="1:7" hidden="1" x14ac:dyDescent="0.3">
      <c r="A1214" t="s">
        <v>186</v>
      </c>
      <c r="B1214" t="s">
        <v>527</v>
      </c>
      <c r="C1214" t="s">
        <v>1548</v>
      </c>
      <c r="D1214">
        <f t="shared" si="18"/>
        <v>0</v>
      </c>
      <c r="E1214" t="s">
        <v>19</v>
      </c>
      <c r="F1214" t="s">
        <v>2691</v>
      </c>
      <c r="G1214" t="s">
        <v>326</v>
      </c>
    </row>
    <row r="1215" spans="1:7" hidden="1" x14ac:dyDescent="0.3">
      <c r="A1215" t="s">
        <v>186</v>
      </c>
      <c r="B1215" t="s">
        <v>1142</v>
      </c>
      <c r="C1215" t="s">
        <v>1549</v>
      </c>
      <c r="D1215">
        <f t="shared" si="18"/>
        <v>0</v>
      </c>
      <c r="E1215" t="s">
        <v>19</v>
      </c>
      <c r="F1215" t="s">
        <v>2693</v>
      </c>
      <c r="G1215" t="s">
        <v>326</v>
      </c>
    </row>
    <row r="1216" spans="1:7" hidden="1" x14ac:dyDescent="0.3">
      <c r="A1216" t="s">
        <v>186</v>
      </c>
      <c r="B1216" t="s">
        <v>1148</v>
      </c>
      <c r="C1216" t="s">
        <v>1557</v>
      </c>
      <c r="D1216">
        <f t="shared" si="18"/>
        <v>0</v>
      </c>
      <c r="E1216" t="s">
        <v>19</v>
      </c>
      <c r="F1216" t="s">
        <v>2707</v>
      </c>
      <c r="G1216" t="s">
        <v>326</v>
      </c>
    </row>
    <row r="1217" spans="1:7" hidden="1" x14ac:dyDescent="0.3">
      <c r="A1217" t="s">
        <v>186</v>
      </c>
      <c r="B1217" t="s">
        <v>531</v>
      </c>
      <c r="C1217" t="s">
        <v>1557</v>
      </c>
      <c r="D1217">
        <f t="shared" si="18"/>
        <v>0</v>
      </c>
      <c r="E1217" t="s">
        <v>19</v>
      </c>
      <c r="F1217" t="s">
        <v>2710</v>
      </c>
      <c r="G1217" t="s">
        <v>326</v>
      </c>
    </row>
    <row r="1218" spans="1:7" hidden="1" x14ac:dyDescent="0.3">
      <c r="A1218" t="s">
        <v>186</v>
      </c>
      <c r="B1218" t="s">
        <v>1160</v>
      </c>
      <c r="C1218" t="s">
        <v>1557</v>
      </c>
      <c r="D1218">
        <f t="shared" ref="D1218:D1281" si="19">SIGN(SUBTOTAL(3,E1218))</f>
        <v>0</v>
      </c>
      <c r="E1218" t="s">
        <v>19</v>
      </c>
      <c r="F1218" t="s">
        <v>2732</v>
      </c>
      <c r="G1218" t="s">
        <v>326</v>
      </c>
    </row>
    <row r="1219" spans="1:7" hidden="1" x14ac:dyDescent="0.3">
      <c r="A1219" t="s">
        <v>186</v>
      </c>
      <c r="B1219" t="s">
        <v>880</v>
      </c>
      <c r="C1219" t="s">
        <v>1557</v>
      </c>
      <c r="D1219">
        <f t="shared" si="19"/>
        <v>0</v>
      </c>
      <c r="E1219" t="s">
        <v>19</v>
      </c>
      <c r="F1219" t="s">
        <v>2733</v>
      </c>
      <c r="G1219" t="s">
        <v>326</v>
      </c>
    </row>
    <row r="1220" spans="1:7" hidden="1" x14ac:dyDescent="0.3">
      <c r="A1220" t="s">
        <v>186</v>
      </c>
      <c r="B1220" t="s">
        <v>699</v>
      </c>
      <c r="C1220" t="s">
        <v>1557</v>
      </c>
      <c r="D1220">
        <f t="shared" si="19"/>
        <v>0</v>
      </c>
      <c r="E1220" t="s">
        <v>19</v>
      </c>
      <c r="F1220" t="s">
        <v>2735</v>
      </c>
      <c r="G1220" t="s">
        <v>326</v>
      </c>
    </row>
    <row r="1221" spans="1:7" hidden="1" x14ac:dyDescent="0.3">
      <c r="A1221" t="s">
        <v>186</v>
      </c>
      <c r="B1221" t="s">
        <v>1161</v>
      </c>
      <c r="C1221" t="s">
        <v>1557</v>
      </c>
      <c r="D1221">
        <f t="shared" si="19"/>
        <v>0</v>
      </c>
      <c r="E1221" t="s">
        <v>19</v>
      </c>
      <c r="F1221" t="s">
        <v>2736</v>
      </c>
      <c r="G1221" t="s">
        <v>326</v>
      </c>
    </row>
    <row r="1222" spans="1:7" hidden="1" x14ac:dyDescent="0.3">
      <c r="A1222" t="s">
        <v>186</v>
      </c>
      <c r="B1222" t="s">
        <v>1050</v>
      </c>
      <c r="C1222" t="s">
        <v>1557</v>
      </c>
      <c r="D1222">
        <f t="shared" si="19"/>
        <v>0</v>
      </c>
      <c r="E1222" t="s">
        <v>19</v>
      </c>
      <c r="F1222" t="s">
        <v>2738</v>
      </c>
      <c r="G1222" t="s">
        <v>326</v>
      </c>
    </row>
    <row r="1223" spans="1:7" hidden="1" x14ac:dyDescent="0.3">
      <c r="A1223" t="s">
        <v>186</v>
      </c>
      <c r="B1223" t="s">
        <v>532</v>
      </c>
      <c r="C1223" t="s">
        <v>1557</v>
      </c>
      <c r="D1223">
        <f t="shared" si="19"/>
        <v>0</v>
      </c>
      <c r="E1223" t="s">
        <v>19</v>
      </c>
      <c r="F1223" t="s">
        <v>2739</v>
      </c>
      <c r="G1223" t="s">
        <v>326</v>
      </c>
    </row>
    <row r="1224" spans="1:7" hidden="1" x14ac:dyDescent="0.3">
      <c r="A1224" t="s">
        <v>186</v>
      </c>
      <c r="B1224" t="s">
        <v>1162</v>
      </c>
      <c r="C1224" t="s">
        <v>1557</v>
      </c>
      <c r="D1224">
        <f t="shared" si="19"/>
        <v>0</v>
      </c>
      <c r="E1224" t="s">
        <v>19</v>
      </c>
      <c r="F1224" t="s">
        <v>2740</v>
      </c>
      <c r="G1224" t="s">
        <v>326</v>
      </c>
    </row>
    <row r="1225" spans="1:7" hidden="1" x14ac:dyDescent="0.3">
      <c r="A1225" t="s">
        <v>186</v>
      </c>
      <c r="B1225" t="s">
        <v>533</v>
      </c>
      <c r="C1225" t="s">
        <v>1557</v>
      </c>
      <c r="D1225">
        <f t="shared" si="19"/>
        <v>0</v>
      </c>
      <c r="E1225" t="s">
        <v>19</v>
      </c>
      <c r="F1225" t="s">
        <v>2745</v>
      </c>
      <c r="G1225" t="s">
        <v>326</v>
      </c>
    </row>
    <row r="1226" spans="1:7" hidden="1" x14ac:dyDescent="0.3">
      <c r="A1226" t="s">
        <v>186</v>
      </c>
      <c r="B1226" t="s">
        <v>533</v>
      </c>
      <c r="C1226" t="s">
        <v>1557</v>
      </c>
      <c r="D1226">
        <f t="shared" si="19"/>
        <v>0</v>
      </c>
      <c r="E1226" t="s">
        <v>19</v>
      </c>
      <c r="F1226" t="s">
        <v>2746</v>
      </c>
      <c r="G1226" t="s">
        <v>326</v>
      </c>
    </row>
    <row r="1227" spans="1:7" hidden="1" x14ac:dyDescent="0.3">
      <c r="A1227" t="s">
        <v>186</v>
      </c>
      <c r="B1227" t="s">
        <v>699</v>
      </c>
      <c r="C1227" t="s">
        <v>1557</v>
      </c>
      <c r="D1227">
        <f t="shared" si="19"/>
        <v>0</v>
      </c>
      <c r="E1227" t="s">
        <v>19</v>
      </c>
      <c r="F1227" t="s">
        <v>2752</v>
      </c>
      <c r="G1227" t="s">
        <v>326</v>
      </c>
    </row>
    <row r="1228" spans="1:7" hidden="1" x14ac:dyDescent="0.3">
      <c r="A1228" t="s">
        <v>186</v>
      </c>
      <c r="B1228" t="s">
        <v>928</v>
      </c>
      <c r="C1228" t="s">
        <v>1561</v>
      </c>
      <c r="D1228">
        <f t="shared" si="19"/>
        <v>0</v>
      </c>
      <c r="E1228" t="s">
        <v>19</v>
      </c>
      <c r="F1228" t="s">
        <v>2759</v>
      </c>
      <c r="G1228" t="s">
        <v>326</v>
      </c>
    </row>
    <row r="1229" spans="1:7" hidden="1" x14ac:dyDescent="0.3">
      <c r="A1229" t="s">
        <v>186</v>
      </c>
      <c r="B1229" t="s">
        <v>656</v>
      </c>
      <c r="C1229" t="s">
        <v>1576</v>
      </c>
      <c r="D1229">
        <f t="shared" si="19"/>
        <v>0</v>
      </c>
      <c r="E1229" t="s">
        <v>19</v>
      </c>
      <c r="F1229" t="s">
        <v>2810</v>
      </c>
      <c r="G1229" t="s">
        <v>326</v>
      </c>
    </row>
    <row r="1230" spans="1:7" hidden="1" x14ac:dyDescent="0.3">
      <c r="A1230" t="s">
        <v>186</v>
      </c>
      <c r="B1230" t="s">
        <v>1186</v>
      </c>
      <c r="C1230" t="s">
        <v>1576</v>
      </c>
      <c r="D1230">
        <f t="shared" si="19"/>
        <v>0</v>
      </c>
      <c r="E1230" t="s">
        <v>19</v>
      </c>
      <c r="F1230" t="s">
        <v>2812</v>
      </c>
      <c r="G1230" t="s">
        <v>326</v>
      </c>
    </row>
    <row r="1231" spans="1:7" hidden="1" x14ac:dyDescent="0.3">
      <c r="A1231" t="s">
        <v>186</v>
      </c>
      <c r="B1231" t="s">
        <v>533</v>
      </c>
      <c r="C1231" t="s">
        <v>1576</v>
      </c>
      <c r="D1231">
        <f t="shared" si="19"/>
        <v>0</v>
      </c>
      <c r="E1231" t="s">
        <v>19</v>
      </c>
      <c r="F1231" t="s">
        <v>2817</v>
      </c>
      <c r="G1231" t="s">
        <v>326</v>
      </c>
    </row>
    <row r="1232" spans="1:7" hidden="1" x14ac:dyDescent="0.3">
      <c r="A1232" t="s">
        <v>186</v>
      </c>
      <c r="B1232" t="s">
        <v>699</v>
      </c>
      <c r="C1232" t="s">
        <v>1575</v>
      </c>
      <c r="D1232">
        <f t="shared" si="19"/>
        <v>0</v>
      </c>
      <c r="E1232" t="s">
        <v>19</v>
      </c>
      <c r="F1232" t="s">
        <v>2822</v>
      </c>
      <c r="G1232" t="s">
        <v>326</v>
      </c>
    </row>
    <row r="1233" spans="1:7" hidden="1" x14ac:dyDescent="0.3">
      <c r="A1233" t="s">
        <v>186</v>
      </c>
      <c r="B1233" t="s">
        <v>532</v>
      </c>
      <c r="C1233" t="s">
        <v>1578</v>
      </c>
      <c r="D1233">
        <f t="shared" si="19"/>
        <v>0</v>
      </c>
      <c r="E1233" t="s">
        <v>19</v>
      </c>
      <c r="F1233" t="s">
        <v>2831</v>
      </c>
      <c r="G1233" t="s">
        <v>326</v>
      </c>
    </row>
    <row r="1234" spans="1:7" hidden="1" x14ac:dyDescent="0.3">
      <c r="A1234" t="s">
        <v>186</v>
      </c>
      <c r="B1234" t="s">
        <v>1189</v>
      </c>
      <c r="C1234" t="s">
        <v>1580</v>
      </c>
      <c r="D1234">
        <f t="shared" si="19"/>
        <v>0</v>
      </c>
      <c r="E1234" t="s">
        <v>19</v>
      </c>
      <c r="F1234" t="s">
        <v>2833</v>
      </c>
      <c r="G1234" t="s">
        <v>326</v>
      </c>
    </row>
    <row r="1235" spans="1:7" hidden="1" x14ac:dyDescent="0.3">
      <c r="A1235" t="s">
        <v>186</v>
      </c>
      <c r="B1235" t="s">
        <v>986</v>
      </c>
      <c r="C1235" t="s">
        <v>1581</v>
      </c>
      <c r="D1235">
        <f t="shared" si="19"/>
        <v>0</v>
      </c>
      <c r="E1235" t="s">
        <v>19</v>
      </c>
      <c r="F1235" t="s">
        <v>2834</v>
      </c>
      <c r="G1235" t="s">
        <v>326</v>
      </c>
    </row>
    <row r="1236" spans="1:7" hidden="1" x14ac:dyDescent="0.3">
      <c r="A1236" t="s">
        <v>186</v>
      </c>
      <c r="B1236" t="s">
        <v>699</v>
      </c>
      <c r="C1236" t="s">
        <v>1582</v>
      </c>
      <c r="D1236">
        <f t="shared" si="19"/>
        <v>0</v>
      </c>
      <c r="E1236" t="s">
        <v>19</v>
      </c>
      <c r="F1236" t="s">
        <v>2835</v>
      </c>
      <c r="G1236" t="s">
        <v>326</v>
      </c>
    </row>
    <row r="1237" spans="1:7" hidden="1" x14ac:dyDescent="0.3">
      <c r="A1237" t="s">
        <v>186</v>
      </c>
      <c r="B1237" t="s">
        <v>1195</v>
      </c>
      <c r="C1237" t="s">
        <v>1587</v>
      </c>
      <c r="D1237">
        <f t="shared" si="19"/>
        <v>0</v>
      </c>
      <c r="E1237" t="s">
        <v>19</v>
      </c>
      <c r="F1237" t="s">
        <v>2843</v>
      </c>
      <c r="G1237" t="s">
        <v>326</v>
      </c>
    </row>
    <row r="1238" spans="1:7" hidden="1" x14ac:dyDescent="0.3">
      <c r="A1238" t="s">
        <v>186</v>
      </c>
      <c r="B1238" t="s">
        <v>657</v>
      </c>
      <c r="C1238" t="s">
        <v>1593</v>
      </c>
      <c r="D1238">
        <f t="shared" si="19"/>
        <v>0</v>
      </c>
      <c r="E1238" t="s">
        <v>19</v>
      </c>
      <c r="F1238" t="s">
        <v>2856</v>
      </c>
      <c r="G1238" t="s">
        <v>326</v>
      </c>
    </row>
    <row r="1239" spans="1:7" hidden="1" x14ac:dyDescent="0.3">
      <c r="A1239" t="s">
        <v>186</v>
      </c>
      <c r="B1239" t="s">
        <v>529</v>
      </c>
      <c r="C1239" t="s">
        <v>1597</v>
      </c>
      <c r="D1239">
        <f t="shared" si="19"/>
        <v>0</v>
      </c>
      <c r="E1239" t="s">
        <v>19</v>
      </c>
      <c r="F1239" t="s">
        <v>2874</v>
      </c>
      <c r="G1239" t="s">
        <v>326</v>
      </c>
    </row>
    <row r="1240" spans="1:7" hidden="1" x14ac:dyDescent="0.3">
      <c r="A1240" t="s">
        <v>186</v>
      </c>
      <c r="B1240" t="s">
        <v>527</v>
      </c>
      <c r="C1240" t="s">
        <v>1597</v>
      </c>
      <c r="D1240">
        <f t="shared" si="19"/>
        <v>0</v>
      </c>
      <c r="E1240" t="s">
        <v>19</v>
      </c>
      <c r="F1240" t="s">
        <v>2875</v>
      </c>
      <c r="G1240" t="s">
        <v>326</v>
      </c>
    </row>
    <row r="1241" spans="1:7" hidden="1" x14ac:dyDescent="0.3">
      <c r="A1241" t="s">
        <v>186</v>
      </c>
      <c r="B1241" t="s">
        <v>1038</v>
      </c>
      <c r="C1241" t="s">
        <v>1597</v>
      </c>
      <c r="D1241">
        <f t="shared" si="19"/>
        <v>0</v>
      </c>
      <c r="E1241" t="s">
        <v>19</v>
      </c>
      <c r="F1241" t="s">
        <v>2876</v>
      </c>
      <c r="G1241" t="s">
        <v>326</v>
      </c>
    </row>
    <row r="1242" spans="1:7" hidden="1" x14ac:dyDescent="0.3">
      <c r="A1242" t="s">
        <v>186</v>
      </c>
      <c r="B1242" t="s">
        <v>784</v>
      </c>
      <c r="C1242" t="s">
        <v>1597</v>
      </c>
      <c r="D1242">
        <f t="shared" si="19"/>
        <v>0</v>
      </c>
      <c r="E1242" t="s">
        <v>19</v>
      </c>
      <c r="F1242" t="s">
        <v>2888</v>
      </c>
      <c r="G1242" t="s">
        <v>326</v>
      </c>
    </row>
    <row r="1243" spans="1:7" hidden="1" x14ac:dyDescent="0.3">
      <c r="A1243" t="s">
        <v>186</v>
      </c>
      <c r="B1243" t="s">
        <v>533</v>
      </c>
      <c r="C1243" t="s">
        <v>1597</v>
      </c>
      <c r="D1243">
        <f t="shared" si="19"/>
        <v>0</v>
      </c>
      <c r="E1243" t="s">
        <v>19</v>
      </c>
      <c r="F1243" t="s">
        <v>2889</v>
      </c>
      <c r="G1243" t="s">
        <v>326</v>
      </c>
    </row>
    <row r="1244" spans="1:7" hidden="1" x14ac:dyDescent="0.3">
      <c r="A1244" t="s">
        <v>186</v>
      </c>
      <c r="B1244" t="s">
        <v>720</v>
      </c>
      <c r="C1244" t="s">
        <v>1597</v>
      </c>
      <c r="D1244">
        <f t="shared" si="19"/>
        <v>0</v>
      </c>
      <c r="E1244" t="s">
        <v>19</v>
      </c>
      <c r="F1244" t="s">
        <v>2890</v>
      </c>
      <c r="G1244" t="s">
        <v>326</v>
      </c>
    </row>
    <row r="1245" spans="1:7" hidden="1" x14ac:dyDescent="0.3">
      <c r="A1245" t="s">
        <v>186</v>
      </c>
      <c r="B1245" t="s">
        <v>780</v>
      </c>
      <c r="C1245" t="s">
        <v>1597</v>
      </c>
      <c r="D1245">
        <f t="shared" si="19"/>
        <v>0</v>
      </c>
      <c r="E1245" t="s">
        <v>19</v>
      </c>
      <c r="F1245" t="s">
        <v>2893</v>
      </c>
      <c r="G1245" t="s">
        <v>326</v>
      </c>
    </row>
    <row r="1246" spans="1:7" hidden="1" x14ac:dyDescent="0.3">
      <c r="A1246" t="s">
        <v>186</v>
      </c>
      <c r="B1246" t="s">
        <v>1202</v>
      </c>
      <c r="C1246" t="s">
        <v>1598</v>
      </c>
      <c r="D1246">
        <f t="shared" si="19"/>
        <v>0</v>
      </c>
      <c r="E1246" t="s">
        <v>19</v>
      </c>
      <c r="F1246" t="s">
        <v>2895</v>
      </c>
      <c r="G1246" t="s">
        <v>326</v>
      </c>
    </row>
    <row r="1247" spans="1:7" hidden="1" x14ac:dyDescent="0.3">
      <c r="A1247" t="s">
        <v>186</v>
      </c>
      <c r="B1247" t="s">
        <v>532</v>
      </c>
      <c r="C1247" t="s">
        <v>1608</v>
      </c>
      <c r="D1247">
        <f t="shared" si="19"/>
        <v>0</v>
      </c>
      <c r="E1247" t="s">
        <v>19</v>
      </c>
      <c r="F1247" t="s">
        <v>2911</v>
      </c>
      <c r="G1247" t="s">
        <v>326</v>
      </c>
    </row>
    <row r="1248" spans="1:7" hidden="1" x14ac:dyDescent="0.3">
      <c r="A1248" t="s">
        <v>186</v>
      </c>
      <c r="B1248" t="s">
        <v>928</v>
      </c>
      <c r="C1248" t="s">
        <v>1614</v>
      </c>
      <c r="D1248">
        <f t="shared" si="19"/>
        <v>0</v>
      </c>
      <c r="E1248" t="s">
        <v>19</v>
      </c>
      <c r="F1248" t="s">
        <v>2919</v>
      </c>
      <c r="G1248" t="s">
        <v>326</v>
      </c>
    </row>
    <row r="1249" spans="1:7" hidden="1" x14ac:dyDescent="0.3">
      <c r="A1249" t="s">
        <v>186</v>
      </c>
      <c r="B1249" t="s">
        <v>657</v>
      </c>
      <c r="C1249" t="s">
        <v>1614</v>
      </c>
      <c r="D1249">
        <f t="shared" si="19"/>
        <v>0</v>
      </c>
      <c r="E1249" t="s">
        <v>19</v>
      </c>
      <c r="F1249" t="s">
        <v>2922</v>
      </c>
      <c r="G1249" t="s">
        <v>326</v>
      </c>
    </row>
    <row r="1250" spans="1:7" hidden="1" x14ac:dyDescent="0.3">
      <c r="A1250" t="s">
        <v>186</v>
      </c>
      <c r="B1250" t="s">
        <v>699</v>
      </c>
      <c r="C1250" t="s">
        <v>1616</v>
      </c>
      <c r="D1250">
        <f t="shared" si="19"/>
        <v>0</v>
      </c>
      <c r="E1250" t="s">
        <v>19</v>
      </c>
      <c r="F1250" t="s">
        <v>2925</v>
      </c>
      <c r="G1250" t="s">
        <v>326</v>
      </c>
    </row>
    <row r="1251" spans="1:7" hidden="1" x14ac:dyDescent="0.3">
      <c r="A1251" t="s">
        <v>186</v>
      </c>
      <c r="B1251" t="s">
        <v>532</v>
      </c>
      <c r="C1251" t="s">
        <v>1616</v>
      </c>
      <c r="D1251">
        <f t="shared" si="19"/>
        <v>0</v>
      </c>
      <c r="E1251" t="s">
        <v>19</v>
      </c>
      <c r="F1251" t="s">
        <v>2926</v>
      </c>
      <c r="G1251" t="s">
        <v>326</v>
      </c>
    </row>
    <row r="1252" spans="1:7" hidden="1" x14ac:dyDescent="0.3">
      <c r="A1252" t="s">
        <v>186</v>
      </c>
      <c r="B1252" t="s">
        <v>1037</v>
      </c>
      <c r="C1252" t="s">
        <v>1617</v>
      </c>
      <c r="D1252">
        <f t="shared" si="19"/>
        <v>0</v>
      </c>
      <c r="E1252" t="s">
        <v>19</v>
      </c>
      <c r="F1252" t="s">
        <v>2928</v>
      </c>
      <c r="G1252" t="s">
        <v>326</v>
      </c>
    </row>
    <row r="1253" spans="1:7" hidden="1" x14ac:dyDescent="0.3">
      <c r="A1253" t="s">
        <v>186</v>
      </c>
      <c r="B1253" t="s">
        <v>1050</v>
      </c>
      <c r="C1253" t="s">
        <v>1621</v>
      </c>
      <c r="D1253">
        <f t="shared" si="19"/>
        <v>0</v>
      </c>
      <c r="E1253" t="s">
        <v>19</v>
      </c>
      <c r="F1253" t="s">
        <v>2934</v>
      </c>
      <c r="G1253" t="s">
        <v>326</v>
      </c>
    </row>
    <row r="1254" spans="1:7" hidden="1" x14ac:dyDescent="0.3">
      <c r="A1254" t="s">
        <v>186</v>
      </c>
      <c r="B1254" t="s">
        <v>1050</v>
      </c>
      <c r="C1254" t="s">
        <v>1621</v>
      </c>
      <c r="D1254">
        <f t="shared" si="19"/>
        <v>0</v>
      </c>
      <c r="E1254" t="s">
        <v>19</v>
      </c>
      <c r="F1254" t="s">
        <v>2935</v>
      </c>
      <c r="G1254" t="s">
        <v>326</v>
      </c>
    </row>
    <row r="1255" spans="1:7" hidden="1" x14ac:dyDescent="0.3">
      <c r="A1255" t="s">
        <v>186</v>
      </c>
      <c r="B1255" t="s">
        <v>972</v>
      </c>
      <c r="C1255" t="s">
        <v>1622</v>
      </c>
      <c r="D1255">
        <f t="shared" si="19"/>
        <v>0</v>
      </c>
      <c r="E1255" t="s">
        <v>19</v>
      </c>
      <c r="F1255" t="s">
        <v>2936</v>
      </c>
      <c r="G1255" t="s">
        <v>326</v>
      </c>
    </row>
    <row r="1256" spans="1:7" hidden="1" x14ac:dyDescent="0.3">
      <c r="A1256" t="s">
        <v>186</v>
      </c>
      <c r="B1256" t="s">
        <v>656</v>
      </c>
      <c r="C1256" t="s">
        <v>1623</v>
      </c>
      <c r="D1256">
        <f t="shared" si="19"/>
        <v>0</v>
      </c>
      <c r="E1256" t="s">
        <v>19</v>
      </c>
      <c r="F1256" t="s">
        <v>2964</v>
      </c>
      <c r="G1256" t="s">
        <v>326</v>
      </c>
    </row>
    <row r="1257" spans="1:7" hidden="1" x14ac:dyDescent="0.3">
      <c r="A1257" t="s">
        <v>186</v>
      </c>
      <c r="B1257" t="s">
        <v>656</v>
      </c>
      <c r="C1257" t="s">
        <v>1623</v>
      </c>
      <c r="D1257">
        <f t="shared" si="19"/>
        <v>0</v>
      </c>
      <c r="E1257" t="s">
        <v>19</v>
      </c>
      <c r="F1257" t="s">
        <v>2965</v>
      </c>
      <c r="G1257" t="s">
        <v>326</v>
      </c>
    </row>
    <row r="1258" spans="1:7" hidden="1" x14ac:dyDescent="0.3">
      <c r="A1258" t="s">
        <v>186</v>
      </c>
      <c r="B1258" t="s">
        <v>656</v>
      </c>
      <c r="C1258" t="s">
        <v>1623</v>
      </c>
      <c r="D1258">
        <f t="shared" si="19"/>
        <v>0</v>
      </c>
      <c r="E1258" t="s">
        <v>19</v>
      </c>
      <c r="F1258" t="s">
        <v>2966</v>
      </c>
      <c r="G1258" t="s">
        <v>326</v>
      </c>
    </row>
    <row r="1259" spans="1:7" hidden="1" x14ac:dyDescent="0.3">
      <c r="A1259" t="s">
        <v>186</v>
      </c>
      <c r="B1259" t="s">
        <v>656</v>
      </c>
      <c r="C1259" t="s">
        <v>1623</v>
      </c>
      <c r="D1259">
        <f t="shared" si="19"/>
        <v>0</v>
      </c>
      <c r="E1259" t="s">
        <v>19</v>
      </c>
      <c r="F1259" t="s">
        <v>2967</v>
      </c>
      <c r="G1259" t="s">
        <v>326</v>
      </c>
    </row>
    <row r="1260" spans="1:7" hidden="1" x14ac:dyDescent="0.3">
      <c r="A1260" t="s">
        <v>186</v>
      </c>
      <c r="B1260" t="s">
        <v>656</v>
      </c>
      <c r="C1260" t="s">
        <v>1623</v>
      </c>
      <c r="D1260">
        <f t="shared" si="19"/>
        <v>0</v>
      </c>
      <c r="E1260" t="s">
        <v>19</v>
      </c>
      <c r="F1260" t="s">
        <v>2972</v>
      </c>
      <c r="G1260" t="s">
        <v>326</v>
      </c>
    </row>
    <row r="1261" spans="1:7" hidden="1" x14ac:dyDescent="0.3">
      <c r="A1261" t="s">
        <v>186</v>
      </c>
      <c r="B1261" t="s">
        <v>985</v>
      </c>
      <c r="C1261" t="s">
        <v>1627</v>
      </c>
      <c r="D1261">
        <f t="shared" si="19"/>
        <v>0</v>
      </c>
      <c r="E1261" t="s">
        <v>19</v>
      </c>
      <c r="F1261" t="s">
        <v>2990</v>
      </c>
      <c r="G1261" t="s">
        <v>326</v>
      </c>
    </row>
    <row r="1262" spans="1:7" hidden="1" x14ac:dyDescent="0.3">
      <c r="A1262" t="s">
        <v>186</v>
      </c>
      <c r="B1262" t="s">
        <v>1037</v>
      </c>
      <c r="C1262" t="s">
        <v>1635</v>
      </c>
      <c r="D1262">
        <f t="shared" si="19"/>
        <v>0</v>
      </c>
      <c r="E1262" t="s">
        <v>19</v>
      </c>
      <c r="F1262" t="s">
        <v>3010</v>
      </c>
      <c r="G1262" t="s">
        <v>326</v>
      </c>
    </row>
    <row r="1263" spans="1:7" hidden="1" x14ac:dyDescent="0.3">
      <c r="A1263" t="s">
        <v>186</v>
      </c>
      <c r="B1263" t="s">
        <v>532</v>
      </c>
      <c r="C1263" t="s">
        <v>1646</v>
      </c>
      <c r="D1263">
        <f t="shared" si="19"/>
        <v>0</v>
      </c>
      <c r="E1263" t="s">
        <v>19</v>
      </c>
      <c r="F1263" t="s">
        <v>3023</v>
      </c>
      <c r="G1263" t="s">
        <v>326</v>
      </c>
    </row>
    <row r="1264" spans="1:7" hidden="1" x14ac:dyDescent="0.3">
      <c r="A1264" t="s">
        <v>186</v>
      </c>
      <c r="B1264" t="s">
        <v>532</v>
      </c>
      <c r="C1264" t="s">
        <v>1646</v>
      </c>
      <c r="D1264">
        <f t="shared" si="19"/>
        <v>0</v>
      </c>
      <c r="E1264" t="s">
        <v>19</v>
      </c>
      <c r="F1264" t="s">
        <v>3024</v>
      </c>
      <c r="G1264" t="s">
        <v>326</v>
      </c>
    </row>
    <row r="1265" spans="1:7" hidden="1" x14ac:dyDescent="0.3">
      <c r="A1265" t="s">
        <v>186</v>
      </c>
      <c r="B1265" t="s">
        <v>970</v>
      </c>
      <c r="C1265" t="s">
        <v>1647</v>
      </c>
      <c r="D1265">
        <f t="shared" si="19"/>
        <v>0</v>
      </c>
      <c r="E1265" t="s">
        <v>19</v>
      </c>
      <c r="F1265" t="s">
        <v>3031</v>
      </c>
      <c r="G1265" t="s">
        <v>326</v>
      </c>
    </row>
    <row r="1266" spans="1:7" hidden="1" x14ac:dyDescent="0.3">
      <c r="A1266" t="s">
        <v>187</v>
      </c>
      <c r="B1266" t="s">
        <v>882</v>
      </c>
      <c r="C1266" t="s">
        <v>1368</v>
      </c>
      <c r="D1266">
        <f t="shared" si="19"/>
        <v>0</v>
      </c>
      <c r="E1266" t="s">
        <v>19</v>
      </c>
      <c r="F1266" t="s">
        <v>2077</v>
      </c>
      <c r="G1266" t="s">
        <v>326</v>
      </c>
    </row>
    <row r="1267" spans="1:7" hidden="1" x14ac:dyDescent="0.3">
      <c r="A1267" t="s">
        <v>187</v>
      </c>
      <c r="B1267" t="s">
        <v>891</v>
      </c>
      <c r="C1267" t="s">
        <v>1375</v>
      </c>
      <c r="D1267">
        <f t="shared" si="19"/>
        <v>0</v>
      </c>
      <c r="E1267" t="s">
        <v>19</v>
      </c>
      <c r="F1267" t="s">
        <v>2092</v>
      </c>
      <c r="G1267" t="s">
        <v>326</v>
      </c>
    </row>
    <row r="1268" spans="1:7" hidden="1" x14ac:dyDescent="0.3">
      <c r="A1268" t="s">
        <v>187</v>
      </c>
      <c r="B1268" t="s">
        <v>1015</v>
      </c>
      <c r="C1268" t="s">
        <v>1450</v>
      </c>
      <c r="D1268">
        <f t="shared" si="19"/>
        <v>0</v>
      </c>
      <c r="E1268" t="s">
        <v>19</v>
      </c>
      <c r="F1268" t="s">
        <v>2333</v>
      </c>
      <c r="G1268" t="s">
        <v>326</v>
      </c>
    </row>
    <row r="1269" spans="1:7" hidden="1" x14ac:dyDescent="0.3">
      <c r="A1269" t="s">
        <v>187</v>
      </c>
      <c r="B1269" t="s">
        <v>882</v>
      </c>
      <c r="C1269" t="s">
        <v>1473</v>
      </c>
      <c r="D1269">
        <f t="shared" si="19"/>
        <v>0</v>
      </c>
      <c r="E1269" t="s">
        <v>19</v>
      </c>
      <c r="F1269" t="s">
        <v>2386</v>
      </c>
      <c r="G1269" t="s">
        <v>326</v>
      </c>
    </row>
    <row r="1270" spans="1:7" hidden="1" x14ac:dyDescent="0.3">
      <c r="A1270" t="s">
        <v>187</v>
      </c>
      <c r="B1270" t="s">
        <v>1036</v>
      </c>
      <c r="C1270" t="s">
        <v>1473</v>
      </c>
      <c r="D1270">
        <f t="shared" si="19"/>
        <v>0</v>
      </c>
      <c r="E1270" t="s">
        <v>19</v>
      </c>
      <c r="F1270" t="s">
        <v>2387</v>
      </c>
      <c r="G1270" t="s">
        <v>326</v>
      </c>
    </row>
    <row r="1271" spans="1:7" hidden="1" x14ac:dyDescent="0.3">
      <c r="A1271" t="s">
        <v>187</v>
      </c>
      <c r="B1271" t="s">
        <v>1141</v>
      </c>
      <c r="C1271" t="s">
        <v>1546</v>
      </c>
      <c r="D1271">
        <f t="shared" si="19"/>
        <v>0</v>
      </c>
      <c r="E1271" t="s">
        <v>19</v>
      </c>
      <c r="F1271" t="s">
        <v>2688</v>
      </c>
      <c r="G1271" t="s">
        <v>326</v>
      </c>
    </row>
    <row r="1272" spans="1:7" hidden="1" x14ac:dyDescent="0.3">
      <c r="A1272" t="s">
        <v>187</v>
      </c>
      <c r="B1272" t="s">
        <v>1145</v>
      </c>
      <c r="C1272" t="s">
        <v>1554</v>
      </c>
      <c r="D1272">
        <f t="shared" si="19"/>
        <v>0</v>
      </c>
      <c r="E1272" t="s">
        <v>19</v>
      </c>
      <c r="F1272" t="s">
        <v>2704</v>
      </c>
      <c r="G1272" t="s">
        <v>326</v>
      </c>
    </row>
    <row r="1273" spans="1:7" hidden="1" x14ac:dyDescent="0.3">
      <c r="A1273" t="s">
        <v>188</v>
      </c>
      <c r="B1273" t="s">
        <v>1002</v>
      </c>
      <c r="C1273" t="s">
        <v>1443</v>
      </c>
      <c r="D1273">
        <f t="shared" si="19"/>
        <v>0</v>
      </c>
      <c r="E1273" t="s">
        <v>19</v>
      </c>
      <c r="F1273" t="s">
        <v>2305</v>
      </c>
      <c r="G1273" t="s">
        <v>326</v>
      </c>
    </row>
    <row r="1274" spans="1:7" hidden="1" x14ac:dyDescent="0.3">
      <c r="A1274" t="s">
        <v>189</v>
      </c>
      <c r="B1274" t="s">
        <v>675</v>
      </c>
      <c r="C1274" t="s">
        <v>1278</v>
      </c>
      <c r="D1274">
        <f t="shared" si="19"/>
        <v>0</v>
      </c>
      <c r="E1274" t="s">
        <v>19</v>
      </c>
      <c r="F1274" t="s">
        <v>1693</v>
      </c>
      <c r="G1274" t="s">
        <v>326</v>
      </c>
    </row>
    <row r="1275" spans="1:7" hidden="1" x14ac:dyDescent="0.3">
      <c r="A1275" t="s">
        <v>189</v>
      </c>
      <c r="B1275" t="s">
        <v>709</v>
      </c>
      <c r="C1275" t="s">
        <v>1289</v>
      </c>
      <c r="D1275">
        <f t="shared" si="19"/>
        <v>0</v>
      </c>
      <c r="E1275" t="s">
        <v>19</v>
      </c>
      <c r="F1275" t="s">
        <v>1748</v>
      </c>
      <c r="G1275" t="s">
        <v>326</v>
      </c>
    </row>
    <row r="1276" spans="1:7" hidden="1" x14ac:dyDescent="0.3">
      <c r="A1276" t="s">
        <v>189</v>
      </c>
      <c r="B1276" t="s">
        <v>711</v>
      </c>
      <c r="C1276" t="s">
        <v>1289</v>
      </c>
      <c r="D1276">
        <f t="shared" si="19"/>
        <v>0</v>
      </c>
      <c r="E1276" t="s">
        <v>19</v>
      </c>
      <c r="F1276" t="s">
        <v>1750</v>
      </c>
      <c r="G1276" t="s">
        <v>326</v>
      </c>
    </row>
    <row r="1277" spans="1:7" hidden="1" x14ac:dyDescent="0.3">
      <c r="A1277" t="s">
        <v>189</v>
      </c>
      <c r="B1277" t="s">
        <v>760</v>
      </c>
      <c r="C1277" t="s">
        <v>1310</v>
      </c>
      <c r="D1277">
        <f t="shared" si="19"/>
        <v>0</v>
      </c>
      <c r="E1277" t="s">
        <v>19</v>
      </c>
      <c r="F1277" t="s">
        <v>1826</v>
      </c>
      <c r="G1277" t="s">
        <v>326</v>
      </c>
    </row>
    <row r="1278" spans="1:7" hidden="1" x14ac:dyDescent="0.3">
      <c r="A1278" t="s">
        <v>189</v>
      </c>
      <c r="B1278" t="s">
        <v>762</v>
      </c>
      <c r="C1278" t="s">
        <v>1315</v>
      </c>
      <c r="D1278">
        <f t="shared" si="19"/>
        <v>0</v>
      </c>
      <c r="E1278" t="s">
        <v>19</v>
      </c>
      <c r="F1278" t="s">
        <v>1831</v>
      </c>
      <c r="G1278" t="s">
        <v>326</v>
      </c>
    </row>
    <row r="1279" spans="1:7" hidden="1" x14ac:dyDescent="0.3">
      <c r="A1279" t="s">
        <v>189</v>
      </c>
      <c r="B1279" t="s">
        <v>764</v>
      </c>
      <c r="C1279" t="s">
        <v>1317</v>
      </c>
      <c r="D1279">
        <f t="shared" si="19"/>
        <v>0</v>
      </c>
      <c r="E1279" t="s">
        <v>19</v>
      </c>
      <c r="F1279" t="s">
        <v>1833</v>
      </c>
      <c r="G1279" t="s">
        <v>326</v>
      </c>
    </row>
    <row r="1280" spans="1:7" hidden="1" x14ac:dyDescent="0.3">
      <c r="A1280" t="s">
        <v>189</v>
      </c>
      <c r="B1280" t="s">
        <v>822</v>
      </c>
      <c r="C1280" t="s">
        <v>1341</v>
      </c>
      <c r="D1280">
        <f t="shared" si="19"/>
        <v>0</v>
      </c>
      <c r="E1280" t="s">
        <v>19</v>
      </c>
      <c r="F1280" t="s">
        <v>1944</v>
      </c>
      <c r="G1280" t="s">
        <v>326</v>
      </c>
    </row>
    <row r="1281" spans="1:7" hidden="1" x14ac:dyDescent="0.3">
      <c r="A1281" t="s">
        <v>189</v>
      </c>
      <c r="B1281" t="s">
        <v>668</v>
      </c>
      <c r="C1281" t="s">
        <v>1341</v>
      </c>
      <c r="D1281">
        <f t="shared" si="19"/>
        <v>0</v>
      </c>
      <c r="E1281" t="s">
        <v>19</v>
      </c>
      <c r="F1281" t="s">
        <v>1946</v>
      </c>
      <c r="G1281" t="s">
        <v>326</v>
      </c>
    </row>
    <row r="1282" spans="1:7" hidden="1" x14ac:dyDescent="0.3">
      <c r="A1282" t="s">
        <v>189</v>
      </c>
      <c r="B1282" t="s">
        <v>675</v>
      </c>
      <c r="C1282" t="s">
        <v>1341</v>
      </c>
      <c r="D1282">
        <f t="shared" ref="D1282:D1345" si="20">SIGN(SUBTOTAL(3,E1282))</f>
        <v>0</v>
      </c>
      <c r="E1282" t="s">
        <v>19</v>
      </c>
      <c r="F1282" t="s">
        <v>1963</v>
      </c>
      <c r="G1282" t="s">
        <v>326</v>
      </c>
    </row>
    <row r="1283" spans="1:7" hidden="1" x14ac:dyDescent="0.3">
      <c r="A1283" t="s">
        <v>189</v>
      </c>
      <c r="B1283" t="s">
        <v>668</v>
      </c>
      <c r="C1283" t="s">
        <v>1347</v>
      </c>
      <c r="D1283">
        <f t="shared" si="20"/>
        <v>0</v>
      </c>
      <c r="E1283" t="s">
        <v>19</v>
      </c>
      <c r="F1283" t="s">
        <v>1993</v>
      </c>
      <c r="G1283" t="s">
        <v>326</v>
      </c>
    </row>
    <row r="1284" spans="1:7" hidden="1" x14ac:dyDescent="0.3">
      <c r="A1284" t="s">
        <v>189</v>
      </c>
      <c r="B1284" t="s">
        <v>762</v>
      </c>
      <c r="C1284" t="s">
        <v>1347</v>
      </c>
      <c r="D1284">
        <f t="shared" si="20"/>
        <v>0</v>
      </c>
      <c r="E1284" t="s">
        <v>19</v>
      </c>
      <c r="F1284" t="s">
        <v>2008</v>
      </c>
      <c r="G1284" t="s">
        <v>326</v>
      </c>
    </row>
    <row r="1285" spans="1:7" hidden="1" x14ac:dyDescent="0.3">
      <c r="A1285" t="s">
        <v>189</v>
      </c>
      <c r="B1285" t="s">
        <v>863</v>
      </c>
      <c r="C1285" t="s">
        <v>1359</v>
      </c>
      <c r="D1285">
        <f t="shared" si="20"/>
        <v>0</v>
      </c>
      <c r="E1285" t="s">
        <v>19</v>
      </c>
      <c r="F1285" t="s">
        <v>2035</v>
      </c>
      <c r="G1285" t="s">
        <v>326</v>
      </c>
    </row>
    <row r="1286" spans="1:7" hidden="1" x14ac:dyDescent="0.3">
      <c r="A1286" t="s">
        <v>189</v>
      </c>
      <c r="B1286" t="s">
        <v>921</v>
      </c>
      <c r="C1286" t="s">
        <v>1399</v>
      </c>
      <c r="D1286">
        <f t="shared" si="20"/>
        <v>0</v>
      </c>
      <c r="E1286" t="s">
        <v>19</v>
      </c>
      <c r="F1286" t="s">
        <v>2162</v>
      </c>
      <c r="G1286" t="s">
        <v>326</v>
      </c>
    </row>
    <row r="1287" spans="1:7" hidden="1" x14ac:dyDescent="0.3">
      <c r="A1287" t="s">
        <v>189</v>
      </c>
      <c r="B1287" t="s">
        <v>927</v>
      </c>
      <c r="C1287" t="s">
        <v>1401</v>
      </c>
      <c r="D1287">
        <f t="shared" si="20"/>
        <v>0</v>
      </c>
      <c r="E1287" t="s">
        <v>19</v>
      </c>
      <c r="F1287" t="s">
        <v>2183</v>
      </c>
      <c r="G1287" t="s">
        <v>326</v>
      </c>
    </row>
    <row r="1288" spans="1:7" hidden="1" x14ac:dyDescent="0.3">
      <c r="A1288" t="s">
        <v>189</v>
      </c>
      <c r="B1288" t="s">
        <v>535</v>
      </c>
      <c r="C1288" t="s">
        <v>1407</v>
      </c>
      <c r="D1288">
        <f t="shared" si="20"/>
        <v>0</v>
      </c>
      <c r="E1288" t="s">
        <v>19</v>
      </c>
      <c r="F1288" t="s">
        <v>2192</v>
      </c>
      <c r="G1288" t="s">
        <v>326</v>
      </c>
    </row>
    <row r="1289" spans="1:7" hidden="1" x14ac:dyDescent="0.3">
      <c r="A1289" t="s">
        <v>189</v>
      </c>
      <c r="B1289" t="s">
        <v>675</v>
      </c>
      <c r="C1289" t="s">
        <v>1480</v>
      </c>
      <c r="D1289">
        <f t="shared" si="20"/>
        <v>0</v>
      </c>
      <c r="E1289" t="s">
        <v>19</v>
      </c>
      <c r="F1289" t="s">
        <v>2396</v>
      </c>
      <c r="G1289" t="s">
        <v>326</v>
      </c>
    </row>
    <row r="1290" spans="1:7" hidden="1" x14ac:dyDescent="0.3">
      <c r="A1290" t="s">
        <v>189</v>
      </c>
      <c r="B1290" t="s">
        <v>668</v>
      </c>
      <c r="C1290" t="s">
        <v>1480</v>
      </c>
      <c r="D1290">
        <f t="shared" si="20"/>
        <v>0</v>
      </c>
      <c r="E1290" t="s">
        <v>19</v>
      </c>
      <c r="F1290" t="s">
        <v>2397</v>
      </c>
      <c r="G1290" t="s">
        <v>326</v>
      </c>
    </row>
    <row r="1291" spans="1:7" hidden="1" x14ac:dyDescent="0.3">
      <c r="A1291" t="s">
        <v>189</v>
      </c>
      <c r="B1291" t="s">
        <v>668</v>
      </c>
      <c r="C1291" t="s">
        <v>1493</v>
      </c>
      <c r="D1291">
        <f t="shared" si="20"/>
        <v>0</v>
      </c>
      <c r="E1291" t="s">
        <v>19</v>
      </c>
      <c r="F1291" t="s">
        <v>2429</v>
      </c>
      <c r="G1291" t="s">
        <v>326</v>
      </c>
    </row>
    <row r="1292" spans="1:7" hidden="1" x14ac:dyDescent="0.3">
      <c r="A1292" t="s">
        <v>189</v>
      </c>
      <c r="B1292" t="s">
        <v>675</v>
      </c>
      <c r="C1292" t="s">
        <v>1505</v>
      </c>
      <c r="D1292">
        <f t="shared" si="20"/>
        <v>0</v>
      </c>
      <c r="E1292" t="s">
        <v>19</v>
      </c>
      <c r="F1292" t="s">
        <v>2458</v>
      </c>
      <c r="G1292" t="s">
        <v>326</v>
      </c>
    </row>
    <row r="1293" spans="1:7" hidden="1" x14ac:dyDescent="0.3">
      <c r="A1293" t="s">
        <v>189</v>
      </c>
      <c r="B1293" t="s">
        <v>786</v>
      </c>
      <c r="C1293" t="s">
        <v>1506</v>
      </c>
      <c r="D1293">
        <f t="shared" si="20"/>
        <v>0</v>
      </c>
      <c r="E1293" t="s">
        <v>19</v>
      </c>
      <c r="F1293" t="s">
        <v>2459</v>
      </c>
      <c r="G1293" t="s">
        <v>326</v>
      </c>
    </row>
    <row r="1294" spans="1:7" hidden="1" x14ac:dyDescent="0.3">
      <c r="A1294" t="s">
        <v>189</v>
      </c>
      <c r="B1294" t="s">
        <v>668</v>
      </c>
      <c r="C1294" t="s">
        <v>1506</v>
      </c>
      <c r="D1294">
        <f t="shared" si="20"/>
        <v>0</v>
      </c>
      <c r="E1294" t="s">
        <v>19</v>
      </c>
      <c r="F1294" t="s">
        <v>2461</v>
      </c>
      <c r="G1294" t="s">
        <v>326</v>
      </c>
    </row>
    <row r="1295" spans="1:7" hidden="1" x14ac:dyDescent="0.3">
      <c r="A1295" t="s">
        <v>189</v>
      </c>
      <c r="B1295" t="s">
        <v>668</v>
      </c>
      <c r="C1295" t="s">
        <v>1506</v>
      </c>
      <c r="D1295">
        <f t="shared" si="20"/>
        <v>0</v>
      </c>
      <c r="E1295" t="s">
        <v>19</v>
      </c>
      <c r="F1295" t="s">
        <v>2462</v>
      </c>
      <c r="G1295" t="s">
        <v>326</v>
      </c>
    </row>
    <row r="1296" spans="1:7" hidden="1" x14ac:dyDescent="0.3">
      <c r="A1296" t="s">
        <v>189</v>
      </c>
      <c r="B1296" t="s">
        <v>762</v>
      </c>
      <c r="C1296" t="s">
        <v>1506</v>
      </c>
      <c r="D1296">
        <f t="shared" si="20"/>
        <v>0</v>
      </c>
      <c r="E1296" t="s">
        <v>19</v>
      </c>
      <c r="F1296" t="s">
        <v>2468</v>
      </c>
      <c r="G1296" t="s">
        <v>326</v>
      </c>
    </row>
    <row r="1297" spans="1:7" hidden="1" x14ac:dyDescent="0.3">
      <c r="A1297" t="s">
        <v>189</v>
      </c>
      <c r="B1297" t="s">
        <v>762</v>
      </c>
      <c r="C1297" t="s">
        <v>1506</v>
      </c>
      <c r="D1297">
        <f t="shared" si="20"/>
        <v>0</v>
      </c>
      <c r="E1297" t="s">
        <v>19</v>
      </c>
      <c r="F1297" t="s">
        <v>2469</v>
      </c>
      <c r="G1297" t="s">
        <v>326</v>
      </c>
    </row>
    <row r="1298" spans="1:7" hidden="1" x14ac:dyDescent="0.3">
      <c r="A1298" t="s">
        <v>189</v>
      </c>
      <c r="B1298" t="s">
        <v>1066</v>
      </c>
      <c r="C1298" t="s">
        <v>1506</v>
      </c>
      <c r="D1298">
        <f t="shared" si="20"/>
        <v>0</v>
      </c>
      <c r="E1298" t="s">
        <v>19</v>
      </c>
      <c r="F1298" t="s">
        <v>2483</v>
      </c>
      <c r="G1298" t="s">
        <v>326</v>
      </c>
    </row>
    <row r="1299" spans="1:7" hidden="1" x14ac:dyDescent="0.3">
      <c r="A1299" t="s">
        <v>189</v>
      </c>
      <c r="B1299" t="s">
        <v>675</v>
      </c>
      <c r="C1299" t="s">
        <v>1509</v>
      </c>
      <c r="D1299">
        <f t="shared" si="20"/>
        <v>0</v>
      </c>
      <c r="E1299" t="s">
        <v>19</v>
      </c>
      <c r="F1299" t="s">
        <v>2488</v>
      </c>
      <c r="G1299" t="s">
        <v>326</v>
      </c>
    </row>
    <row r="1300" spans="1:7" hidden="1" x14ac:dyDescent="0.3">
      <c r="A1300" t="s">
        <v>189</v>
      </c>
      <c r="B1300" t="s">
        <v>675</v>
      </c>
      <c r="C1300" t="s">
        <v>1552</v>
      </c>
      <c r="D1300">
        <f t="shared" si="20"/>
        <v>0</v>
      </c>
      <c r="E1300" t="s">
        <v>19</v>
      </c>
      <c r="F1300" t="s">
        <v>2697</v>
      </c>
      <c r="G1300" t="s">
        <v>326</v>
      </c>
    </row>
    <row r="1301" spans="1:7" hidden="1" x14ac:dyDescent="0.3">
      <c r="A1301" t="s">
        <v>189</v>
      </c>
      <c r="B1301" t="s">
        <v>668</v>
      </c>
      <c r="C1301" t="s">
        <v>1566</v>
      </c>
      <c r="D1301">
        <f t="shared" si="20"/>
        <v>0</v>
      </c>
      <c r="E1301" t="s">
        <v>19</v>
      </c>
      <c r="F1301" t="s">
        <v>2779</v>
      </c>
      <c r="G1301" t="s">
        <v>326</v>
      </c>
    </row>
    <row r="1302" spans="1:7" hidden="1" x14ac:dyDescent="0.3">
      <c r="A1302" t="s">
        <v>189</v>
      </c>
      <c r="B1302" t="s">
        <v>675</v>
      </c>
      <c r="C1302" t="s">
        <v>1575</v>
      </c>
      <c r="D1302">
        <f t="shared" si="20"/>
        <v>0</v>
      </c>
      <c r="E1302" t="s">
        <v>19</v>
      </c>
      <c r="F1302" t="s">
        <v>2795</v>
      </c>
      <c r="G1302" t="s">
        <v>326</v>
      </c>
    </row>
    <row r="1303" spans="1:7" hidden="1" x14ac:dyDescent="0.3">
      <c r="A1303" t="s">
        <v>189</v>
      </c>
      <c r="B1303" t="s">
        <v>822</v>
      </c>
      <c r="C1303" t="s">
        <v>1575</v>
      </c>
      <c r="D1303">
        <f t="shared" si="20"/>
        <v>0</v>
      </c>
      <c r="E1303" t="s">
        <v>19</v>
      </c>
      <c r="F1303" t="s">
        <v>2796</v>
      </c>
      <c r="G1303" t="s">
        <v>326</v>
      </c>
    </row>
    <row r="1304" spans="1:7" hidden="1" x14ac:dyDescent="0.3">
      <c r="A1304" t="s">
        <v>189</v>
      </c>
      <c r="B1304" t="s">
        <v>668</v>
      </c>
      <c r="C1304" t="s">
        <v>1575</v>
      </c>
      <c r="D1304">
        <f t="shared" si="20"/>
        <v>0</v>
      </c>
      <c r="E1304" t="s">
        <v>19</v>
      </c>
      <c r="F1304" t="s">
        <v>2797</v>
      </c>
      <c r="G1304" t="s">
        <v>326</v>
      </c>
    </row>
    <row r="1305" spans="1:7" hidden="1" x14ac:dyDescent="0.3">
      <c r="A1305" t="s">
        <v>189</v>
      </c>
      <c r="B1305" t="s">
        <v>1190</v>
      </c>
      <c r="C1305" t="s">
        <v>1583</v>
      </c>
      <c r="D1305">
        <f t="shared" si="20"/>
        <v>0</v>
      </c>
      <c r="E1305" t="s">
        <v>19</v>
      </c>
      <c r="F1305" t="s">
        <v>2836</v>
      </c>
      <c r="G1305" t="s">
        <v>326</v>
      </c>
    </row>
    <row r="1306" spans="1:7" hidden="1" x14ac:dyDescent="0.3">
      <c r="A1306" t="s">
        <v>189</v>
      </c>
      <c r="B1306" t="s">
        <v>822</v>
      </c>
      <c r="C1306" t="s">
        <v>1597</v>
      </c>
      <c r="D1306">
        <f t="shared" si="20"/>
        <v>0</v>
      </c>
      <c r="E1306" t="s">
        <v>19</v>
      </c>
      <c r="F1306" t="s">
        <v>2878</v>
      </c>
      <c r="G1306" t="s">
        <v>326</v>
      </c>
    </row>
    <row r="1307" spans="1:7" hidden="1" x14ac:dyDescent="0.3">
      <c r="A1307" t="s">
        <v>189</v>
      </c>
      <c r="B1307" t="s">
        <v>668</v>
      </c>
      <c r="C1307" t="s">
        <v>1597</v>
      </c>
      <c r="D1307">
        <f t="shared" si="20"/>
        <v>0</v>
      </c>
      <c r="E1307" t="s">
        <v>19</v>
      </c>
      <c r="F1307" t="s">
        <v>2885</v>
      </c>
      <c r="G1307" t="s">
        <v>326</v>
      </c>
    </row>
    <row r="1308" spans="1:7" hidden="1" x14ac:dyDescent="0.3">
      <c r="A1308" t="s">
        <v>189</v>
      </c>
      <c r="B1308" t="s">
        <v>535</v>
      </c>
      <c r="C1308" t="s">
        <v>1623</v>
      </c>
      <c r="D1308">
        <f t="shared" si="20"/>
        <v>0</v>
      </c>
      <c r="E1308" t="s">
        <v>19</v>
      </c>
      <c r="F1308" t="s">
        <v>2968</v>
      </c>
      <c r="G1308" t="s">
        <v>326</v>
      </c>
    </row>
    <row r="1309" spans="1:7" hidden="1" x14ac:dyDescent="0.3">
      <c r="A1309" t="s">
        <v>189</v>
      </c>
      <c r="B1309" t="s">
        <v>1227</v>
      </c>
      <c r="C1309" t="s">
        <v>1623</v>
      </c>
      <c r="D1309">
        <f t="shared" si="20"/>
        <v>0</v>
      </c>
      <c r="E1309" t="s">
        <v>19</v>
      </c>
      <c r="F1309" t="s">
        <v>2969</v>
      </c>
      <c r="G1309" t="s">
        <v>326</v>
      </c>
    </row>
    <row r="1310" spans="1:7" hidden="1" x14ac:dyDescent="0.3">
      <c r="A1310" t="s">
        <v>189</v>
      </c>
      <c r="B1310" t="s">
        <v>1227</v>
      </c>
      <c r="C1310" t="s">
        <v>1623</v>
      </c>
      <c r="D1310">
        <f t="shared" si="20"/>
        <v>0</v>
      </c>
      <c r="E1310" t="s">
        <v>19</v>
      </c>
      <c r="F1310" t="s">
        <v>2970</v>
      </c>
      <c r="G1310" t="s">
        <v>326</v>
      </c>
    </row>
    <row r="1311" spans="1:7" hidden="1" x14ac:dyDescent="0.3">
      <c r="A1311" t="s">
        <v>189</v>
      </c>
      <c r="B1311" t="s">
        <v>668</v>
      </c>
      <c r="C1311" t="s">
        <v>1623</v>
      </c>
      <c r="D1311">
        <f t="shared" si="20"/>
        <v>0</v>
      </c>
      <c r="E1311" t="s">
        <v>19</v>
      </c>
      <c r="F1311" t="s">
        <v>2971</v>
      </c>
      <c r="G1311" t="s">
        <v>326</v>
      </c>
    </row>
    <row r="1312" spans="1:7" hidden="1" x14ac:dyDescent="0.3">
      <c r="A1312" t="s">
        <v>189</v>
      </c>
      <c r="B1312" t="s">
        <v>822</v>
      </c>
      <c r="C1312" t="s">
        <v>1623</v>
      </c>
      <c r="D1312">
        <f t="shared" si="20"/>
        <v>0</v>
      </c>
      <c r="E1312" t="s">
        <v>19</v>
      </c>
      <c r="F1312" t="s">
        <v>2975</v>
      </c>
      <c r="G1312" t="s">
        <v>326</v>
      </c>
    </row>
    <row r="1313" spans="1:7" hidden="1" x14ac:dyDescent="0.3">
      <c r="A1313" t="s">
        <v>189</v>
      </c>
      <c r="B1313" t="s">
        <v>668</v>
      </c>
      <c r="C1313" t="s">
        <v>1623</v>
      </c>
      <c r="D1313">
        <f t="shared" si="20"/>
        <v>0</v>
      </c>
      <c r="E1313" t="s">
        <v>19</v>
      </c>
      <c r="F1313" t="s">
        <v>2976</v>
      </c>
      <c r="G1313" t="s">
        <v>326</v>
      </c>
    </row>
    <row r="1314" spans="1:7" hidden="1" x14ac:dyDescent="0.3">
      <c r="A1314" t="s">
        <v>189</v>
      </c>
      <c r="B1314" t="s">
        <v>709</v>
      </c>
      <c r="C1314" t="s">
        <v>1652</v>
      </c>
      <c r="D1314">
        <f t="shared" si="20"/>
        <v>0</v>
      </c>
      <c r="E1314" t="s">
        <v>19</v>
      </c>
      <c r="F1314" t="s">
        <v>3036</v>
      </c>
      <c r="G1314" t="s">
        <v>326</v>
      </c>
    </row>
    <row r="1315" spans="1:7" x14ac:dyDescent="0.3">
      <c r="A1315" t="s">
        <v>190</v>
      </c>
      <c r="B1315" t="s">
        <v>670</v>
      </c>
      <c r="C1315" t="s">
        <v>1275</v>
      </c>
      <c r="D1315">
        <f t="shared" si="20"/>
        <v>1</v>
      </c>
      <c r="E1315" t="s">
        <v>19</v>
      </c>
      <c r="F1315" t="s">
        <v>1685</v>
      </c>
      <c r="G1315" t="s">
        <v>326</v>
      </c>
    </row>
    <row r="1316" spans="1:7" x14ac:dyDescent="0.3">
      <c r="A1316" t="s">
        <v>190</v>
      </c>
      <c r="B1316" t="s">
        <v>705</v>
      </c>
      <c r="C1316" t="s">
        <v>1285</v>
      </c>
      <c r="D1316">
        <f t="shared" si="20"/>
        <v>1</v>
      </c>
      <c r="E1316" t="s">
        <v>19</v>
      </c>
      <c r="F1316" t="s">
        <v>1740</v>
      </c>
      <c r="G1316" t="s">
        <v>326</v>
      </c>
    </row>
    <row r="1317" spans="1:7" x14ac:dyDescent="0.3">
      <c r="A1317" t="s">
        <v>190</v>
      </c>
      <c r="B1317" t="s">
        <v>536</v>
      </c>
      <c r="C1317" t="s">
        <v>1288</v>
      </c>
      <c r="D1317">
        <f t="shared" si="20"/>
        <v>1</v>
      </c>
      <c r="E1317" t="s">
        <v>19</v>
      </c>
      <c r="F1317" t="s">
        <v>1741</v>
      </c>
      <c r="G1317" t="s">
        <v>326</v>
      </c>
    </row>
    <row r="1318" spans="1:7" x14ac:dyDescent="0.3">
      <c r="A1318" t="s">
        <v>190</v>
      </c>
      <c r="B1318" t="s">
        <v>536</v>
      </c>
      <c r="C1318" t="s">
        <v>1285</v>
      </c>
      <c r="D1318">
        <f t="shared" si="20"/>
        <v>1</v>
      </c>
      <c r="E1318" t="s">
        <v>19</v>
      </c>
      <c r="F1318" t="s">
        <v>1742</v>
      </c>
      <c r="G1318" t="s">
        <v>326</v>
      </c>
    </row>
    <row r="1319" spans="1:7" x14ac:dyDescent="0.3">
      <c r="A1319" t="s">
        <v>190</v>
      </c>
      <c r="B1319" t="s">
        <v>538</v>
      </c>
      <c r="C1319" t="s">
        <v>1299</v>
      </c>
      <c r="D1319">
        <f t="shared" si="20"/>
        <v>1</v>
      </c>
      <c r="E1319" t="s">
        <v>19</v>
      </c>
      <c r="F1319" t="s">
        <v>1810</v>
      </c>
      <c r="G1319" t="s">
        <v>326</v>
      </c>
    </row>
    <row r="1320" spans="1:7" x14ac:dyDescent="0.3">
      <c r="A1320" t="s">
        <v>190</v>
      </c>
      <c r="B1320" t="s">
        <v>753</v>
      </c>
      <c r="C1320" t="s">
        <v>1300</v>
      </c>
      <c r="D1320">
        <f t="shared" si="20"/>
        <v>1</v>
      </c>
      <c r="E1320" t="s">
        <v>19</v>
      </c>
      <c r="F1320" t="s">
        <v>1812</v>
      </c>
      <c r="G1320" t="s">
        <v>326</v>
      </c>
    </row>
    <row r="1321" spans="1:7" x14ac:dyDescent="0.3">
      <c r="A1321" t="s">
        <v>190</v>
      </c>
      <c r="B1321" t="s">
        <v>536</v>
      </c>
      <c r="C1321" t="s">
        <v>1365</v>
      </c>
      <c r="D1321">
        <f t="shared" si="20"/>
        <v>1</v>
      </c>
      <c r="E1321" t="s">
        <v>19</v>
      </c>
      <c r="F1321" t="s">
        <v>2042</v>
      </c>
      <c r="G1321" t="s">
        <v>326</v>
      </c>
    </row>
    <row r="1322" spans="1:7" x14ac:dyDescent="0.3">
      <c r="A1322" t="s">
        <v>190</v>
      </c>
      <c r="B1322" t="s">
        <v>753</v>
      </c>
      <c r="C1322" t="s">
        <v>1365</v>
      </c>
      <c r="D1322">
        <f t="shared" si="20"/>
        <v>1</v>
      </c>
      <c r="E1322" t="s">
        <v>19</v>
      </c>
      <c r="F1322" t="s">
        <v>2065</v>
      </c>
      <c r="G1322" t="s">
        <v>326</v>
      </c>
    </row>
    <row r="1323" spans="1:7" x14ac:dyDescent="0.3">
      <c r="A1323" t="s">
        <v>190</v>
      </c>
      <c r="B1323" t="s">
        <v>876</v>
      </c>
      <c r="C1323" t="s">
        <v>1365</v>
      </c>
      <c r="D1323">
        <f t="shared" si="20"/>
        <v>1</v>
      </c>
      <c r="E1323" t="s">
        <v>19</v>
      </c>
      <c r="F1323" t="s">
        <v>2066</v>
      </c>
      <c r="G1323" t="s">
        <v>326</v>
      </c>
    </row>
    <row r="1324" spans="1:7" x14ac:dyDescent="0.3">
      <c r="A1324" t="s">
        <v>190</v>
      </c>
      <c r="B1324" t="s">
        <v>536</v>
      </c>
      <c r="C1324" t="s">
        <v>1463</v>
      </c>
      <c r="D1324">
        <f t="shared" si="20"/>
        <v>1</v>
      </c>
      <c r="E1324" t="s">
        <v>19</v>
      </c>
      <c r="F1324" t="s">
        <v>2364</v>
      </c>
      <c r="G1324" t="s">
        <v>326</v>
      </c>
    </row>
    <row r="1325" spans="1:7" x14ac:dyDescent="0.3">
      <c r="A1325" t="s">
        <v>190</v>
      </c>
      <c r="B1325" t="s">
        <v>538</v>
      </c>
      <c r="C1325" t="s">
        <v>1497</v>
      </c>
      <c r="D1325">
        <f t="shared" si="20"/>
        <v>1</v>
      </c>
      <c r="E1325" t="s">
        <v>19</v>
      </c>
      <c r="F1325" t="s">
        <v>2433</v>
      </c>
      <c r="G1325" t="s">
        <v>326</v>
      </c>
    </row>
    <row r="1326" spans="1:7" x14ac:dyDescent="0.3">
      <c r="A1326" t="s">
        <v>190</v>
      </c>
      <c r="B1326" t="s">
        <v>1125</v>
      </c>
      <c r="C1326" t="s">
        <v>1529</v>
      </c>
      <c r="D1326">
        <f t="shared" si="20"/>
        <v>1</v>
      </c>
      <c r="E1326" t="s">
        <v>19</v>
      </c>
      <c r="F1326" t="s">
        <v>2633</v>
      </c>
      <c r="G1326" t="s">
        <v>326</v>
      </c>
    </row>
    <row r="1327" spans="1:7" x14ac:dyDescent="0.3">
      <c r="A1327" t="s">
        <v>190</v>
      </c>
      <c r="B1327" t="s">
        <v>1126</v>
      </c>
      <c r="C1327" t="s">
        <v>1530</v>
      </c>
      <c r="D1327">
        <f t="shared" si="20"/>
        <v>1</v>
      </c>
      <c r="E1327" t="s">
        <v>19</v>
      </c>
      <c r="F1327" t="s">
        <v>2637</v>
      </c>
      <c r="G1327" t="s">
        <v>326</v>
      </c>
    </row>
    <row r="1328" spans="1:7" x14ac:dyDescent="0.3">
      <c r="A1328" t="s">
        <v>190</v>
      </c>
      <c r="B1328" t="s">
        <v>705</v>
      </c>
      <c r="C1328" t="s">
        <v>1530</v>
      </c>
      <c r="D1328">
        <f t="shared" si="20"/>
        <v>1</v>
      </c>
      <c r="E1328" t="s">
        <v>19</v>
      </c>
      <c r="F1328" t="s">
        <v>2646</v>
      </c>
      <c r="G1328" t="s">
        <v>326</v>
      </c>
    </row>
    <row r="1329" spans="1:7" x14ac:dyDescent="0.3">
      <c r="A1329" t="s">
        <v>190</v>
      </c>
      <c r="B1329" t="s">
        <v>753</v>
      </c>
      <c r="C1329" t="s">
        <v>1557</v>
      </c>
      <c r="D1329">
        <f t="shared" si="20"/>
        <v>1</v>
      </c>
      <c r="E1329" t="s">
        <v>19</v>
      </c>
      <c r="F1329" t="s">
        <v>2748</v>
      </c>
      <c r="G1329" t="s">
        <v>326</v>
      </c>
    </row>
    <row r="1330" spans="1:7" x14ac:dyDescent="0.3">
      <c r="A1330" t="s">
        <v>190</v>
      </c>
      <c r="B1330" t="s">
        <v>1126</v>
      </c>
      <c r="C1330" t="s">
        <v>1557</v>
      </c>
      <c r="D1330">
        <f t="shared" si="20"/>
        <v>1</v>
      </c>
      <c r="E1330" t="s">
        <v>19</v>
      </c>
      <c r="F1330" t="s">
        <v>2749</v>
      </c>
      <c r="G1330" t="s">
        <v>326</v>
      </c>
    </row>
    <row r="1331" spans="1:7" x14ac:dyDescent="0.3">
      <c r="A1331" t="s">
        <v>190</v>
      </c>
      <c r="B1331" t="s">
        <v>1178</v>
      </c>
      <c r="C1331" t="s">
        <v>1565</v>
      </c>
      <c r="D1331">
        <f t="shared" si="20"/>
        <v>1</v>
      </c>
      <c r="E1331" t="s">
        <v>19</v>
      </c>
      <c r="F1331" t="s">
        <v>2775</v>
      </c>
      <c r="G1331" t="s">
        <v>326</v>
      </c>
    </row>
    <row r="1332" spans="1:7" x14ac:dyDescent="0.3">
      <c r="A1332" t="s">
        <v>190</v>
      </c>
      <c r="B1332" t="s">
        <v>536</v>
      </c>
      <c r="C1332" t="s">
        <v>1565</v>
      </c>
      <c r="D1332">
        <f t="shared" si="20"/>
        <v>1</v>
      </c>
      <c r="E1332" t="s">
        <v>19</v>
      </c>
      <c r="F1332" t="s">
        <v>2776</v>
      </c>
      <c r="G1332" t="s">
        <v>326</v>
      </c>
    </row>
    <row r="1333" spans="1:7" x14ac:dyDescent="0.3">
      <c r="A1333" t="s">
        <v>190</v>
      </c>
      <c r="B1333" t="s">
        <v>1182</v>
      </c>
      <c r="C1333" t="s">
        <v>1574</v>
      </c>
      <c r="D1333">
        <f t="shared" si="20"/>
        <v>1</v>
      </c>
      <c r="E1333" t="s">
        <v>19</v>
      </c>
      <c r="F1333" t="s">
        <v>2789</v>
      </c>
      <c r="G1333" t="s">
        <v>326</v>
      </c>
    </row>
    <row r="1334" spans="1:7" x14ac:dyDescent="0.3">
      <c r="A1334" t="s">
        <v>190</v>
      </c>
      <c r="B1334" t="s">
        <v>538</v>
      </c>
      <c r="C1334" t="s">
        <v>1592</v>
      </c>
      <c r="D1334">
        <f t="shared" si="20"/>
        <v>1</v>
      </c>
      <c r="E1334" t="s">
        <v>19</v>
      </c>
      <c r="F1334" t="s">
        <v>2859</v>
      </c>
      <c r="G1334" t="s">
        <v>326</v>
      </c>
    </row>
    <row r="1335" spans="1:7" x14ac:dyDescent="0.3">
      <c r="A1335" t="s">
        <v>190</v>
      </c>
      <c r="B1335" t="s">
        <v>705</v>
      </c>
      <c r="C1335" t="s">
        <v>1619</v>
      </c>
      <c r="D1335">
        <f t="shared" si="20"/>
        <v>1</v>
      </c>
      <c r="E1335" t="s">
        <v>19</v>
      </c>
      <c r="F1335" t="s">
        <v>2930</v>
      </c>
      <c r="G1335" t="s">
        <v>326</v>
      </c>
    </row>
    <row r="1336" spans="1:7" x14ac:dyDescent="0.3">
      <c r="A1336" t="s">
        <v>190</v>
      </c>
      <c r="B1336" t="s">
        <v>1126</v>
      </c>
      <c r="C1336" t="s">
        <v>1619</v>
      </c>
      <c r="D1336">
        <f t="shared" si="20"/>
        <v>1</v>
      </c>
      <c r="E1336" t="s">
        <v>19</v>
      </c>
      <c r="F1336" t="s">
        <v>2932</v>
      </c>
      <c r="G1336" t="s">
        <v>326</v>
      </c>
    </row>
    <row r="1337" spans="1:7" hidden="1" x14ac:dyDescent="0.3">
      <c r="A1337" t="s">
        <v>191</v>
      </c>
      <c r="B1337" t="s">
        <v>681</v>
      </c>
      <c r="C1337" t="s">
        <v>1278</v>
      </c>
      <c r="D1337">
        <f t="shared" si="20"/>
        <v>0</v>
      </c>
      <c r="E1337" t="s">
        <v>19</v>
      </c>
      <c r="F1337" t="s">
        <v>1703</v>
      </c>
      <c r="G1337" t="s">
        <v>326</v>
      </c>
    </row>
    <row r="1338" spans="1:7" hidden="1" x14ac:dyDescent="0.3">
      <c r="A1338" t="s">
        <v>191</v>
      </c>
      <c r="B1338" t="s">
        <v>685</v>
      </c>
      <c r="C1338" t="s">
        <v>1284</v>
      </c>
      <c r="D1338">
        <f t="shared" si="20"/>
        <v>0</v>
      </c>
      <c r="E1338" t="s">
        <v>19</v>
      </c>
      <c r="F1338" t="s">
        <v>1713</v>
      </c>
      <c r="G1338" t="s">
        <v>326</v>
      </c>
    </row>
    <row r="1339" spans="1:7" hidden="1" x14ac:dyDescent="0.3">
      <c r="A1339" t="s">
        <v>191</v>
      </c>
      <c r="B1339" t="s">
        <v>761</v>
      </c>
      <c r="C1339" t="s">
        <v>1312</v>
      </c>
      <c r="D1339">
        <f t="shared" si="20"/>
        <v>0</v>
      </c>
      <c r="E1339" t="s">
        <v>19</v>
      </c>
      <c r="F1339" t="s">
        <v>1828</v>
      </c>
      <c r="G1339" t="s">
        <v>326</v>
      </c>
    </row>
    <row r="1340" spans="1:7" hidden="1" x14ac:dyDescent="0.3">
      <c r="A1340" t="s">
        <v>191</v>
      </c>
      <c r="B1340" t="s">
        <v>933</v>
      </c>
      <c r="C1340" t="s">
        <v>1407</v>
      </c>
      <c r="D1340">
        <f t="shared" si="20"/>
        <v>0</v>
      </c>
      <c r="E1340" t="s">
        <v>19</v>
      </c>
      <c r="F1340" t="s">
        <v>2201</v>
      </c>
      <c r="G1340" t="s">
        <v>326</v>
      </c>
    </row>
    <row r="1341" spans="1:7" hidden="1" x14ac:dyDescent="0.3">
      <c r="A1341" t="s">
        <v>191</v>
      </c>
      <c r="B1341" t="s">
        <v>1008</v>
      </c>
      <c r="C1341" t="s">
        <v>1444</v>
      </c>
      <c r="D1341">
        <f t="shared" si="20"/>
        <v>0</v>
      </c>
      <c r="E1341" t="s">
        <v>19</v>
      </c>
      <c r="F1341" t="s">
        <v>2316</v>
      </c>
      <c r="G1341" t="s">
        <v>326</v>
      </c>
    </row>
    <row r="1342" spans="1:7" hidden="1" x14ac:dyDescent="0.3">
      <c r="A1342" t="s">
        <v>191</v>
      </c>
      <c r="B1342" t="s">
        <v>892</v>
      </c>
      <c r="C1342" t="s">
        <v>1444</v>
      </c>
      <c r="D1342">
        <f t="shared" si="20"/>
        <v>0</v>
      </c>
      <c r="E1342" t="s">
        <v>19</v>
      </c>
      <c r="F1342" t="s">
        <v>2317</v>
      </c>
      <c r="G1342" t="s">
        <v>326</v>
      </c>
    </row>
    <row r="1343" spans="1:7" hidden="1" x14ac:dyDescent="0.3">
      <c r="A1343" t="s">
        <v>191</v>
      </c>
      <c r="B1343" t="s">
        <v>521</v>
      </c>
      <c r="C1343" t="s">
        <v>1528</v>
      </c>
      <c r="D1343">
        <f t="shared" si="20"/>
        <v>0</v>
      </c>
      <c r="E1343" t="s">
        <v>19</v>
      </c>
      <c r="F1343" t="s">
        <v>2613</v>
      </c>
      <c r="G1343" t="s">
        <v>326</v>
      </c>
    </row>
    <row r="1344" spans="1:7" hidden="1" x14ac:dyDescent="0.3">
      <c r="A1344" t="s">
        <v>191</v>
      </c>
      <c r="B1344" t="s">
        <v>1197</v>
      </c>
      <c r="C1344" t="s">
        <v>1593</v>
      </c>
      <c r="D1344">
        <f t="shared" si="20"/>
        <v>0</v>
      </c>
      <c r="E1344" t="s">
        <v>19</v>
      </c>
      <c r="F1344" t="s">
        <v>2857</v>
      </c>
      <c r="G1344" t="s">
        <v>326</v>
      </c>
    </row>
    <row r="1345" spans="1:7" hidden="1" x14ac:dyDescent="0.3">
      <c r="A1345" t="s">
        <v>192</v>
      </c>
      <c r="B1345" t="s">
        <v>715</v>
      </c>
      <c r="C1345" t="s">
        <v>1292</v>
      </c>
      <c r="D1345">
        <f t="shared" si="20"/>
        <v>0</v>
      </c>
      <c r="E1345" t="s">
        <v>19</v>
      </c>
      <c r="F1345" t="s">
        <v>1761</v>
      </c>
      <c r="G1345" t="s">
        <v>326</v>
      </c>
    </row>
    <row r="1346" spans="1:7" hidden="1" x14ac:dyDescent="0.3">
      <c r="A1346" t="s">
        <v>192</v>
      </c>
      <c r="B1346" t="s">
        <v>539</v>
      </c>
      <c r="C1346" t="s">
        <v>1292</v>
      </c>
      <c r="D1346">
        <f t="shared" ref="D1346:D1385" si="21">SIGN(SUBTOTAL(3,E1346))</f>
        <v>0</v>
      </c>
      <c r="E1346" t="s">
        <v>19</v>
      </c>
      <c r="F1346" t="s">
        <v>1762</v>
      </c>
      <c r="G1346" t="s">
        <v>326</v>
      </c>
    </row>
    <row r="1347" spans="1:7" hidden="1" x14ac:dyDescent="0.3">
      <c r="A1347" t="s">
        <v>192</v>
      </c>
      <c r="B1347" t="s">
        <v>716</v>
      </c>
      <c r="C1347" t="s">
        <v>1292</v>
      </c>
      <c r="D1347">
        <f t="shared" si="21"/>
        <v>0</v>
      </c>
      <c r="E1347" t="s">
        <v>19</v>
      </c>
      <c r="F1347" t="s">
        <v>1763</v>
      </c>
      <c r="G1347" t="s">
        <v>326</v>
      </c>
    </row>
    <row r="1348" spans="1:7" hidden="1" x14ac:dyDescent="0.3">
      <c r="A1348" t="s">
        <v>192</v>
      </c>
      <c r="B1348" t="s">
        <v>717</v>
      </c>
      <c r="C1348" t="s">
        <v>1292</v>
      </c>
      <c r="D1348">
        <f t="shared" si="21"/>
        <v>0</v>
      </c>
      <c r="E1348" t="s">
        <v>19</v>
      </c>
      <c r="F1348" t="s">
        <v>1764</v>
      </c>
      <c r="G1348" t="s">
        <v>326</v>
      </c>
    </row>
    <row r="1349" spans="1:7" hidden="1" x14ac:dyDescent="0.3">
      <c r="A1349" t="s">
        <v>192</v>
      </c>
      <c r="B1349" t="s">
        <v>728</v>
      </c>
      <c r="C1349" t="s">
        <v>1293</v>
      </c>
      <c r="D1349">
        <f t="shared" si="21"/>
        <v>0</v>
      </c>
      <c r="E1349" t="s">
        <v>19</v>
      </c>
      <c r="F1349" t="s">
        <v>1778</v>
      </c>
      <c r="G1349" t="s">
        <v>326</v>
      </c>
    </row>
    <row r="1350" spans="1:7" hidden="1" x14ac:dyDescent="0.3">
      <c r="A1350" t="s">
        <v>192</v>
      </c>
      <c r="B1350" t="s">
        <v>729</v>
      </c>
      <c r="C1350" t="s">
        <v>1293</v>
      </c>
      <c r="D1350">
        <f t="shared" si="21"/>
        <v>0</v>
      </c>
      <c r="E1350" t="s">
        <v>19</v>
      </c>
      <c r="F1350" t="s">
        <v>1779</v>
      </c>
      <c r="G1350" t="s">
        <v>326</v>
      </c>
    </row>
    <row r="1351" spans="1:7" hidden="1" x14ac:dyDescent="0.3">
      <c r="A1351" t="s">
        <v>192</v>
      </c>
      <c r="B1351" t="s">
        <v>540</v>
      </c>
      <c r="C1351" t="s">
        <v>1322</v>
      </c>
      <c r="D1351">
        <f t="shared" si="21"/>
        <v>0</v>
      </c>
      <c r="E1351" t="s">
        <v>19</v>
      </c>
      <c r="F1351" t="s">
        <v>1839</v>
      </c>
      <c r="G1351" t="s">
        <v>326</v>
      </c>
    </row>
    <row r="1352" spans="1:7" hidden="1" x14ac:dyDescent="0.3">
      <c r="A1352" t="s">
        <v>192</v>
      </c>
      <c r="B1352" t="s">
        <v>539</v>
      </c>
      <c r="C1352" t="s">
        <v>1322</v>
      </c>
      <c r="D1352">
        <f t="shared" si="21"/>
        <v>0</v>
      </c>
      <c r="E1352" t="s">
        <v>19</v>
      </c>
      <c r="F1352" t="s">
        <v>1840</v>
      </c>
      <c r="G1352" t="s">
        <v>326</v>
      </c>
    </row>
    <row r="1353" spans="1:7" hidden="1" x14ac:dyDescent="0.3">
      <c r="A1353" t="s">
        <v>192</v>
      </c>
      <c r="B1353" t="s">
        <v>539</v>
      </c>
      <c r="C1353" t="s">
        <v>1322</v>
      </c>
      <c r="D1353">
        <f t="shared" si="21"/>
        <v>0</v>
      </c>
      <c r="E1353" t="s">
        <v>19</v>
      </c>
      <c r="F1353" t="s">
        <v>1841</v>
      </c>
      <c r="G1353" t="s">
        <v>326</v>
      </c>
    </row>
    <row r="1354" spans="1:7" hidden="1" x14ac:dyDescent="0.3">
      <c r="A1354" t="s">
        <v>192</v>
      </c>
      <c r="B1354" t="s">
        <v>539</v>
      </c>
      <c r="C1354" t="s">
        <v>1322</v>
      </c>
      <c r="D1354">
        <f t="shared" si="21"/>
        <v>0</v>
      </c>
      <c r="E1354" t="s">
        <v>19</v>
      </c>
      <c r="F1354" t="s">
        <v>1842</v>
      </c>
      <c r="G1354" t="s">
        <v>326</v>
      </c>
    </row>
    <row r="1355" spans="1:7" hidden="1" x14ac:dyDescent="0.3">
      <c r="A1355" t="s">
        <v>192</v>
      </c>
      <c r="B1355" t="s">
        <v>769</v>
      </c>
      <c r="C1355" t="s">
        <v>1322</v>
      </c>
      <c r="D1355">
        <f t="shared" si="21"/>
        <v>0</v>
      </c>
      <c r="E1355" t="s">
        <v>19</v>
      </c>
      <c r="F1355" t="s">
        <v>1843</v>
      </c>
      <c r="G1355" t="s">
        <v>326</v>
      </c>
    </row>
    <row r="1356" spans="1:7" hidden="1" x14ac:dyDescent="0.3">
      <c r="A1356" t="s">
        <v>192</v>
      </c>
      <c r="B1356" t="s">
        <v>728</v>
      </c>
      <c r="C1356" t="s">
        <v>1322</v>
      </c>
      <c r="D1356">
        <f t="shared" si="21"/>
        <v>0</v>
      </c>
      <c r="E1356" t="s">
        <v>19</v>
      </c>
      <c r="F1356" t="s">
        <v>1844</v>
      </c>
      <c r="G1356" t="s">
        <v>326</v>
      </c>
    </row>
    <row r="1357" spans="1:7" hidden="1" x14ac:dyDescent="0.3">
      <c r="A1357" t="s">
        <v>192</v>
      </c>
      <c r="B1357" t="s">
        <v>728</v>
      </c>
      <c r="C1357" t="s">
        <v>1322</v>
      </c>
      <c r="D1357">
        <f t="shared" si="21"/>
        <v>0</v>
      </c>
      <c r="E1357" t="s">
        <v>19</v>
      </c>
      <c r="F1357" t="s">
        <v>1845</v>
      </c>
      <c r="G1357" t="s">
        <v>326</v>
      </c>
    </row>
    <row r="1358" spans="1:7" hidden="1" x14ac:dyDescent="0.3">
      <c r="A1358" t="s">
        <v>192</v>
      </c>
      <c r="B1358" t="s">
        <v>540</v>
      </c>
      <c r="C1358" t="s">
        <v>1322</v>
      </c>
      <c r="D1358">
        <f t="shared" si="21"/>
        <v>0</v>
      </c>
      <c r="E1358" t="s">
        <v>19</v>
      </c>
      <c r="F1358" t="s">
        <v>1846</v>
      </c>
      <c r="G1358" t="s">
        <v>326</v>
      </c>
    </row>
    <row r="1359" spans="1:7" hidden="1" x14ac:dyDescent="0.3">
      <c r="A1359" t="s">
        <v>192</v>
      </c>
      <c r="B1359" t="s">
        <v>728</v>
      </c>
      <c r="C1359" t="s">
        <v>1322</v>
      </c>
      <c r="D1359">
        <f t="shared" si="21"/>
        <v>0</v>
      </c>
      <c r="E1359" t="s">
        <v>19</v>
      </c>
      <c r="F1359" t="s">
        <v>1848</v>
      </c>
      <c r="G1359" t="s">
        <v>326</v>
      </c>
    </row>
    <row r="1360" spans="1:7" hidden="1" x14ac:dyDescent="0.3">
      <c r="A1360" t="s">
        <v>192</v>
      </c>
      <c r="B1360" t="s">
        <v>540</v>
      </c>
      <c r="C1360" t="s">
        <v>1322</v>
      </c>
      <c r="D1360">
        <f t="shared" si="21"/>
        <v>0</v>
      </c>
      <c r="E1360" t="s">
        <v>19</v>
      </c>
      <c r="F1360" t="s">
        <v>1849</v>
      </c>
      <c r="G1360" t="s">
        <v>326</v>
      </c>
    </row>
    <row r="1361" spans="1:7" hidden="1" x14ac:dyDescent="0.3">
      <c r="A1361" t="s">
        <v>192</v>
      </c>
      <c r="B1361" t="s">
        <v>539</v>
      </c>
      <c r="C1361" t="s">
        <v>1322</v>
      </c>
      <c r="D1361">
        <f t="shared" si="21"/>
        <v>0</v>
      </c>
      <c r="E1361" t="s">
        <v>19</v>
      </c>
      <c r="F1361" t="s">
        <v>1850</v>
      </c>
      <c r="G1361" t="s">
        <v>326</v>
      </c>
    </row>
    <row r="1362" spans="1:7" hidden="1" x14ac:dyDescent="0.3">
      <c r="A1362" t="s">
        <v>192</v>
      </c>
      <c r="B1362" t="s">
        <v>728</v>
      </c>
      <c r="C1362" t="s">
        <v>1322</v>
      </c>
      <c r="D1362">
        <f t="shared" si="21"/>
        <v>0</v>
      </c>
      <c r="E1362" t="s">
        <v>19</v>
      </c>
      <c r="F1362" t="s">
        <v>1854</v>
      </c>
      <c r="G1362" t="s">
        <v>326</v>
      </c>
    </row>
    <row r="1363" spans="1:7" hidden="1" x14ac:dyDescent="0.3">
      <c r="A1363" t="s">
        <v>192</v>
      </c>
      <c r="B1363" t="s">
        <v>539</v>
      </c>
      <c r="C1363" t="s">
        <v>1322</v>
      </c>
      <c r="D1363">
        <f t="shared" si="21"/>
        <v>0</v>
      </c>
      <c r="E1363" t="s">
        <v>19</v>
      </c>
      <c r="F1363" t="s">
        <v>1857</v>
      </c>
      <c r="G1363" t="s">
        <v>326</v>
      </c>
    </row>
    <row r="1364" spans="1:7" hidden="1" x14ac:dyDescent="0.3">
      <c r="A1364" t="s">
        <v>192</v>
      </c>
      <c r="B1364" t="s">
        <v>728</v>
      </c>
      <c r="C1364" t="s">
        <v>1322</v>
      </c>
      <c r="D1364">
        <f t="shared" si="21"/>
        <v>0</v>
      </c>
      <c r="E1364" t="s">
        <v>19</v>
      </c>
      <c r="F1364" t="s">
        <v>1859</v>
      </c>
      <c r="G1364" t="s">
        <v>326</v>
      </c>
    </row>
    <row r="1365" spans="1:7" hidden="1" x14ac:dyDescent="0.3">
      <c r="A1365" t="s">
        <v>192</v>
      </c>
      <c r="B1365" t="s">
        <v>728</v>
      </c>
      <c r="C1365" t="s">
        <v>1322</v>
      </c>
      <c r="D1365">
        <f t="shared" si="21"/>
        <v>0</v>
      </c>
      <c r="E1365" t="s">
        <v>19</v>
      </c>
      <c r="F1365" t="s">
        <v>1860</v>
      </c>
      <c r="G1365" t="s">
        <v>326</v>
      </c>
    </row>
    <row r="1366" spans="1:7" hidden="1" x14ac:dyDescent="0.3">
      <c r="A1366" t="s">
        <v>192</v>
      </c>
      <c r="B1366" t="s">
        <v>539</v>
      </c>
      <c r="C1366" t="s">
        <v>1341</v>
      </c>
      <c r="D1366">
        <f t="shared" si="21"/>
        <v>0</v>
      </c>
      <c r="E1366" t="s">
        <v>19</v>
      </c>
      <c r="F1366" t="s">
        <v>1937</v>
      </c>
      <c r="G1366" t="s">
        <v>326</v>
      </c>
    </row>
    <row r="1367" spans="1:7" hidden="1" x14ac:dyDescent="0.3">
      <c r="A1367" t="s">
        <v>192</v>
      </c>
      <c r="B1367" t="s">
        <v>716</v>
      </c>
      <c r="C1367" t="s">
        <v>1352</v>
      </c>
      <c r="D1367">
        <f t="shared" si="21"/>
        <v>0</v>
      </c>
      <c r="E1367" t="s">
        <v>19</v>
      </c>
      <c r="F1367" t="s">
        <v>2017</v>
      </c>
      <c r="G1367" t="s">
        <v>326</v>
      </c>
    </row>
    <row r="1368" spans="1:7" hidden="1" x14ac:dyDescent="0.3">
      <c r="A1368" t="s">
        <v>192</v>
      </c>
      <c r="B1368" t="s">
        <v>769</v>
      </c>
      <c r="C1368" t="s">
        <v>1352</v>
      </c>
      <c r="D1368">
        <f t="shared" si="21"/>
        <v>0</v>
      </c>
      <c r="E1368" t="s">
        <v>19</v>
      </c>
      <c r="F1368" t="s">
        <v>2018</v>
      </c>
      <c r="G1368" t="s">
        <v>326</v>
      </c>
    </row>
    <row r="1369" spans="1:7" hidden="1" x14ac:dyDescent="0.3">
      <c r="A1369" t="s">
        <v>192</v>
      </c>
      <c r="B1369" t="s">
        <v>855</v>
      </c>
      <c r="C1369" t="s">
        <v>1354</v>
      </c>
      <c r="D1369">
        <f t="shared" si="21"/>
        <v>0</v>
      </c>
      <c r="E1369" t="s">
        <v>19</v>
      </c>
      <c r="F1369" t="s">
        <v>2025</v>
      </c>
      <c r="G1369" t="s">
        <v>326</v>
      </c>
    </row>
    <row r="1370" spans="1:7" hidden="1" x14ac:dyDescent="0.3">
      <c r="A1370" t="s">
        <v>192</v>
      </c>
      <c r="B1370" t="s">
        <v>856</v>
      </c>
      <c r="C1370" t="s">
        <v>1354</v>
      </c>
      <c r="D1370">
        <f t="shared" si="21"/>
        <v>0</v>
      </c>
      <c r="E1370" t="s">
        <v>19</v>
      </c>
      <c r="F1370" t="s">
        <v>2026</v>
      </c>
      <c r="G1370" t="s">
        <v>326</v>
      </c>
    </row>
    <row r="1371" spans="1:7" hidden="1" x14ac:dyDescent="0.3">
      <c r="A1371" t="s">
        <v>192</v>
      </c>
      <c r="B1371" t="s">
        <v>716</v>
      </c>
      <c r="C1371" t="s">
        <v>1407</v>
      </c>
      <c r="D1371">
        <f t="shared" si="21"/>
        <v>0</v>
      </c>
      <c r="E1371" t="s">
        <v>19</v>
      </c>
      <c r="F1371" t="s">
        <v>2194</v>
      </c>
      <c r="G1371" t="s">
        <v>326</v>
      </c>
    </row>
    <row r="1372" spans="1:7" hidden="1" x14ac:dyDescent="0.3">
      <c r="A1372" t="s">
        <v>192</v>
      </c>
      <c r="B1372" t="s">
        <v>962</v>
      </c>
      <c r="C1372" t="s">
        <v>1416</v>
      </c>
      <c r="D1372">
        <f t="shared" si="21"/>
        <v>0</v>
      </c>
      <c r="E1372" t="s">
        <v>19</v>
      </c>
      <c r="F1372" t="s">
        <v>2239</v>
      </c>
      <c r="G1372" t="s">
        <v>326</v>
      </c>
    </row>
    <row r="1373" spans="1:7" hidden="1" x14ac:dyDescent="0.3">
      <c r="A1373" t="s">
        <v>192</v>
      </c>
      <c r="B1373" t="s">
        <v>962</v>
      </c>
      <c r="C1373" t="s">
        <v>1553</v>
      </c>
      <c r="D1373">
        <f t="shared" si="21"/>
        <v>0</v>
      </c>
      <c r="E1373" t="s">
        <v>19</v>
      </c>
      <c r="F1373" t="s">
        <v>2700</v>
      </c>
      <c r="G1373" t="s">
        <v>326</v>
      </c>
    </row>
    <row r="1374" spans="1:7" hidden="1" x14ac:dyDescent="0.3">
      <c r="A1374" t="s">
        <v>192</v>
      </c>
      <c r="B1374" t="s">
        <v>1180</v>
      </c>
      <c r="C1374" t="s">
        <v>1572</v>
      </c>
      <c r="D1374">
        <f t="shared" si="21"/>
        <v>0</v>
      </c>
      <c r="E1374" t="s">
        <v>19</v>
      </c>
      <c r="F1374" t="s">
        <v>2787</v>
      </c>
      <c r="G1374" t="s">
        <v>326</v>
      </c>
    </row>
    <row r="1375" spans="1:7" hidden="1" x14ac:dyDescent="0.3">
      <c r="A1375" t="s">
        <v>192</v>
      </c>
      <c r="B1375" t="s">
        <v>539</v>
      </c>
      <c r="C1375" t="s">
        <v>1575</v>
      </c>
      <c r="D1375">
        <f t="shared" si="21"/>
        <v>0</v>
      </c>
      <c r="E1375" t="s">
        <v>19</v>
      </c>
      <c r="F1375" t="s">
        <v>2791</v>
      </c>
      <c r="G1375" t="s">
        <v>326</v>
      </c>
    </row>
    <row r="1376" spans="1:7" hidden="1" x14ac:dyDescent="0.3">
      <c r="A1376" t="s">
        <v>192</v>
      </c>
      <c r="B1376" t="s">
        <v>540</v>
      </c>
      <c r="C1376" t="s">
        <v>1575</v>
      </c>
      <c r="D1376">
        <f t="shared" si="21"/>
        <v>0</v>
      </c>
      <c r="E1376" t="s">
        <v>19</v>
      </c>
      <c r="F1376" t="s">
        <v>2804</v>
      </c>
      <c r="G1376" t="s">
        <v>326</v>
      </c>
    </row>
    <row r="1377" spans="1:7" hidden="1" x14ac:dyDescent="0.3">
      <c r="A1377" t="s">
        <v>193</v>
      </c>
      <c r="B1377" t="s">
        <v>703</v>
      </c>
      <c r="C1377" t="s">
        <v>1285</v>
      </c>
      <c r="D1377">
        <f t="shared" si="21"/>
        <v>0</v>
      </c>
      <c r="E1377" t="s">
        <v>19</v>
      </c>
      <c r="F1377" t="s">
        <v>1738</v>
      </c>
      <c r="G1377" t="s">
        <v>326</v>
      </c>
    </row>
    <row r="1378" spans="1:7" hidden="1" x14ac:dyDescent="0.3">
      <c r="A1378" t="s">
        <v>193</v>
      </c>
      <c r="B1378" t="s">
        <v>768</v>
      </c>
      <c r="C1378" t="s">
        <v>1321</v>
      </c>
      <c r="D1378">
        <f t="shared" si="21"/>
        <v>0</v>
      </c>
      <c r="E1378" t="s">
        <v>19</v>
      </c>
      <c r="F1378" t="s">
        <v>1838</v>
      </c>
      <c r="G1378" t="s">
        <v>326</v>
      </c>
    </row>
    <row r="1379" spans="1:7" hidden="1" x14ac:dyDescent="0.3">
      <c r="A1379" t="s">
        <v>193</v>
      </c>
      <c r="B1379" t="s">
        <v>865</v>
      </c>
      <c r="C1379" t="s">
        <v>1365</v>
      </c>
      <c r="D1379">
        <f t="shared" si="21"/>
        <v>0</v>
      </c>
      <c r="E1379" t="s">
        <v>19</v>
      </c>
      <c r="F1379" t="s">
        <v>2045</v>
      </c>
      <c r="G1379" t="s">
        <v>326</v>
      </c>
    </row>
    <row r="1380" spans="1:7" hidden="1" x14ac:dyDescent="0.3">
      <c r="A1380" t="s">
        <v>193</v>
      </c>
      <c r="B1380" t="s">
        <v>867</v>
      </c>
      <c r="C1380" t="s">
        <v>1365</v>
      </c>
      <c r="D1380">
        <f t="shared" si="21"/>
        <v>0</v>
      </c>
      <c r="E1380" t="s">
        <v>19</v>
      </c>
      <c r="F1380" t="s">
        <v>2050</v>
      </c>
      <c r="G1380" t="s">
        <v>326</v>
      </c>
    </row>
    <row r="1381" spans="1:7" hidden="1" x14ac:dyDescent="0.3">
      <c r="A1381" t="s">
        <v>193</v>
      </c>
      <c r="B1381" t="s">
        <v>884</v>
      </c>
      <c r="C1381" t="s">
        <v>1368</v>
      </c>
      <c r="D1381">
        <f t="shared" si="21"/>
        <v>0</v>
      </c>
      <c r="E1381" t="s">
        <v>19</v>
      </c>
      <c r="F1381" t="s">
        <v>2080</v>
      </c>
      <c r="G1381" t="s">
        <v>326</v>
      </c>
    </row>
    <row r="1382" spans="1:7" hidden="1" x14ac:dyDescent="0.3">
      <c r="A1382" t="s">
        <v>193</v>
      </c>
      <c r="B1382" t="s">
        <v>768</v>
      </c>
      <c r="C1382" t="s">
        <v>1449</v>
      </c>
      <c r="D1382">
        <f t="shared" si="21"/>
        <v>0</v>
      </c>
      <c r="E1382" t="s">
        <v>19</v>
      </c>
      <c r="F1382" t="s">
        <v>2329</v>
      </c>
      <c r="G1382" t="s">
        <v>326</v>
      </c>
    </row>
    <row r="1383" spans="1:7" hidden="1" x14ac:dyDescent="0.3">
      <c r="A1383" t="s">
        <v>193</v>
      </c>
      <c r="B1383" t="s">
        <v>1013</v>
      </c>
      <c r="C1383" t="s">
        <v>1449</v>
      </c>
      <c r="D1383">
        <f t="shared" si="21"/>
        <v>0</v>
      </c>
      <c r="E1383" t="s">
        <v>19</v>
      </c>
      <c r="F1383" t="s">
        <v>2330</v>
      </c>
      <c r="G1383" t="s">
        <v>326</v>
      </c>
    </row>
    <row r="1384" spans="1:7" hidden="1" x14ac:dyDescent="0.3">
      <c r="A1384" t="s">
        <v>193</v>
      </c>
      <c r="B1384" t="s">
        <v>703</v>
      </c>
      <c r="C1384" t="s">
        <v>1485</v>
      </c>
      <c r="D1384">
        <f t="shared" si="21"/>
        <v>0</v>
      </c>
      <c r="E1384" t="s">
        <v>19</v>
      </c>
      <c r="F1384" t="s">
        <v>2407</v>
      </c>
      <c r="G1384" t="s">
        <v>326</v>
      </c>
    </row>
    <row r="1385" spans="1:7" hidden="1" x14ac:dyDescent="0.3">
      <c r="A1385" t="s">
        <v>193</v>
      </c>
      <c r="B1385" t="s">
        <v>703</v>
      </c>
      <c r="C1385" t="s">
        <v>1518</v>
      </c>
      <c r="D1385">
        <f t="shared" si="21"/>
        <v>0</v>
      </c>
      <c r="E1385" t="s">
        <v>19</v>
      </c>
      <c r="F1385" t="s">
        <v>2549</v>
      </c>
      <c r="G1385" t="s">
        <v>326</v>
      </c>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9"/>
  <sheetViews>
    <sheetView workbookViewId="0">
      <selection activeCell="Q23" sqref="Q23"/>
    </sheetView>
  </sheetViews>
  <sheetFormatPr defaultRowHeight="14.4" x14ac:dyDescent="0.3"/>
  <cols>
    <col min="1" max="1" width="14.5546875" bestFit="1" customWidth="1"/>
    <col min="2" max="2" width="22.6640625" bestFit="1" customWidth="1"/>
    <col min="4" max="4" width="14.44140625" customWidth="1"/>
    <col min="5" max="5" width="14.77734375" style="82" customWidth="1"/>
    <col min="6" max="6" width="20" bestFit="1" customWidth="1"/>
    <col min="7" max="9" width="22.77734375" customWidth="1"/>
    <col min="10" max="10" width="14.5546875" customWidth="1"/>
    <col min="11" max="11" width="11" customWidth="1"/>
    <col min="12" max="12" width="11.21875" customWidth="1"/>
  </cols>
  <sheetData>
    <row r="1" spans="1:76" s="126" customFormat="1" ht="28.8" x14ac:dyDescent="0.3">
      <c r="A1" s="124" t="s">
        <v>145</v>
      </c>
      <c r="B1" s="124" t="s">
        <v>440</v>
      </c>
      <c r="C1" s="124" t="s">
        <v>438</v>
      </c>
      <c r="D1" s="124" t="s">
        <v>439</v>
      </c>
      <c r="E1" s="125" t="s">
        <v>321</v>
      </c>
      <c r="F1" s="110" t="s">
        <v>25</v>
      </c>
      <c r="G1" s="110" t="s">
        <v>35</v>
      </c>
      <c r="H1" s="110" t="s">
        <v>31</v>
      </c>
      <c r="I1" s="100" t="s">
        <v>24</v>
      </c>
      <c r="J1" s="100" t="s">
        <v>36</v>
      </c>
      <c r="K1" s="100" t="s">
        <v>44</v>
      </c>
      <c r="L1" s="100" t="s">
        <v>196</v>
      </c>
      <c r="M1" s="100" t="s">
        <v>45</v>
      </c>
    </row>
    <row r="2" spans="1:76" hidden="1" x14ac:dyDescent="0.3">
      <c r="A2" t="s">
        <v>146</v>
      </c>
      <c r="B2" t="s">
        <v>441</v>
      </c>
      <c r="C2" t="s">
        <v>328</v>
      </c>
      <c r="D2" t="s">
        <v>3120</v>
      </c>
      <c r="E2" s="82">
        <f t="shared" ref="E2:E32" si="0">SIGN(SUBTOTAL(3,F2))</f>
        <v>0</v>
      </c>
      <c r="F2" t="s">
        <v>18</v>
      </c>
      <c r="G2" t="s">
        <v>541</v>
      </c>
      <c r="H2" t="s">
        <v>325</v>
      </c>
      <c r="I2">
        <v>20000000</v>
      </c>
      <c r="J2" t="s">
        <v>42</v>
      </c>
      <c r="AC2" t="s">
        <v>3125</v>
      </c>
      <c r="AF2" t="s">
        <v>3124</v>
      </c>
      <c r="BX2" t="s">
        <v>3123</v>
      </c>
    </row>
    <row r="3" spans="1:76" hidden="1" x14ac:dyDescent="0.3">
      <c r="A3" t="s">
        <v>146</v>
      </c>
      <c r="B3" t="s">
        <v>442</v>
      </c>
      <c r="C3" t="s">
        <v>329</v>
      </c>
      <c r="D3" t="s">
        <v>3120</v>
      </c>
      <c r="E3" s="82">
        <f t="shared" si="0"/>
        <v>0</v>
      </c>
      <c r="F3" t="s">
        <v>18</v>
      </c>
      <c r="G3" t="s">
        <v>542</v>
      </c>
      <c r="H3" t="s">
        <v>325</v>
      </c>
      <c r="I3">
        <v>16000000</v>
      </c>
      <c r="J3" t="s">
        <v>42</v>
      </c>
    </row>
    <row r="4" spans="1:76" hidden="1" x14ac:dyDescent="0.3">
      <c r="A4" t="s">
        <v>3200</v>
      </c>
      <c r="B4" t="s">
        <v>3191</v>
      </c>
      <c r="C4" t="s">
        <v>3203</v>
      </c>
      <c r="D4" t="s">
        <v>3121</v>
      </c>
      <c r="E4" s="82">
        <f t="shared" si="0"/>
        <v>0</v>
      </c>
      <c r="F4" t="s">
        <v>18</v>
      </c>
      <c r="G4" t="s">
        <v>3211</v>
      </c>
      <c r="H4" t="s">
        <v>325</v>
      </c>
      <c r="I4">
        <v>847000000</v>
      </c>
      <c r="J4" t="s">
        <v>42</v>
      </c>
    </row>
    <row r="5" spans="1:76" hidden="1" x14ac:dyDescent="0.3">
      <c r="A5" t="s">
        <v>3200</v>
      </c>
      <c r="B5" t="s">
        <v>3192</v>
      </c>
      <c r="C5" t="s">
        <v>3204</v>
      </c>
      <c r="D5" t="s">
        <v>3128</v>
      </c>
      <c r="E5" s="82">
        <f t="shared" si="0"/>
        <v>0</v>
      </c>
      <c r="F5" t="s">
        <v>18</v>
      </c>
      <c r="G5" t="s">
        <v>3212</v>
      </c>
      <c r="H5" t="s">
        <v>325</v>
      </c>
      <c r="I5">
        <v>4000000</v>
      </c>
      <c r="J5" t="s">
        <v>42</v>
      </c>
    </row>
    <row r="6" spans="1:76" hidden="1" x14ac:dyDescent="0.3">
      <c r="A6" t="s">
        <v>147</v>
      </c>
      <c r="B6" t="s">
        <v>443</v>
      </c>
      <c r="C6" t="s">
        <v>330</v>
      </c>
      <c r="D6" t="s">
        <v>3122</v>
      </c>
      <c r="E6" s="82">
        <f t="shared" si="0"/>
        <v>0</v>
      </c>
      <c r="F6" t="s">
        <v>18</v>
      </c>
      <c r="G6" t="s">
        <v>543</v>
      </c>
      <c r="H6" t="s">
        <v>325</v>
      </c>
      <c r="I6">
        <v>462000000</v>
      </c>
      <c r="J6" t="s">
        <v>42</v>
      </c>
    </row>
    <row r="7" spans="1:76" hidden="1" x14ac:dyDescent="0.3">
      <c r="A7" t="s">
        <v>147</v>
      </c>
      <c r="B7" t="s">
        <v>444</v>
      </c>
      <c r="C7" t="s">
        <v>331</v>
      </c>
      <c r="D7" t="s">
        <v>3120</v>
      </c>
      <c r="E7" s="82">
        <f t="shared" si="0"/>
        <v>0</v>
      </c>
      <c r="F7" t="s">
        <v>18</v>
      </c>
      <c r="G7" t="s">
        <v>544</v>
      </c>
      <c r="H7" t="s">
        <v>325</v>
      </c>
      <c r="I7">
        <v>26000000</v>
      </c>
      <c r="J7" t="s">
        <v>42</v>
      </c>
    </row>
    <row r="8" spans="1:76" hidden="1" x14ac:dyDescent="0.3">
      <c r="A8" t="s">
        <v>148</v>
      </c>
      <c r="B8" t="s">
        <v>3193</v>
      </c>
      <c r="C8" t="s">
        <v>332</v>
      </c>
      <c r="D8" t="s">
        <v>3120</v>
      </c>
      <c r="E8" s="82">
        <f t="shared" si="0"/>
        <v>0</v>
      </c>
      <c r="F8" t="s">
        <v>18</v>
      </c>
      <c r="G8" t="s">
        <v>545</v>
      </c>
      <c r="H8" t="s">
        <v>325</v>
      </c>
      <c r="I8">
        <v>16000000</v>
      </c>
      <c r="J8" t="s">
        <v>42</v>
      </c>
    </row>
    <row r="9" spans="1:76" hidden="1" x14ac:dyDescent="0.3">
      <c r="A9" t="s">
        <v>149</v>
      </c>
      <c r="B9" t="s">
        <v>445</v>
      </c>
      <c r="C9" t="s">
        <v>333</v>
      </c>
      <c r="D9" t="s">
        <v>3121</v>
      </c>
      <c r="E9" s="82">
        <f t="shared" si="0"/>
        <v>0</v>
      </c>
      <c r="F9" t="s">
        <v>18</v>
      </c>
      <c r="G9" t="s">
        <v>546</v>
      </c>
      <c r="H9" t="s">
        <v>325</v>
      </c>
      <c r="I9">
        <v>53000000</v>
      </c>
      <c r="J9" t="s">
        <v>42</v>
      </c>
    </row>
    <row r="10" spans="1:76" hidden="1" x14ac:dyDescent="0.3">
      <c r="A10" t="s">
        <v>149</v>
      </c>
      <c r="B10" t="s">
        <v>446</v>
      </c>
      <c r="C10" t="s">
        <v>334</v>
      </c>
      <c r="D10" t="s">
        <v>3122</v>
      </c>
      <c r="E10" s="82">
        <f t="shared" si="0"/>
        <v>0</v>
      </c>
      <c r="F10" t="s">
        <v>18</v>
      </c>
      <c r="G10" t="s">
        <v>547</v>
      </c>
      <c r="H10" t="s">
        <v>325</v>
      </c>
      <c r="I10">
        <v>1739000000</v>
      </c>
      <c r="J10" t="s">
        <v>42</v>
      </c>
    </row>
    <row r="11" spans="1:76" hidden="1" x14ac:dyDescent="0.3">
      <c r="A11" t="s">
        <v>149</v>
      </c>
      <c r="B11" t="s">
        <v>447</v>
      </c>
      <c r="C11" t="s">
        <v>335</v>
      </c>
      <c r="D11" t="s">
        <v>3120</v>
      </c>
      <c r="E11" s="82">
        <f t="shared" si="0"/>
        <v>0</v>
      </c>
      <c r="F11" t="s">
        <v>18</v>
      </c>
      <c r="G11" t="s">
        <v>548</v>
      </c>
      <c r="H11" t="s">
        <v>325</v>
      </c>
      <c r="I11">
        <v>27000000</v>
      </c>
      <c r="J11" t="s">
        <v>42</v>
      </c>
    </row>
    <row r="12" spans="1:76" hidden="1" x14ac:dyDescent="0.3">
      <c r="A12" t="s">
        <v>149</v>
      </c>
      <c r="B12" t="s">
        <v>448</v>
      </c>
      <c r="C12" t="s">
        <v>336</v>
      </c>
      <c r="D12" t="s">
        <v>3121</v>
      </c>
      <c r="E12" s="82">
        <f t="shared" si="0"/>
        <v>0</v>
      </c>
      <c r="F12" t="s">
        <v>18</v>
      </c>
      <c r="G12" t="s">
        <v>549</v>
      </c>
      <c r="H12" t="s">
        <v>325</v>
      </c>
      <c r="I12">
        <v>97000000</v>
      </c>
      <c r="J12" t="s">
        <v>42</v>
      </c>
    </row>
    <row r="13" spans="1:76" hidden="1" x14ac:dyDescent="0.3">
      <c r="A13" t="s">
        <v>149</v>
      </c>
      <c r="B13" t="s">
        <v>449</v>
      </c>
      <c r="C13" t="s">
        <v>337</v>
      </c>
      <c r="D13" t="s">
        <v>3121</v>
      </c>
      <c r="E13" s="82">
        <f t="shared" si="0"/>
        <v>0</v>
      </c>
      <c r="F13" t="s">
        <v>18</v>
      </c>
      <c r="G13" t="s">
        <v>550</v>
      </c>
      <c r="H13" t="s">
        <v>325</v>
      </c>
      <c r="I13">
        <v>132000000</v>
      </c>
      <c r="J13" t="s">
        <v>42</v>
      </c>
    </row>
    <row r="14" spans="1:76" hidden="1" x14ac:dyDescent="0.3">
      <c r="A14" t="s">
        <v>149</v>
      </c>
      <c r="B14" t="s">
        <v>450</v>
      </c>
      <c r="C14" t="s">
        <v>338</v>
      </c>
      <c r="D14" t="s">
        <v>3120</v>
      </c>
      <c r="E14" s="82">
        <f t="shared" si="0"/>
        <v>0</v>
      </c>
      <c r="F14" t="s">
        <v>18</v>
      </c>
      <c r="G14" t="s">
        <v>551</v>
      </c>
      <c r="H14" t="s">
        <v>325</v>
      </c>
      <c r="I14">
        <v>26000000</v>
      </c>
      <c r="J14" t="s">
        <v>42</v>
      </c>
    </row>
    <row r="15" spans="1:76" hidden="1" x14ac:dyDescent="0.3">
      <c r="A15" t="s">
        <v>149</v>
      </c>
      <c r="B15" t="s">
        <v>451</v>
      </c>
      <c r="C15" t="s">
        <v>339</v>
      </c>
      <c r="D15" t="s">
        <v>3122</v>
      </c>
      <c r="E15" s="82">
        <f t="shared" si="0"/>
        <v>0</v>
      </c>
      <c r="F15" t="s">
        <v>18</v>
      </c>
      <c r="G15" t="s">
        <v>552</v>
      </c>
      <c r="H15" t="s">
        <v>325</v>
      </c>
      <c r="I15">
        <v>216000000</v>
      </c>
      <c r="J15" t="s">
        <v>42</v>
      </c>
    </row>
    <row r="16" spans="1:76" hidden="1" x14ac:dyDescent="0.3">
      <c r="A16" t="s">
        <v>149</v>
      </c>
      <c r="B16" t="s">
        <v>452</v>
      </c>
      <c r="C16" t="s">
        <v>340</v>
      </c>
      <c r="D16" t="s">
        <v>3120</v>
      </c>
      <c r="E16" s="82">
        <f t="shared" si="0"/>
        <v>0</v>
      </c>
      <c r="F16" t="s">
        <v>18</v>
      </c>
      <c r="G16" t="s">
        <v>553</v>
      </c>
      <c r="H16" t="s">
        <v>325</v>
      </c>
      <c r="I16">
        <v>11000000</v>
      </c>
      <c r="J16" t="s">
        <v>42</v>
      </c>
    </row>
    <row r="17" spans="1:10" hidden="1" x14ac:dyDescent="0.3">
      <c r="A17" t="s">
        <v>149</v>
      </c>
      <c r="B17" t="s">
        <v>453</v>
      </c>
      <c r="C17" t="s">
        <v>341</v>
      </c>
      <c r="D17" t="s">
        <v>3122</v>
      </c>
      <c r="E17" s="82">
        <f t="shared" si="0"/>
        <v>0</v>
      </c>
      <c r="F17" t="s">
        <v>18</v>
      </c>
      <c r="G17" t="s">
        <v>554</v>
      </c>
      <c r="H17" t="s">
        <v>325</v>
      </c>
      <c r="I17">
        <v>1115000000</v>
      </c>
      <c r="J17" t="s">
        <v>42</v>
      </c>
    </row>
    <row r="18" spans="1:10" hidden="1" x14ac:dyDescent="0.3">
      <c r="A18" t="s">
        <v>149</v>
      </c>
      <c r="B18" t="s">
        <v>454</v>
      </c>
      <c r="C18" t="s">
        <v>342</v>
      </c>
      <c r="D18" t="s">
        <v>3121</v>
      </c>
      <c r="E18" s="82">
        <f t="shared" si="0"/>
        <v>0</v>
      </c>
      <c r="F18" t="s">
        <v>18</v>
      </c>
      <c r="G18" t="s">
        <v>555</v>
      </c>
      <c r="H18" t="s">
        <v>325</v>
      </c>
      <c r="I18">
        <v>79000000</v>
      </c>
      <c r="J18" t="s">
        <v>42</v>
      </c>
    </row>
    <row r="19" spans="1:10" hidden="1" x14ac:dyDescent="0.3">
      <c r="A19" t="s">
        <v>149</v>
      </c>
      <c r="B19" t="s">
        <v>455</v>
      </c>
      <c r="C19" t="s">
        <v>343</v>
      </c>
      <c r="D19" t="s">
        <v>3121</v>
      </c>
      <c r="E19" s="82">
        <f t="shared" si="0"/>
        <v>0</v>
      </c>
      <c r="F19" t="s">
        <v>18</v>
      </c>
      <c r="G19" t="s">
        <v>556</v>
      </c>
      <c r="H19" t="s">
        <v>325</v>
      </c>
      <c r="I19">
        <v>99000000</v>
      </c>
      <c r="J19" t="s">
        <v>42</v>
      </c>
    </row>
    <row r="20" spans="1:10" hidden="1" x14ac:dyDescent="0.3">
      <c r="A20" t="s">
        <v>149</v>
      </c>
      <c r="B20" t="s">
        <v>456</v>
      </c>
      <c r="C20" t="s">
        <v>344</v>
      </c>
      <c r="D20" t="s">
        <v>3121</v>
      </c>
      <c r="E20" s="82">
        <f t="shared" si="0"/>
        <v>0</v>
      </c>
      <c r="F20" t="s">
        <v>18</v>
      </c>
      <c r="G20" t="s">
        <v>557</v>
      </c>
      <c r="H20" t="s">
        <v>325</v>
      </c>
      <c r="I20">
        <v>72000000</v>
      </c>
      <c r="J20" t="s">
        <v>42</v>
      </c>
    </row>
    <row r="21" spans="1:10" hidden="1" x14ac:dyDescent="0.3">
      <c r="A21" t="s">
        <v>150</v>
      </c>
      <c r="B21" t="s">
        <v>457</v>
      </c>
      <c r="C21" t="s">
        <v>345</v>
      </c>
      <c r="D21" t="s">
        <v>3120</v>
      </c>
      <c r="E21" s="82">
        <f t="shared" si="0"/>
        <v>0</v>
      </c>
      <c r="F21" t="s">
        <v>18</v>
      </c>
      <c r="G21" t="s">
        <v>558</v>
      </c>
      <c r="H21" t="s">
        <v>325</v>
      </c>
      <c r="I21">
        <v>14000000</v>
      </c>
      <c r="J21" t="s">
        <v>42</v>
      </c>
    </row>
    <row r="22" spans="1:10" hidden="1" x14ac:dyDescent="0.3">
      <c r="A22" t="s">
        <v>150</v>
      </c>
      <c r="B22" t="s">
        <v>458</v>
      </c>
      <c r="C22" t="s">
        <v>346</v>
      </c>
      <c r="D22" t="s">
        <v>3122</v>
      </c>
      <c r="E22" s="82">
        <f t="shared" si="0"/>
        <v>0</v>
      </c>
      <c r="F22" t="s">
        <v>18</v>
      </c>
      <c r="G22" t="s">
        <v>559</v>
      </c>
      <c r="H22" t="s">
        <v>325</v>
      </c>
      <c r="I22">
        <v>556000000</v>
      </c>
      <c r="J22" t="s">
        <v>42</v>
      </c>
    </row>
    <row r="23" spans="1:10" hidden="1" x14ac:dyDescent="0.3">
      <c r="A23" t="s">
        <v>151</v>
      </c>
      <c r="B23" t="s">
        <v>459</v>
      </c>
      <c r="C23" t="s">
        <v>347</v>
      </c>
      <c r="D23" t="s">
        <v>3121</v>
      </c>
      <c r="E23" s="82">
        <f t="shared" si="0"/>
        <v>0</v>
      </c>
      <c r="F23" t="s">
        <v>18</v>
      </c>
      <c r="G23" t="s">
        <v>560</v>
      </c>
      <c r="H23" t="s">
        <v>325</v>
      </c>
      <c r="I23">
        <v>56000000</v>
      </c>
      <c r="J23" t="s">
        <v>42</v>
      </c>
    </row>
    <row r="24" spans="1:10" hidden="1" x14ac:dyDescent="0.3">
      <c r="A24" t="s">
        <v>151</v>
      </c>
      <c r="B24" t="s">
        <v>460</v>
      </c>
      <c r="C24" t="s">
        <v>348</v>
      </c>
      <c r="D24" t="s">
        <v>3120</v>
      </c>
      <c r="E24" s="82">
        <f t="shared" si="0"/>
        <v>0</v>
      </c>
      <c r="F24" t="s">
        <v>18</v>
      </c>
      <c r="G24" t="s">
        <v>561</v>
      </c>
      <c r="H24" t="s">
        <v>325</v>
      </c>
      <c r="I24">
        <v>9000000</v>
      </c>
      <c r="J24" t="s">
        <v>42</v>
      </c>
    </row>
    <row r="25" spans="1:10" hidden="1" x14ac:dyDescent="0.3">
      <c r="A25" t="s">
        <v>153</v>
      </c>
      <c r="B25" t="s">
        <v>461</v>
      </c>
      <c r="C25" t="s">
        <v>349</v>
      </c>
      <c r="D25" t="s">
        <v>3120</v>
      </c>
      <c r="E25" s="82">
        <f t="shared" si="0"/>
        <v>0</v>
      </c>
      <c r="F25" t="s">
        <v>18</v>
      </c>
      <c r="G25" t="s">
        <v>562</v>
      </c>
      <c r="H25" t="s">
        <v>325</v>
      </c>
      <c r="I25">
        <v>11000000</v>
      </c>
      <c r="J25" t="s">
        <v>42</v>
      </c>
    </row>
    <row r="26" spans="1:10" hidden="1" x14ac:dyDescent="0.3">
      <c r="A26" t="s">
        <v>153</v>
      </c>
      <c r="B26" t="s">
        <v>462</v>
      </c>
      <c r="C26" t="s">
        <v>350</v>
      </c>
      <c r="D26" t="s">
        <v>3122</v>
      </c>
      <c r="E26" s="82">
        <f t="shared" si="0"/>
        <v>0</v>
      </c>
      <c r="F26" t="s">
        <v>18</v>
      </c>
      <c r="G26" t="s">
        <v>563</v>
      </c>
      <c r="H26" t="s">
        <v>325</v>
      </c>
      <c r="I26">
        <v>291000000</v>
      </c>
      <c r="J26" t="s">
        <v>42</v>
      </c>
    </row>
    <row r="27" spans="1:10" hidden="1" x14ac:dyDescent="0.3">
      <c r="A27" t="s">
        <v>153</v>
      </c>
      <c r="B27" t="s">
        <v>463</v>
      </c>
      <c r="C27" t="s">
        <v>351</v>
      </c>
      <c r="D27" t="s">
        <v>3121</v>
      </c>
      <c r="E27" s="82">
        <f t="shared" si="0"/>
        <v>0</v>
      </c>
      <c r="F27" t="s">
        <v>18</v>
      </c>
      <c r="G27" t="s">
        <v>564</v>
      </c>
      <c r="H27" t="s">
        <v>325</v>
      </c>
      <c r="I27">
        <v>44000000</v>
      </c>
      <c r="J27" t="s">
        <v>42</v>
      </c>
    </row>
    <row r="28" spans="1:10" hidden="1" x14ac:dyDescent="0.3">
      <c r="A28" t="s">
        <v>153</v>
      </c>
      <c r="B28" t="s">
        <v>464</v>
      </c>
      <c r="C28" t="s">
        <v>352</v>
      </c>
      <c r="D28" t="s">
        <v>3122</v>
      </c>
      <c r="E28" s="82">
        <f t="shared" si="0"/>
        <v>0</v>
      </c>
      <c r="F28" t="s">
        <v>18</v>
      </c>
      <c r="G28" t="s">
        <v>565</v>
      </c>
      <c r="H28" t="s">
        <v>325</v>
      </c>
      <c r="I28">
        <v>462000000</v>
      </c>
      <c r="J28" t="s">
        <v>42</v>
      </c>
    </row>
    <row r="29" spans="1:10" hidden="1" x14ac:dyDescent="0.3">
      <c r="A29" t="s">
        <v>153</v>
      </c>
      <c r="B29" t="s">
        <v>465</v>
      </c>
      <c r="C29" t="s">
        <v>353</v>
      </c>
      <c r="D29" t="s">
        <v>3122</v>
      </c>
      <c r="E29" s="82">
        <f t="shared" si="0"/>
        <v>0</v>
      </c>
      <c r="F29" t="s">
        <v>18</v>
      </c>
      <c r="G29" t="s">
        <v>566</v>
      </c>
      <c r="H29" t="s">
        <v>325</v>
      </c>
      <c r="I29">
        <v>1006000000</v>
      </c>
      <c r="J29" t="s">
        <v>42</v>
      </c>
    </row>
    <row r="30" spans="1:10" hidden="1" x14ac:dyDescent="0.3">
      <c r="A30" t="s">
        <v>153</v>
      </c>
      <c r="B30" t="s">
        <v>466</v>
      </c>
      <c r="C30" t="s">
        <v>354</v>
      </c>
      <c r="D30" t="s">
        <v>3128</v>
      </c>
      <c r="E30" s="82">
        <f t="shared" si="0"/>
        <v>0</v>
      </c>
      <c r="F30" t="s">
        <v>18</v>
      </c>
      <c r="G30" t="s">
        <v>567</v>
      </c>
      <c r="H30" t="s">
        <v>325</v>
      </c>
      <c r="I30">
        <v>7000000</v>
      </c>
      <c r="J30" t="s">
        <v>42</v>
      </c>
    </row>
    <row r="31" spans="1:10" hidden="1" x14ac:dyDescent="0.3">
      <c r="A31" t="s">
        <v>153</v>
      </c>
      <c r="B31" t="s">
        <v>467</v>
      </c>
      <c r="C31" t="s">
        <v>355</v>
      </c>
      <c r="D31" t="s">
        <v>3121</v>
      </c>
      <c r="E31" s="82">
        <f t="shared" si="0"/>
        <v>0</v>
      </c>
      <c r="F31" t="s">
        <v>18</v>
      </c>
      <c r="G31" t="s">
        <v>568</v>
      </c>
      <c r="H31" t="s">
        <v>325</v>
      </c>
      <c r="I31">
        <v>68000000</v>
      </c>
      <c r="J31" t="s">
        <v>42</v>
      </c>
    </row>
    <row r="32" spans="1:10" hidden="1" x14ac:dyDescent="0.3">
      <c r="A32" t="s">
        <v>153</v>
      </c>
      <c r="B32" t="s">
        <v>468</v>
      </c>
      <c r="C32" t="s">
        <v>356</v>
      </c>
      <c r="D32" t="s">
        <v>3120</v>
      </c>
      <c r="E32" s="82">
        <f t="shared" si="0"/>
        <v>0</v>
      </c>
      <c r="F32" t="s">
        <v>18</v>
      </c>
      <c r="G32" t="s">
        <v>569</v>
      </c>
      <c r="H32" t="s">
        <v>325</v>
      </c>
      <c r="I32">
        <v>14000000</v>
      </c>
      <c r="J32" t="s">
        <v>42</v>
      </c>
    </row>
    <row r="33" spans="1:10" hidden="1" x14ac:dyDescent="0.3">
      <c r="A33" t="s">
        <v>153</v>
      </c>
      <c r="B33" t="s">
        <v>469</v>
      </c>
      <c r="C33" t="s">
        <v>357</v>
      </c>
      <c r="D33" t="s">
        <v>3120</v>
      </c>
      <c r="E33" s="82">
        <f t="shared" ref="E33:E64" si="1">SIGN(SUBTOTAL(3,F33))</f>
        <v>0</v>
      </c>
      <c r="F33" t="s">
        <v>18</v>
      </c>
      <c r="G33" t="s">
        <v>570</v>
      </c>
      <c r="H33" t="s">
        <v>325</v>
      </c>
      <c r="I33">
        <v>16000000</v>
      </c>
      <c r="J33" t="s">
        <v>42</v>
      </c>
    </row>
    <row r="34" spans="1:10" hidden="1" x14ac:dyDescent="0.3">
      <c r="A34" t="s">
        <v>153</v>
      </c>
      <c r="B34" t="s">
        <v>470</v>
      </c>
      <c r="C34" t="s">
        <v>358</v>
      </c>
      <c r="D34" t="s">
        <v>3120</v>
      </c>
      <c r="E34" s="82">
        <f t="shared" si="1"/>
        <v>0</v>
      </c>
      <c r="F34" t="s">
        <v>18</v>
      </c>
      <c r="G34" t="s">
        <v>571</v>
      </c>
      <c r="H34" t="s">
        <v>325</v>
      </c>
      <c r="I34">
        <v>11000000</v>
      </c>
      <c r="J34" t="s">
        <v>42</v>
      </c>
    </row>
    <row r="35" spans="1:10" hidden="1" x14ac:dyDescent="0.3">
      <c r="A35" t="s">
        <v>153</v>
      </c>
      <c r="B35" t="s">
        <v>471</v>
      </c>
      <c r="C35" t="s">
        <v>359</v>
      </c>
      <c r="D35" t="s">
        <v>3121</v>
      </c>
      <c r="E35" s="82">
        <f t="shared" si="1"/>
        <v>0</v>
      </c>
      <c r="F35" t="s">
        <v>18</v>
      </c>
      <c r="G35" t="s">
        <v>572</v>
      </c>
      <c r="H35" t="s">
        <v>325</v>
      </c>
      <c r="I35">
        <v>80000000</v>
      </c>
      <c r="J35" t="s">
        <v>42</v>
      </c>
    </row>
    <row r="36" spans="1:10" hidden="1" x14ac:dyDescent="0.3">
      <c r="A36" t="s">
        <v>153</v>
      </c>
      <c r="B36" t="s">
        <v>464</v>
      </c>
      <c r="C36" t="s">
        <v>360</v>
      </c>
      <c r="D36" t="s">
        <v>3120</v>
      </c>
      <c r="E36" s="82">
        <f t="shared" si="1"/>
        <v>0</v>
      </c>
      <c r="F36" t="s">
        <v>18</v>
      </c>
      <c r="G36" t="s">
        <v>573</v>
      </c>
      <c r="H36" t="s">
        <v>325</v>
      </c>
      <c r="I36">
        <v>18000000</v>
      </c>
      <c r="J36" t="s">
        <v>42</v>
      </c>
    </row>
    <row r="37" spans="1:10" hidden="1" x14ac:dyDescent="0.3">
      <c r="A37" t="s">
        <v>153</v>
      </c>
      <c r="B37" t="s">
        <v>472</v>
      </c>
      <c r="C37" t="s">
        <v>361</v>
      </c>
      <c r="D37" t="s">
        <v>3120</v>
      </c>
      <c r="E37" s="82">
        <f t="shared" si="1"/>
        <v>0</v>
      </c>
      <c r="F37" t="s">
        <v>18</v>
      </c>
      <c r="G37" t="s">
        <v>574</v>
      </c>
      <c r="H37" t="s">
        <v>325</v>
      </c>
      <c r="I37">
        <v>25000000</v>
      </c>
      <c r="J37" t="s">
        <v>42</v>
      </c>
    </row>
    <row r="38" spans="1:10" hidden="1" x14ac:dyDescent="0.3">
      <c r="A38" t="s">
        <v>153</v>
      </c>
      <c r="B38" t="s">
        <v>473</v>
      </c>
      <c r="C38" t="s">
        <v>362</v>
      </c>
      <c r="D38" t="s">
        <v>3128</v>
      </c>
      <c r="E38" s="82">
        <f t="shared" si="1"/>
        <v>0</v>
      </c>
      <c r="F38" t="s">
        <v>18</v>
      </c>
      <c r="G38" t="s">
        <v>575</v>
      </c>
      <c r="H38" t="s">
        <v>325</v>
      </c>
      <c r="I38">
        <v>1000000</v>
      </c>
      <c r="J38" t="s">
        <v>42</v>
      </c>
    </row>
    <row r="39" spans="1:10" hidden="1" x14ac:dyDescent="0.3">
      <c r="A39" t="s">
        <v>153</v>
      </c>
      <c r="B39" t="s">
        <v>474</v>
      </c>
      <c r="C39" t="s">
        <v>363</v>
      </c>
      <c r="D39" t="s">
        <v>3122</v>
      </c>
      <c r="E39" s="82">
        <f t="shared" si="1"/>
        <v>0</v>
      </c>
      <c r="F39" t="s">
        <v>18</v>
      </c>
      <c r="G39" t="s">
        <v>576</v>
      </c>
      <c r="H39" t="s">
        <v>325</v>
      </c>
      <c r="I39">
        <v>180000000</v>
      </c>
      <c r="J39" t="s">
        <v>42</v>
      </c>
    </row>
    <row r="40" spans="1:10" hidden="1" x14ac:dyDescent="0.3">
      <c r="A40" t="s">
        <v>153</v>
      </c>
      <c r="B40" t="s">
        <v>475</v>
      </c>
      <c r="C40" t="s">
        <v>364</v>
      </c>
      <c r="D40" t="s">
        <v>3120</v>
      </c>
      <c r="E40" s="82">
        <f t="shared" si="1"/>
        <v>0</v>
      </c>
      <c r="F40" t="s">
        <v>18</v>
      </c>
      <c r="G40" t="s">
        <v>577</v>
      </c>
      <c r="H40" t="s">
        <v>325</v>
      </c>
      <c r="I40">
        <v>10000000</v>
      </c>
      <c r="J40" t="s">
        <v>42</v>
      </c>
    </row>
    <row r="41" spans="1:10" hidden="1" x14ac:dyDescent="0.3">
      <c r="A41" t="s">
        <v>154</v>
      </c>
      <c r="B41" t="s">
        <v>476</v>
      </c>
      <c r="C41" t="s">
        <v>365</v>
      </c>
      <c r="D41" t="s">
        <v>3122</v>
      </c>
      <c r="E41" s="82">
        <f t="shared" si="1"/>
        <v>0</v>
      </c>
      <c r="F41" t="s">
        <v>18</v>
      </c>
      <c r="G41" t="s">
        <v>578</v>
      </c>
      <c r="H41" t="s">
        <v>325</v>
      </c>
      <c r="I41">
        <v>1013000000</v>
      </c>
      <c r="J41" t="s">
        <v>42</v>
      </c>
    </row>
    <row r="42" spans="1:10" hidden="1" x14ac:dyDescent="0.3">
      <c r="A42" t="s">
        <v>154</v>
      </c>
      <c r="B42" t="s">
        <v>477</v>
      </c>
      <c r="C42" t="s">
        <v>366</v>
      </c>
      <c r="D42" t="s">
        <v>3120</v>
      </c>
      <c r="E42" s="82">
        <f t="shared" si="1"/>
        <v>0</v>
      </c>
      <c r="F42" t="s">
        <v>18</v>
      </c>
      <c r="G42" t="s">
        <v>579</v>
      </c>
      <c r="H42" t="s">
        <v>325</v>
      </c>
      <c r="I42">
        <v>32000000</v>
      </c>
      <c r="J42" t="s">
        <v>42</v>
      </c>
    </row>
    <row r="43" spans="1:10" hidden="1" x14ac:dyDescent="0.3">
      <c r="A43" t="s">
        <v>3201</v>
      </c>
      <c r="B43" t="s">
        <v>3194</v>
      </c>
      <c r="C43" t="s">
        <v>3205</v>
      </c>
      <c r="D43" t="s">
        <v>3122</v>
      </c>
      <c r="E43" s="82">
        <f t="shared" si="1"/>
        <v>0</v>
      </c>
      <c r="F43" t="s">
        <v>18</v>
      </c>
      <c r="G43" t="s">
        <v>3213</v>
      </c>
      <c r="H43" t="s">
        <v>325</v>
      </c>
      <c r="I43">
        <v>508000000</v>
      </c>
      <c r="J43" t="s">
        <v>42</v>
      </c>
    </row>
    <row r="44" spans="1:10" hidden="1" x14ac:dyDescent="0.3">
      <c r="A44" t="s">
        <v>3201</v>
      </c>
      <c r="B44" t="s">
        <v>3195</v>
      </c>
      <c r="C44" t="s">
        <v>3206</v>
      </c>
      <c r="D44" t="s">
        <v>3120</v>
      </c>
      <c r="E44" s="82">
        <f t="shared" si="1"/>
        <v>0</v>
      </c>
      <c r="F44" t="s">
        <v>18</v>
      </c>
      <c r="G44" t="s">
        <v>3214</v>
      </c>
      <c r="H44" t="s">
        <v>325</v>
      </c>
      <c r="I44">
        <v>3000000</v>
      </c>
      <c r="J44" t="s">
        <v>42</v>
      </c>
    </row>
    <row r="45" spans="1:10" hidden="1" x14ac:dyDescent="0.3">
      <c r="A45" t="s">
        <v>3201</v>
      </c>
      <c r="B45" t="s">
        <v>3196</v>
      </c>
      <c r="C45" t="s">
        <v>3207</v>
      </c>
      <c r="D45" t="s">
        <v>3120</v>
      </c>
      <c r="E45" s="82">
        <f t="shared" si="1"/>
        <v>0</v>
      </c>
      <c r="F45" t="s">
        <v>18</v>
      </c>
      <c r="G45" t="s">
        <v>3215</v>
      </c>
      <c r="H45" t="s">
        <v>325</v>
      </c>
      <c r="I45">
        <v>43000000</v>
      </c>
      <c r="J45" t="s">
        <v>42</v>
      </c>
    </row>
    <row r="46" spans="1:10" hidden="1" x14ac:dyDescent="0.3">
      <c r="A46" t="s">
        <v>3201</v>
      </c>
      <c r="B46" t="s">
        <v>3197</v>
      </c>
      <c r="C46" t="s">
        <v>3208</v>
      </c>
      <c r="D46" t="s">
        <v>3120</v>
      </c>
      <c r="E46" s="82">
        <f t="shared" si="1"/>
        <v>0</v>
      </c>
      <c r="F46" t="s">
        <v>18</v>
      </c>
      <c r="G46" t="s">
        <v>3216</v>
      </c>
      <c r="H46" t="s">
        <v>325</v>
      </c>
      <c r="I46">
        <v>30000000</v>
      </c>
      <c r="J46" t="s">
        <v>42</v>
      </c>
    </row>
    <row r="47" spans="1:10" hidden="1" x14ac:dyDescent="0.3">
      <c r="A47" t="s">
        <v>3201</v>
      </c>
      <c r="B47" t="s">
        <v>3198</v>
      </c>
      <c r="C47" t="s">
        <v>3209</v>
      </c>
      <c r="D47" t="s">
        <v>3121</v>
      </c>
      <c r="E47" s="82">
        <f t="shared" si="1"/>
        <v>0</v>
      </c>
      <c r="F47" t="s">
        <v>18</v>
      </c>
      <c r="G47" t="s">
        <v>3217</v>
      </c>
      <c r="H47" t="s">
        <v>325</v>
      </c>
      <c r="I47">
        <v>67000000</v>
      </c>
      <c r="J47" t="s">
        <v>42</v>
      </c>
    </row>
    <row r="48" spans="1:10" hidden="1" x14ac:dyDescent="0.3">
      <c r="A48" t="s">
        <v>156</v>
      </c>
      <c r="B48" t="s">
        <v>478</v>
      </c>
      <c r="C48" t="s">
        <v>367</v>
      </c>
      <c r="D48" t="s">
        <v>3122</v>
      </c>
      <c r="E48" s="82">
        <f t="shared" si="1"/>
        <v>0</v>
      </c>
      <c r="F48" t="s">
        <v>18</v>
      </c>
      <c r="G48" t="s">
        <v>580</v>
      </c>
      <c r="H48" t="s">
        <v>325</v>
      </c>
      <c r="I48">
        <v>140000000</v>
      </c>
      <c r="J48" t="s">
        <v>42</v>
      </c>
    </row>
    <row r="49" spans="1:10" hidden="1" x14ac:dyDescent="0.3">
      <c r="A49" t="s">
        <v>156</v>
      </c>
      <c r="B49" t="s">
        <v>478</v>
      </c>
      <c r="C49" t="s">
        <v>368</v>
      </c>
      <c r="D49" t="s">
        <v>3122</v>
      </c>
      <c r="E49" s="82">
        <f t="shared" si="1"/>
        <v>0</v>
      </c>
      <c r="F49" t="s">
        <v>18</v>
      </c>
      <c r="G49" t="s">
        <v>581</v>
      </c>
      <c r="H49" t="s">
        <v>325</v>
      </c>
      <c r="I49">
        <v>992000000</v>
      </c>
      <c r="J49" t="s">
        <v>42</v>
      </c>
    </row>
    <row r="50" spans="1:10" hidden="1" x14ac:dyDescent="0.3">
      <c r="A50" t="s">
        <v>157</v>
      </c>
      <c r="B50" t="s">
        <v>479</v>
      </c>
      <c r="C50" t="s">
        <v>369</v>
      </c>
      <c r="D50" t="s">
        <v>3121</v>
      </c>
      <c r="E50" s="82">
        <f t="shared" si="1"/>
        <v>0</v>
      </c>
      <c r="F50" t="s">
        <v>18</v>
      </c>
      <c r="G50" t="s">
        <v>582</v>
      </c>
      <c r="H50" t="s">
        <v>325</v>
      </c>
      <c r="I50">
        <v>134000000</v>
      </c>
      <c r="J50" t="s">
        <v>42</v>
      </c>
    </row>
    <row r="51" spans="1:10" hidden="1" x14ac:dyDescent="0.3">
      <c r="A51" t="s">
        <v>158</v>
      </c>
      <c r="B51" t="s">
        <v>480</v>
      </c>
      <c r="C51" t="s">
        <v>370</v>
      </c>
      <c r="D51" t="s">
        <v>3120</v>
      </c>
      <c r="E51" s="82">
        <f t="shared" si="1"/>
        <v>0</v>
      </c>
      <c r="F51" t="s">
        <v>18</v>
      </c>
      <c r="G51" t="s">
        <v>583</v>
      </c>
      <c r="H51" t="s">
        <v>325</v>
      </c>
      <c r="I51">
        <v>25000000</v>
      </c>
      <c r="J51" t="s">
        <v>42</v>
      </c>
    </row>
    <row r="52" spans="1:10" hidden="1" x14ac:dyDescent="0.3">
      <c r="A52" t="s">
        <v>159</v>
      </c>
      <c r="B52" t="s">
        <v>481</v>
      </c>
      <c r="C52" t="s">
        <v>371</v>
      </c>
      <c r="D52" t="s">
        <v>3120</v>
      </c>
      <c r="E52" s="82">
        <f t="shared" si="1"/>
        <v>0</v>
      </c>
      <c r="F52" t="s">
        <v>18</v>
      </c>
      <c r="G52" t="s">
        <v>584</v>
      </c>
      <c r="H52" t="s">
        <v>325</v>
      </c>
      <c r="I52">
        <v>16000000</v>
      </c>
      <c r="J52" t="s">
        <v>42</v>
      </c>
    </row>
    <row r="53" spans="1:10" hidden="1" x14ac:dyDescent="0.3">
      <c r="A53" t="s">
        <v>160</v>
      </c>
      <c r="B53" t="s">
        <v>482</v>
      </c>
      <c r="C53" t="s">
        <v>372</v>
      </c>
      <c r="D53" t="s">
        <v>3121</v>
      </c>
      <c r="E53" s="82">
        <f t="shared" si="1"/>
        <v>0</v>
      </c>
      <c r="F53" t="s">
        <v>18</v>
      </c>
      <c r="G53" t="s">
        <v>585</v>
      </c>
      <c r="H53" t="s">
        <v>325</v>
      </c>
      <c r="I53">
        <v>281000000</v>
      </c>
      <c r="J53" t="s">
        <v>42</v>
      </c>
    </row>
    <row r="54" spans="1:10" hidden="1" x14ac:dyDescent="0.3">
      <c r="A54" t="s">
        <v>160</v>
      </c>
      <c r="B54" t="s">
        <v>483</v>
      </c>
      <c r="C54" t="s">
        <v>373</v>
      </c>
      <c r="D54" t="s">
        <v>3120</v>
      </c>
      <c r="E54" s="82">
        <f t="shared" si="1"/>
        <v>0</v>
      </c>
      <c r="F54" t="s">
        <v>18</v>
      </c>
      <c r="G54" t="s">
        <v>586</v>
      </c>
      <c r="H54" t="s">
        <v>325</v>
      </c>
      <c r="I54">
        <v>342000000</v>
      </c>
      <c r="J54" t="s">
        <v>42</v>
      </c>
    </row>
    <row r="55" spans="1:10" hidden="1" x14ac:dyDescent="0.3">
      <c r="A55" t="s">
        <v>161</v>
      </c>
      <c r="B55" t="s">
        <v>484</v>
      </c>
      <c r="C55" t="s">
        <v>374</v>
      </c>
      <c r="D55" t="s">
        <v>3121</v>
      </c>
      <c r="E55" s="82">
        <f t="shared" si="1"/>
        <v>0</v>
      </c>
      <c r="F55" t="s">
        <v>18</v>
      </c>
      <c r="G55" t="s">
        <v>587</v>
      </c>
      <c r="H55" t="s">
        <v>325</v>
      </c>
      <c r="I55">
        <v>83000000</v>
      </c>
      <c r="J55" t="s">
        <v>42</v>
      </c>
    </row>
    <row r="56" spans="1:10" hidden="1" x14ac:dyDescent="0.3">
      <c r="A56" t="s">
        <v>163</v>
      </c>
      <c r="B56" t="s">
        <v>485</v>
      </c>
      <c r="C56" t="s">
        <v>375</v>
      </c>
      <c r="D56" t="s">
        <v>3122</v>
      </c>
      <c r="E56" s="82">
        <f t="shared" si="1"/>
        <v>0</v>
      </c>
      <c r="F56" t="s">
        <v>18</v>
      </c>
      <c r="G56" t="s">
        <v>588</v>
      </c>
      <c r="H56" t="s">
        <v>325</v>
      </c>
      <c r="I56">
        <v>233000000</v>
      </c>
      <c r="J56" t="s">
        <v>42</v>
      </c>
    </row>
    <row r="57" spans="1:10" hidden="1" x14ac:dyDescent="0.3">
      <c r="A57" t="s">
        <v>164</v>
      </c>
      <c r="B57" t="s">
        <v>486</v>
      </c>
      <c r="C57" t="s">
        <v>376</v>
      </c>
      <c r="D57" t="s">
        <v>3122</v>
      </c>
      <c r="E57" s="82">
        <f t="shared" si="1"/>
        <v>0</v>
      </c>
      <c r="F57" t="s">
        <v>18</v>
      </c>
      <c r="G57" t="s">
        <v>589</v>
      </c>
      <c r="H57" t="s">
        <v>325</v>
      </c>
      <c r="I57">
        <v>545000000</v>
      </c>
      <c r="J57" t="s">
        <v>42</v>
      </c>
    </row>
    <row r="58" spans="1:10" hidden="1" x14ac:dyDescent="0.3">
      <c r="A58" t="s">
        <v>165</v>
      </c>
      <c r="B58" t="s">
        <v>487</v>
      </c>
      <c r="C58" t="s">
        <v>377</v>
      </c>
      <c r="D58" t="s">
        <v>3122</v>
      </c>
      <c r="E58" s="82">
        <f t="shared" si="1"/>
        <v>0</v>
      </c>
      <c r="F58" t="s">
        <v>18</v>
      </c>
      <c r="G58" t="s">
        <v>590</v>
      </c>
      <c r="H58" t="s">
        <v>325</v>
      </c>
      <c r="I58">
        <v>315000000</v>
      </c>
      <c r="J58" t="s">
        <v>42</v>
      </c>
    </row>
    <row r="59" spans="1:10" hidden="1" x14ac:dyDescent="0.3">
      <c r="A59" t="s">
        <v>165</v>
      </c>
      <c r="B59" t="s">
        <v>488</v>
      </c>
      <c r="C59" t="s">
        <v>378</v>
      </c>
      <c r="D59" t="s">
        <v>3120</v>
      </c>
      <c r="E59" s="82">
        <f t="shared" si="1"/>
        <v>0</v>
      </c>
      <c r="F59" t="s">
        <v>18</v>
      </c>
      <c r="G59" t="s">
        <v>591</v>
      </c>
      <c r="H59" t="s">
        <v>325</v>
      </c>
      <c r="I59">
        <v>27000000</v>
      </c>
      <c r="J59" t="s">
        <v>42</v>
      </c>
    </row>
    <row r="60" spans="1:10" hidden="1" x14ac:dyDescent="0.3">
      <c r="A60" t="s">
        <v>166</v>
      </c>
      <c r="B60" t="s">
        <v>489</v>
      </c>
      <c r="C60" t="s">
        <v>379</v>
      </c>
      <c r="D60" t="s">
        <v>3122</v>
      </c>
      <c r="E60" s="82">
        <f t="shared" si="1"/>
        <v>0</v>
      </c>
      <c r="F60" t="s">
        <v>18</v>
      </c>
      <c r="G60" t="s">
        <v>592</v>
      </c>
      <c r="H60" t="s">
        <v>325</v>
      </c>
      <c r="I60">
        <v>341000000</v>
      </c>
      <c r="J60" t="s">
        <v>42</v>
      </c>
    </row>
    <row r="61" spans="1:10" hidden="1" x14ac:dyDescent="0.3">
      <c r="A61" t="s">
        <v>168</v>
      </c>
      <c r="B61" t="s">
        <v>490</v>
      </c>
      <c r="C61" t="s">
        <v>380</v>
      </c>
      <c r="D61" t="s">
        <v>3121</v>
      </c>
      <c r="E61" s="82">
        <f t="shared" si="1"/>
        <v>0</v>
      </c>
      <c r="F61" t="s">
        <v>18</v>
      </c>
      <c r="G61" t="s">
        <v>593</v>
      </c>
      <c r="H61" t="s">
        <v>325</v>
      </c>
      <c r="I61">
        <v>89000000</v>
      </c>
      <c r="J61" t="s">
        <v>42</v>
      </c>
    </row>
    <row r="62" spans="1:10" hidden="1" x14ac:dyDescent="0.3">
      <c r="A62" t="s">
        <v>168</v>
      </c>
      <c r="B62" t="s">
        <v>491</v>
      </c>
      <c r="C62" t="s">
        <v>381</v>
      </c>
      <c r="D62" t="s">
        <v>3121</v>
      </c>
      <c r="E62" s="82">
        <f t="shared" si="1"/>
        <v>0</v>
      </c>
      <c r="F62" t="s">
        <v>18</v>
      </c>
      <c r="G62" t="s">
        <v>594</v>
      </c>
      <c r="H62" t="s">
        <v>325</v>
      </c>
      <c r="I62">
        <v>109000000</v>
      </c>
      <c r="J62" t="s">
        <v>42</v>
      </c>
    </row>
    <row r="63" spans="1:10" hidden="1" x14ac:dyDescent="0.3">
      <c r="A63" t="s">
        <v>169</v>
      </c>
      <c r="B63" t="s">
        <v>492</v>
      </c>
      <c r="C63" t="s">
        <v>382</v>
      </c>
      <c r="D63" t="s">
        <v>3120</v>
      </c>
      <c r="E63" s="82">
        <f t="shared" si="1"/>
        <v>0</v>
      </c>
      <c r="F63" t="s">
        <v>18</v>
      </c>
      <c r="G63" t="s">
        <v>595</v>
      </c>
      <c r="H63" t="s">
        <v>325</v>
      </c>
      <c r="I63">
        <v>20000000</v>
      </c>
      <c r="J63" t="s">
        <v>42</v>
      </c>
    </row>
    <row r="64" spans="1:10" hidden="1" x14ac:dyDescent="0.3">
      <c r="A64" t="s">
        <v>170</v>
      </c>
      <c r="B64" t="s">
        <v>493</v>
      </c>
      <c r="C64" t="s">
        <v>383</v>
      </c>
      <c r="D64" t="s">
        <v>3121</v>
      </c>
      <c r="E64" s="82">
        <f t="shared" si="1"/>
        <v>0</v>
      </c>
      <c r="F64" t="s">
        <v>18</v>
      </c>
      <c r="G64" t="s">
        <v>596</v>
      </c>
      <c r="H64" t="s">
        <v>325</v>
      </c>
      <c r="I64">
        <v>17000000</v>
      </c>
      <c r="J64" t="s">
        <v>42</v>
      </c>
    </row>
    <row r="65" spans="1:10" hidden="1" x14ac:dyDescent="0.3">
      <c r="A65" t="s">
        <v>171</v>
      </c>
      <c r="B65" t="s">
        <v>494</v>
      </c>
      <c r="C65" t="s">
        <v>384</v>
      </c>
      <c r="D65" t="s">
        <v>3122</v>
      </c>
      <c r="E65" s="82">
        <f t="shared" ref="E65:E95" si="2">SIGN(SUBTOTAL(3,F65))</f>
        <v>0</v>
      </c>
      <c r="F65" t="s">
        <v>18</v>
      </c>
      <c r="G65" t="s">
        <v>597</v>
      </c>
      <c r="H65" t="s">
        <v>325</v>
      </c>
      <c r="I65">
        <v>471000000</v>
      </c>
      <c r="J65" t="s">
        <v>42</v>
      </c>
    </row>
    <row r="66" spans="1:10" hidden="1" x14ac:dyDescent="0.3">
      <c r="A66" t="s">
        <v>171</v>
      </c>
      <c r="B66" t="s">
        <v>495</v>
      </c>
      <c r="C66" t="s">
        <v>385</v>
      </c>
      <c r="D66" t="s">
        <v>3120</v>
      </c>
      <c r="E66" s="82">
        <f t="shared" si="2"/>
        <v>0</v>
      </c>
      <c r="F66" t="s">
        <v>18</v>
      </c>
      <c r="G66" t="s">
        <v>598</v>
      </c>
      <c r="H66" t="s">
        <v>325</v>
      </c>
      <c r="I66">
        <v>29000000</v>
      </c>
      <c r="J66" t="s">
        <v>42</v>
      </c>
    </row>
    <row r="67" spans="1:10" hidden="1" x14ac:dyDescent="0.3">
      <c r="A67" t="s">
        <v>173</v>
      </c>
      <c r="B67" t="s">
        <v>496</v>
      </c>
      <c r="C67" t="s">
        <v>386</v>
      </c>
      <c r="D67" t="s">
        <v>3122</v>
      </c>
      <c r="E67" s="82">
        <f t="shared" si="2"/>
        <v>0</v>
      </c>
      <c r="F67" t="s">
        <v>18</v>
      </c>
      <c r="G67" t="s">
        <v>599</v>
      </c>
      <c r="H67" t="s">
        <v>325</v>
      </c>
      <c r="I67">
        <v>774000000</v>
      </c>
      <c r="J67" t="s">
        <v>42</v>
      </c>
    </row>
    <row r="68" spans="1:10" hidden="1" x14ac:dyDescent="0.3">
      <c r="A68" t="s">
        <v>174</v>
      </c>
      <c r="B68" t="s">
        <v>497</v>
      </c>
      <c r="C68" t="s">
        <v>387</v>
      </c>
      <c r="D68" t="s">
        <v>3121</v>
      </c>
      <c r="E68" s="82">
        <f t="shared" si="2"/>
        <v>0</v>
      </c>
      <c r="F68" t="s">
        <v>18</v>
      </c>
      <c r="G68" t="s">
        <v>600</v>
      </c>
      <c r="H68" t="s">
        <v>325</v>
      </c>
      <c r="I68">
        <v>29000000</v>
      </c>
      <c r="J68" t="s">
        <v>42</v>
      </c>
    </row>
    <row r="69" spans="1:10" hidden="1" x14ac:dyDescent="0.3">
      <c r="A69" t="s">
        <v>175</v>
      </c>
      <c r="B69" t="s">
        <v>498</v>
      </c>
      <c r="C69" t="s">
        <v>388</v>
      </c>
      <c r="D69" t="s">
        <v>3120</v>
      </c>
      <c r="E69" s="82">
        <f t="shared" si="2"/>
        <v>0</v>
      </c>
      <c r="F69" t="s">
        <v>18</v>
      </c>
      <c r="G69" t="s">
        <v>601</v>
      </c>
      <c r="H69" t="s">
        <v>325</v>
      </c>
      <c r="I69">
        <v>21000000</v>
      </c>
      <c r="J69" t="s">
        <v>42</v>
      </c>
    </row>
    <row r="70" spans="1:10" hidden="1" x14ac:dyDescent="0.3">
      <c r="A70" t="s">
        <v>175</v>
      </c>
      <c r="B70" t="s">
        <v>499</v>
      </c>
      <c r="C70" t="s">
        <v>389</v>
      </c>
      <c r="D70" t="s">
        <v>3120</v>
      </c>
      <c r="E70" s="82">
        <f t="shared" si="2"/>
        <v>0</v>
      </c>
      <c r="F70" t="s">
        <v>18</v>
      </c>
      <c r="G70" t="s">
        <v>602</v>
      </c>
      <c r="H70" t="s">
        <v>325</v>
      </c>
      <c r="I70">
        <v>32000000</v>
      </c>
      <c r="J70" t="s">
        <v>42</v>
      </c>
    </row>
    <row r="71" spans="1:10" hidden="1" x14ac:dyDescent="0.3">
      <c r="A71" t="s">
        <v>175</v>
      </c>
      <c r="B71" t="s">
        <v>500</v>
      </c>
      <c r="C71" t="s">
        <v>390</v>
      </c>
      <c r="D71" t="s">
        <v>3120</v>
      </c>
      <c r="E71" s="82">
        <f t="shared" si="2"/>
        <v>0</v>
      </c>
      <c r="F71" t="s">
        <v>18</v>
      </c>
      <c r="G71" t="s">
        <v>603</v>
      </c>
      <c r="H71" t="s">
        <v>325</v>
      </c>
      <c r="I71">
        <v>45000000</v>
      </c>
      <c r="J71" t="s">
        <v>42</v>
      </c>
    </row>
    <row r="72" spans="1:10" hidden="1" x14ac:dyDescent="0.3">
      <c r="A72" t="s">
        <v>175</v>
      </c>
      <c r="B72" t="s">
        <v>175</v>
      </c>
      <c r="C72" t="s">
        <v>391</v>
      </c>
      <c r="D72" t="s">
        <v>3120</v>
      </c>
      <c r="E72" s="82">
        <f t="shared" si="2"/>
        <v>0</v>
      </c>
      <c r="F72" t="s">
        <v>18</v>
      </c>
      <c r="G72" t="s">
        <v>604</v>
      </c>
      <c r="H72" t="s">
        <v>325</v>
      </c>
      <c r="I72">
        <v>8000000</v>
      </c>
      <c r="J72" t="s">
        <v>42</v>
      </c>
    </row>
    <row r="73" spans="1:10" hidden="1" x14ac:dyDescent="0.3">
      <c r="A73" t="s">
        <v>175</v>
      </c>
      <c r="B73" t="s">
        <v>175</v>
      </c>
      <c r="C73" t="s">
        <v>392</v>
      </c>
      <c r="D73" t="s">
        <v>3122</v>
      </c>
      <c r="E73" s="82">
        <f t="shared" si="2"/>
        <v>0</v>
      </c>
      <c r="F73" t="s">
        <v>18</v>
      </c>
      <c r="G73" t="s">
        <v>605</v>
      </c>
      <c r="H73" t="s">
        <v>325</v>
      </c>
      <c r="I73">
        <v>1611000000</v>
      </c>
      <c r="J73" t="s">
        <v>42</v>
      </c>
    </row>
    <row r="74" spans="1:10" hidden="1" x14ac:dyDescent="0.3">
      <c r="A74" t="s">
        <v>175</v>
      </c>
      <c r="B74" t="s">
        <v>175</v>
      </c>
      <c r="C74" t="s">
        <v>393</v>
      </c>
      <c r="D74" t="s">
        <v>3122</v>
      </c>
      <c r="E74" s="82">
        <f t="shared" si="2"/>
        <v>0</v>
      </c>
      <c r="F74" t="s">
        <v>18</v>
      </c>
      <c r="G74" t="s">
        <v>606</v>
      </c>
      <c r="H74" t="s">
        <v>325</v>
      </c>
      <c r="I74">
        <v>261000000</v>
      </c>
      <c r="J74" t="s">
        <v>42</v>
      </c>
    </row>
    <row r="75" spans="1:10" hidden="1" x14ac:dyDescent="0.3">
      <c r="A75" t="s">
        <v>175</v>
      </c>
      <c r="B75" t="s">
        <v>501</v>
      </c>
      <c r="C75" t="s">
        <v>394</v>
      </c>
      <c r="D75" t="s">
        <v>3120</v>
      </c>
      <c r="E75" s="82">
        <f t="shared" si="2"/>
        <v>0</v>
      </c>
      <c r="F75" t="s">
        <v>18</v>
      </c>
      <c r="G75" t="s">
        <v>607</v>
      </c>
      <c r="H75" t="s">
        <v>325</v>
      </c>
      <c r="I75">
        <v>18000000</v>
      </c>
      <c r="J75" t="s">
        <v>42</v>
      </c>
    </row>
    <row r="76" spans="1:10" hidden="1" x14ac:dyDescent="0.3">
      <c r="A76" t="s">
        <v>175</v>
      </c>
      <c r="B76" t="s">
        <v>502</v>
      </c>
      <c r="C76" t="s">
        <v>395</v>
      </c>
      <c r="D76" t="s">
        <v>3128</v>
      </c>
      <c r="E76" s="82">
        <f t="shared" si="2"/>
        <v>0</v>
      </c>
      <c r="F76" t="s">
        <v>18</v>
      </c>
      <c r="G76" t="s">
        <v>608</v>
      </c>
      <c r="H76" t="s">
        <v>325</v>
      </c>
      <c r="I76">
        <v>6000000</v>
      </c>
      <c r="J76" t="s">
        <v>42</v>
      </c>
    </row>
    <row r="77" spans="1:10" hidden="1" x14ac:dyDescent="0.3">
      <c r="A77" t="s">
        <v>175</v>
      </c>
      <c r="B77" t="s">
        <v>503</v>
      </c>
      <c r="C77" t="s">
        <v>396</v>
      </c>
      <c r="D77" t="s">
        <v>3120</v>
      </c>
      <c r="E77" s="82">
        <f t="shared" si="2"/>
        <v>0</v>
      </c>
      <c r="F77" t="s">
        <v>18</v>
      </c>
      <c r="G77" t="s">
        <v>609</v>
      </c>
      <c r="H77" t="s">
        <v>325</v>
      </c>
      <c r="I77">
        <v>20000000</v>
      </c>
      <c r="J77" t="s">
        <v>42</v>
      </c>
    </row>
    <row r="78" spans="1:10" hidden="1" x14ac:dyDescent="0.3">
      <c r="A78" t="s">
        <v>176</v>
      </c>
      <c r="B78" t="s">
        <v>504</v>
      </c>
      <c r="C78" t="s">
        <v>397</v>
      </c>
      <c r="D78" t="s">
        <v>3120</v>
      </c>
      <c r="E78" s="82">
        <f t="shared" si="2"/>
        <v>0</v>
      </c>
      <c r="F78" t="s">
        <v>18</v>
      </c>
      <c r="G78" t="s">
        <v>610</v>
      </c>
      <c r="H78" t="s">
        <v>325</v>
      </c>
      <c r="I78">
        <v>13000000</v>
      </c>
      <c r="J78" t="s">
        <v>42</v>
      </c>
    </row>
    <row r="79" spans="1:10" hidden="1" x14ac:dyDescent="0.3">
      <c r="A79" t="s">
        <v>176</v>
      </c>
      <c r="B79" t="s">
        <v>505</v>
      </c>
      <c r="C79" t="s">
        <v>398</v>
      </c>
      <c r="D79" t="s">
        <v>3122</v>
      </c>
      <c r="E79" s="82">
        <f t="shared" si="2"/>
        <v>0</v>
      </c>
      <c r="F79" t="s">
        <v>18</v>
      </c>
      <c r="G79" t="s">
        <v>611</v>
      </c>
      <c r="H79" t="s">
        <v>325</v>
      </c>
      <c r="I79">
        <v>492000000</v>
      </c>
      <c r="J79" t="s">
        <v>42</v>
      </c>
    </row>
    <row r="80" spans="1:10" hidden="1" x14ac:dyDescent="0.3">
      <c r="A80" t="s">
        <v>176</v>
      </c>
      <c r="B80" t="s">
        <v>506</v>
      </c>
      <c r="C80" t="s">
        <v>399</v>
      </c>
      <c r="D80" t="s">
        <v>3120</v>
      </c>
      <c r="E80" s="82">
        <f t="shared" si="2"/>
        <v>0</v>
      </c>
      <c r="F80" t="s">
        <v>18</v>
      </c>
      <c r="G80" t="s">
        <v>612</v>
      </c>
      <c r="H80" t="s">
        <v>325</v>
      </c>
      <c r="I80">
        <v>3000000</v>
      </c>
      <c r="J80" t="s">
        <v>42</v>
      </c>
    </row>
    <row r="81" spans="1:10" hidden="1" x14ac:dyDescent="0.3">
      <c r="A81" t="s">
        <v>176</v>
      </c>
      <c r="B81" t="s">
        <v>507</v>
      </c>
      <c r="C81" t="s">
        <v>400</v>
      </c>
      <c r="D81" t="s">
        <v>3121</v>
      </c>
      <c r="E81" s="82">
        <f t="shared" si="2"/>
        <v>0</v>
      </c>
      <c r="F81" t="s">
        <v>18</v>
      </c>
      <c r="G81" t="s">
        <v>613</v>
      </c>
      <c r="H81" t="s">
        <v>325</v>
      </c>
      <c r="I81">
        <v>125000000</v>
      </c>
      <c r="J81" t="s">
        <v>42</v>
      </c>
    </row>
    <row r="82" spans="1:10" hidden="1" x14ac:dyDescent="0.3">
      <c r="A82" t="s">
        <v>177</v>
      </c>
      <c r="B82" t="s">
        <v>508</v>
      </c>
      <c r="C82" t="s">
        <v>401</v>
      </c>
      <c r="D82" t="s">
        <v>3128</v>
      </c>
      <c r="E82" s="82">
        <f t="shared" si="2"/>
        <v>0</v>
      </c>
      <c r="F82" t="s">
        <v>18</v>
      </c>
      <c r="G82" t="s">
        <v>614</v>
      </c>
      <c r="H82" t="s">
        <v>325</v>
      </c>
      <c r="I82">
        <v>1000000</v>
      </c>
      <c r="J82" t="s">
        <v>42</v>
      </c>
    </row>
    <row r="83" spans="1:10" hidden="1" x14ac:dyDescent="0.3">
      <c r="A83" t="s">
        <v>178</v>
      </c>
      <c r="B83" t="s">
        <v>509</v>
      </c>
      <c r="C83" t="s">
        <v>402</v>
      </c>
      <c r="D83" t="s">
        <v>3121</v>
      </c>
      <c r="E83" s="82">
        <f t="shared" si="2"/>
        <v>0</v>
      </c>
      <c r="F83" t="s">
        <v>18</v>
      </c>
      <c r="G83" t="s">
        <v>615</v>
      </c>
      <c r="H83" t="s">
        <v>325</v>
      </c>
      <c r="I83">
        <v>71000000</v>
      </c>
      <c r="J83" t="s">
        <v>42</v>
      </c>
    </row>
    <row r="84" spans="1:10" hidden="1" x14ac:dyDescent="0.3">
      <c r="A84" t="s">
        <v>178</v>
      </c>
      <c r="B84" t="s">
        <v>510</v>
      </c>
      <c r="C84" t="s">
        <v>403</v>
      </c>
      <c r="D84" t="s">
        <v>3121</v>
      </c>
      <c r="E84" s="82">
        <f t="shared" si="2"/>
        <v>0</v>
      </c>
      <c r="F84" t="s">
        <v>18</v>
      </c>
      <c r="G84" t="s">
        <v>616</v>
      </c>
      <c r="H84" t="s">
        <v>325</v>
      </c>
      <c r="I84">
        <v>65000000</v>
      </c>
      <c r="J84" t="s">
        <v>42</v>
      </c>
    </row>
    <row r="85" spans="1:10" hidden="1" x14ac:dyDescent="0.3">
      <c r="A85" t="s">
        <v>178</v>
      </c>
      <c r="B85" t="s">
        <v>510</v>
      </c>
      <c r="C85" t="s">
        <v>404</v>
      </c>
      <c r="D85" t="s">
        <v>3128</v>
      </c>
      <c r="E85" s="82">
        <f t="shared" si="2"/>
        <v>0</v>
      </c>
      <c r="F85" t="s">
        <v>18</v>
      </c>
      <c r="G85" t="s">
        <v>617</v>
      </c>
      <c r="H85" t="s">
        <v>325</v>
      </c>
      <c r="I85">
        <v>6000000</v>
      </c>
      <c r="J85" t="s">
        <v>42</v>
      </c>
    </row>
    <row r="86" spans="1:10" hidden="1" x14ac:dyDescent="0.3">
      <c r="A86" t="s">
        <v>179</v>
      </c>
      <c r="B86" t="s">
        <v>511</v>
      </c>
      <c r="C86" t="s">
        <v>405</v>
      </c>
      <c r="D86" t="s">
        <v>3120</v>
      </c>
      <c r="E86" s="82">
        <f t="shared" si="2"/>
        <v>0</v>
      </c>
      <c r="F86" t="s">
        <v>18</v>
      </c>
      <c r="G86" t="s">
        <v>618</v>
      </c>
      <c r="H86" t="s">
        <v>325</v>
      </c>
      <c r="I86">
        <v>35000000</v>
      </c>
      <c r="J86" t="s">
        <v>42</v>
      </c>
    </row>
    <row r="87" spans="1:10" hidden="1" x14ac:dyDescent="0.3">
      <c r="A87" t="s">
        <v>179</v>
      </c>
      <c r="B87" t="s">
        <v>512</v>
      </c>
      <c r="C87" t="s">
        <v>406</v>
      </c>
      <c r="D87" t="s">
        <v>3120</v>
      </c>
      <c r="E87" s="82">
        <f t="shared" si="2"/>
        <v>0</v>
      </c>
      <c r="F87" t="s">
        <v>18</v>
      </c>
      <c r="G87" t="s">
        <v>619</v>
      </c>
      <c r="H87" t="s">
        <v>325</v>
      </c>
      <c r="I87">
        <v>19000000</v>
      </c>
      <c r="J87" t="s">
        <v>42</v>
      </c>
    </row>
    <row r="88" spans="1:10" hidden="1" x14ac:dyDescent="0.3">
      <c r="A88" t="s">
        <v>180</v>
      </c>
      <c r="B88" t="s">
        <v>513</v>
      </c>
      <c r="C88" t="s">
        <v>407</v>
      </c>
      <c r="D88" t="s">
        <v>3120</v>
      </c>
      <c r="E88" s="82">
        <f t="shared" si="2"/>
        <v>0</v>
      </c>
      <c r="F88" t="s">
        <v>18</v>
      </c>
      <c r="G88" t="s">
        <v>620</v>
      </c>
      <c r="H88" t="s">
        <v>325</v>
      </c>
      <c r="I88">
        <v>10000000</v>
      </c>
      <c r="J88" t="s">
        <v>42</v>
      </c>
    </row>
    <row r="89" spans="1:10" hidden="1" x14ac:dyDescent="0.3">
      <c r="A89" t="s">
        <v>180</v>
      </c>
      <c r="B89" t="s">
        <v>514</v>
      </c>
      <c r="C89" t="s">
        <v>408</v>
      </c>
      <c r="D89" t="s">
        <v>3121</v>
      </c>
      <c r="E89" s="82">
        <f t="shared" si="2"/>
        <v>0</v>
      </c>
      <c r="F89" t="s">
        <v>18</v>
      </c>
      <c r="G89" t="s">
        <v>621</v>
      </c>
      <c r="H89" t="s">
        <v>325</v>
      </c>
      <c r="I89">
        <v>177000000</v>
      </c>
      <c r="J89" t="s">
        <v>42</v>
      </c>
    </row>
    <row r="90" spans="1:10" hidden="1" x14ac:dyDescent="0.3">
      <c r="A90" t="s">
        <v>181</v>
      </c>
      <c r="B90" t="s">
        <v>515</v>
      </c>
      <c r="C90" t="s">
        <v>409</v>
      </c>
      <c r="D90" t="s">
        <v>3128</v>
      </c>
      <c r="E90" s="82">
        <f t="shared" si="2"/>
        <v>0</v>
      </c>
      <c r="F90" t="s">
        <v>18</v>
      </c>
      <c r="G90" t="s">
        <v>622</v>
      </c>
      <c r="H90" t="s">
        <v>325</v>
      </c>
      <c r="I90">
        <v>13000000</v>
      </c>
      <c r="J90" t="s">
        <v>42</v>
      </c>
    </row>
    <row r="91" spans="1:10" hidden="1" x14ac:dyDescent="0.3">
      <c r="A91" t="s">
        <v>181</v>
      </c>
      <c r="B91" t="s">
        <v>516</v>
      </c>
      <c r="C91" t="s">
        <v>410</v>
      </c>
      <c r="D91" t="s">
        <v>3120</v>
      </c>
      <c r="E91" s="82">
        <f t="shared" si="2"/>
        <v>0</v>
      </c>
      <c r="F91" t="s">
        <v>18</v>
      </c>
      <c r="G91" t="s">
        <v>623</v>
      </c>
      <c r="H91" t="s">
        <v>325</v>
      </c>
      <c r="I91">
        <v>12000000</v>
      </c>
      <c r="J91" t="s">
        <v>42</v>
      </c>
    </row>
    <row r="92" spans="1:10" hidden="1" x14ac:dyDescent="0.3">
      <c r="A92" t="s">
        <v>181</v>
      </c>
      <c r="B92" t="s">
        <v>517</v>
      </c>
      <c r="C92" t="s">
        <v>411</v>
      </c>
      <c r="D92" t="s">
        <v>3122</v>
      </c>
      <c r="E92" s="82">
        <f t="shared" si="2"/>
        <v>0</v>
      </c>
      <c r="F92" t="s">
        <v>18</v>
      </c>
      <c r="G92" t="s">
        <v>624</v>
      </c>
      <c r="H92" t="s">
        <v>325</v>
      </c>
      <c r="I92">
        <v>351000000</v>
      </c>
      <c r="J92" t="s">
        <v>42</v>
      </c>
    </row>
    <row r="93" spans="1:10" hidden="1" x14ac:dyDescent="0.3">
      <c r="A93" t="s">
        <v>181</v>
      </c>
      <c r="B93" t="s">
        <v>518</v>
      </c>
      <c r="C93" t="s">
        <v>412</v>
      </c>
      <c r="D93" t="s">
        <v>3121</v>
      </c>
      <c r="E93" s="82">
        <f t="shared" si="2"/>
        <v>0</v>
      </c>
      <c r="F93" t="s">
        <v>18</v>
      </c>
      <c r="G93" t="s">
        <v>625</v>
      </c>
      <c r="H93" t="s">
        <v>325</v>
      </c>
      <c r="I93">
        <v>83000000</v>
      </c>
      <c r="J93" t="s">
        <v>42</v>
      </c>
    </row>
    <row r="94" spans="1:10" hidden="1" x14ac:dyDescent="0.3">
      <c r="A94" t="s">
        <v>3202</v>
      </c>
      <c r="B94" t="s">
        <v>3199</v>
      </c>
      <c r="C94" t="s">
        <v>3210</v>
      </c>
      <c r="D94" t="s">
        <v>3121</v>
      </c>
      <c r="E94" s="82">
        <f t="shared" si="2"/>
        <v>0</v>
      </c>
      <c r="F94" t="s">
        <v>18</v>
      </c>
      <c r="G94" t="s">
        <v>3218</v>
      </c>
      <c r="H94" t="s">
        <v>325</v>
      </c>
      <c r="I94">
        <v>148000000</v>
      </c>
      <c r="J94" t="s">
        <v>42</v>
      </c>
    </row>
    <row r="95" spans="1:10" hidden="1" x14ac:dyDescent="0.3">
      <c r="A95" t="s">
        <v>182</v>
      </c>
      <c r="B95" t="s">
        <v>519</v>
      </c>
      <c r="C95" t="s">
        <v>413</v>
      </c>
      <c r="D95" t="s">
        <v>3120</v>
      </c>
      <c r="E95" s="82">
        <f t="shared" si="2"/>
        <v>0</v>
      </c>
      <c r="F95" t="s">
        <v>18</v>
      </c>
      <c r="G95" t="s">
        <v>626</v>
      </c>
      <c r="H95" t="s">
        <v>325</v>
      </c>
      <c r="I95">
        <v>17000000</v>
      </c>
      <c r="J95" t="s">
        <v>42</v>
      </c>
    </row>
    <row r="96" spans="1:10" hidden="1" x14ac:dyDescent="0.3">
      <c r="A96" t="s">
        <v>183</v>
      </c>
      <c r="B96" t="s">
        <v>520</v>
      </c>
      <c r="C96" t="s">
        <v>414</v>
      </c>
      <c r="D96" t="s">
        <v>3120</v>
      </c>
      <c r="E96" s="82">
        <f t="shared" ref="E96:E111" si="3">SIGN(SUBTOTAL(3,F96))</f>
        <v>0</v>
      </c>
      <c r="F96" t="s">
        <v>18</v>
      </c>
      <c r="G96" t="s">
        <v>627</v>
      </c>
      <c r="H96" t="s">
        <v>325</v>
      </c>
      <c r="I96">
        <v>11000000</v>
      </c>
      <c r="J96" t="s">
        <v>42</v>
      </c>
    </row>
    <row r="97" spans="1:10" hidden="1" x14ac:dyDescent="0.3">
      <c r="A97" t="s">
        <v>183</v>
      </c>
      <c r="B97" t="s">
        <v>521</v>
      </c>
      <c r="C97" t="s">
        <v>415</v>
      </c>
      <c r="D97" t="s">
        <v>3121</v>
      </c>
      <c r="E97" s="82">
        <f t="shared" si="3"/>
        <v>0</v>
      </c>
      <c r="F97" t="s">
        <v>18</v>
      </c>
      <c r="G97" t="s">
        <v>628</v>
      </c>
      <c r="H97" t="s">
        <v>325</v>
      </c>
      <c r="I97">
        <v>39000000</v>
      </c>
      <c r="J97" t="s">
        <v>42</v>
      </c>
    </row>
    <row r="98" spans="1:10" hidden="1" x14ac:dyDescent="0.3">
      <c r="A98" t="s">
        <v>183</v>
      </c>
      <c r="B98" t="s">
        <v>522</v>
      </c>
      <c r="C98" t="s">
        <v>416</v>
      </c>
      <c r="D98" t="s">
        <v>3120</v>
      </c>
      <c r="E98" s="82">
        <f t="shared" si="3"/>
        <v>0</v>
      </c>
      <c r="F98" t="s">
        <v>18</v>
      </c>
      <c r="G98" t="s">
        <v>629</v>
      </c>
      <c r="H98" t="s">
        <v>325</v>
      </c>
      <c r="I98">
        <v>23000000</v>
      </c>
      <c r="J98" t="s">
        <v>42</v>
      </c>
    </row>
    <row r="99" spans="1:10" hidden="1" x14ac:dyDescent="0.3">
      <c r="A99" t="s">
        <v>183</v>
      </c>
      <c r="B99" t="s">
        <v>523</v>
      </c>
      <c r="C99" t="s">
        <v>417</v>
      </c>
      <c r="D99" t="s">
        <v>3120</v>
      </c>
      <c r="E99" s="82">
        <f t="shared" si="3"/>
        <v>0</v>
      </c>
      <c r="F99" t="s">
        <v>18</v>
      </c>
      <c r="G99" t="s">
        <v>630</v>
      </c>
      <c r="H99" t="s">
        <v>325</v>
      </c>
      <c r="I99">
        <v>14000000</v>
      </c>
      <c r="J99" t="s">
        <v>42</v>
      </c>
    </row>
    <row r="100" spans="1:10" hidden="1" x14ac:dyDescent="0.3">
      <c r="A100" t="s">
        <v>185</v>
      </c>
      <c r="B100" t="s">
        <v>524</v>
      </c>
      <c r="C100" t="s">
        <v>418</v>
      </c>
      <c r="D100" t="s">
        <v>3122</v>
      </c>
      <c r="E100" s="82">
        <f t="shared" si="3"/>
        <v>0</v>
      </c>
      <c r="F100" t="s">
        <v>18</v>
      </c>
      <c r="G100" t="s">
        <v>631</v>
      </c>
      <c r="H100" t="s">
        <v>325</v>
      </c>
      <c r="I100">
        <v>168000000</v>
      </c>
      <c r="J100" t="s">
        <v>42</v>
      </c>
    </row>
    <row r="101" spans="1:10" hidden="1" x14ac:dyDescent="0.3">
      <c r="A101" t="s">
        <v>185</v>
      </c>
      <c r="B101" t="s">
        <v>525</v>
      </c>
      <c r="C101" t="s">
        <v>419</v>
      </c>
      <c r="D101" t="s">
        <v>3121</v>
      </c>
      <c r="E101" s="82">
        <f t="shared" si="3"/>
        <v>0</v>
      </c>
      <c r="F101" t="s">
        <v>18</v>
      </c>
      <c r="G101" t="s">
        <v>632</v>
      </c>
      <c r="H101" t="s">
        <v>325</v>
      </c>
      <c r="I101">
        <v>396000000</v>
      </c>
      <c r="J101" t="s">
        <v>42</v>
      </c>
    </row>
    <row r="102" spans="1:10" hidden="1" x14ac:dyDescent="0.3">
      <c r="A102" t="s">
        <v>185</v>
      </c>
      <c r="B102" t="s">
        <v>526</v>
      </c>
      <c r="C102" t="s">
        <v>420</v>
      </c>
      <c r="D102" t="s">
        <v>3120</v>
      </c>
      <c r="E102" s="82">
        <f t="shared" si="3"/>
        <v>0</v>
      </c>
      <c r="F102" t="s">
        <v>18</v>
      </c>
      <c r="G102" t="s">
        <v>633</v>
      </c>
      <c r="H102" t="s">
        <v>325</v>
      </c>
      <c r="I102">
        <v>22000000</v>
      </c>
      <c r="J102" t="s">
        <v>42</v>
      </c>
    </row>
    <row r="103" spans="1:10" hidden="1" x14ac:dyDescent="0.3">
      <c r="A103" t="s">
        <v>186</v>
      </c>
      <c r="B103" t="s">
        <v>527</v>
      </c>
      <c r="C103" t="s">
        <v>421</v>
      </c>
      <c r="D103" t="s">
        <v>3127</v>
      </c>
      <c r="E103" s="82">
        <f t="shared" si="3"/>
        <v>0</v>
      </c>
      <c r="F103" t="s">
        <v>18</v>
      </c>
      <c r="G103" t="s">
        <v>634</v>
      </c>
      <c r="H103" t="s">
        <v>325</v>
      </c>
      <c r="I103">
        <v>5000000</v>
      </c>
      <c r="J103" t="s">
        <v>42</v>
      </c>
    </row>
    <row r="104" spans="1:10" hidden="1" x14ac:dyDescent="0.3">
      <c r="A104" t="s">
        <v>186</v>
      </c>
      <c r="B104" t="s">
        <v>528</v>
      </c>
      <c r="C104" t="s">
        <v>422</v>
      </c>
      <c r="D104" t="s">
        <v>3122</v>
      </c>
      <c r="E104" s="82">
        <f t="shared" si="3"/>
        <v>0</v>
      </c>
      <c r="F104" t="s">
        <v>18</v>
      </c>
      <c r="G104" t="s">
        <v>635</v>
      </c>
      <c r="H104" t="s">
        <v>325</v>
      </c>
      <c r="I104">
        <v>194000000</v>
      </c>
      <c r="J104" t="s">
        <v>42</v>
      </c>
    </row>
    <row r="105" spans="1:10" hidden="1" x14ac:dyDescent="0.3">
      <c r="A105" t="s">
        <v>186</v>
      </c>
      <c r="B105" t="s">
        <v>529</v>
      </c>
      <c r="C105" t="s">
        <v>423</v>
      </c>
      <c r="D105" t="s">
        <v>3121</v>
      </c>
      <c r="E105" s="82">
        <f t="shared" si="3"/>
        <v>0</v>
      </c>
      <c r="F105" t="s">
        <v>18</v>
      </c>
      <c r="G105" t="s">
        <v>636</v>
      </c>
      <c r="H105" t="s">
        <v>325</v>
      </c>
      <c r="I105">
        <v>117000000</v>
      </c>
      <c r="J105" t="s">
        <v>42</v>
      </c>
    </row>
    <row r="106" spans="1:10" hidden="1" x14ac:dyDescent="0.3">
      <c r="A106" t="s">
        <v>186</v>
      </c>
      <c r="B106" t="s">
        <v>530</v>
      </c>
      <c r="C106" t="s">
        <v>424</v>
      </c>
      <c r="D106" t="s">
        <v>3122</v>
      </c>
      <c r="E106" s="82">
        <f t="shared" si="3"/>
        <v>0</v>
      </c>
      <c r="F106" t="s">
        <v>18</v>
      </c>
      <c r="G106" t="s">
        <v>637</v>
      </c>
      <c r="H106" t="s">
        <v>325</v>
      </c>
      <c r="I106">
        <v>1012000000</v>
      </c>
      <c r="J106" t="s">
        <v>42</v>
      </c>
    </row>
    <row r="107" spans="1:10" hidden="1" x14ac:dyDescent="0.3">
      <c r="A107" t="s">
        <v>186</v>
      </c>
      <c r="B107" t="s">
        <v>531</v>
      </c>
      <c r="C107" t="s">
        <v>425</v>
      </c>
      <c r="D107" t="s">
        <v>3120</v>
      </c>
      <c r="E107" s="82">
        <f t="shared" si="3"/>
        <v>0</v>
      </c>
      <c r="F107" t="s">
        <v>18</v>
      </c>
      <c r="G107" t="s">
        <v>638</v>
      </c>
      <c r="H107" t="s">
        <v>325</v>
      </c>
      <c r="I107">
        <v>23000000</v>
      </c>
      <c r="J107" t="s">
        <v>42</v>
      </c>
    </row>
    <row r="108" spans="1:10" hidden="1" x14ac:dyDescent="0.3">
      <c r="A108" t="s">
        <v>186</v>
      </c>
      <c r="B108" t="s">
        <v>532</v>
      </c>
      <c r="C108" t="s">
        <v>426</v>
      </c>
      <c r="D108" t="s">
        <v>3121</v>
      </c>
      <c r="E108" s="82">
        <f t="shared" si="3"/>
        <v>0</v>
      </c>
      <c r="F108" t="s">
        <v>18</v>
      </c>
      <c r="G108" t="s">
        <v>639</v>
      </c>
      <c r="H108" t="s">
        <v>325</v>
      </c>
      <c r="I108">
        <v>106000000</v>
      </c>
      <c r="J108" t="s">
        <v>42</v>
      </c>
    </row>
    <row r="109" spans="1:10" hidden="1" x14ac:dyDescent="0.3">
      <c r="A109" t="s">
        <v>186</v>
      </c>
      <c r="B109" t="s">
        <v>532</v>
      </c>
      <c r="C109" t="s">
        <v>427</v>
      </c>
      <c r="D109" t="s">
        <v>3122</v>
      </c>
      <c r="E109" s="82">
        <f t="shared" si="3"/>
        <v>0</v>
      </c>
      <c r="F109" t="s">
        <v>18</v>
      </c>
      <c r="G109" t="s">
        <v>640</v>
      </c>
      <c r="H109" t="s">
        <v>325</v>
      </c>
      <c r="I109">
        <v>629000000</v>
      </c>
      <c r="J109" t="s">
        <v>42</v>
      </c>
    </row>
    <row r="110" spans="1:10" hidden="1" x14ac:dyDescent="0.3">
      <c r="A110" t="s">
        <v>186</v>
      </c>
      <c r="B110" t="s">
        <v>533</v>
      </c>
      <c r="C110" t="s">
        <v>428</v>
      </c>
      <c r="D110" t="s">
        <v>3121</v>
      </c>
      <c r="E110" s="82">
        <f t="shared" si="3"/>
        <v>0</v>
      </c>
      <c r="F110" t="s">
        <v>18</v>
      </c>
      <c r="G110" t="s">
        <v>641</v>
      </c>
      <c r="H110" t="s">
        <v>325</v>
      </c>
      <c r="I110">
        <v>89000000</v>
      </c>
      <c r="J110" t="s">
        <v>42</v>
      </c>
    </row>
    <row r="111" spans="1:10" hidden="1" x14ac:dyDescent="0.3">
      <c r="A111" t="s">
        <v>187</v>
      </c>
      <c r="B111" t="s">
        <v>534</v>
      </c>
      <c r="C111" t="s">
        <v>429</v>
      </c>
      <c r="D111" t="s">
        <v>3122</v>
      </c>
      <c r="E111" s="82">
        <f t="shared" si="3"/>
        <v>0</v>
      </c>
      <c r="F111" t="s">
        <v>18</v>
      </c>
      <c r="G111" t="s">
        <v>642</v>
      </c>
      <c r="H111" t="s">
        <v>325</v>
      </c>
      <c r="I111">
        <v>206000000</v>
      </c>
      <c r="J111" t="s">
        <v>42</v>
      </c>
    </row>
    <row r="112" spans="1:10" hidden="1" x14ac:dyDescent="0.3">
      <c r="A112" t="s">
        <v>189</v>
      </c>
      <c r="B112" t="s">
        <v>190</v>
      </c>
      <c r="C112" t="s">
        <v>430</v>
      </c>
      <c r="D112" t="s">
        <v>3122</v>
      </c>
      <c r="E112" s="82">
        <f t="shared" ref="E112:E119" si="4">SIGN(SUBTOTAL(3,F112))</f>
        <v>0</v>
      </c>
      <c r="F112" t="s">
        <v>18</v>
      </c>
      <c r="G112" t="s">
        <v>643</v>
      </c>
      <c r="H112" t="s">
        <v>325</v>
      </c>
      <c r="I112">
        <v>209000000</v>
      </c>
      <c r="J112" t="s">
        <v>42</v>
      </c>
    </row>
    <row r="113" spans="1:10" hidden="1" x14ac:dyDescent="0.3">
      <c r="A113" t="s">
        <v>189</v>
      </c>
      <c r="B113" t="s">
        <v>190</v>
      </c>
      <c r="C113" t="s">
        <v>431</v>
      </c>
      <c r="D113" t="s">
        <v>3122</v>
      </c>
      <c r="E113" s="82">
        <f t="shared" si="4"/>
        <v>0</v>
      </c>
      <c r="F113" t="s">
        <v>18</v>
      </c>
      <c r="G113" t="s">
        <v>644</v>
      </c>
      <c r="H113" t="s">
        <v>325</v>
      </c>
      <c r="I113">
        <v>514000000</v>
      </c>
      <c r="J113" t="s">
        <v>42</v>
      </c>
    </row>
    <row r="114" spans="1:10" hidden="1" x14ac:dyDescent="0.3">
      <c r="A114" t="s">
        <v>189</v>
      </c>
      <c r="B114" t="s">
        <v>535</v>
      </c>
      <c r="C114" t="s">
        <v>432</v>
      </c>
      <c r="D114" t="s">
        <v>3120</v>
      </c>
      <c r="E114" s="82">
        <f t="shared" si="4"/>
        <v>0</v>
      </c>
      <c r="F114" t="s">
        <v>18</v>
      </c>
      <c r="G114" t="s">
        <v>645</v>
      </c>
      <c r="H114" t="s">
        <v>325</v>
      </c>
      <c r="I114">
        <v>34000000</v>
      </c>
      <c r="J114" t="s">
        <v>42</v>
      </c>
    </row>
    <row r="115" spans="1:10" hidden="1" x14ac:dyDescent="0.3">
      <c r="A115" t="s">
        <v>190</v>
      </c>
      <c r="B115" t="s">
        <v>536</v>
      </c>
      <c r="C115" t="s">
        <v>433</v>
      </c>
      <c r="D115" t="s">
        <v>3120</v>
      </c>
      <c r="E115" s="82">
        <f t="shared" si="4"/>
        <v>0</v>
      </c>
      <c r="F115" t="s">
        <v>18</v>
      </c>
      <c r="G115" t="s">
        <v>646</v>
      </c>
      <c r="H115" t="s">
        <v>325</v>
      </c>
      <c r="I115">
        <v>27000000</v>
      </c>
      <c r="J115" t="s">
        <v>42</v>
      </c>
    </row>
    <row r="116" spans="1:10" hidden="1" x14ac:dyDescent="0.3">
      <c r="A116" t="s">
        <v>190</v>
      </c>
      <c r="B116" t="s">
        <v>537</v>
      </c>
      <c r="C116" t="s">
        <v>434</v>
      </c>
      <c r="D116" t="s">
        <v>3128</v>
      </c>
      <c r="E116" s="82">
        <f t="shared" si="4"/>
        <v>0</v>
      </c>
      <c r="F116" t="s">
        <v>18</v>
      </c>
      <c r="G116" t="s">
        <v>647</v>
      </c>
      <c r="H116" t="s">
        <v>325</v>
      </c>
      <c r="I116">
        <v>6000000</v>
      </c>
      <c r="J116" t="s">
        <v>42</v>
      </c>
    </row>
    <row r="117" spans="1:10" x14ac:dyDescent="0.3">
      <c r="A117" t="s">
        <v>190</v>
      </c>
      <c r="B117" t="s">
        <v>538</v>
      </c>
      <c r="C117" t="s">
        <v>435</v>
      </c>
      <c r="D117" t="s">
        <v>3122</v>
      </c>
      <c r="E117" s="82">
        <f t="shared" si="4"/>
        <v>1</v>
      </c>
      <c r="F117" t="s">
        <v>18</v>
      </c>
      <c r="G117" t="s">
        <v>648</v>
      </c>
      <c r="H117" t="s">
        <v>325</v>
      </c>
      <c r="I117">
        <v>692000000</v>
      </c>
      <c r="J117" t="s">
        <v>42</v>
      </c>
    </row>
    <row r="118" spans="1:10" hidden="1" x14ac:dyDescent="0.3">
      <c r="A118" t="s">
        <v>192</v>
      </c>
      <c r="B118" t="s">
        <v>539</v>
      </c>
      <c r="C118" t="s">
        <v>436</v>
      </c>
      <c r="D118" t="s">
        <v>3121</v>
      </c>
      <c r="E118" s="82">
        <f t="shared" si="4"/>
        <v>0</v>
      </c>
      <c r="F118" t="s">
        <v>18</v>
      </c>
      <c r="G118" t="s">
        <v>649</v>
      </c>
      <c r="H118" t="s">
        <v>325</v>
      </c>
      <c r="I118">
        <v>49000000</v>
      </c>
      <c r="J118" t="s">
        <v>42</v>
      </c>
    </row>
    <row r="119" spans="1:10" hidden="1" x14ac:dyDescent="0.3">
      <c r="A119" t="s">
        <v>192</v>
      </c>
      <c r="B119" t="s">
        <v>540</v>
      </c>
      <c r="C119" t="s">
        <v>437</v>
      </c>
      <c r="D119" t="s">
        <v>3120</v>
      </c>
      <c r="E119" s="82">
        <f t="shared" si="4"/>
        <v>0</v>
      </c>
      <c r="F119" t="s">
        <v>18</v>
      </c>
      <c r="G119" t="s">
        <v>650</v>
      </c>
      <c r="H119" t="s">
        <v>325</v>
      </c>
      <c r="I119">
        <v>14000000</v>
      </c>
      <c r="J119" t="s">
        <v>42</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J143"/>
  <sheetViews>
    <sheetView topLeftCell="T1" workbookViewId="0">
      <selection activeCell="AA4" sqref="AA4"/>
    </sheetView>
  </sheetViews>
  <sheetFormatPr defaultRowHeight="14.4" x14ac:dyDescent="0.3"/>
  <cols>
    <col min="1" max="1" width="40.21875" customWidth="1"/>
    <col min="2" max="2" width="49.77734375" bestFit="1" customWidth="1"/>
    <col min="3" max="3" width="27.77734375" bestFit="1" customWidth="1"/>
    <col min="5" max="5" width="11.44140625" customWidth="1"/>
    <col min="6" max="6" width="14.21875" bestFit="1" customWidth="1"/>
    <col min="7" max="7" width="16.21875" bestFit="1" customWidth="1"/>
    <col min="8" max="8" width="24" bestFit="1" customWidth="1"/>
    <col min="9" max="9" width="17.44140625" bestFit="1" customWidth="1"/>
    <col min="10" max="10" width="22.21875" bestFit="1" customWidth="1"/>
    <col min="13" max="13" width="20.21875" bestFit="1" customWidth="1"/>
    <col min="14" max="14" width="16.44140625" bestFit="1" customWidth="1"/>
    <col min="15" max="15" width="18.77734375" customWidth="1"/>
    <col min="16" max="16" width="21.77734375" customWidth="1"/>
    <col min="17" max="17" width="16.44140625" customWidth="1"/>
    <col min="22" max="22" width="12.21875" customWidth="1"/>
    <col min="23" max="23" width="13.21875" customWidth="1"/>
    <col min="25" max="25" width="20.44140625" customWidth="1"/>
    <col min="26" max="26" width="31.44140625" customWidth="1"/>
    <col min="27" max="27" width="22.5546875" bestFit="1" customWidth="1"/>
    <col min="28" max="28" width="6.5546875" customWidth="1"/>
    <col min="29" max="31" width="22.5546875" customWidth="1"/>
    <col min="33" max="33" width="19.21875" bestFit="1" customWidth="1"/>
    <col min="36" max="36" width="10.77734375" bestFit="1" customWidth="1"/>
    <col min="37" max="37" width="15" bestFit="1" customWidth="1"/>
    <col min="38" max="38" width="12.44140625" bestFit="1" customWidth="1"/>
    <col min="40" max="40" width="21.44140625" bestFit="1" customWidth="1"/>
    <col min="41" max="41" width="14.77734375" bestFit="1" customWidth="1"/>
    <col min="42" max="42" width="21" bestFit="1" customWidth="1"/>
    <col min="43" max="43" width="12.44140625" bestFit="1" customWidth="1"/>
    <col min="44" max="44" width="5.77734375" bestFit="1" customWidth="1"/>
    <col min="45" max="45" width="12.21875" bestFit="1" customWidth="1"/>
    <col min="46" max="46" width="15.77734375" bestFit="1" customWidth="1"/>
    <col min="47" max="47" width="10" bestFit="1" customWidth="1"/>
    <col min="49" max="49" width="17.5546875" bestFit="1" customWidth="1"/>
    <col min="50" max="50" width="13.21875" bestFit="1" customWidth="1"/>
    <col min="51" max="51" width="21" bestFit="1" customWidth="1"/>
    <col min="52" max="52" width="12.44140625" bestFit="1" customWidth="1"/>
    <col min="53" max="53" width="5.77734375" bestFit="1" customWidth="1"/>
    <col min="54" max="54" width="12.21875" bestFit="1" customWidth="1"/>
    <col min="55" max="55" width="15.109375" bestFit="1" customWidth="1"/>
    <col min="56" max="56" width="9.77734375" bestFit="1" customWidth="1"/>
    <col min="57" max="57" width="5.77734375" customWidth="1"/>
    <col min="58" max="58" width="17.5546875" bestFit="1" customWidth="1"/>
    <col min="59" max="59" width="13.21875" bestFit="1" customWidth="1"/>
    <col min="60" max="60" width="21" bestFit="1" customWidth="1"/>
    <col min="61" max="61" width="12.44140625" bestFit="1" customWidth="1"/>
    <col min="62" max="62" width="5.77734375" bestFit="1" customWidth="1"/>
    <col min="63" max="63" width="12.21875" bestFit="1" customWidth="1"/>
    <col min="64" max="64" width="5.77734375" customWidth="1"/>
    <col min="65" max="65" width="9.77734375" bestFit="1" customWidth="1"/>
    <col min="66" max="66" width="8.44140625" bestFit="1" customWidth="1"/>
    <col min="67" max="67" width="17.5546875" bestFit="1" customWidth="1"/>
    <col min="68" max="68" width="13.21875" bestFit="1" customWidth="1"/>
    <col min="69" max="69" width="21" bestFit="1" customWidth="1"/>
    <col min="70" max="70" width="12.44140625" bestFit="1" customWidth="1"/>
    <col min="71" max="71" width="8.77734375" customWidth="1"/>
    <col min="72" max="72" width="12.21875" bestFit="1" customWidth="1"/>
    <col min="73" max="73" width="5.77734375" customWidth="1"/>
    <col min="74" max="74" width="9.77734375" bestFit="1" customWidth="1"/>
    <col min="75" max="75" width="9.77734375" customWidth="1"/>
    <col min="77" max="77" width="12" bestFit="1" customWidth="1"/>
    <col min="78" max="78" width="19.5546875" bestFit="1" customWidth="1"/>
    <col min="79" max="79" width="21" bestFit="1" customWidth="1"/>
    <col min="80" max="80" width="12.44140625" bestFit="1" customWidth="1"/>
    <col min="81" max="81" width="7.21875" bestFit="1" customWidth="1"/>
    <col min="82" max="82" width="12.21875" bestFit="1" customWidth="1"/>
    <col min="83" max="83" width="15.77734375" bestFit="1" customWidth="1"/>
    <col min="84" max="84" width="12" bestFit="1" customWidth="1"/>
    <col min="87" max="87" width="28.6640625" bestFit="1" customWidth="1"/>
    <col min="88" max="88" width="17" bestFit="1" customWidth="1"/>
  </cols>
  <sheetData>
    <row r="1" spans="1:88" ht="58.2" thickBot="1" x14ac:dyDescent="0.45">
      <c r="A1" s="2" t="s">
        <v>110</v>
      </c>
      <c r="E1" s="2" t="s">
        <v>125</v>
      </c>
      <c r="O1" s="60" t="s">
        <v>248</v>
      </c>
      <c r="P1" s="61" t="s">
        <v>249</v>
      </c>
      <c r="Q1" s="61" t="s">
        <v>246</v>
      </c>
      <c r="R1" s="61" t="s">
        <v>28</v>
      </c>
      <c r="S1" s="62" t="s">
        <v>29</v>
      </c>
      <c r="T1" s="4"/>
      <c r="V1" s="60" t="s">
        <v>202</v>
      </c>
      <c r="W1" s="61" t="s">
        <v>244</v>
      </c>
      <c r="X1" s="62" t="s">
        <v>250</v>
      </c>
      <c r="Z1" s="111" t="s">
        <v>3118</v>
      </c>
      <c r="AW1" s="143" t="s">
        <v>3175</v>
      </c>
    </row>
    <row r="2" spans="1:88" ht="15.6" x14ac:dyDescent="0.3">
      <c r="A2" s="1" t="s">
        <v>128</v>
      </c>
      <c r="E2" s="1" t="s">
        <v>90</v>
      </c>
      <c r="F2" s="1" t="s">
        <v>62</v>
      </c>
      <c r="G2" s="1" t="s">
        <v>63</v>
      </c>
      <c r="H2" s="1" t="s">
        <v>245</v>
      </c>
      <c r="I2" s="1" t="s">
        <v>64</v>
      </c>
      <c r="J2" s="1" t="s">
        <v>127</v>
      </c>
      <c r="K2" s="1" t="s">
        <v>28</v>
      </c>
      <c r="L2" s="1" t="s">
        <v>131</v>
      </c>
      <c r="M2" s="1" t="s">
        <v>30</v>
      </c>
      <c r="O2" t="str" cm="1">
        <f t="array" ref="O2:Q4">_xlfn.UNIQUE(_xlfn._xlws.FILTER(_xlfn._xlws.FILTER('Commodities and Processes'!E6:L9986,('Commodities and Processes'!E6:E9986&lt;&gt;"Process name:")*('Commodities and Processes'!E6:E9986&lt;&gt;"Inputs")*('Commodities and Processes'!E6:E9986&lt;&gt;"Existing facilities:")*('Commodities and Processes'!E6:E9986&lt;&gt;"")),{1,0,0,0,0,0,1,1}))</f>
        <v>FOG</v>
      </c>
      <c r="P2" t="str">
        <v>makeSAF</v>
      </c>
      <c r="Q2" t="str">
        <v>N</v>
      </c>
      <c r="R2" t="str">
        <f>IF(ISBLANK(O2),"",VLOOKUP(O2,'Commodities and Processes'!A:C,2,FALSE))</f>
        <v>solid</v>
      </c>
      <c r="S2">
        <f>IF(ISBLANK(O2),"",VLOOKUP(O2,'Commodities and Processes'!A:C,3,FALSE))</f>
        <v>500</v>
      </c>
      <c r="V2" t="str" cm="1">
        <f t="array" ref="V2:V4">_xlfn.UNIQUE(_xlfn._xlws.FILTER(P2:P2000,P2:P2000&lt;&gt;""))</f>
        <v>makeSAF</v>
      </c>
      <c r="W2" t="str" cm="1">
        <f t="array" ref="W2">IF(ISBLANK(V2),"",_xlfn.CONCAT(_xlfn.UNIQUE(_xlfn._xlws.FILTER(R2:R2000,P2:P2000=V2))))</f>
        <v>solid</v>
      </c>
      <c r="X2" t="str">
        <f>IF(ISBLANK(V2),"",IF(W2="liquid","solidliquid","solid"))</f>
        <v>solid</v>
      </c>
      <c r="Z2" s="112" t="s">
        <v>3113</v>
      </c>
      <c r="AA2" s="113" t="str" cm="1">
        <f t="array" ref="AA2">INDEX(_xlfn._xlws.FILTER(SAF_Cand_Refinery[], _xlfn.TOCOL(SAF_Cand_Refinery[Filtered])=1),1,1)</f>
        <v>FOG</v>
      </c>
      <c r="AC2" s="108" t="s">
        <v>3125</v>
      </c>
      <c r="AD2" s="79"/>
      <c r="AE2" s="79"/>
      <c r="AG2" s="108" t="s">
        <v>3124</v>
      </c>
      <c r="AN2" s="108" t="s">
        <v>3115</v>
      </c>
      <c r="AW2" s="108" t="s">
        <v>3112</v>
      </c>
      <c r="BF2" s="108" t="s">
        <v>3116</v>
      </c>
      <c r="BO2" s="108" t="s">
        <v>3117</v>
      </c>
      <c r="BY2" s="108" t="s">
        <v>3123</v>
      </c>
      <c r="CI2" s="108" t="s">
        <v>3220</v>
      </c>
    </row>
    <row r="3" spans="1:88" ht="15.6" x14ac:dyDescent="0.3">
      <c r="A3" s="1" t="s">
        <v>13</v>
      </c>
      <c r="B3" s="1" t="s">
        <v>117</v>
      </c>
      <c r="C3" s="1" t="s">
        <v>118</v>
      </c>
      <c r="E3" t="b">
        <v>1</v>
      </c>
      <c r="F3" t="s">
        <v>14</v>
      </c>
      <c r="G3" t="s">
        <v>41</v>
      </c>
      <c r="H3" t="s">
        <v>14</v>
      </c>
      <c r="I3" t="s">
        <v>65</v>
      </c>
      <c r="J3" t="s">
        <v>17</v>
      </c>
      <c r="K3" t="s">
        <v>5</v>
      </c>
      <c r="L3" t="s">
        <v>7</v>
      </c>
      <c r="M3" t="str" cm="1">
        <f t="array" ref="M3:M5">_xlfn.UNIQUE(_xlfn._xlws.FILTER('Commodities and Processes'!F:F,('Commodities and Processes'!E:E="Process name:")*('Commodities and Processes'!F:F&lt;&gt;"")))</f>
        <v>makeSAF</v>
      </c>
      <c r="O3" t="str">
        <v>SAF</v>
      </c>
      <c r="P3" t="str">
        <v>blendSAF</v>
      </c>
      <c r="Q3" t="str">
        <v>Y</v>
      </c>
      <c r="R3" t="str">
        <f>IF(ISBLANK(O3),"",VLOOKUP(O3,'Commodities and Processes'!A:C,2,FALSE))</f>
        <v>liquid</v>
      </c>
      <c r="S3">
        <f>IF(ISBLANK(O3),"",VLOOKUP(O3,'Commodities and Processes'!A:C,3,FALSE))</f>
        <v>0</v>
      </c>
      <c r="V3" t="str">
        <v>blendSAF</v>
      </c>
      <c r="W3" t="str" cm="1">
        <f t="array" ref="W3">IF(ISBLANK(V3),"",_xlfn.CONCAT(_xlfn.UNIQUE(_xlfn._xlws.FILTER(R3:R2001,P3:P2001=V3))))</f>
        <v>liquid</v>
      </c>
      <c r="X3" t="str">
        <f t="shared" ref="X3:X66" si="0">IF(ISBLANK(V3),"",IF(W3="liquid","solidliquid","solid"))</f>
        <v>solidliquid</v>
      </c>
      <c r="Z3" s="112" t="s">
        <v>3114</v>
      </c>
      <c r="AA3" s="113" t="str" cm="1">
        <f t="array" ref="AA3">INDEX(_xlfn._xlws.FILTER(SAF_Cand_Refinery[], _xlfn.TOCOL(SAF_Cand_Refinery[Filtered])=1),1,4)</f>
        <v>HEFA</v>
      </c>
      <c r="AC3" s="1" t="s">
        <v>27</v>
      </c>
      <c r="AD3" s="1" t="s">
        <v>28</v>
      </c>
      <c r="AE3" s="1" t="s">
        <v>29</v>
      </c>
      <c r="AG3" s="1" t="s">
        <v>32</v>
      </c>
      <c r="AH3" t="s">
        <v>323</v>
      </c>
      <c r="AN3" s="1" t="s">
        <v>25</v>
      </c>
      <c r="AO3" s="1" t="s">
        <v>35</v>
      </c>
      <c r="AP3" s="1" t="s">
        <v>31</v>
      </c>
      <c r="AQ3" s="1" t="s">
        <v>24</v>
      </c>
      <c r="AR3" s="1" t="s">
        <v>36</v>
      </c>
      <c r="AS3" s="1" t="s">
        <v>44</v>
      </c>
      <c r="AT3" s="1" t="s">
        <v>196</v>
      </c>
      <c r="AU3" s="1" t="s">
        <v>45</v>
      </c>
      <c r="AW3" s="1" t="s">
        <v>25</v>
      </c>
      <c r="AX3" s="1" t="s">
        <v>35</v>
      </c>
      <c r="AY3" s="1" t="s">
        <v>31</v>
      </c>
      <c r="AZ3" s="1" t="s">
        <v>24</v>
      </c>
      <c r="BA3" s="1" t="s">
        <v>36</v>
      </c>
      <c r="BB3" s="1" t="s">
        <v>44</v>
      </c>
      <c r="BC3" s="1" t="s">
        <v>196</v>
      </c>
      <c r="BD3" s="1" t="s">
        <v>45</v>
      </c>
      <c r="BE3" s="106"/>
      <c r="BF3" s="1" t="s">
        <v>25</v>
      </c>
      <c r="BG3" s="1" t="s">
        <v>35</v>
      </c>
      <c r="BH3" s="1" t="s">
        <v>31</v>
      </c>
      <c r="BI3" s="1" t="s">
        <v>24</v>
      </c>
      <c r="BJ3" s="1" t="s">
        <v>36</v>
      </c>
      <c r="BK3" s="1" t="s">
        <v>44</v>
      </c>
      <c r="BL3" s="1" t="s">
        <v>196</v>
      </c>
      <c r="BM3" s="1" t="s">
        <v>45</v>
      </c>
      <c r="BN3" s="106"/>
      <c r="BO3" s="1" t="s">
        <v>25</v>
      </c>
      <c r="BP3" s="1" t="s">
        <v>35</v>
      </c>
      <c r="BQ3" s="1" t="s">
        <v>31</v>
      </c>
      <c r="BR3" s="1" t="s">
        <v>24</v>
      </c>
      <c r="BS3" s="1" t="s">
        <v>36</v>
      </c>
      <c r="BT3" s="1" t="s">
        <v>44</v>
      </c>
      <c r="BU3" s="1" t="s">
        <v>196</v>
      </c>
      <c r="BV3" s="1" t="s">
        <v>45</v>
      </c>
      <c r="BW3" s="1"/>
      <c r="BY3" s="1" t="s">
        <v>25</v>
      </c>
      <c r="BZ3" s="1" t="s">
        <v>35</v>
      </c>
      <c r="CA3" s="1" t="s">
        <v>31</v>
      </c>
      <c r="CB3" s="1" t="s">
        <v>24</v>
      </c>
      <c r="CC3" s="1" t="s">
        <v>36</v>
      </c>
      <c r="CD3" s="1" t="s">
        <v>44</v>
      </c>
      <c r="CE3" s="1" t="s">
        <v>196</v>
      </c>
      <c r="CF3" s="1" t="s">
        <v>45</v>
      </c>
      <c r="CI3" s="1" t="s">
        <v>3221</v>
      </c>
      <c r="CJ3" s="1" t="s">
        <v>3222</v>
      </c>
    </row>
    <row r="4" spans="1:88" ht="15.6" x14ac:dyDescent="0.3">
      <c r="A4" t="s">
        <v>0</v>
      </c>
      <c r="B4" t="s">
        <v>111</v>
      </c>
      <c r="E4" t="b">
        <v>0</v>
      </c>
      <c r="F4" t="s">
        <v>15</v>
      </c>
      <c r="G4" t="s">
        <v>42</v>
      </c>
      <c r="H4" t="s">
        <v>15</v>
      </c>
      <c r="I4" t="s">
        <v>66</v>
      </c>
      <c r="J4" t="s">
        <v>19</v>
      </c>
      <c r="K4" t="s">
        <v>22</v>
      </c>
      <c r="L4" t="s">
        <v>23</v>
      </c>
      <c r="M4" t="str">
        <v>blendSAF</v>
      </c>
      <c r="O4" t="str">
        <v>FOG</v>
      </c>
      <c r="P4">
        <v>0</v>
      </c>
      <c r="Q4">
        <v>0</v>
      </c>
      <c r="R4" t="str">
        <f>IF(ISBLANK(O4),"",VLOOKUP(O4,'Commodities and Processes'!A:C,2,FALSE))</f>
        <v>solid</v>
      </c>
      <c r="S4">
        <f>IF(ISBLANK(O4),"",VLOOKUP(O4,'Commodities and Processes'!A:C,3,FALSE))</f>
        <v>500</v>
      </c>
      <c r="V4">
        <v>0</v>
      </c>
      <c r="W4" t="str" cm="1">
        <f t="array" ref="W4">IF(ISBLANK(V4),"",_xlfn.CONCAT(_xlfn.UNIQUE(_xlfn._xlws.FILTER(R4:R2002,P4:P2002=V4))))</f>
        <v>solid</v>
      </c>
      <c r="X4" t="str">
        <f t="shared" si="0"/>
        <v>solid</v>
      </c>
      <c r="Z4" s="112" t="s">
        <v>3227</v>
      </c>
      <c r="AA4" s="152">
        <f>'SAF Filters'!S9</f>
        <v>1</v>
      </c>
      <c r="AC4" s="114" t="s">
        <v>322</v>
      </c>
      <c r="AD4" s="145" t="s">
        <v>22</v>
      </c>
      <c r="AE4" s="115"/>
      <c r="AG4" s="1" t="s">
        <v>6</v>
      </c>
      <c r="AH4" t="s">
        <v>23</v>
      </c>
      <c r="AN4" s="119" t="str" cm="1">
        <f t="array" ref="AN4:AU4">_xlfn.UNIQUE(_xlfn._xlws.FILTER(_xlfn._xlws.FILTER(SAF_Cand_Refinery[], _xlfn.TOCOL(SAF_Cand_Refinery[Filtered])=1), {0,0,0,0,0,0,0,0,0,0,0,1,1,1,1,1,1,1,1}))</f>
        <v>processor</v>
      </c>
      <c r="AO4" s="120" t="str">
        <v>cand_HEFA_FOG</v>
      </c>
      <c r="AP4" s="120" t="str">
        <v>makeSAF</v>
      </c>
      <c r="AQ4" s="120">
        <v>1142151.7654722061</v>
      </c>
      <c r="AR4" s="120" t="str">
        <v>tons</v>
      </c>
      <c r="AS4" s="120">
        <v>571075.88273610303</v>
      </c>
      <c r="AT4" s="120">
        <v>114215.17654722062</v>
      </c>
      <c r="AU4" s="121">
        <v>32231836.200000003</v>
      </c>
      <c r="AW4" t="str" cm="1">
        <f t="array" ref="AW4:BD5">IFERROR(_xlfn.LET(_xlpm.a, _xlfn._xlws.FILTER(_xlfn._xlws.FILTER(SAF_Existing_Refinery[], (SAF_Existing_Refinery[Filtered]=1)*(SAF_Existing_Refinery[Feedstock]=AA2)*(SAF_Existing_Refinery[Process]=AA3)),{0,0,0,0,0,0,0,0,1,1,1,1,1,1,1,1}), IF(_xlpm.a=0,"",_xlpm.a)),_xlfn.EXPAND("",1,8,""))</f>
        <v>processor</v>
      </c>
      <c r="AX4" t="str">
        <v>refinery_87</v>
      </c>
      <c r="AY4" t="str">
        <v>makeSAF_Existing</v>
      </c>
      <c r="AZ4">
        <v>1808015.6183272291</v>
      </c>
      <c r="BA4" t="str">
        <v>tons</v>
      </c>
      <c r="BB4" t="str">
        <v/>
      </c>
      <c r="BC4" t="str">
        <v/>
      </c>
      <c r="BD4" t="str">
        <v/>
      </c>
      <c r="BF4" t="str" cm="1">
        <f t="array" ref="BF4:BM47">IFERROR(_xlfn.LET(_xlpm.a, _xlfn._xlws.FILTER(_xlfn._xlws.FILTER(SAF_Blender[], SAF_Blender[Filtered]=1),{0,0,0,0,1,1,1,1,1,1,1,1}), IF(_xlpm.a=0,"",_xlpm.a)),_xlfn.EXPAND("",1,8,""))</f>
        <v>processor</v>
      </c>
      <c r="BG4" t="str">
        <v>blend_3192</v>
      </c>
      <c r="BH4" t="str">
        <v>blendSAF</v>
      </c>
      <c r="BI4" t="str">
        <v/>
      </c>
      <c r="BJ4" t="str">
        <v/>
      </c>
      <c r="BK4" t="str">
        <v/>
      </c>
      <c r="BL4" t="str">
        <v/>
      </c>
      <c r="BM4" t="str">
        <v/>
      </c>
      <c r="BO4" t="str" cm="1">
        <f t="array" ref="BO4:BV4">IFERROR(_xlfn.LET(_xlpm.a, _xlfn._xlws.FILTER(_xlfn._xlws.FILTER(SAF_Airport[], SAF_Airport[Filtered]=1),{0,0,0,0,0,1,1,1,1,1,1,1,1}), IF(_xlpm.a=0,"",_xlpm.a)),_xlfn.EXPAND("",1,8,""))</f>
        <v>ultimate_destination</v>
      </c>
      <c r="BP4" t="str">
        <v>airport_sea</v>
      </c>
      <c r="BQ4" t="str">
        <v>fuel_blend</v>
      </c>
      <c r="BR4">
        <v>692000000</v>
      </c>
      <c r="BS4" t="str">
        <v>gallons</v>
      </c>
      <c r="BT4" t="str">
        <v/>
      </c>
      <c r="BU4" t="str">
        <v/>
      </c>
      <c r="BV4" t="str">
        <v/>
      </c>
      <c r="BY4" t="str" cm="1">
        <f t="array" ref="BY4:CF51">IF('SAF Filters'!J37="Y",_xlfn.VSTACK(_xlfn.ANCHORARRAY(AN4),_xlfn.ANCHORARRAY(BF4),_xlfn.ANCHORARRAY(BO4),_xlfn.ANCHORARRAY(AW4)),_xlfn.VSTACK(_xlfn.ANCHORARRAY(AN4),_xlfn.ANCHORARRAY(BF4),_xlfn.ANCHORARRAY(BO4)))</f>
        <v>processor</v>
      </c>
      <c r="BZ4" t="str">
        <v>cand_HEFA_FOG</v>
      </c>
      <c r="CA4" t="str">
        <v>makeSAF</v>
      </c>
      <c r="CB4">
        <v>1142151.7654722061</v>
      </c>
      <c r="CC4" t="str">
        <v>tons</v>
      </c>
      <c r="CD4">
        <v>571075.88273610303</v>
      </c>
      <c r="CE4">
        <v>114215.17654722062</v>
      </c>
      <c r="CF4">
        <v>32231836.200000003</v>
      </c>
      <c r="CI4" t="s">
        <v>184</v>
      </c>
      <c r="CJ4">
        <f>COUNTIFS(SAF_State[State],Notes!CI4,SAF_State[Filtered],1)</f>
        <v>0</v>
      </c>
    </row>
    <row r="5" spans="1:88" x14ac:dyDescent="0.3">
      <c r="A5" t="s">
        <v>1</v>
      </c>
      <c r="B5" t="s">
        <v>111</v>
      </c>
      <c r="F5" t="s">
        <v>39</v>
      </c>
      <c r="G5" t="s">
        <v>43</v>
      </c>
      <c r="H5" t="s">
        <v>39</v>
      </c>
      <c r="I5" t="s">
        <v>67</v>
      </c>
      <c r="J5" t="s">
        <v>18</v>
      </c>
      <c r="M5" t="str">
        <v>makeSAF_Existing</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6" t="s">
        <v>325</v>
      </c>
      <c r="AD5" s="144" t="s">
        <v>22</v>
      </c>
      <c r="AE5" s="117"/>
      <c r="AG5" s="1" t="s">
        <v>20</v>
      </c>
      <c r="AH5" s="1" t="s">
        <v>241</v>
      </c>
      <c r="AI5" s="1" t="s">
        <v>244</v>
      </c>
      <c r="AJ5" s="1" t="s">
        <v>21</v>
      </c>
      <c r="AK5" s="1" t="s">
        <v>243</v>
      </c>
      <c r="AL5" s="1" t="s">
        <v>242</v>
      </c>
      <c r="AW5" t="str">
        <v>processor</v>
      </c>
      <c r="AX5" t="str">
        <v>refinery_89</v>
      </c>
      <c r="AY5" t="str">
        <v>makeSAF_Existing</v>
      </c>
      <c r="AZ5">
        <v>4700840.607650795</v>
      </c>
      <c r="BA5" t="str">
        <v>tons</v>
      </c>
      <c r="BB5" t="str">
        <v/>
      </c>
      <c r="BC5" t="str">
        <v/>
      </c>
      <c r="BD5" t="str">
        <v/>
      </c>
      <c r="BF5" t="str">
        <v>processor</v>
      </c>
      <c r="BG5" t="str">
        <v>blend_3809</v>
      </c>
      <c r="BH5" t="str">
        <v>blendSAF</v>
      </c>
      <c r="BI5" t="str">
        <v/>
      </c>
      <c r="BJ5" t="str">
        <v/>
      </c>
      <c r="BK5" t="str">
        <v/>
      </c>
      <c r="BL5" t="str">
        <v/>
      </c>
      <c r="BM5" t="str">
        <v/>
      </c>
      <c r="BY5" t="str">
        <v>processor</v>
      </c>
      <c r="BZ5" t="str">
        <v>blend_3192</v>
      </c>
      <c r="CA5" t="str">
        <v>blendSAF</v>
      </c>
      <c r="CB5" t="str">
        <v/>
      </c>
      <c r="CC5" t="str">
        <v/>
      </c>
      <c r="CD5" t="str">
        <v/>
      </c>
      <c r="CE5" t="str">
        <v/>
      </c>
      <c r="CF5" t="str">
        <v/>
      </c>
      <c r="CI5" t="s">
        <v>170</v>
      </c>
      <c r="CJ5">
        <f>COUNTIFS(SAF_State[State],Notes!CI5,SAF_State[Filtered],1)</f>
        <v>0</v>
      </c>
    </row>
    <row r="6" spans="1:88" x14ac:dyDescent="0.3">
      <c r="A6" t="s">
        <v>51</v>
      </c>
      <c r="B6" t="s">
        <v>134</v>
      </c>
      <c r="F6" t="s">
        <v>40</v>
      </c>
      <c r="H6" t="s">
        <v>40</v>
      </c>
      <c r="I6" t="s">
        <v>68</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8" t="str" cm="1">
        <f t="array" ref="AC6:AD6">_xlfn.UNIQUE(INDEX(_xlfn._xlws.FILTER(_xlfn._xlws.FILTER(SAF_Cand_Refinery[], _xlfn.TOCOL(SAF_Cand_Refinery[Filtered])=1), {1,0,1,0,0,0,0,0,0,0,0,0,0,0,0,0,0,0,0}),0))</f>
        <v>FOG</v>
      </c>
      <c r="AD6" s="146" t="str">
        <v>solid</v>
      </c>
      <c r="AE6" s="147">
        <f>'SAF Filters'!S17</f>
        <v>500</v>
      </c>
      <c r="AG6" s="119" t="str" cm="1">
        <f t="array" ref="AG6:AL6">_xlfn.UNIQUE(_xlfn._xlws.FILTER(_xlfn._xlws.FILTER(SAF_Cand_Refinery[], _xlfn.TOCOL(SAF_Cand_Refinery[Filtered])=1), {1,0,0,0,0,0,1,1,1,1,1,0,0,0,0,0,0,0,0}))</f>
        <v>FOG</v>
      </c>
      <c r="AH6" s="120">
        <v>1</v>
      </c>
      <c r="AI6" s="120" t="str">
        <v>tons</v>
      </c>
      <c r="AJ6" s="120" t="str">
        <v>SAF</v>
      </c>
      <c r="AK6" s="120">
        <v>127.21129047148131</v>
      </c>
      <c r="AL6" s="121" t="str">
        <v>gallon</v>
      </c>
      <c r="BF6" t="str">
        <v>processor</v>
      </c>
      <c r="BG6" t="str">
        <v>blend_3810</v>
      </c>
      <c r="BH6" t="str">
        <v>blendSAF</v>
      </c>
      <c r="BI6" t="str">
        <v/>
      </c>
      <c r="BJ6" t="str">
        <v/>
      </c>
      <c r="BK6" t="str">
        <v/>
      </c>
      <c r="BL6" t="str">
        <v/>
      </c>
      <c r="BM6" t="str">
        <v/>
      </c>
      <c r="BY6" t="str">
        <v>processor</v>
      </c>
      <c r="BZ6" t="str">
        <v>blend_3809</v>
      </c>
      <c r="CA6" t="str">
        <v>blendSAF</v>
      </c>
      <c r="CB6" t="str">
        <v/>
      </c>
      <c r="CC6" t="str">
        <v/>
      </c>
      <c r="CD6" t="str">
        <v/>
      </c>
      <c r="CE6" t="str">
        <v/>
      </c>
      <c r="CF6" t="str">
        <v/>
      </c>
      <c r="CI6" t="s">
        <v>158</v>
      </c>
      <c r="CJ6">
        <f>COUNTIFS(SAF_State[State],Notes!CI6,SAF_State[Filtered],1)</f>
        <v>0</v>
      </c>
    </row>
    <row r="7" spans="1:88" x14ac:dyDescent="0.3">
      <c r="A7" t="s">
        <v>52</v>
      </c>
      <c r="B7" t="s">
        <v>135</v>
      </c>
      <c r="H7" t="s">
        <v>41</v>
      </c>
      <c r="R7" t="str">
        <f>IF(ISBLANK(O7),"",VLOOKUP(O7,'Commodities and Processes'!A:C,2,FALSE))</f>
        <v/>
      </c>
      <c r="S7" t="str">
        <f>IF(ISBLANK(O7),"",VLOOKUP(O7,'Commodities and Processes'!A:C,3,FALSE))</f>
        <v/>
      </c>
      <c r="W7" t="str" cm="1">
        <f t="array" ref="W7">IF(ISBLANK(V7),"",_xlfn.CONCAT(_xlfn.UNIQUE(_xlfn._xlws.FILTER(R7:R2005,P7:P2005=V7))))</f>
        <v/>
      </c>
      <c r="X7" t="str">
        <f t="shared" si="0"/>
        <v/>
      </c>
      <c r="BF7" t="str">
        <v>processor</v>
      </c>
      <c r="BG7" t="str">
        <v>blend_3813</v>
      </c>
      <c r="BH7" t="str">
        <v>blendSAF</v>
      </c>
      <c r="BI7" t="str">
        <v/>
      </c>
      <c r="BJ7" t="str">
        <v/>
      </c>
      <c r="BK7" t="str">
        <v/>
      </c>
      <c r="BL7" t="str">
        <v/>
      </c>
      <c r="BM7" t="str">
        <v/>
      </c>
      <c r="BY7" t="str">
        <v>processor</v>
      </c>
      <c r="BZ7" t="str">
        <v>blend_3810</v>
      </c>
      <c r="CA7" t="str">
        <v>blendSAF</v>
      </c>
      <c r="CB7" t="str">
        <v/>
      </c>
      <c r="CC7" t="str">
        <v/>
      </c>
      <c r="CD7" t="str">
        <v/>
      </c>
      <c r="CE7" t="str">
        <v/>
      </c>
      <c r="CF7" t="str">
        <v/>
      </c>
      <c r="CI7" t="s">
        <v>166</v>
      </c>
      <c r="CJ7">
        <f>COUNTIFS(SAF_State[State],Notes!CI7,SAF_State[Filtered],1)</f>
        <v>0</v>
      </c>
    </row>
    <row r="8" spans="1:88" x14ac:dyDescent="0.3">
      <c r="A8" t="s">
        <v>49</v>
      </c>
      <c r="B8" t="s">
        <v>136</v>
      </c>
      <c r="H8" t="s">
        <v>42</v>
      </c>
      <c r="R8" t="str">
        <f>IF(ISBLANK(O8),"",VLOOKUP(O8,'Commodities and Processes'!A:C,2,FALSE))</f>
        <v/>
      </c>
      <c r="S8" t="str">
        <f>IF(ISBLANK(O8),"",VLOOKUP(O8,'Commodities and Processes'!A:C,3,FALSE))</f>
        <v/>
      </c>
      <c r="W8" t="str" cm="1">
        <f t="array" ref="W8">IF(ISBLANK(V8),"",_xlfn.CONCAT(_xlfn.UNIQUE(_xlfn._xlws.FILTER(R8:R2006,P8:P2006=V8))))</f>
        <v/>
      </c>
      <c r="X8" t="str">
        <f t="shared" si="0"/>
        <v/>
      </c>
      <c r="AG8" s="1" t="s">
        <v>32</v>
      </c>
      <c r="AH8" t="s">
        <v>326</v>
      </c>
      <c r="BF8" t="str">
        <v>processor</v>
      </c>
      <c r="BG8" t="str">
        <v>blend_4143</v>
      </c>
      <c r="BH8" t="str">
        <v>blendSAF</v>
      </c>
      <c r="BI8" t="str">
        <v/>
      </c>
      <c r="BJ8" t="str">
        <v/>
      </c>
      <c r="BK8" t="str">
        <v/>
      </c>
      <c r="BL8" t="str">
        <v/>
      </c>
      <c r="BM8" t="str">
        <v/>
      </c>
      <c r="BY8" t="str">
        <v>processor</v>
      </c>
      <c r="BZ8" t="str">
        <v>blend_3813</v>
      </c>
      <c r="CA8" t="str">
        <v>blendSAF</v>
      </c>
      <c r="CB8" t="str">
        <v/>
      </c>
      <c r="CC8" t="str">
        <v/>
      </c>
      <c r="CD8" t="str">
        <v/>
      </c>
      <c r="CE8" t="str">
        <v/>
      </c>
      <c r="CF8" t="str">
        <v/>
      </c>
      <c r="CI8" t="s">
        <v>165</v>
      </c>
      <c r="CJ8">
        <f>COUNTIFS(SAF_State[State],Notes!CI8,SAF_State[Filtered],1)</f>
        <v>0</v>
      </c>
    </row>
    <row r="9" spans="1:88" x14ac:dyDescent="0.3">
      <c r="A9" t="s">
        <v>50</v>
      </c>
      <c r="B9" t="s">
        <v>111</v>
      </c>
      <c r="H9" t="s">
        <v>43</v>
      </c>
      <c r="R9" t="str">
        <f>IF(ISBLANK(O9),"",VLOOKUP(O9,'Commodities and Processes'!A:C,2,FALSE))</f>
        <v/>
      </c>
      <c r="S9" t="str">
        <f>IF(ISBLANK(O9),"",VLOOKUP(O9,'Commodities and Processes'!A:C,3,FALSE))</f>
        <v/>
      </c>
      <c r="W9" t="str" cm="1">
        <f t="array" ref="W9">IF(ISBLANK(V9),"",_xlfn.CONCAT(_xlfn.UNIQUE(_xlfn._xlws.FILTER(R9:R2007,P9:P2007=V9))))</f>
        <v/>
      </c>
      <c r="X9" t="str">
        <f t="shared" si="0"/>
        <v/>
      </c>
      <c r="AG9" s="1" t="s">
        <v>6</v>
      </c>
      <c r="AH9" t="s">
        <v>7</v>
      </c>
      <c r="BF9" t="str">
        <v>processor</v>
      </c>
      <c r="BG9" t="str">
        <v>blend_4155</v>
      </c>
      <c r="BH9" t="str">
        <v>blendSAF</v>
      </c>
      <c r="BI9" t="str">
        <v/>
      </c>
      <c r="BJ9" t="str">
        <v/>
      </c>
      <c r="BK9" t="str">
        <v/>
      </c>
      <c r="BL9" t="str">
        <v/>
      </c>
      <c r="BM9" t="str">
        <v/>
      </c>
      <c r="BY9" t="str">
        <v>processor</v>
      </c>
      <c r="BZ9" t="str">
        <v>blend_4143</v>
      </c>
      <c r="CA9" t="str">
        <v>blendSAF</v>
      </c>
      <c r="CB9" t="str">
        <v/>
      </c>
      <c r="CC9" t="str">
        <v/>
      </c>
      <c r="CD9" t="str">
        <v/>
      </c>
      <c r="CE9" t="str">
        <v/>
      </c>
      <c r="CF9" t="str">
        <v/>
      </c>
      <c r="CI9" t="s">
        <v>157</v>
      </c>
      <c r="CJ9">
        <f>COUNTIFS(SAF_State[State],Notes!CI9,SAF_State[Filtered],1)</f>
        <v>0</v>
      </c>
    </row>
    <row r="10" spans="1:88" x14ac:dyDescent="0.3">
      <c r="A10" t="s">
        <v>207</v>
      </c>
      <c r="B10" t="s">
        <v>112</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G10" s="1" t="s">
        <v>20</v>
      </c>
      <c r="AH10" s="1" t="s">
        <v>241</v>
      </c>
      <c r="AI10" s="1" t="s">
        <v>244</v>
      </c>
      <c r="AJ10" s="1" t="s">
        <v>21</v>
      </c>
      <c r="AK10" s="1" t="s">
        <v>243</v>
      </c>
      <c r="AL10" s="1" t="s">
        <v>242</v>
      </c>
      <c r="BF10" t="str">
        <v>processor</v>
      </c>
      <c r="BG10" t="str">
        <v>blend_4156</v>
      </c>
      <c r="BH10" t="str">
        <v>blendSAF</v>
      </c>
      <c r="BI10" t="str">
        <v/>
      </c>
      <c r="BJ10" t="str">
        <v/>
      </c>
      <c r="BK10" t="str">
        <v/>
      </c>
      <c r="BL10" t="str">
        <v/>
      </c>
      <c r="BM10" t="str">
        <v/>
      </c>
      <c r="BY10" t="str">
        <v>processor</v>
      </c>
      <c r="BZ10" t="str">
        <v>blend_4155</v>
      </c>
      <c r="CA10" t="str">
        <v>blendSAF</v>
      </c>
      <c r="CB10" t="str">
        <v/>
      </c>
      <c r="CC10" t="str">
        <v/>
      </c>
      <c r="CD10" t="str">
        <v/>
      </c>
      <c r="CE10" t="str">
        <v/>
      </c>
      <c r="CF10" t="str">
        <v/>
      </c>
      <c r="CI10" t="s">
        <v>156</v>
      </c>
      <c r="CJ10">
        <f>COUNTIFS(SAF_State[State],Notes!CI10,SAF_State[Filtered],1)</f>
        <v>0</v>
      </c>
    </row>
    <row r="11" spans="1:88" x14ac:dyDescent="0.3">
      <c r="A11" t="s">
        <v>208</v>
      </c>
      <c r="B11" t="s">
        <v>112</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G11" s="119" t="s">
        <v>322</v>
      </c>
      <c r="AH11" s="120">
        <v>1</v>
      </c>
      <c r="AI11" s="120" t="s">
        <v>42</v>
      </c>
      <c r="AJ11" s="120" t="s">
        <v>325</v>
      </c>
      <c r="AK11" s="120">
        <f>1/'SAF Filters'!T52</f>
        <v>2</v>
      </c>
      <c r="AL11" s="121" t="s">
        <v>42</v>
      </c>
      <c r="BF11" t="str">
        <v>processor</v>
      </c>
      <c r="BG11" t="str">
        <v>blend_4364</v>
      </c>
      <c r="BH11" t="str">
        <v>blendSAF</v>
      </c>
      <c r="BI11" t="str">
        <v/>
      </c>
      <c r="BJ11" t="str">
        <v/>
      </c>
      <c r="BK11" t="str">
        <v/>
      </c>
      <c r="BL11" t="str">
        <v/>
      </c>
      <c r="BM11" t="str">
        <v/>
      </c>
      <c r="BY11" t="str">
        <v>processor</v>
      </c>
      <c r="BZ11" t="str">
        <v>blend_4156</v>
      </c>
      <c r="CA11" t="str">
        <v>blendSAF</v>
      </c>
      <c r="CB11" t="str">
        <v/>
      </c>
      <c r="CC11" t="str">
        <v/>
      </c>
      <c r="CD11" t="str">
        <v/>
      </c>
      <c r="CE11" t="str">
        <v/>
      </c>
      <c r="CF11" t="str">
        <v/>
      </c>
      <c r="CI11" t="s">
        <v>150</v>
      </c>
      <c r="CJ11">
        <f>COUNTIFS(SAF_State[State],Notes!CI11,SAF_State[Filtered],1)</f>
        <v>0</v>
      </c>
    </row>
    <row r="12" spans="1:88" x14ac:dyDescent="0.3">
      <c r="A12" t="s">
        <v>209</v>
      </c>
      <c r="B12" t="s">
        <v>112</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BF12" t="str">
        <v>processor</v>
      </c>
      <c r="BG12" t="str">
        <v>blend_3121</v>
      </c>
      <c r="BH12" t="str">
        <v>blendSAF</v>
      </c>
      <c r="BI12" t="str">
        <v/>
      </c>
      <c r="BJ12" t="str">
        <v/>
      </c>
      <c r="BK12" t="str">
        <v/>
      </c>
      <c r="BL12" t="str">
        <v/>
      </c>
      <c r="BM12" t="str">
        <v/>
      </c>
      <c r="BY12" t="str">
        <v>processor</v>
      </c>
      <c r="BZ12" t="str">
        <v>blend_4364</v>
      </c>
      <c r="CA12" t="str">
        <v>blendSAF</v>
      </c>
      <c r="CB12" t="str">
        <v/>
      </c>
      <c r="CC12" t="str">
        <v/>
      </c>
      <c r="CD12" t="str">
        <v/>
      </c>
      <c r="CE12" t="str">
        <v/>
      </c>
      <c r="CF12" t="str">
        <v/>
      </c>
      <c r="CI12" t="s">
        <v>178</v>
      </c>
      <c r="CJ12">
        <f>COUNTIFS(SAF_State[State],Notes!CI12,SAF_State[Filtered],1)</f>
        <v>0</v>
      </c>
    </row>
    <row r="13" spans="1:88" x14ac:dyDescent="0.3">
      <c r="A13" t="s">
        <v>94</v>
      </c>
      <c r="B13" t="s">
        <v>137</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G13" s="1" t="s">
        <v>32</v>
      </c>
      <c r="AH13" t="s">
        <v>327</v>
      </c>
      <c r="BF13" t="str">
        <v>processor</v>
      </c>
      <c r="BG13" t="str">
        <v>blend_3266</v>
      </c>
      <c r="BH13" t="str">
        <v>blendSAF</v>
      </c>
      <c r="BI13" t="str">
        <v/>
      </c>
      <c r="BJ13" t="str">
        <v/>
      </c>
      <c r="BK13" t="str">
        <v/>
      </c>
      <c r="BL13" t="str">
        <v/>
      </c>
      <c r="BM13" t="str">
        <v/>
      </c>
      <c r="BY13" t="str">
        <v>processor</v>
      </c>
      <c r="BZ13" t="str">
        <v>blend_3121</v>
      </c>
      <c r="CA13" t="str">
        <v>blendSAF</v>
      </c>
      <c r="CB13" t="str">
        <v/>
      </c>
      <c r="CC13" t="str">
        <v/>
      </c>
      <c r="CD13" t="str">
        <v/>
      </c>
      <c r="CE13" t="str">
        <v/>
      </c>
      <c r="CF13" t="str">
        <v/>
      </c>
      <c r="CI13" t="s">
        <v>180</v>
      </c>
      <c r="CJ13">
        <f>COUNTIFS(SAF_State[State],Notes!CI13,SAF_State[Filtered],1)</f>
        <v>1</v>
      </c>
    </row>
    <row r="14" spans="1:88" x14ac:dyDescent="0.3">
      <c r="A14" t="s">
        <v>95</v>
      </c>
      <c r="B14" t="s">
        <v>137</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G14" s="1" t="s">
        <v>6</v>
      </c>
      <c r="AH14" t="s">
        <v>7</v>
      </c>
      <c r="BF14" t="str">
        <v>processor</v>
      </c>
      <c r="BG14" t="str">
        <v>blend_3520</v>
      </c>
      <c r="BH14" t="str">
        <v>blendSAF</v>
      </c>
      <c r="BI14" t="str">
        <v/>
      </c>
      <c r="BJ14" t="str">
        <v/>
      </c>
      <c r="BK14" t="str">
        <v/>
      </c>
      <c r="BL14" t="str">
        <v/>
      </c>
      <c r="BM14" t="str">
        <v/>
      </c>
      <c r="BY14" t="str">
        <v>processor</v>
      </c>
      <c r="BZ14" t="str">
        <v>blend_3266</v>
      </c>
      <c r="CA14" t="str">
        <v>blendSAF</v>
      </c>
      <c r="CB14" t="str">
        <v/>
      </c>
      <c r="CC14" t="str">
        <v/>
      </c>
      <c r="CD14" t="str">
        <v/>
      </c>
      <c r="CE14" t="str">
        <v/>
      </c>
      <c r="CF14" t="str">
        <v/>
      </c>
      <c r="CI14" t="s">
        <v>192</v>
      </c>
      <c r="CJ14">
        <f>COUNTIFS(SAF_State[State],Notes!CI14,SAF_State[Filtered],1)</f>
        <v>0</v>
      </c>
    </row>
    <row r="15" spans="1:88" x14ac:dyDescent="0.3">
      <c r="A15" t="s">
        <v>96</v>
      </c>
      <c r="B15" t="s">
        <v>137</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G15" s="1" t="s">
        <v>20</v>
      </c>
      <c r="AH15" s="1" t="s">
        <v>241</v>
      </c>
      <c r="AI15" s="1" t="s">
        <v>244</v>
      </c>
      <c r="AJ15" s="1" t="s">
        <v>21</v>
      </c>
      <c r="AK15" s="1" t="s">
        <v>243</v>
      </c>
      <c r="AL15" s="1" t="s">
        <v>242</v>
      </c>
      <c r="BF15" t="str">
        <v>processor</v>
      </c>
      <c r="BG15" t="str">
        <v>blend_3526</v>
      </c>
      <c r="BH15" t="str">
        <v>blendSAF</v>
      </c>
      <c r="BI15" t="str">
        <v/>
      </c>
      <c r="BJ15" t="str">
        <v/>
      </c>
      <c r="BK15" t="str">
        <v/>
      </c>
      <c r="BL15" t="str">
        <v/>
      </c>
      <c r="BM15" t="str">
        <v/>
      </c>
      <c r="BY15" t="str">
        <v>processor</v>
      </c>
      <c r="BZ15" t="str">
        <v>blend_3520</v>
      </c>
      <c r="CA15" t="str">
        <v>blendSAF</v>
      </c>
      <c r="CB15" t="str">
        <v/>
      </c>
      <c r="CC15" t="str">
        <v/>
      </c>
      <c r="CD15" t="str">
        <v/>
      </c>
      <c r="CE15" t="str">
        <v/>
      </c>
      <c r="CF15" t="str">
        <v/>
      </c>
      <c r="CI15" t="s">
        <v>155</v>
      </c>
      <c r="CJ15">
        <f>COUNTIFS(SAF_State[State],Notes!CI15,SAF_State[Filtered],1)</f>
        <v>1</v>
      </c>
    </row>
    <row r="16" spans="1:88" x14ac:dyDescent="0.3">
      <c r="A16" t="s">
        <v>97</v>
      </c>
      <c r="B16" t="s">
        <v>137</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G16" s="119" t="str" cm="1">
        <f t="array" ref="AG16:AL16">_xlfn.UNIQUE(_xlfn._xlws.FILTER(_xlfn._xlws.FILTER(SAF_Cand_Refinery[], _xlfn.TOCOL(SAF_Cand_Refinery[Filtered])=1), {1,0,0,0,0,0,1,1,1,1,1,0,0,0,0,0,0,0,0}))</f>
        <v>FOG</v>
      </c>
      <c r="AH16" s="120">
        <v>1</v>
      </c>
      <c r="AI16" s="120" t="str">
        <v>tons</v>
      </c>
      <c r="AJ16" s="120" t="str">
        <v>SAF</v>
      </c>
      <c r="AK16" s="120">
        <v>127.21129047148131</v>
      </c>
      <c r="AL16" s="121" t="str">
        <v>gallon</v>
      </c>
      <c r="BF16" t="str">
        <v>processor</v>
      </c>
      <c r="BG16" t="str">
        <v>blend_3797</v>
      </c>
      <c r="BH16" t="str">
        <v>blendSAF</v>
      </c>
      <c r="BI16" t="str">
        <v/>
      </c>
      <c r="BJ16" t="str">
        <v/>
      </c>
      <c r="BK16" t="str">
        <v/>
      </c>
      <c r="BL16" t="str">
        <v/>
      </c>
      <c r="BM16" t="str">
        <v/>
      </c>
      <c r="BY16" t="str">
        <v>processor</v>
      </c>
      <c r="BZ16" t="str">
        <v>blend_3526</v>
      </c>
      <c r="CA16" t="str">
        <v>blendSAF</v>
      </c>
      <c r="CB16" t="str">
        <v/>
      </c>
      <c r="CC16" t="str">
        <v/>
      </c>
      <c r="CD16" t="str">
        <v/>
      </c>
      <c r="CE16" t="str">
        <v/>
      </c>
      <c r="CF16" t="str">
        <v/>
      </c>
      <c r="CI16" t="s">
        <v>154</v>
      </c>
      <c r="CJ16">
        <f>COUNTIFS(SAF_State[State],Notes!CI16,SAF_State[Filtered],1)</f>
        <v>0</v>
      </c>
    </row>
    <row r="17" spans="1:88" x14ac:dyDescent="0.3">
      <c r="A17" t="s">
        <v>98</v>
      </c>
      <c r="B17" t="s">
        <v>137</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G17" s="143" t="s">
        <v>3175</v>
      </c>
      <c r="BF17" t="str">
        <v>processor</v>
      </c>
      <c r="BG17" t="str">
        <v>blend_3832</v>
      </c>
      <c r="BH17" t="str">
        <v>blendSAF</v>
      </c>
      <c r="BI17" t="str">
        <v/>
      </c>
      <c r="BJ17" t="str">
        <v/>
      </c>
      <c r="BK17" t="str">
        <v/>
      </c>
      <c r="BL17" t="str">
        <v/>
      </c>
      <c r="BM17" t="str">
        <v/>
      </c>
      <c r="BY17" t="str">
        <v>processor</v>
      </c>
      <c r="BZ17" t="str">
        <v>blend_3797</v>
      </c>
      <c r="CA17" t="str">
        <v>blendSAF</v>
      </c>
      <c r="CB17" t="str">
        <v/>
      </c>
      <c r="CC17" t="str">
        <v/>
      </c>
      <c r="CD17" t="str">
        <v/>
      </c>
      <c r="CE17" t="str">
        <v/>
      </c>
      <c r="CF17" t="str">
        <v/>
      </c>
      <c r="CI17" t="s">
        <v>168</v>
      </c>
      <c r="CJ17">
        <f>COUNTIFS(SAF_State[State],Notes!CI17,SAF_State[Filtered],1)</f>
        <v>0</v>
      </c>
    </row>
    <row r="18" spans="1:88" x14ac:dyDescent="0.3">
      <c r="A18" t="s">
        <v>2</v>
      </c>
      <c r="B18" t="s">
        <v>112</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G18" s="143"/>
      <c r="BF18" t="str">
        <v>processor</v>
      </c>
      <c r="BG18" t="str">
        <v>blend_3916</v>
      </c>
      <c r="BH18" t="str">
        <v>blendSAF</v>
      </c>
      <c r="BI18" t="str">
        <v/>
      </c>
      <c r="BJ18" t="str">
        <v/>
      </c>
      <c r="BK18" t="str">
        <v/>
      </c>
      <c r="BL18" t="str">
        <v/>
      </c>
      <c r="BM18" t="str">
        <v/>
      </c>
      <c r="BY18" t="str">
        <v>processor</v>
      </c>
      <c r="BZ18" t="str">
        <v>blend_3832</v>
      </c>
      <c r="CA18" t="str">
        <v>blendSAF</v>
      </c>
      <c r="CB18" t="str">
        <v/>
      </c>
      <c r="CC18" t="str">
        <v/>
      </c>
      <c r="CD18" t="str">
        <v/>
      </c>
      <c r="CE18" t="str">
        <v/>
      </c>
      <c r="CF18" t="str">
        <v/>
      </c>
      <c r="CI18" t="s">
        <v>177</v>
      </c>
      <c r="CJ18">
        <f>COUNTIFS(SAF_State[State],Notes!CI18,SAF_State[Filtered],1)</f>
        <v>0</v>
      </c>
    </row>
    <row r="19" spans="1:88" x14ac:dyDescent="0.3">
      <c r="A19" t="s">
        <v>3</v>
      </c>
      <c r="B19" t="s">
        <v>112</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BF19" t="str">
        <v>processor</v>
      </c>
      <c r="BG19" t="str">
        <v>blend_3939</v>
      </c>
      <c r="BH19" t="str">
        <v>blendSAF</v>
      </c>
      <c r="BI19" t="str">
        <v/>
      </c>
      <c r="BJ19" t="str">
        <v/>
      </c>
      <c r="BK19" t="str">
        <v/>
      </c>
      <c r="BL19" t="str">
        <v/>
      </c>
      <c r="BM19" t="str">
        <v/>
      </c>
      <c r="BY19" t="str">
        <v>processor</v>
      </c>
      <c r="BZ19" t="str">
        <v>blend_3916</v>
      </c>
      <c r="CA19" t="str">
        <v>blendSAF</v>
      </c>
      <c r="CB19" t="str">
        <v/>
      </c>
      <c r="CC19" t="str">
        <v/>
      </c>
      <c r="CD19" t="str">
        <v/>
      </c>
      <c r="CE19" t="str">
        <v/>
      </c>
      <c r="CF19" t="str">
        <v/>
      </c>
      <c r="CI19" t="s">
        <v>181</v>
      </c>
      <c r="CJ19">
        <f>COUNTIFS(SAF_State[State],Notes!CI19,SAF_State[Filtered],1)</f>
        <v>0</v>
      </c>
    </row>
    <row r="20" spans="1:88" x14ac:dyDescent="0.3">
      <c r="A20" t="s">
        <v>82</v>
      </c>
      <c r="B20" t="s">
        <v>120</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BF20" t="str">
        <v>processor</v>
      </c>
      <c r="BG20" t="str">
        <v>blend_4187</v>
      </c>
      <c r="BH20" t="str">
        <v>blendSAF</v>
      </c>
      <c r="BI20" t="str">
        <v/>
      </c>
      <c r="BJ20" t="str">
        <v/>
      </c>
      <c r="BK20" t="str">
        <v/>
      </c>
      <c r="BL20" t="str">
        <v/>
      </c>
      <c r="BM20" t="str">
        <v/>
      </c>
      <c r="BY20" t="str">
        <v>processor</v>
      </c>
      <c r="BZ20" t="str">
        <v>blend_3939</v>
      </c>
      <c r="CA20" t="str">
        <v>blendSAF</v>
      </c>
      <c r="CB20" t="str">
        <v/>
      </c>
      <c r="CC20" t="str">
        <v/>
      </c>
      <c r="CD20" t="str">
        <v/>
      </c>
      <c r="CE20" t="str">
        <v/>
      </c>
      <c r="CF20" t="str">
        <v/>
      </c>
      <c r="CI20" t="s">
        <v>175</v>
      </c>
      <c r="CJ20">
        <f>COUNTIFS(SAF_State[State],Notes!CI20,SAF_State[Filtered],1)</f>
        <v>0</v>
      </c>
    </row>
    <row r="21" spans="1:88" x14ac:dyDescent="0.3">
      <c r="A21" t="s">
        <v>47</v>
      </c>
      <c r="B21" t="s">
        <v>120</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BF21" t="str">
        <v>processor</v>
      </c>
      <c r="BG21" t="str">
        <v>blend_4226</v>
      </c>
      <c r="BH21" t="str">
        <v>blendSAF</v>
      </c>
      <c r="BI21" t="str">
        <v/>
      </c>
      <c r="BJ21" t="str">
        <v/>
      </c>
      <c r="BK21" t="str">
        <v/>
      </c>
      <c r="BL21" t="str">
        <v/>
      </c>
      <c r="BM21" t="str">
        <v/>
      </c>
      <c r="BY21" t="str">
        <v>processor</v>
      </c>
      <c r="BZ21" t="str">
        <v>blend_4187</v>
      </c>
      <c r="CA21" t="str">
        <v>blendSAF</v>
      </c>
      <c r="CB21" t="str">
        <v/>
      </c>
      <c r="CC21" t="str">
        <v/>
      </c>
      <c r="CD21" t="str">
        <v/>
      </c>
      <c r="CE21" t="str">
        <v/>
      </c>
      <c r="CF21" t="str">
        <v/>
      </c>
      <c r="CI21" t="s">
        <v>159</v>
      </c>
      <c r="CJ21">
        <f>COUNTIFS(SAF_State[State],Notes!CI21,SAF_State[Filtered],1)</f>
        <v>0</v>
      </c>
    </row>
    <row r="22" spans="1:88" x14ac:dyDescent="0.3">
      <c r="A22" t="s">
        <v>48</v>
      </c>
      <c r="B22" t="s">
        <v>120</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BF22" t="str">
        <v>processor</v>
      </c>
      <c r="BG22" t="str">
        <v>blend_4369</v>
      </c>
      <c r="BH22" t="str">
        <v>blendSAF</v>
      </c>
      <c r="BI22" t="str">
        <v/>
      </c>
      <c r="BJ22" t="str">
        <v/>
      </c>
      <c r="BK22" t="str">
        <v/>
      </c>
      <c r="BL22" t="str">
        <v/>
      </c>
      <c r="BM22" t="str">
        <v/>
      </c>
      <c r="BY22" t="str">
        <v>processor</v>
      </c>
      <c r="BZ22" t="str">
        <v>blend_4226</v>
      </c>
      <c r="CA22" t="str">
        <v>blendSAF</v>
      </c>
      <c r="CB22" t="str">
        <v/>
      </c>
      <c r="CC22" t="str">
        <v/>
      </c>
      <c r="CD22" t="str">
        <v/>
      </c>
      <c r="CE22" t="str">
        <v/>
      </c>
      <c r="CF22" t="str">
        <v/>
      </c>
      <c r="CI22" t="s">
        <v>186</v>
      </c>
      <c r="CJ22">
        <f>COUNTIFS(SAF_State[State],Notes!CI22,SAF_State[Filtered],1)</f>
        <v>0</v>
      </c>
    </row>
    <row r="23" spans="1:88" x14ac:dyDescent="0.3">
      <c r="A23" t="s">
        <v>37</v>
      </c>
      <c r="B23" t="s">
        <v>120</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BF23" t="str">
        <v>processor</v>
      </c>
      <c r="BG23" t="str">
        <v>blend_4462</v>
      </c>
      <c r="BH23" t="str">
        <v>blendSAF</v>
      </c>
      <c r="BI23" t="str">
        <v/>
      </c>
      <c r="BJ23" t="str">
        <v/>
      </c>
      <c r="BK23" t="str">
        <v/>
      </c>
      <c r="BL23" t="str">
        <v/>
      </c>
      <c r="BM23" t="str">
        <v/>
      </c>
      <c r="BY23" t="str">
        <v>processor</v>
      </c>
      <c r="BZ23" t="str">
        <v>blend_4369</v>
      </c>
      <c r="CA23" t="str">
        <v>blendSAF</v>
      </c>
      <c r="CB23" t="str">
        <v/>
      </c>
      <c r="CC23" t="str">
        <v/>
      </c>
      <c r="CD23" t="str">
        <v/>
      </c>
      <c r="CE23" t="str">
        <v/>
      </c>
      <c r="CF23" t="str">
        <v/>
      </c>
      <c r="CI23" t="s">
        <v>189</v>
      </c>
      <c r="CJ23">
        <f>COUNTIFS(SAF_State[State],Notes!CI23,SAF_State[Filtered],1)</f>
        <v>0</v>
      </c>
    </row>
    <row r="24" spans="1:88" x14ac:dyDescent="0.3">
      <c r="A24" t="s">
        <v>38</v>
      </c>
      <c r="B24" t="s">
        <v>120</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BF24" t="str">
        <v>processor</v>
      </c>
      <c r="BG24" t="str">
        <v>blend_4526</v>
      </c>
      <c r="BH24" t="str">
        <v>blendSAF</v>
      </c>
      <c r="BI24" t="str">
        <v/>
      </c>
      <c r="BJ24" t="str">
        <v/>
      </c>
      <c r="BK24" t="str">
        <v/>
      </c>
      <c r="BL24" t="str">
        <v/>
      </c>
      <c r="BM24" t="str">
        <v/>
      </c>
      <c r="BY24" t="str">
        <v>processor</v>
      </c>
      <c r="BZ24" t="str">
        <v>blend_4462</v>
      </c>
      <c r="CA24" t="str">
        <v>blendSAF</v>
      </c>
      <c r="CB24" t="str">
        <v/>
      </c>
      <c r="CC24" t="str">
        <v/>
      </c>
      <c r="CD24" t="str">
        <v/>
      </c>
      <c r="CE24" t="str">
        <v/>
      </c>
      <c r="CF24" t="str">
        <v/>
      </c>
      <c r="CI24" t="s">
        <v>160</v>
      </c>
      <c r="CJ24">
        <f>COUNTIFS(SAF_State[State],Notes!CI24,SAF_State[Filtered],1)</f>
        <v>0</v>
      </c>
    </row>
    <row r="25" spans="1:88" x14ac:dyDescent="0.3">
      <c r="A25" t="s">
        <v>69</v>
      </c>
      <c r="B25" t="s">
        <v>120</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BF25" t="str">
        <v>processor</v>
      </c>
      <c r="BG25" t="str">
        <v>blend_4571</v>
      </c>
      <c r="BH25" t="str">
        <v>blendSAF</v>
      </c>
      <c r="BI25" t="str">
        <v/>
      </c>
      <c r="BJ25" t="str">
        <v/>
      </c>
      <c r="BK25" t="str">
        <v/>
      </c>
      <c r="BL25" t="str">
        <v/>
      </c>
      <c r="BM25" t="str">
        <v/>
      </c>
      <c r="BY25" t="str">
        <v>processor</v>
      </c>
      <c r="BZ25" t="str">
        <v>blend_4526</v>
      </c>
      <c r="CA25" t="str">
        <v>blendSAF</v>
      </c>
      <c r="CB25" t="str">
        <v/>
      </c>
      <c r="CC25" t="str">
        <v/>
      </c>
      <c r="CD25" t="str">
        <v/>
      </c>
      <c r="CE25" t="str">
        <v/>
      </c>
      <c r="CF25" t="str">
        <v/>
      </c>
      <c r="CI25" t="s">
        <v>149</v>
      </c>
      <c r="CJ25">
        <f>COUNTIFS(SAF_State[State],Notes!CI25,SAF_State[Filtered],1)</f>
        <v>0</v>
      </c>
    </row>
    <row r="26" spans="1:88" x14ac:dyDescent="0.3">
      <c r="A26" t="s">
        <v>76</v>
      </c>
      <c r="B26" t="s">
        <v>116</v>
      </c>
      <c r="C26" t="s">
        <v>119</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blend_3138</v>
      </c>
      <c r="BH26" t="str">
        <v>blendSAF</v>
      </c>
      <c r="BI26" t="str">
        <v/>
      </c>
      <c r="BJ26" t="str">
        <v/>
      </c>
      <c r="BK26" t="str">
        <v/>
      </c>
      <c r="BL26" t="str">
        <v/>
      </c>
      <c r="BM26" t="str">
        <v/>
      </c>
      <c r="BY26" t="str">
        <v>processor</v>
      </c>
      <c r="BZ26" t="str">
        <v>blend_4571</v>
      </c>
      <c r="CA26" t="str">
        <v>blendSAF</v>
      </c>
      <c r="CB26" t="str">
        <v/>
      </c>
      <c r="CC26" t="str">
        <v/>
      </c>
      <c r="CD26" t="str">
        <v/>
      </c>
      <c r="CE26" t="str">
        <v/>
      </c>
      <c r="CF26" t="str">
        <v/>
      </c>
      <c r="CI26" t="s">
        <v>185</v>
      </c>
      <c r="CJ26">
        <f>COUNTIFS(SAF_State[State],Notes!CI26,SAF_State[Filtered],1)</f>
        <v>0</v>
      </c>
    </row>
    <row r="27" spans="1:88" x14ac:dyDescent="0.3">
      <c r="A27" t="s">
        <v>77</v>
      </c>
      <c r="B27" t="s">
        <v>116</v>
      </c>
      <c r="C27" t="s">
        <v>119</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blend_3193</v>
      </c>
      <c r="BH27" t="str">
        <v>blendSAF</v>
      </c>
      <c r="BI27" t="str">
        <v/>
      </c>
      <c r="BJ27" t="str">
        <v/>
      </c>
      <c r="BK27" t="str">
        <v/>
      </c>
      <c r="BL27" t="str">
        <v/>
      </c>
      <c r="BM27" t="str">
        <v/>
      </c>
      <c r="BY27" t="str">
        <v>processor</v>
      </c>
      <c r="BZ27" t="str">
        <v>blend_3138</v>
      </c>
      <c r="CA27" t="str">
        <v>blendSAF</v>
      </c>
      <c r="CB27" t="str">
        <v/>
      </c>
      <c r="CC27" t="str">
        <v/>
      </c>
      <c r="CD27" t="str">
        <v/>
      </c>
      <c r="CE27" t="str">
        <v/>
      </c>
      <c r="CF27" t="str">
        <v/>
      </c>
      <c r="CI27" t="s">
        <v>147</v>
      </c>
      <c r="CJ27">
        <f>COUNTIFS(SAF_State[State],Notes!CI27,SAF_State[Filtered],1)</f>
        <v>0</v>
      </c>
    </row>
    <row r="28" spans="1:88" x14ac:dyDescent="0.3">
      <c r="A28" t="s">
        <v>78</v>
      </c>
      <c r="B28" t="s">
        <v>116</v>
      </c>
      <c r="C28" t="s">
        <v>119</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blend_3194</v>
      </c>
      <c r="BH28" t="str">
        <v>blendSAF</v>
      </c>
      <c r="BI28" t="str">
        <v/>
      </c>
      <c r="BJ28" t="str">
        <v/>
      </c>
      <c r="BK28" t="str">
        <v/>
      </c>
      <c r="BL28" t="str">
        <v/>
      </c>
      <c r="BM28" t="str">
        <v/>
      </c>
      <c r="BY28" t="str">
        <v>processor</v>
      </c>
      <c r="BZ28" t="str">
        <v>blend_3193</v>
      </c>
      <c r="CA28" t="str">
        <v>blendSAF</v>
      </c>
      <c r="CB28" t="str">
        <v/>
      </c>
      <c r="CC28" t="str">
        <v/>
      </c>
      <c r="CD28" t="str">
        <v/>
      </c>
      <c r="CE28" t="str">
        <v/>
      </c>
      <c r="CF28" t="str">
        <v/>
      </c>
      <c r="CI28" t="s">
        <v>167</v>
      </c>
      <c r="CJ28">
        <f>COUNTIFS(SAF_State[State],Notes!CI28,SAF_State[Filtered],1)</f>
        <v>0</v>
      </c>
    </row>
    <row r="29" spans="1:88" x14ac:dyDescent="0.3">
      <c r="A29" t="s">
        <v>79</v>
      </c>
      <c r="B29" t="s">
        <v>116</v>
      </c>
      <c r="C29" t="s">
        <v>119</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blend_3195</v>
      </c>
      <c r="BH29" t="str">
        <v>blendSAF</v>
      </c>
      <c r="BI29" t="str">
        <v/>
      </c>
      <c r="BJ29" t="str">
        <v/>
      </c>
      <c r="BK29" t="str">
        <v/>
      </c>
      <c r="BL29" t="str">
        <v/>
      </c>
      <c r="BM29" t="str">
        <v/>
      </c>
      <c r="BY29" t="str">
        <v>processor</v>
      </c>
      <c r="BZ29" t="str">
        <v>blend_3194</v>
      </c>
      <c r="CA29" t="str">
        <v>blendSAF</v>
      </c>
      <c r="CB29" t="str">
        <v/>
      </c>
      <c r="CC29" t="str">
        <v/>
      </c>
      <c r="CD29" t="str">
        <v/>
      </c>
      <c r="CE29" t="str">
        <v/>
      </c>
      <c r="CF29" t="str">
        <v/>
      </c>
    </row>
    <row r="30" spans="1:88" x14ac:dyDescent="0.3">
      <c r="A30" t="s">
        <v>80</v>
      </c>
      <c r="B30" t="s">
        <v>116</v>
      </c>
      <c r="C30" t="s">
        <v>119</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blend_3265</v>
      </c>
      <c r="BH30" t="str">
        <v>blendSAF</v>
      </c>
      <c r="BI30" t="str">
        <v/>
      </c>
      <c r="BJ30" t="str">
        <v/>
      </c>
      <c r="BK30" t="str">
        <v/>
      </c>
      <c r="BL30" t="str">
        <v/>
      </c>
      <c r="BM30" t="str">
        <v/>
      </c>
      <c r="BY30" t="str">
        <v>processor</v>
      </c>
      <c r="BZ30" t="str">
        <v>blend_3195</v>
      </c>
      <c r="CA30" t="str">
        <v>blendSAF</v>
      </c>
      <c r="CB30" t="str">
        <v/>
      </c>
      <c r="CC30" t="str">
        <v/>
      </c>
      <c r="CD30" t="str">
        <v/>
      </c>
      <c r="CE30" t="str">
        <v/>
      </c>
      <c r="CF30" t="str">
        <v/>
      </c>
      <c r="CI30" s="1" t="s">
        <v>3223</v>
      </c>
      <c r="CJ30" s="1">
        <f>SUM(CJ4:CJ28)</f>
        <v>2</v>
      </c>
    </row>
    <row r="31" spans="1:88" x14ac:dyDescent="0.3">
      <c r="A31" t="s">
        <v>81</v>
      </c>
      <c r="B31" t="s">
        <v>116</v>
      </c>
      <c r="C31" t="s">
        <v>119</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blend_3267</v>
      </c>
      <c r="BH31" t="str">
        <v>blendSAF</v>
      </c>
      <c r="BI31" t="str">
        <v/>
      </c>
      <c r="BJ31" t="str">
        <v/>
      </c>
      <c r="BK31" t="str">
        <v/>
      </c>
      <c r="BL31" t="str">
        <v/>
      </c>
      <c r="BM31" t="str">
        <v/>
      </c>
      <c r="BY31" t="str">
        <v>processor</v>
      </c>
      <c r="BZ31" t="str">
        <v>blend_3265</v>
      </c>
      <c r="CA31" t="str">
        <v>blendSAF</v>
      </c>
      <c r="CB31" t="str">
        <v/>
      </c>
      <c r="CC31" t="str">
        <v/>
      </c>
      <c r="CD31" t="str">
        <v/>
      </c>
      <c r="CE31" t="str">
        <v/>
      </c>
      <c r="CF31" t="str">
        <v/>
      </c>
    </row>
    <row r="32" spans="1:88" x14ac:dyDescent="0.3">
      <c r="A32" t="s">
        <v>33</v>
      </c>
      <c r="B32" t="s">
        <v>116</v>
      </c>
      <c r="C32" t="s">
        <v>119</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blend_3509</v>
      </c>
      <c r="BH32" t="str">
        <v>blendSAF</v>
      </c>
      <c r="BI32" t="str">
        <v/>
      </c>
      <c r="BJ32" t="str">
        <v/>
      </c>
      <c r="BK32" t="str">
        <v/>
      </c>
      <c r="BL32" t="str">
        <v/>
      </c>
      <c r="BM32" t="str">
        <v/>
      </c>
      <c r="BY32" t="str">
        <v>processor</v>
      </c>
      <c r="BZ32" t="str">
        <v>blend_3267</v>
      </c>
      <c r="CA32" t="str">
        <v>blendSAF</v>
      </c>
      <c r="CB32" t="str">
        <v/>
      </c>
      <c r="CC32" t="str">
        <v/>
      </c>
      <c r="CD32" t="str">
        <v/>
      </c>
      <c r="CE32" t="str">
        <v/>
      </c>
      <c r="CF32" t="str">
        <v/>
      </c>
    </row>
    <row r="33" spans="1:84" x14ac:dyDescent="0.3">
      <c r="A33" t="s">
        <v>34</v>
      </c>
      <c r="B33" t="s">
        <v>116</v>
      </c>
      <c r="C33" t="s">
        <v>119</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blend_3532</v>
      </c>
      <c r="BH33" t="str">
        <v>blendSAF</v>
      </c>
      <c r="BI33" t="str">
        <v/>
      </c>
      <c r="BJ33" t="str">
        <v/>
      </c>
      <c r="BK33" t="str">
        <v/>
      </c>
      <c r="BL33" t="str">
        <v/>
      </c>
      <c r="BM33" t="str">
        <v/>
      </c>
      <c r="BY33" t="str">
        <v>processor</v>
      </c>
      <c r="BZ33" t="str">
        <v>blend_3509</v>
      </c>
      <c r="CA33" t="str">
        <v>blendSAF</v>
      </c>
      <c r="CB33" t="str">
        <v/>
      </c>
      <c r="CC33" t="str">
        <v/>
      </c>
      <c r="CD33" t="str">
        <v/>
      </c>
      <c r="CE33" t="str">
        <v/>
      </c>
      <c r="CF33" t="str">
        <v/>
      </c>
    </row>
    <row r="34" spans="1:84" x14ac:dyDescent="0.3">
      <c r="A34" t="s">
        <v>10</v>
      </c>
      <c r="B34" t="s">
        <v>115</v>
      </c>
      <c r="C34" t="s">
        <v>134</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blend_3533</v>
      </c>
      <c r="BH34" t="str">
        <v>blendSAF</v>
      </c>
      <c r="BI34" t="str">
        <v/>
      </c>
      <c r="BJ34" t="str">
        <v/>
      </c>
      <c r="BK34" t="str">
        <v/>
      </c>
      <c r="BL34" t="str">
        <v/>
      </c>
      <c r="BM34" t="str">
        <v/>
      </c>
      <c r="BY34" t="str">
        <v>processor</v>
      </c>
      <c r="BZ34" t="str">
        <v>blend_3532</v>
      </c>
      <c r="CA34" t="str">
        <v>blendSAF</v>
      </c>
      <c r="CB34" t="str">
        <v/>
      </c>
      <c r="CC34" t="str">
        <v/>
      </c>
      <c r="CD34" t="str">
        <v/>
      </c>
      <c r="CE34" t="str">
        <v/>
      </c>
      <c r="CF34" t="str">
        <v/>
      </c>
    </row>
    <row r="35" spans="1:84" x14ac:dyDescent="0.3">
      <c r="A35" t="s">
        <v>11</v>
      </c>
      <c r="B35" t="s">
        <v>115</v>
      </c>
      <c r="C35" t="s">
        <v>135</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blend_3858</v>
      </c>
      <c r="BH35" t="str">
        <v>blendSAF</v>
      </c>
      <c r="BI35" t="str">
        <v/>
      </c>
      <c r="BJ35" t="str">
        <v/>
      </c>
      <c r="BK35" t="str">
        <v/>
      </c>
      <c r="BL35" t="str">
        <v/>
      </c>
      <c r="BM35" t="str">
        <v/>
      </c>
      <c r="BY35" t="str">
        <v>processor</v>
      </c>
      <c r="BZ35" t="str">
        <v>blend_3533</v>
      </c>
      <c r="CA35" t="str">
        <v>blendSAF</v>
      </c>
      <c r="CB35" t="str">
        <v/>
      </c>
      <c r="CC35" t="str">
        <v/>
      </c>
      <c r="CD35" t="str">
        <v/>
      </c>
      <c r="CE35" t="str">
        <v/>
      </c>
      <c r="CF35" t="str">
        <v/>
      </c>
    </row>
    <row r="36" spans="1:84" x14ac:dyDescent="0.3">
      <c r="A36" t="s">
        <v>59</v>
      </c>
      <c r="B36" t="s">
        <v>116</v>
      </c>
      <c r="C36" t="s">
        <v>119</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blend_3934</v>
      </c>
      <c r="BH36" t="str">
        <v>blendSAF</v>
      </c>
      <c r="BI36" t="str">
        <v/>
      </c>
      <c r="BJ36" t="str">
        <v/>
      </c>
      <c r="BK36" t="str">
        <v/>
      </c>
      <c r="BL36" t="str">
        <v/>
      </c>
      <c r="BM36" t="str">
        <v/>
      </c>
      <c r="BY36" t="str">
        <v>processor</v>
      </c>
      <c r="BZ36" t="str">
        <v>blend_3858</v>
      </c>
      <c r="CA36" t="str">
        <v>blendSAF</v>
      </c>
      <c r="CB36" t="str">
        <v/>
      </c>
      <c r="CC36" t="str">
        <v/>
      </c>
      <c r="CD36" t="str">
        <v/>
      </c>
      <c r="CE36" t="str">
        <v/>
      </c>
      <c r="CF36" t="str">
        <v/>
      </c>
    </row>
    <row r="37" spans="1:84" x14ac:dyDescent="0.3">
      <c r="A37" t="s">
        <v>53</v>
      </c>
      <c r="B37" t="s">
        <v>115</v>
      </c>
      <c r="C37" t="s">
        <v>134</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blend_4141</v>
      </c>
      <c r="BH37" t="str">
        <v>blendSAF</v>
      </c>
      <c r="BI37" t="str">
        <v/>
      </c>
      <c r="BJ37" t="str">
        <v/>
      </c>
      <c r="BK37" t="str">
        <v/>
      </c>
      <c r="BL37" t="str">
        <v/>
      </c>
      <c r="BM37" t="str">
        <v/>
      </c>
      <c r="BY37" t="str">
        <v>processor</v>
      </c>
      <c r="BZ37" t="str">
        <v>blend_3934</v>
      </c>
      <c r="CA37" t="str">
        <v>blendSAF</v>
      </c>
      <c r="CB37" t="str">
        <v/>
      </c>
      <c r="CC37" t="str">
        <v/>
      </c>
      <c r="CD37" t="str">
        <v/>
      </c>
      <c r="CE37" t="str">
        <v/>
      </c>
      <c r="CF37" t="str">
        <v/>
      </c>
    </row>
    <row r="38" spans="1:84" x14ac:dyDescent="0.3">
      <c r="A38" t="s">
        <v>54</v>
      </c>
      <c r="B38" t="s">
        <v>115</v>
      </c>
      <c r="C38" t="s">
        <v>135</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blend_4145</v>
      </c>
      <c r="BH38" t="str">
        <v>blendSAF</v>
      </c>
      <c r="BI38" t="str">
        <v/>
      </c>
      <c r="BJ38" t="str">
        <v/>
      </c>
      <c r="BK38" t="str">
        <v/>
      </c>
      <c r="BL38" t="str">
        <v/>
      </c>
      <c r="BM38" t="str">
        <v/>
      </c>
      <c r="BY38" t="str">
        <v>processor</v>
      </c>
      <c r="BZ38" t="str">
        <v>blend_4141</v>
      </c>
      <c r="CA38" t="str">
        <v>blendSAF</v>
      </c>
      <c r="CB38" t="str">
        <v/>
      </c>
      <c r="CC38" t="str">
        <v/>
      </c>
      <c r="CD38" t="str">
        <v/>
      </c>
      <c r="CE38" t="str">
        <v/>
      </c>
      <c r="CF38" t="str">
        <v/>
      </c>
    </row>
    <row r="39" spans="1:84" x14ac:dyDescent="0.3">
      <c r="A39" t="s">
        <v>60</v>
      </c>
      <c r="B39" t="s">
        <v>116</v>
      </c>
      <c r="C39" t="s">
        <v>119</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blend_4154</v>
      </c>
      <c r="BH39" t="str">
        <v>blendSAF</v>
      </c>
      <c r="BI39" t="str">
        <v/>
      </c>
      <c r="BJ39" t="str">
        <v/>
      </c>
      <c r="BK39" t="str">
        <v/>
      </c>
      <c r="BL39" t="str">
        <v/>
      </c>
      <c r="BM39" t="str">
        <v/>
      </c>
      <c r="BY39" t="str">
        <v>processor</v>
      </c>
      <c r="BZ39" t="str">
        <v>blend_4145</v>
      </c>
      <c r="CA39" t="str">
        <v>blendSAF</v>
      </c>
      <c r="CB39" t="str">
        <v/>
      </c>
      <c r="CC39" t="str">
        <v/>
      </c>
      <c r="CD39" t="str">
        <v/>
      </c>
      <c r="CE39" t="str">
        <v/>
      </c>
      <c r="CF39" t="str">
        <v/>
      </c>
    </row>
    <row r="40" spans="1:84" x14ac:dyDescent="0.3">
      <c r="A40" t="s">
        <v>55</v>
      </c>
      <c r="B40" t="s">
        <v>115</v>
      </c>
      <c r="C40" t="s">
        <v>134</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blend_4261</v>
      </c>
      <c r="BH40" t="str">
        <v>blendSAF</v>
      </c>
      <c r="BI40" t="str">
        <v/>
      </c>
      <c r="BJ40" t="str">
        <v/>
      </c>
      <c r="BK40" t="str">
        <v/>
      </c>
      <c r="BL40" t="str">
        <v/>
      </c>
      <c r="BM40" t="str">
        <v/>
      </c>
      <c r="BY40" t="str">
        <v>processor</v>
      </c>
      <c r="BZ40" t="str">
        <v>blend_4154</v>
      </c>
      <c r="CA40" t="str">
        <v>blendSAF</v>
      </c>
      <c r="CB40" t="str">
        <v/>
      </c>
      <c r="CC40" t="str">
        <v/>
      </c>
      <c r="CD40" t="str">
        <v/>
      </c>
      <c r="CE40" t="str">
        <v/>
      </c>
      <c r="CF40" t="str">
        <v/>
      </c>
    </row>
    <row r="41" spans="1:84" x14ac:dyDescent="0.3">
      <c r="A41" t="s">
        <v>56</v>
      </c>
      <c r="B41" t="s">
        <v>115</v>
      </c>
      <c r="C41" t="s">
        <v>135</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blend_4262</v>
      </c>
      <c r="BH41" t="str">
        <v>blendSAF</v>
      </c>
      <c r="BI41" t="str">
        <v/>
      </c>
      <c r="BJ41" t="str">
        <v/>
      </c>
      <c r="BK41" t="str">
        <v/>
      </c>
      <c r="BL41" t="str">
        <v/>
      </c>
      <c r="BM41" t="str">
        <v/>
      </c>
      <c r="BY41" t="str">
        <v>processor</v>
      </c>
      <c r="BZ41" t="str">
        <v>blend_4261</v>
      </c>
      <c r="CA41" t="str">
        <v>blendSAF</v>
      </c>
      <c r="CB41" t="str">
        <v/>
      </c>
      <c r="CC41" t="str">
        <v/>
      </c>
      <c r="CD41" t="str">
        <v/>
      </c>
      <c r="CE41" t="str">
        <v/>
      </c>
      <c r="CF41" t="str">
        <v/>
      </c>
    </row>
    <row r="42" spans="1:84" x14ac:dyDescent="0.3">
      <c r="A42" t="s">
        <v>61</v>
      </c>
      <c r="B42" t="s">
        <v>116</v>
      </c>
      <c r="C42" t="s">
        <v>119</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blend_4294</v>
      </c>
      <c r="BH42" t="str">
        <v>blendSAF</v>
      </c>
      <c r="BI42" t="str">
        <v/>
      </c>
      <c r="BJ42" t="str">
        <v/>
      </c>
      <c r="BK42" t="str">
        <v/>
      </c>
      <c r="BL42" t="str">
        <v/>
      </c>
      <c r="BM42" t="str">
        <v/>
      </c>
      <c r="BY42" t="str">
        <v>processor</v>
      </c>
      <c r="BZ42" t="str">
        <v>blend_4262</v>
      </c>
      <c r="CA42" t="str">
        <v>blendSAF</v>
      </c>
      <c r="CB42" t="str">
        <v/>
      </c>
      <c r="CC42" t="str">
        <v/>
      </c>
      <c r="CD42" t="str">
        <v/>
      </c>
      <c r="CE42" t="str">
        <v/>
      </c>
      <c r="CF42" t="str">
        <v/>
      </c>
    </row>
    <row r="43" spans="1:84" x14ac:dyDescent="0.3">
      <c r="A43" t="s">
        <v>57</v>
      </c>
      <c r="B43" t="s">
        <v>115</v>
      </c>
      <c r="C43" t="s">
        <v>135</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blend_4295</v>
      </c>
      <c r="BH43" t="str">
        <v>blendSAF</v>
      </c>
      <c r="BI43" t="str">
        <v/>
      </c>
      <c r="BJ43" t="str">
        <v/>
      </c>
      <c r="BK43" t="str">
        <v/>
      </c>
      <c r="BL43" t="str">
        <v/>
      </c>
      <c r="BM43" t="str">
        <v/>
      </c>
      <c r="BY43" t="str">
        <v>processor</v>
      </c>
      <c r="BZ43" t="str">
        <v>blend_4294</v>
      </c>
      <c r="CA43" t="str">
        <v>blendSAF</v>
      </c>
      <c r="CB43" t="str">
        <v/>
      </c>
      <c r="CC43" t="str">
        <v/>
      </c>
      <c r="CD43" t="str">
        <v/>
      </c>
      <c r="CE43" t="str">
        <v/>
      </c>
      <c r="CF43" t="str">
        <v/>
      </c>
    </row>
    <row r="44" spans="1:84" x14ac:dyDescent="0.3">
      <c r="A44" t="s">
        <v>58</v>
      </c>
      <c r="B44" t="s">
        <v>115</v>
      </c>
      <c r="C44" t="s">
        <v>135</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blend_4308</v>
      </c>
      <c r="BH44" t="str">
        <v>blendSAF</v>
      </c>
      <c r="BI44" t="str">
        <v/>
      </c>
      <c r="BJ44" t="str">
        <v/>
      </c>
      <c r="BK44" t="str">
        <v/>
      </c>
      <c r="BL44" t="str">
        <v/>
      </c>
      <c r="BM44" t="str">
        <v/>
      </c>
      <c r="BY44" t="str">
        <v>processor</v>
      </c>
      <c r="BZ44" t="str">
        <v>blend_4295</v>
      </c>
      <c r="CA44" t="str">
        <v>blendSAF</v>
      </c>
      <c r="CB44" t="str">
        <v/>
      </c>
      <c r="CC44" t="str">
        <v/>
      </c>
      <c r="CD44" t="str">
        <v/>
      </c>
      <c r="CE44" t="str">
        <v/>
      </c>
      <c r="CF44" t="str">
        <v/>
      </c>
    </row>
    <row r="45" spans="1:84" x14ac:dyDescent="0.3">
      <c r="A45" t="s">
        <v>71</v>
      </c>
      <c r="B45" t="s">
        <v>116</v>
      </c>
      <c r="C45" t="s">
        <v>119</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blend_4380</v>
      </c>
      <c r="BH45" t="str">
        <v>blendSAF</v>
      </c>
      <c r="BI45" t="str">
        <v/>
      </c>
      <c r="BJ45" t="str">
        <v/>
      </c>
      <c r="BK45" t="str">
        <v/>
      </c>
      <c r="BL45" t="str">
        <v/>
      </c>
      <c r="BM45" t="str">
        <v/>
      </c>
      <c r="BY45" t="str">
        <v>processor</v>
      </c>
      <c r="BZ45" t="str">
        <v>blend_4308</v>
      </c>
      <c r="CA45" t="str">
        <v>blendSAF</v>
      </c>
      <c r="CB45" t="str">
        <v/>
      </c>
      <c r="CC45" t="str">
        <v/>
      </c>
      <c r="CD45" t="str">
        <v/>
      </c>
      <c r="CE45" t="str">
        <v/>
      </c>
      <c r="CF45" t="str">
        <v/>
      </c>
    </row>
    <row r="46" spans="1:84" x14ac:dyDescent="0.3">
      <c r="A46" t="s">
        <v>72</v>
      </c>
      <c r="B46" t="s">
        <v>116</v>
      </c>
      <c r="C46" t="s">
        <v>119</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blend_4461</v>
      </c>
      <c r="BH46" t="str">
        <v>blendSAF</v>
      </c>
      <c r="BI46" t="str">
        <v/>
      </c>
      <c r="BJ46" t="str">
        <v/>
      </c>
      <c r="BK46" t="str">
        <v/>
      </c>
      <c r="BL46" t="str">
        <v/>
      </c>
      <c r="BM46" t="str">
        <v/>
      </c>
      <c r="BY46" t="str">
        <v>processor</v>
      </c>
      <c r="BZ46" t="str">
        <v>blend_4380</v>
      </c>
      <c r="CA46" t="str">
        <v>blendSAF</v>
      </c>
      <c r="CB46" t="str">
        <v/>
      </c>
      <c r="CC46" t="str">
        <v/>
      </c>
      <c r="CD46" t="str">
        <v/>
      </c>
      <c r="CE46" t="str">
        <v/>
      </c>
      <c r="CF46" t="str">
        <v/>
      </c>
    </row>
    <row r="47" spans="1:84" x14ac:dyDescent="0.3">
      <c r="A47" t="s">
        <v>73</v>
      </c>
      <c r="B47" t="s">
        <v>116</v>
      </c>
      <c r="C47" t="s">
        <v>119</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blend_4463</v>
      </c>
      <c r="BH47" t="str">
        <v>blendSAF</v>
      </c>
      <c r="BI47" t="str">
        <v/>
      </c>
      <c r="BJ47" t="str">
        <v/>
      </c>
      <c r="BK47" t="str">
        <v/>
      </c>
      <c r="BL47" t="str">
        <v/>
      </c>
      <c r="BM47" t="str">
        <v/>
      </c>
      <c r="BY47" t="str">
        <v>processor</v>
      </c>
      <c r="BZ47" t="str">
        <v>blend_4461</v>
      </c>
      <c r="CA47" t="str">
        <v>blendSAF</v>
      </c>
      <c r="CB47" t="str">
        <v/>
      </c>
      <c r="CC47" t="str">
        <v/>
      </c>
      <c r="CD47" t="str">
        <v/>
      </c>
      <c r="CE47" t="str">
        <v/>
      </c>
      <c r="CF47" t="str">
        <v/>
      </c>
    </row>
    <row r="48" spans="1:84" x14ac:dyDescent="0.3">
      <c r="A48" t="s">
        <v>74</v>
      </c>
      <c r="B48" t="s">
        <v>116</v>
      </c>
      <c r="C48" t="s">
        <v>119</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Y48" t="str">
        <v>processor</v>
      </c>
      <c r="BZ48" t="str">
        <v>blend_4463</v>
      </c>
      <c r="CA48" t="str">
        <v>blendSAF</v>
      </c>
      <c r="CB48" t="str">
        <v/>
      </c>
      <c r="CC48" t="str">
        <v/>
      </c>
      <c r="CD48" t="str">
        <v/>
      </c>
      <c r="CE48" t="str">
        <v/>
      </c>
      <c r="CF48" t="str">
        <v/>
      </c>
    </row>
    <row r="49" spans="1:84" x14ac:dyDescent="0.3">
      <c r="A49" t="s">
        <v>75</v>
      </c>
      <c r="B49" t="s">
        <v>116</v>
      </c>
      <c r="C49" t="s">
        <v>119</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Y49" t="str">
        <v>ultimate_destination</v>
      </c>
      <c r="BZ49" t="str">
        <v>airport_sea</v>
      </c>
      <c r="CA49" t="str">
        <v>fuel_blend</v>
      </c>
      <c r="CB49">
        <v>692000000</v>
      </c>
      <c r="CC49" t="str">
        <v>gallons</v>
      </c>
      <c r="CD49" t="str">
        <v/>
      </c>
      <c r="CE49" t="str">
        <v/>
      </c>
      <c r="CF49" t="str">
        <v/>
      </c>
    </row>
    <row r="50" spans="1:84" x14ac:dyDescent="0.3">
      <c r="A50" t="s">
        <v>91</v>
      </c>
      <c r="B50" t="s">
        <v>137</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Y50" t="str">
        <v>processor</v>
      </c>
      <c r="BZ50" t="str">
        <v>refinery_87</v>
      </c>
      <c r="CA50" t="str">
        <v>makeSAF_Existing</v>
      </c>
      <c r="CB50">
        <v>1808015.6183272291</v>
      </c>
      <c r="CC50" t="str">
        <v>tons</v>
      </c>
      <c r="CD50" t="str">
        <v/>
      </c>
      <c r="CE50" t="str">
        <v/>
      </c>
      <c r="CF50" t="str">
        <v/>
      </c>
    </row>
    <row r="51" spans="1:84" x14ac:dyDescent="0.3">
      <c r="A51" t="s">
        <v>84</v>
      </c>
      <c r="B51" t="s">
        <v>115</v>
      </c>
      <c r="C51" t="s">
        <v>136</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Y51" t="str">
        <v>processor</v>
      </c>
      <c r="BZ51" t="str">
        <v>refinery_89</v>
      </c>
      <c r="CA51" t="str">
        <v>makeSAF_Existing</v>
      </c>
      <c r="CB51">
        <v>4700840.607650795</v>
      </c>
      <c r="CC51" t="str">
        <v>tons</v>
      </c>
      <c r="CD51" t="str">
        <v/>
      </c>
      <c r="CE51" t="str">
        <v/>
      </c>
      <c r="CF51" t="str">
        <v/>
      </c>
    </row>
    <row r="52" spans="1:84" x14ac:dyDescent="0.3">
      <c r="A52" t="s">
        <v>85</v>
      </c>
      <c r="B52" t="s">
        <v>115</v>
      </c>
      <c r="C52" t="s">
        <v>136</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84" x14ac:dyDescent="0.3">
      <c r="A53" t="s">
        <v>86</v>
      </c>
      <c r="B53" t="s">
        <v>115</v>
      </c>
      <c r="C53" t="s">
        <v>136</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84" x14ac:dyDescent="0.3">
      <c r="A54" t="s">
        <v>87</v>
      </c>
      <c r="B54" t="s">
        <v>115</v>
      </c>
      <c r="C54" t="s">
        <v>136</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84" x14ac:dyDescent="0.3">
      <c r="A55" t="s">
        <v>88</v>
      </c>
      <c r="B55" t="s">
        <v>115</v>
      </c>
      <c r="C55" t="s">
        <v>136</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84" x14ac:dyDescent="0.3">
      <c r="A56" t="s">
        <v>109</v>
      </c>
      <c r="B56" t="s">
        <v>115</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84" x14ac:dyDescent="0.3">
      <c r="A57" t="s">
        <v>83</v>
      </c>
      <c r="B57" t="s">
        <v>137</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84" x14ac:dyDescent="0.3">
      <c r="A58" t="s">
        <v>92</v>
      </c>
      <c r="B58" t="s">
        <v>116</v>
      </c>
      <c r="C58" t="s">
        <v>136</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84" x14ac:dyDescent="0.3">
      <c r="A59" t="s">
        <v>93</v>
      </c>
      <c r="B59" t="s">
        <v>116</v>
      </c>
      <c r="C59" t="s">
        <v>136</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84" x14ac:dyDescent="0.3">
      <c r="A60" t="s">
        <v>102</v>
      </c>
      <c r="B60" t="s">
        <v>137</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84" x14ac:dyDescent="0.3">
      <c r="A61" t="s">
        <v>103</v>
      </c>
      <c r="B61" t="s">
        <v>137</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84" x14ac:dyDescent="0.3">
      <c r="A62" t="s">
        <v>104</v>
      </c>
      <c r="B62" t="s">
        <v>137</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84" x14ac:dyDescent="0.3">
      <c r="A63" t="s">
        <v>105</v>
      </c>
      <c r="B63" t="s">
        <v>137</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84" x14ac:dyDescent="0.3">
      <c r="A64" t="s">
        <v>106</v>
      </c>
      <c r="B64" t="s">
        <v>137</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
      <c r="A65" t="s">
        <v>107</v>
      </c>
      <c r="B65" t="s">
        <v>137</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108</v>
      </c>
      <c r="B66" t="s">
        <v>126</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203</v>
      </c>
      <c r="B67" t="s">
        <v>116</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row>
    <row r="68" spans="1:24" x14ac:dyDescent="0.3">
      <c r="A68" t="s">
        <v>204</v>
      </c>
      <c r="B68" t="s">
        <v>116</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row>
    <row r="69" spans="1:24" x14ac:dyDescent="0.3">
      <c r="A69" t="s">
        <v>205</v>
      </c>
      <c r="B69" t="s">
        <v>116</v>
      </c>
      <c r="C69" t="s">
        <v>119</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row>
    <row r="70" spans="1:24" x14ac:dyDescent="0.3">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s="1" t="s">
        <v>132</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A72" s="1" t="s">
        <v>13</v>
      </c>
      <c r="B72" s="1" t="s">
        <v>117</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t="s">
        <v>201</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t="s">
        <v>28</v>
      </c>
      <c r="B74" t="s">
        <v>138</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29</v>
      </c>
      <c r="B75" t="s">
        <v>116</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202</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133</v>
      </c>
      <c r="B77" t="s">
        <v>139</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20</v>
      </c>
      <c r="B78" s="3" t="s">
        <v>140</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129</v>
      </c>
      <c r="B79" t="s">
        <v>115</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195</v>
      </c>
      <c r="B80" t="s">
        <v>240</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21</v>
      </c>
      <c r="B81" s="3" t="s">
        <v>140</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130</v>
      </c>
      <c r="B82" t="s">
        <v>115</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194</v>
      </c>
      <c r="B83" t="s">
        <v>240</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s="1" t="s">
        <v>141</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A86" s="1" t="s">
        <v>13</v>
      </c>
      <c r="B86" s="1" t="s">
        <v>117</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t="s">
        <v>25</v>
      </c>
      <c r="B87" t="s">
        <v>142</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t="s">
        <v>35</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31</v>
      </c>
      <c r="B89" t="s">
        <v>143</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24</v>
      </c>
      <c r="B90" t="s">
        <v>116</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36</v>
      </c>
      <c r="B91" t="s">
        <v>252</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44</v>
      </c>
      <c r="B92" t="s">
        <v>116</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196</v>
      </c>
      <c r="B93" t="s">
        <v>116</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45</v>
      </c>
      <c r="B94" t="s">
        <v>116</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46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W96" t="str" cm="1">
        <f t="array" ref="W96">IF(ISBLANK(V96),"",_xlfn.CONCAT(_xlfn.UNIQUE(_xlfn._xlws.FILTER(R96:R2094,P96:P2094=V96))))</f>
        <v/>
      </c>
      <c r="X96" t="str">
        <f t="shared" si="1"/>
        <v/>
      </c>
    </row>
    <row r="97" spans="23:24" x14ac:dyDescent="0.3">
      <c r="W97" t="str" cm="1">
        <f t="array" ref="W97">IF(ISBLANK(V97),"",_xlfn.CONCAT(_xlfn.UNIQUE(_xlfn._xlws.FILTER(R97:R2095,P97:P2095=V97))))</f>
        <v/>
      </c>
      <c r="X97" t="str">
        <f t="shared" si="1"/>
        <v/>
      </c>
    </row>
    <row r="98" spans="23:24" x14ac:dyDescent="0.3">
      <c r="W98" t="str" cm="1">
        <f t="array" ref="W98">IF(ISBLANK(V98),"",_xlfn.CONCAT(_xlfn.UNIQUE(_xlfn._xlws.FILTER(R98:R2096,P98:P2096=V98))))</f>
        <v/>
      </c>
      <c r="X98" t="str">
        <f t="shared" si="1"/>
        <v/>
      </c>
    </row>
    <row r="99" spans="23:24" x14ac:dyDescent="0.3">
      <c r="W99" t="str" cm="1">
        <f t="array" ref="W99">IF(ISBLANK(V99),"",_xlfn.CONCAT(_xlfn.UNIQUE(_xlfn._xlws.FILTER(R99:R2097,P99:P2097=V99))))</f>
        <v/>
      </c>
      <c r="X99" t="str">
        <f t="shared" si="1"/>
        <v/>
      </c>
    </row>
    <row r="100" spans="23:24" x14ac:dyDescent="0.3">
      <c r="W100" t="str" cm="1">
        <f t="array" ref="W100">IF(ISBLANK(V100),"",_xlfn.CONCAT(_xlfn.UNIQUE(_xlfn._xlws.FILTER(R100:R2098,P100:P2098=V100))))</f>
        <v/>
      </c>
      <c r="X100" t="str">
        <f t="shared" si="1"/>
        <v/>
      </c>
    </row>
    <row r="101" spans="23:24" x14ac:dyDescent="0.3">
      <c r="W101" t="str" cm="1">
        <f t="array" ref="W101">IF(ISBLANK(V101),"",_xlfn.CONCAT(_xlfn.UNIQUE(_xlfn._xlws.FILTER(R101:R2099,P101:P2099=V101))))</f>
        <v/>
      </c>
      <c r="X101" t="str">
        <f t="shared" si="1"/>
        <v/>
      </c>
    </row>
    <row r="102" spans="23:24" x14ac:dyDescent="0.3">
      <c r="W102" t="str" cm="1">
        <f t="array" ref="W102">IF(ISBLANK(V102),"",_xlfn.CONCAT(_xlfn.UNIQUE(_xlfn._xlws.FILTER(R102:R2100,P102:P2100=V102))))</f>
        <v/>
      </c>
      <c r="X102" t="str">
        <f t="shared" si="1"/>
        <v/>
      </c>
    </row>
    <row r="103" spans="23:24" x14ac:dyDescent="0.3">
      <c r="W103" t="str" cm="1">
        <f t="array" ref="W103">IF(ISBLANK(V103),"",_xlfn.CONCAT(_xlfn.UNIQUE(_xlfn._xlws.FILTER(R103:R2101,P103:P2101=V103))))</f>
        <v/>
      </c>
      <c r="X103" t="str">
        <f t="shared" si="1"/>
        <v/>
      </c>
    </row>
    <row r="104" spans="23:24" x14ac:dyDescent="0.3">
      <c r="W104" t="str" cm="1">
        <f t="array" ref="W104">IF(ISBLANK(V104),"",_xlfn.CONCAT(_xlfn.UNIQUE(_xlfn._xlws.FILTER(R104:R2102,P104:P2102=V104))))</f>
        <v/>
      </c>
      <c r="X104" t="str">
        <f t="shared" si="1"/>
        <v/>
      </c>
    </row>
    <row r="105" spans="23:24" x14ac:dyDescent="0.3">
      <c r="W105" t="str" cm="1">
        <f t="array" ref="W105">IF(ISBLANK(V105),"",_xlfn.CONCAT(_xlfn.UNIQUE(_xlfn._xlws.FILTER(R105:R2103,P105:P2103=V105))))</f>
        <v/>
      </c>
      <c r="X105" t="str">
        <f t="shared" si="1"/>
        <v/>
      </c>
    </row>
    <row r="106" spans="23:24" x14ac:dyDescent="0.3">
      <c r="W106" t="str" cm="1">
        <f t="array" ref="W106">IF(ISBLANK(V106),"",_xlfn.CONCAT(_xlfn.UNIQUE(_xlfn._xlws.FILTER(R106:R2104,P106:P2104=V106))))</f>
        <v/>
      </c>
      <c r="X106" t="str">
        <f t="shared" si="1"/>
        <v/>
      </c>
    </row>
    <row r="107" spans="23:24" x14ac:dyDescent="0.3">
      <c r="W107" t="str" cm="1">
        <f t="array" ref="W107">IF(ISBLANK(V107),"",_xlfn.CONCAT(_xlfn.UNIQUE(_xlfn._xlws.FILTER(R107:R2105,P107:P2105=V107))))</f>
        <v/>
      </c>
      <c r="X107" t="str">
        <f t="shared" si="1"/>
        <v/>
      </c>
    </row>
    <row r="108" spans="23:24" x14ac:dyDescent="0.3">
      <c r="W108" t="str" cm="1">
        <f t="array" ref="W108">IF(ISBLANK(V108),"",_xlfn.CONCAT(_xlfn.UNIQUE(_xlfn._xlws.FILTER(R108:R2106,P108:P2106=V108))))</f>
        <v/>
      </c>
      <c r="X108" t="str">
        <f t="shared" si="1"/>
        <v/>
      </c>
    </row>
    <row r="109" spans="23:24" x14ac:dyDescent="0.3">
      <c r="W109" t="str" cm="1">
        <f t="array" ref="W109">IF(ISBLANK(V109),"",_xlfn.CONCAT(_xlfn.UNIQUE(_xlfn._xlws.FILTER(R109:R2107,P109:P2107=V109))))</f>
        <v/>
      </c>
      <c r="X109" t="str">
        <f t="shared" si="1"/>
        <v/>
      </c>
    </row>
    <row r="110" spans="23:24" x14ac:dyDescent="0.3">
      <c r="W110" t="str" cm="1">
        <f t="array" ref="W110">IF(ISBLANK(V110),"",_xlfn.CONCAT(_xlfn.UNIQUE(_xlfn._xlws.FILTER(R110:R2108,P110:P2108=V110))))</f>
        <v/>
      </c>
      <c r="X110" t="str">
        <f t="shared" si="1"/>
        <v/>
      </c>
    </row>
    <row r="111" spans="23:24" x14ac:dyDescent="0.3">
      <c r="W111" t="str" cm="1">
        <f t="array" ref="W111">IF(ISBLANK(V111),"",_xlfn.CONCAT(_xlfn.UNIQUE(_xlfn._xlws.FILTER(R111:R2109,P111:P2109=V111))))</f>
        <v/>
      </c>
      <c r="X111" t="str">
        <f t="shared" si="1"/>
        <v/>
      </c>
    </row>
    <row r="112" spans="23: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ref="X131:X138" si="2">IF(ISBLANK(V131),"",IF(W131="liquid","solidliquid","solid"))</f>
        <v/>
      </c>
    </row>
    <row r="132" spans="23:24" x14ac:dyDescent="0.3">
      <c r="W132" t="str" cm="1">
        <f t="array" ref="W132">IF(ISBLANK(V132),"",_xlfn.CONCAT(_xlfn.UNIQUE(_xlfn._xlws.FILTER(R132:R2130,P132:P2130=V132))))</f>
        <v/>
      </c>
      <c r="X132" t="str">
        <f t="shared" si="2"/>
        <v/>
      </c>
    </row>
    <row r="133" spans="23:24" x14ac:dyDescent="0.3">
      <c r="W133" t="str" cm="1">
        <f t="array" ref="W133">IF(ISBLANK(V133),"",_xlfn.CONCAT(_xlfn.UNIQUE(_xlfn._xlws.FILTER(R133:R2131,P133:P2131=V133))))</f>
        <v/>
      </c>
      <c r="X133" t="str">
        <f t="shared" si="2"/>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row>
    <row r="140" spans="23:24" x14ac:dyDescent="0.3">
      <c r="W140" t="str" cm="1">
        <f t="array" ref="W140">IF(ISBLANK(V140),"",_xlfn.CONCAT(_xlfn.UNIQUE(_xlfn._xlws.FILTER(R140:R2138,P140:P2138=V140))))</f>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5EE4BEB-C0E8-495B-9FD8-367F17582DCD}">
  <ds:schemaRefs>
    <ds:schemaRef ds:uri="http://schemas.microsoft.com/DataMashup"/>
  </ds:schemaRefs>
</ds:datastoreItem>
</file>

<file path=customXml/itemProps2.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customXml/itemProps3.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4.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2025-07-21T16:29:32Z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