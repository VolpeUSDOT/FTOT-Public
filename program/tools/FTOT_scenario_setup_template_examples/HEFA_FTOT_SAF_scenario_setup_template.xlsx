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48CB6F1A-0537-483E-A2DB-DB463D8882D4}" xr6:coauthVersionLast="47" xr6:coauthVersionMax="47" xr10:uidLastSave="{00000000-0000-0000-0000-000000000000}"/>
  <bookViews>
    <workbookView xWindow="28680" yWindow="-120" windowWidth="29040" windowHeight="157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2" i="11" a="1"/>
  <c r="W141" i="11" a="1"/>
  <c r="W140" i="11" a="1"/>
  <c r="W139" i="11" a="1"/>
  <c r="W138" i="11" a="1"/>
  <c r="W137" i="11" a="1"/>
  <c r="W136" i="11" a="1"/>
  <c r="W135" i="11" a="1"/>
  <c r="W134" i="11" a="1"/>
  <c r="W133" i="11" a="1"/>
  <c r="W132" i="11" a="1"/>
  <c r="W131" i="11" a="1"/>
  <c r="W130" i="11" a="1"/>
  <c r="W129" i="11" a="1"/>
  <c r="W128" i="11" a="1"/>
  <c r="W127" i="11" a="1"/>
  <c r="W126" i="11" a="1"/>
  <c r="W125" i="11" a="1"/>
  <c r="W124" i="11" a="1"/>
  <c r="W123" i="11" a="1"/>
  <c r="W122" i="11" a="1"/>
  <c r="W121" i="11" a="1"/>
  <c r="W120" i="11" a="1"/>
  <c r="W119" i="11" a="1"/>
  <c r="W118" i="11" a="1"/>
  <c r="W117" i="11" a="1"/>
  <c r="W116" i="11" a="1"/>
  <c r="W115" i="11" a="1"/>
  <c r="W114" i="11" a="1"/>
  <c r="W113" i="11" a="1"/>
  <c r="W112" i="11" a="1"/>
  <c r="W111" i="11" a="1"/>
  <c r="W110" i="11" a="1"/>
  <c r="W109" i="11" a="1"/>
  <c r="W108" i="11" a="1"/>
  <c r="W107" i="11" a="1"/>
  <c r="W106" i="11" a="1"/>
  <c r="W105" i="11" a="1"/>
  <c r="W104" i="11" a="1"/>
  <c r="W103" i="11" a="1"/>
  <c r="W102" i="11" a="1"/>
  <c r="W101" i="11" a="1"/>
  <c r="W100" i="11" a="1"/>
  <c r="W99" i="11" a="1"/>
  <c r="W98" i="11" a="1"/>
  <c r="W97" i="11" a="1"/>
  <c r="W96" i="11" a="1"/>
  <c r="W95" i="11" a="1"/>
  <c r="W94" i="11" a="1"/>
  <c r="W93" i="11" a="1"/>
  <c r="W92" i="11" a="1"/>
  <c r="W91" i="11" a="1"/>
  <c r="W90" i="11" a="1"/>
  <c r="W89" i="11" a="1"/>
  <c r="W88" i="11" a="1"/>
  <c r="W87" i="11" a="1"/>
  <c r="W86" i="11" a="1"/>
  <c r="W85" i="11" a="1"/>
  <c r="W84" i="11" a="1"/>
  <c r="W83" i="11" a="1"/>
  <c r="W82" i="11" a="1"/>
  <c r="W81" i="11" a="1"/>
  <c r="W80" i="11" a="1"/>
  <c r="W79" i="11" a="1"/>
  <c r="W78" i="11" a="1"/>
  <c r="W77" i="11" a="1"/>
  <c r="W76" i="11" a="1"/>
  <c r="W75" i="11" a="1"/>
  <c r="W74" i="11" a="1"/>
  <c r="W73" i="11" a="1"/>
  <c r="W72" i="11" a="1"/>
  <c r="W71" i="11" a="1"/>
  <c r="W70" i="11" a="1"/>
  <c r="W69" i="11" a="1"/>
  <c r="W68" i="11" a="1"/>
  <c r="W67" i="11" a="1"/>
  <c r="W66" i="11" a="1"/>
  <c r="W65" i="11" a="1"/>
  <c r="W64" i="11" a="1"/>
  <c r="W63" i="11" a="1"/>
  <c r="W62" i="11" a="1"/>
  <c r="W61" i="11" a="1"/>
  <c r="W60" i="11" a="1"/>
  <c r="W59" i="11" a="1"/>
  <c r="W58" i="11" a="1"/>
  <c r="W57" i="11" a="1"/>
  <c r="W56" i="11" a="1"/>
  <c r="W55" i="11" a="1"/>
  <c r="W54" i="11" a="1"/>
  <c r="W53" i="11" a="1"/>
  <c r="W52" i="11" a="1"/>
  <c r="W51" i="11" a="1"/>
  <c r="W50" i="11" a="1"/>
  <c r="W49" i="11" a="1"/>
  <c r="W48" i="11" a="1"/>
  <c r="W47" i="11" a="1"/>
  <c r="W46" i="11" a="1"/>
  <c r="W45" i="11" a="1"/>
  <c r="W44" i="11" a="1"/>
  <c r="W43" i="11" a="1"/>
  <c r="W42" i="11" a="1"/>
  <c r="W41" i="11" a="1"/>
  <c r="W40" i="11" a="1"/>
  <c r="W39" i="11" a="1"/>
  <c r="W38" i="11" a="1"/>
  <c r="W37" i="11" a="1"/>
  <c r="W36" i="11" a="1"/>
  <c r="W35" i="11" a="1"/>
  <c r="W34" i="11" a="1"/>
  <c r="W33" i="11" a="1"/>
  <c r="W32" i="11" a="1"/>
  <c r="W31" i="11" a="1"/>
  <c r="W30" i="11" a="1"/>
  <c r="W29" i="11" a="1"/>
  <c r="W28" i="11" a="1"/>
  <c r="W27" i="11" a="1"/>
  <c r="W26" i="11" a="1"/>
  <c r="W25" i="11" a="1"/>
  <c r="W24" i="11" a="1"/>
  <c r="W23" i="11" a="1"/>
  <c r="W22" i="11" a="1"/>
  <c r="W21" i="11" a="1"/>
  <c r="W20" i="11" a="1"/>
  <c r="W19" i="11" a="1"/>
  <c r="W18" i="11" a="1"/>
  <c r="W17" i="11" a="1"/>
  <c r="W16" i="11" a="1"/>
  <c r="W15" i="11" a="1"/>
  <c r="W14" i="11" a="1"/>
  <c r="W13" i="11" a="1"/>
  <c r="W12" i="11" a="1"/>
  <c r="W11" i="11" a="1"/>
  <c r="W10" i="11" a="1"/>
  <c r="W9" i="11" a="1"/>
  <c r="W8" i="11" a="1"/>
  <c r="W7" i="11" a="1"/>
  <c r="W6" i="11" a="1"/>
  <c r="W5" i="11" a="1"/>
  <c r="CJ30" i="11" l="1"/>
  <c r="AN4" i="11" a="1"/>
  <c r="L19" i="10" s="1"/>
  <c r="AG16" i="11" a="1"/>
  <c r="AG6" i="11" a="1"/>
  <c r="F38" i="13" a="1"/>
  <c r="B19" i="13" a="1"/>
  <c r="AC6" i="11" a="1"/>
  <c r="B40" i="13" a="1"/>
  <c r="BO4" i="11" a="1"/>
  <c r="BF4" i="11" a="1"/>
  <c r="J24" i="13" a="1"/>
  <c r="AA2" i="11" a="1"/>
  <c r="AA3" i="11" a="1"/>
  <c r="L9" i="10"/>
  <c r="K9" i="10"/>
  <c r="AW4" i="11" a="1"/>
  <c r="J19" i="10"/>
  <c r="I19" i="10"/>
  <c r="H19" i="10"/>
  <c r="F19" i="10"/>
  <c r="G19" i="10"/>
  <c r="I9" i="10"/>
  <c r="H9" i="10"/>
  <c r="J9" i="10"/>
  <c r="F9" i="10"/>
  <c r="G9" i="10"/>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533" i="7"/>
  <c r="B1541" i="7"/>
  <c r="B1549" i="7"/>
  <c r="B1557" i="7"/>
  <c r="B1565" i="7"/>
  <c r="B1573" i="7"/>
  <c r="B1581" i="7"/>
  <c r="B1589" i="7"/>
  <c r="B1534" i="7"/>
  <c r="B1542" i="7"/>
  <c r="B1550" i="7"/>
  <c r="B1558" i="7"/>
  <c r="B1566" i="7"/>
  <c r="B1574" i="7"/>
  <c r="B1582" i="7"/>
  <c r="B1590" i="7"/>
  <c r="B1535" i="7"/>
  <c r="B1543" i="7"/>
  <c r="B1551" i="7"/>
  <c r="B1559" i="7"/>
  <c r="B1567" i="7"/>
  <c r="B1575" i="7"/>
  <c r="B1583" i="7"/>
  <c r="B1591" i="7"/>
  <c r="B1536" i="7"/>
  <c r="B1544" i="7"/>
  <c r="B1552" i="7"/>
  <c r="B1560" i="7"/>
  <c r="B1568" i="7"/>
  <c r="B1576" i="7"/>
  <c r="B1584" i="7"/>
  <c r="B1592" i="7"/>
  <c r="B1537" i="7"/>
  <c r="B1545" i="7"/>
  <c r="B1553" i="7"/>
  <c r="B1561" i="7"/>
  <c r="B1569" i="7"/>
  <c r="B1577" i="7"/>
  <c r="B1585" i="7"/>
  <c r="B1593" i="7"/>
  <c r="B1532" i="7"/>
  <c r="B1555" i="7"/>
  <c r="B1578" i="7"/>
  <c r="B1538" i="7"/>
  <c r="B1556" i="7"/>
  <c r="B1579" i="7"/>
  <c r="B1539" i="7"/>
  <c r="B1562" i="7"/>
  <c r="B1580" i="7"/>
  <c r="B1547" i="7"/>
  <c r="B1570" i="7"/>
  <c r="B1588" i="7"/>
  <c r="B1546" i="7"/>
  <c r="B1587" i="7"/>
  <c r="C1533" i="7"/>
  <c r="C1541" i="7"/>
  <c r="C1549" i="7"/>
  <c r="C1557" i="7"/>
  <c r="C1565" i="7"/>
  <c r="C1573" i="7"/>
  <c r="C1581" i="7"/>
  <c r="C1589" i="7"/>
  <c r="B1548" i="7"/>
  <c r="C1534" i="7"/>
  <c r="C1542" i="7"/>
  <c r="C1550" i="7"/>
  <c r="C1558" i="7"/>
  <c r="C1566" i="7"/>
  <c r="C1574" i="7"/>
  <c r="C1582" i="7"/>
  <c r="C1590" i="7"/>
  <c r="B1554" i="7"/>
  <c r="C1535" i="7"/>
  <c r="C1543" i="7"/>
  <c r="C1551" i="7"/>
  <c r="C1559" i="7"/>
  <c r="C1567" i="7"/>
  <c r="C1575" i="7"/>
  <c r="C1583" i="7"/>
  <c r="C1591" i="7"/>
  <c r="B1563" i="7"/>
  <c r="C1536" i="7"/>
  <c r="C1544" i="7"/>
  <c r="C1552" i="7"/>
  <c r="C1560" i="7"/>
  <c r="C1568" i="7"/>
  <c r="C1576" i="7"/>
  <c r="C1584" i="7"/>
  <c r="C1592" i="7"/>
  <c r="B1564" i="7"/>
  <c r="C1537" i="7"/>
  <c r="C1545" i="7"/>
  <c r="C1553" i="7"/>
  <c r="C1561" i="7"/>
  <c r="C1569" i="7"/>
  <c r="C1577" i="7"/>
  <c r="C1585" i="7"/>
  <c r="C1593" i="7"/>
  <c r="B1540" i="7"/>
  <c r="B1586" i="7"/>
  <c r="C1532" i="7"/>
  <c r="C1540" i="7"/>
  <c r="C1548" i="7"/>
  <c r="C1556" i="7"/>
  <c r="C1564" i="7"/>
  <c r="C1572" i="7"/>
  <c r="C1580" i="7"/>
  <c r="C1588" i="7"/>
  <c r="C1538" i="7"/>
  <c r="C1570" i="7"/>
  <c r="C1539" i="7"/>
  <c r="C1571" i="7"/>
  <c r="C1546" i="7"/>
  <c r="C1578" i="7"/>
  <c r="B1571" i="7"/>
  <c r="C1547" i="7"/>
  <c r="C1579" i="7"/>
  <c r="B1572" i="7"/>
  <c r="C1554" i="7"/>
  <c r="C1586" i="7"/>
  <c r="C1555" i="7"/>
  <c r="C1587" i="7"/>
  <c r="D1535" i="7"/>
  <c r="D1543" i="7"/>
  <c r="D1551" i="7"/>
  <c r="D1559" i="7"/>
  <c r="D1567" i="7"/>
  <c r="D1575" i="7"/>
  <c r="D1583" i="7"/>
  <c r="D1591" i="7"/>
  <c r="D1536" i="7"/>
  <c r="D1544" i="7"/>
  <c r="D1552" i="7"/>
  <c r="D1560" i="7"/>
  <c r="D1568" i="7"/>
  <c r="D1576" i="7"/>
  <c r="D1584" i="7"/>
  <c r="D1592" i="7"/>
  <c r="D1537" i="7"/>
  <c r="D1545" i="7"/>
  <c r="D1553" i="7"/>
  <c r="D1561" i="7"/>
  <c r="D1569" i="7"/>
  <c r="D1577" i="7"/>
  <c r="D1585" i="7"/>
  <c r="D1593" i="7"/>
  <c r="D1539" i="7"/>
  <c r="D1547" i="7"/>
  <c r="D1555" i="7"/>
  <c r="D1563" i="7"/>
  <c r="D1571" i="7"/>
  <c r="D1579" i="7"/>
  <c r="D1587" i="7"/>
  <c r="D1534" i="7"/>
  <c r="D1550" i="7"/>
  <c r="D1566" i="7"/>
  <c r="D1582" i="7"/>
  <c r="C1562" i="7"/>
  <c r="D1538" i="7"/>
  <c r="D1554" i="7"/>
  <c r="D1570" i="7"/>
  <c r="D1586" i="7"/>
  <c r="C1563" i="7"/>
  <c r="D1540" i="7"/>
  <c r="D1556" i="7"/>
  <c r="D1572" i="7"/>
  <c r="D1588" i="7"/>
  <c r="D1541" i="7"/>
  <c r="D1557" i="7"/>
  <c r="D1573" i="7"/>
  <c r="D1589" i="7"/>
  <c r="D1542" i="7"/>
  <c r="D1558" i="7"/>
  <c r="D1574" i="7"/>
  <c r="D1590" i="7"/>
  <c r="D1533" i="7"/>
  <c r="D1549" i="7"/>
  <c r="D1565" i="7"/>
  <c r="D1581" i="7"/>
  <c r="D1580" i="7"/>
  <c r="E1539" i="7"/>
  <c r="E1547" i="7"/>
  <c r="E1555" i="7"/>
  <c r="E1563" i="7"/>
  <c r="E1571" i="7"/>
  <c r="E1579" i="7"/>
  <c r="E1587" i="7"/>
  <c r="E1532" i="7"/>
  <c r="E1540" i="7"/>
  <c r="E1548" i="7"/>
  <c r="E1556" i="7"/>
  <c r="E1564" i="7"/>
  <c r="E1572" i="7"/>
  <c r="E1580" i="7"/>
  <c r="E1588" i="7"/>
  <c r="D1532" i="7"/>
  <c r="E1533" i="7"/>
  <c r="E1541" i="7"/>
  <c r="E1549" i="7"/>
  <c r="E1557" i="7"/>
  <c r="E1565" i="7"/>
  <c r="E1573" i="7"/>
  <c r="E1581" i="7"/>
  <c r="E1589" i="7"/>
  <c r="D1546" i="7"/>
  <c r="E1534" i="7"/>
  <c r="E1542" i="7"/>
  <c r="E1550" i="7"/>
  <c r="E1558" i="7"/>
  <c r="E1566" i="7"/>
  <c r="E1574" i="7"/>
  <c r="E1582" i="7"/>
  <c r="E1590" i="7"/>
  <c r="D1548" i="7"/>
  <c r="E1535" i="7"/>
  <c r="E1543" i="7"/>
  <c r="E1551" i="7"/>
  <c r="E1559" i="7"/>
  <c r="E1567" i="7"/>
  <c r="E1575" i="7"/>
  <c r="E1583" i="7"/>
  <c r="E1591" i="7"/>
  <c r="D1562" i="7"/>
  <c r="E1536" i="7"/>
  <c r="E1544" i="7"/>
  <c r="E1552" i="7"/>
  <c r="E1560" i="7"/>
  <c r="E1568" i="7"/>
  <c r="E1576" i="7"/>
  <c r="E1584" i="7"/>
  <c r="E1592" i="7"/>
  <c r="E1553" i="7"/>
  <c r="E1585" i="7"/>
  <c r="F1533" i="7"/>
  <c r="F1541" i="7"/>
  <c r="F1549" i="7"/>
  <c r="F1557" i="7"/>
  <c r="F1565" i="7"/>
  <c r="F1573" i="7"/>
  <c r="F1581" i="7"/>
  <c r="F1589" i="7"/>
  <c r="E1554" i="7"/>
  <c r="E1586" i="7"/>
  <c r="F1534" i="7"/>
  <c r="F1542" i="7"/>
  <c r="F1550" i="7"/>
  <c r="F1558" i="7"/>
  <c r="F1566" i="7"/>
  <c r="F1574" i="7"/>
  <c r="F1582" i="7"/>
  <c r="F1590" i="7"/>
  <c r="E1561" i="7"/>
  <c r="E1593" i="7"/>
  <c r="F1535" i="7"/>
  <c r="F1543" i="7"/>
  <c r="F1551" i="7"/>
  <c r="F1559" i="7"/>
  <c r="F1567" i="7"/>
  <c r="F1575" i="7"/>
  <c r="F1583" i="7"/>
  <c r="F1591" i="7"/>
  <c r="D1564" i="7"/>
  <c r="E1562" i="7"/>
  <c r="F1536" i="7"/>
  <c r="F1544" i="7"/>
  <c r="F1552" i="7"/>
  <c r="F1560" i="7"/>
  <c r="F1568" i="7"/>
  <c r="F1576" i="7"/>
  <c r="F1584" i="7"/>
  <c r="F1592" i="7"/>
  <c r="G1532" i="7"/>
  <c r="G1540" i="7"/>
  <c r="G1548" i="7"/>
  <c r="G1556" i="7"/>
  <c r="G1564" i="7"/>
  <c r="G1572" i="7"/>
  <c r="G1580" i="7"/>
  <c r="D1578" i="7"/>
  <c r="E1537" i="7"/>
  <c r="E1569" i="7"/>
  <c r="F1537" i="7"/>
  <c r="F1545" i="7"/>
  <c r="F1553" i="7"/>
  <c r="F1561" i="7"/>
  <c r="F1569" i="7"/>
  <c r="F1577" i="7"/>
  <c r="F1585" i="7"/>
  <c r="F1593" i="7"/>
  <c r="E1546" i="7"/>
  <c r="E1578" i="7"/>
  <c r="F1532" i="7"/>
  <c r="F1540" i="7"/>
  <c r="F1548" i="7"/>
  <c r="F1556" i="7"/>
  <c r="F1564" i="7"/>
  <c r="F1572" i="7"/>
  <c r="F1580" i="7"/>
  <c r="F1588" i="7"/>
  <c r="G1536" i="7"/>
  <c r="G1544" i="7"/>
  <c r="G1552" i="7"/>
  <c r="G1560" i="7"/>
  <c r="G1568" i="7"/>
  <c r="G1576" i="7"/>
  <c r="F1547" i="7"/>
  <c r="F1579" i="7"/>
  <c r="G1542" i="7"/>
  <c r="G1553" i="7"/>
  <c r="G1563" i="7"/>
  <c r="G1574" i="7"/>
  <c r="G1584" i="7"/>
  <c r="G1592" i="7"/>
  <c r="F1554" i="7"/>
  <c r="F1586" i="7"/>
  <c r="G1533" i="7"/>
  <c r="G1543" i="7"/>
  <c r="G1554" i="7"/>
  <c r="G1565" i="7"/>
  <c r="G1575" i="7"/>
  <c r="G1585" i="7"/>
  <c r="G1593" i="7"/>
  <c r="H1533" i="7"/>
  <c r="H1541" i="7"/>
  <c r="H1549" i="7"/>
  <c r="H1557" i="7"/>
  <c r="H1565" i="7"/>
  <c r="H1573" i="7"/>
  <c r="H1581" i="7"/>
  <c r="H1589" i="7"/>
  <c r="E1538" i="7"/>
  <c r="F1555" i="7"/>
  <c r="F1587" i="7"/>
  <c r="G1534" i="7"/>
  <c r="G1545" i="7"/>
  <c r="G1555" i="7"/>
  <c r="G1566" i="7"/>
  <c r="G1577" i="7"/>
  <c r="G1586" i="7"/>
  <c r="E1545" i="7"/>
  <c r="F1562" i="7"/>
  <c r="G1535" i="7"/>
  <c r="G1546" i="7"/>
  <c r="G1557" i="7"/>
  <c r="G1567" i="7"/>
  <c r="G1578" i="7"/>
  <c r="G1587" i="7"/>
  <c r="E1570" i="7"/>
  <c r="F1563" i="7"/>
  <c r="G1537" i="7"/>
  <c r="G1547" i="7"/>
  <c r="G1558" i="7"/>
  <c r="G1569" i="7"/>
  <c r="G1579" i="7"/>
  <c r="G1588" i="7"/>
  <c r="E1577" i="7"/>
  <c r="F1538" i="7"/>
  <c r="F1570" i="7"/>
  <c r="G1538" i="7"/>
  <c r="G1549" i="7"/>
  <c r="G1559" i="7"/>
  <c r="G1570" i="7"/>
  <c r="G1581" i="7"/>
  <c r="G1589" i="7"/>
  <c r="H1537" i="7"/>
  <c r="H1545" i="7"/>
  <c r="H1553" i="7"/>
  <c r="H1561" i="7"/>
  <c r="H1569" i="7"/>
  <c r="H1577" i="7"/>
  <c r="H1585" i="7"/>
  <c r="H1593" i="7"/>
  <c r="G1573" i="7"/>
  <c r="H1539" i="7"/>
  <c r="H1550" i="7"/>
  <c r="H1560" i="7"/>
  <c r="H1571" i="7"/>
  <c r="H1582" i="7"/>
  <c r="H1592" i="7"/>
  <c r="A1535" i="7"/>
  <c r="A1543" i="7"/>
  <c r="A1551" i="7"/>
  <c r="A1559" i="7"/>
  <c r="A1567" i="7"/>
  <c r="A1575" i="7"/>
  <c r="A1583" i="7"/>
  <c r="A1591" i="7"/>
  <c r="G1539" i="7"/>
  <c r="G1582" i="7"/>
  <c r="H1540" i="7"/>
  <c r="H1551" i="7"/>
  <c r="H1562" i="7"/>
  <c r="H1572" i="7"/>
  <c r="H1583" i="7"/>
  <c r="A1536" i="7"/>
  <c r="A1544" i="7"/>
  <c r="A1552" i="7"/>
  <c r="A1560" i="7"/>
  <c r="A1568" i="7"/>
  <c r="A1576" i="7"/>
  <c r="A1584" i="7"/>
  <c r="A1592" i="7"/>
  <c r="F1539" i="7"/>
  <c r="G1541" i="7"/>
  <c r="G1583" i="7"/>
  <c r="H1542" i="7"/>
  <c r="H1552" i="7"/>
  <c r="H1563" i="7"/>
  <c r="H1574" i="7"/>
  <c r="H1584" i="7"/>
  <c r="A1537" i="7"/>
  <c r="A1545" i="7"/>
  <c r="A1553" i="7"/>
  <c r="A1561" i="7"/>
  <c r="A1569" i="7"/>
  <c r="A1577" i="7"/>
  <c r="A1585" i="7"/>
  <c r="A1593" i="7"/>
  <c r="F1546" i="7"/>
  <c r="G1550" i="7"/>
  <c r="G1590" i="7"/>
  <c r="H1532" i="7"/>
  <c r="H1543" i="7"/>
  <c r="H1554" i="7"/>
  <c r="H1564" i="7"/>
  <c r="H1575" i="7"/>
  <c r="H1586" i="7"/>
  <c r="A1538" i="7"/>
  <c r="A1546" i="7"/>
  <c r="A1554" i="7"/>
  <c r="A1562" i="7"/>
  <c r="A1570" i="7"/>
  <c r="A1578" i="7"/>
  <c r="A1586" i="7"/>
  <c r="F1571" i="7"/>
  <c r="G1551" i="7"/>
  <c r="G1591" i="7"/>
  <c r="H1534" i="7"/>
  <c r="H1544" i="7"/>
  <c r="H1555" i="7"/>
  <c r="H1566" i="7"/>
  <c r="H1576" i="7"/>
  <c r="H1587" i="7"/>
  <c r="A1539" i="7"/>
  <c r="A1547" i="7"/>
  <c r="A1555" i="7"/>
  <c r="A1563" i="7"/>
  <c r="A1571" i="7"/>
  <c r="A1579" i="7"/>
  <c r="A1587" i="7"/>
  <c r="F1578" i="7"/>
  <c r="G1561" i="7"/>
  <c r="H1535" i="7"/>
  <c r="H1546" i="7"/>
  <c r="H1556" i="7"/>
  <c r="H1567" i="7"/>
  <c r="H1578" i="7"/>
  <c r="H1588" i="7"/>
  <c r="G1562" i="7"/>
  <c r="G1571" i="7"/>
  <c r="H1538" i="7"/>
  <c r="H1548" i="7"/>
  <c r="H1559" i="7"/>
  <c r="H1570" i="7"/>
  <c r="H1580" i="7"/>
  <c r="H1591" i="7"/>
  <c r="A1534" i="7"/>
  <c r="A1542" i="7"/>
  <c r="A1550" i="7"/>
  <c r="A1558" i="7"/>
  <c r="A1566" i="7"/>
  <c r="A1574" i="7"/>
  <c r="A1582" i="7"/>
  <c r="A1590" i="7"/>
  <c r="H1547" i="7"/>
  <c r="A1564" i="7"/>
  <c r="A1549" i="7"/>
  <c r="H1558" i="7"/>
  <c r="A1533" i="7"/>
  <c r="A1565" i="7"/>
  <c r="H1568" i="7"/>
  <c r="A1540" i="7"/>
  <c r="A1572" i="7"/>
  <c r="H1579" i="7"/>
  <c r="A1541" i="7"/>
  <c r="A1573" i="7"/>
  <c r="A1556" i="7"/>
  <c r="H1590" i="7"/>
  <c r="A1548" i="7"/>
  <c r="A1580" i="7"/>
  <c r="A1588" i="7"/>
  <c r="H1536" i="7"/>
  <c r="A1557" i="7"/>
  <c r="A1589" i="7"/>
  <c r="A1532" i="7"/>
  <c r="A1581" i="7"/>
  <c r="R7" i="11"/>
  <c r="R6" i="11"/>
  <c r="BY4" i="11" l="1" a="1"/>
  <c r="N24" i="13"/>
  <c r="A10" i="10"/>
  <c r="B10" i="10"/>
  <c r="E19" i="10"/>
  <c r="E9" i="10"/>
  <c r="O2" i="11" s="1" a="1"/>
  <c r="H1196" i="7" l="1"/>
  <c r="H956" i="7"/>
  <c r="H876" i="7"/>
  <c r="H796" i="7"/>
  <c r="H650" i="7"/>
  <c r="H458" i="7"/>
  <c r="H298" i="7"/>
  <c r="G1509" i="7"/>
  <c r="G1014" i="7"/>
  <c r="G535" i="7"/>
  <c r="F298" i="7"/>
  <c r="A1482" i="7"/>
  <c r="A1442" i="7"/>
  <c r="A1402" i="7"/>
  <c r="A1362" i="7"/>
  <c r="A1330" i="7"/>
  <c r="A1258" i="7"/>
  <c r="A1218" i="7"/>
  <c r="A1178" i="7"/>
  <c r="A1130" i="7"/>
  <c r="A1090" i="7"/>
  <c r="A1026" i="7"/>
  <c r="A986" i="7"/>
  <c r="A946" i="7"/>
  <c r="A882" i="7"/>
  <c r="A842" i="7"/>
  <c r="A802" i="7"/>
  <c r="A762" i="7"/>
  <c r="A722" i="7"/>
  <c r="A674" i="7"/>
  <c r="A618" i="7"/>
  <c r="A538" i="7"/>
  <c r="A447" i="7"/>
  <c r="A362" i="7"/>
  <c r="F619" i="7"/>
  <c r="F571" i="7"/>
  <c r="F533" i="7"/>
  <c r="F494" i="7"/>
  <c r="F455" i="7"/>
  <c r="F406" i="7"/>
  <c r="F322" i="7"/>
  <c r="F214" i="7"/>
  <c r="E1450" i="7"/>
  <c r="E1322" i="7"/>
  <c r="E1093" i="7"/>
  <c r="E914" i="7"/>
  <c r="E727" i="7"/>
  <c r="E242" i="7"/>
  <c r="G957" i="7"/>
  <c r="G933" i="7"/>
  <c r="G909" i="7"/>
  <c r="G893" i="7"/>
  <c r="G869" i="7"/>
  <c r="G829" i="7"/>
  <c r="G805" i="7"/>
  <c r="G773" i="7"/>
  <c r="F1254" i="7"/>
  <c r="F1222" i="7"/>
  <c r="F1206" i="7"/>
  <c r="F1190" i="7"/>
  <c r="F1174" i="7"/>
  <c r="F1150" i="7"/>
  <c r="F1126" i="7"/>
  <c r="F1102" i="7"/>
  <c r="F1078" i="7"/>
  <c r="F1030" i="7"/>
  <c r="F1006" i="7"/>
  <c r="F974" i="7"/>
  <c r="F942" i="7"/>
  <c r="F910" i="7"/>
  <c r="F889" i="7"/>
  <c r="F846" i="7"/>
  <c r="F814" i="7"/>
  <c r="F793" i="7"/>
  <c r="F761" i="7"/>
  <c r="F707" i="7"/>
  <c r="F686" i="7"/>
  <c r="F654" i="7"/>
  <c r="F611" i="7"/>
  <c r="F562" i="7"/>
  <c r="F510" i="7"/>
  <c r="F485" i="7"/>
  <c r="F434" i="7"/>
  <c r="F370" i="7"/>
  <c r="F306" i="7"/>
  <c r="F222" i="7"/>
  <c r="E1490" i="7"/>
  <c r="E1394" i="7"/>
  <c r="E1298" i="7"/>
  <c r="E1189" i="7"/>
  <c r="E1061" i="7"/>
  <c r="E927" i="7"/>
  <c r="E743" i="7"/>
  <c r="E453" i="7"/>
  <c r="D1244" i="7"/>
  <c r="G865" i="7"/>
  <c r="G849" i="7"/>
  <c r="G825" i="7"/>
  <c r="G809" i="7"/>
  <c r="G801" i="7"/>
  <c r="G793" i="7"/>
  <c r="G785" i="7"/>
  <c r="G777" i="7"/>
  <c r="G769" i="7"/>
  <c r="G761" i="7"/>
  <c r="G753" i="7"/>
  <c r="G745" i="7"/>
  <c r="G737" i="7"/>
  <c r="G729" i="7"/>
  <c r="G721" i="7"/>
  <c r="G713" i="7"/>
  <c r="G705" i="7"/>
  <c r="G697" i="7"/>
  <c r="G665" i="7"/>
  <c r="G641" i="7"/>
  <c r="G625" i="7"/>
  <c r="G593" i="7"/>
  <c r="G577" i="7"/>
  <c r="G553" i="7"/>
  <c r="G537" i="7"/>
  <c r="G505" i="7"/>
  <c r="G481" i="7"/>
  <c r="G465" i="7"/>
  <c r="G441" i="7"/>
  <c r="G417" i="7"/>
  <c r="G393" i="7"/>
  <c r="G377" i="7"/>
  <c r="G361" i="7"/>
  <c r="G337" i="7"/>
  <c r="G321" i="7"/>
  <c r="G297" i="7"/>
  <c r="G273" i="7"/>
  <c r="G249" i="7"/>
  <c r="G217" i="7"/>
  <c r="G193" i="7"/>
  <c r="G177" i="7"/>
  <c r="F1525" i="7"/>
  <c r="F1493" i="7"/>
  <c r="F1477" i="7"/>
  <c r="F1421" i="7"/>
  <c r="F1397" i="7"/>
  <c r="F1373" i="7"/>
  <c r="F1349" i="7"/>
  <c r="F1325" i="7"/>
  <c r="F1301" i="7"/>
  <c r="F1277" i="7"/>
  <c r="F1261" i="7"/>
  <c r="F1229" i="7"/>
  <c r="F1213" i="7"/>
  <c r="F1197" i="7"/>
  <c r="F1165" i="7"/>
  <c r="F1133" i="7"/>
  <c r="F1109" i="7"/>
  <c r="F1085" i="7"/>
  <c r="F1053" i="7"/>
  <c r="F1037" i="7"/>
  <c r="F1013" i="7"/>
  <c r="F983" i="7"/>
  <c r="F951" i="7"/>
  <c r="F919" i="7"/>
  <c r="F898" i="7"/>
  <c r="F866" i="7"/>
  <c r="F834" i="7"/>
  <c r="F813" i="7"/>
  <c r="F781" i="7"/>
  <c r="F749" i="7"/>
  <c r="F717" i="7"/>
  <c r="F685" i="7"/>
  <c r="F631" i="7"/>
  <c r="F598" i="7"/>
  <c r="F573" i="7"/>
  <c r="F522" i="7"/>
  <c r="F483" i="7"/>
  <c r="F445" i="7"/>
  <c r="F389" i="7"/>
  <c r="F325" i="7"/>
  <c r="F253" i="7"/>
  <c r="E1521" i="7"/>
  <c r="E1457" i="7"/>
  <c r="E1425" i="7"/>
  <c r="E1329" i="7"/>
  <c r="E1231" i="7"/>
  <c r="E1103" i="7"/>
  <c r="E1017" i="7"/>
  <c r="E869" i="7"/>
  <c r="E741" i="7"/>
  <c r="E452" i="7"/>
  <c r="D1172" i="7"/>
  <c r="F1004" i="7"/>
  <c r="F980" i="7"/>
  <c r="F948" i="7"/>
  <c r="F924" i="7"/>
  <c r="F900" i="7"/>
  <c r="F876" i="7"/>
  <c r="F860" i="7"/>
  <c r="F836" i="7"/>
  <c r="F820" i="7"/>
  <c r="F796" i="7"/>
  <c r="F772" i="7"/>
  <c r="F748" i="7"/>
  <c r="F732" i="7"/>
  <c r="F708" i="7"/>
  <c r="F676" i="7"/>
  <c r="F628" i="7"/>
  <c r="F612" i="7"/>
  <c r="F588" i="7"/>
  <c r="F556" i="7"/>
  <c r="F516" i="7"/>
  <c r="F500" i="7"/>
  <c r="F476" i="7"/>
  <c r="F452" i="7"/>
  <c r="F428" i="7"/>
  <c r="F404" i="7"/>
  <c r="F388" i="7"/>
  <c r="F356" i="7"/>
  <c r="F340" i="7"/>
  <c r="F300" i="7"/>
  <c r="F276" i="7"/>
  <c r="F252" i="7"/>
  <c r="F228" i="7"/>
  <c r="F212" i="7"/>
  <c r="F196" i="7"/>
  <c r="F188" i="7"/>
  <c r="F172" i="7"/>
  <c r="E1520" i="7"/>
  <c r="E1496" i="7"/>
  <c r="E1472" i="7"/>
  <c r="E1456" i="7"/>
  <c r="E1440" i="7"/>
  <c r="E1416" i="7"/>
  <c r="E1400" i="7"/>
  <c r="E1376" i="7"/>
  <c r="E1352" i="7"/>
  <c r="E1328" i="7"/>
  <c r="E1296" i="7"/>
  <c r="E1280" i="7"/>
  <c r="E1264" i="7"/>
  <c r="E1239" i="7"/>
  <c r="E1218" i="7"/>
  <c r="E1186" i="7"/>
  <c r="E1154" i="7"/>
  <c r="E1122" i="7"/>
  <c r="E1101" i="7"/>
  <c r="E1090" i="7"/>
  <c r="E1058" i="7"/>
  <c r="E1026" i="7"/>
  <c r="E1005" i="7"/>
  <c r="E973" i="7"/>
  <c r="E936" i="7"/>
  <c r="E898" i="7"/>
  <c r="E868" i="7"/>
  <c r="E836" i="7"/>
  <c r="E788" i="7"/>
  <c r="E740" i="7"/>
  <c r="E708" i="7"/>
  <c r="E660" i="7"/>
  <c r="E573" i="7"/>
  <c r="E509" i="7"/>
  <c r="E232" i="7"/>
  <c r="D1370" i="7"/>
  <c r="D1242" i="7"/>
  <c r="D884" i="7"/>
  <c r="F427" i="7"/>
  <c r="F403" i="7"/>
  <c r="F379" i="7"/>
  <c r="F363" i="7"/>
  <c r="F331" i="7"/>
  <c r="F307" i="7"/>
  <c r="F275" i="7"/>
  <c r="F251" i="7"/>
  <c r="F219" i="7"/>
  <c r="F203" i="7"/>
  <c r="F171" i="7"/>
  <c r="E1503" i="7"/>
  <c r="E1487" i="7"/>
  <c r="E1463" i="7"/>
  <c r="E1439" i="7"/>
  <c r="E1415" i="7"/>
  <c r="E1399" i="7"/>
  <c r="E1367" i="7"/>
  <c r="E1343" i="7"/>
  <c r="E1327" i="7"/>
  <c r="E1319" i="7"/>
  <c r="E1311" i="7"/>
  <c r="E1303" i="7"/>
  <c r="E1295" i="7"/>
  <c r="E1287" i="7"/>
  <c r="E1279" i="7"/>
  <c r="E1271" i="7"/>
  <c r="E1263" i="7"/>
  <c r="E1255" i="7"/>
  <c r="E1247" i="7"/>
  <c r="E1238" i="7"/>
  <c r="E1228" i="7"/>
  <c r="E1217" i="7"/>
  <c r="E1207" i="7"/>
  <c r="E1196" i="7"/>
  <c r="E1185" i="7"/>
  <c r="E1175" i="7"/>
  <c r="E1164" i="7"/>
  <c r="E1153" i="7"/>
  <c r="E1143" i="7"/>
  <c r="E1132" i="7"/>
  <c r="E1121" i="7"/>
  <c r="E1111" i="7"/>
  <c r="E1100" i="7"/>
  <c r="E1089" i="7"/>
  <c r="E1079" i="7"/>
  <c r="E1068" i="7"/>
  <c r="E1057" i="7"/>
  <c r="E1047" i="7"/>
  <c r="E1036" i="7"/>
  <c r="E1025" i="7"/>
  <c r="E1015" i="7"/>
  <c r="E1004" i="7"/>
  <c r="E993" i="7"/>
  <c r="E983" i="7"/>
  <c r="E972" i="7"/>
  <c r="E960" i="7"/>
  <c r="E948" i="7"/>
  <c r="E935" i="7"/>
  <c r="E922" i="7"/>
  <c r="E909" i="7"/>
  <c r="E896" i="7"/>
  <c r="E880" i="7"/>
  <c r="E864" i="7"/>
  <c r="E848" i="7"/>
  <c r="E832" i="7"/>
  <c r="E816" i="7"/>
  <c r="E800" i="7"/>
  <c r="E784" i="7"/>
  <c r="E768" i="7"/>
  <c r="E752" i="7"/>
  <c r="E736" i="7"/>
  <c r="E720" i="7"/>
  <c r="E704" i="7"/>
  <c r="E688" i="7"/>
  <c r="E672" i="7"/>
  <c r="E656" i="7"/>
  <c r="E636" i="7"/>
  <c r="E604" i="7"/>
  <c r="E572" i="7"/>
  <c r="E540" i="7"/>
  <c r="E508" i="7"/>
  <c r="E476" i="7"/>
  <c r="E444" i="7"/>
  <c r="E401" i="7"/>
  <c r="E358" i="7"/>
  <c r="E316" i="7"/>
  <c r="E273" i="7"/>
  <c r="E230" i="7"/>
  <c r="E188" i="7"/>
  <c r="D1484" i="7"/>
  <c r="D1420" i="7"/>
  <c r="D1356" i="7"/>
  <c r="D1292" i="7"/>
  <c r="D1228" i="7"/>
  <c r="D1109" i="7"/>
  <c r="D981" i="7"/>
  <c r="D847" i="7"/>
  <c r="D676" i="7"/>
  <c r="D280" i="7"/>
  <c r="F274" i="7"/>
  <c r="F266" i="7"/>
  <c r="F258" i="7"/>
  <c r="F250" i="7"/>
  <c r="F242" i="7"/>
  <c r="F234" i="7"/>
  <c r="F226" i="7"/>
  <c r="F218" i="7"/>
  <c r="F210" i="7"/>
  <c r="F202" i="7"/>
  <c r="F194" i="7"/>
  <c r="F186" i="7"/>
  <c r="F178" i="7"/>
  <c r="F170" i="7"/>
  <c r="E1526" i="7"/>
  <c r="E1518" i="7"/>
  <c r="E1510" i="7"/>
  <c r="E1502" i="7"/>
  <c r="E1494" i="7"/>
  <c r="E1486" i="7"/>
  <c r="E1478" i="7"/>
  <c r="E1470" i="7"/>
  <c r="E1462" i="7"/>
  <c r="E1454" i="7"/>
  <c r="E1446" i="7"/>
  <c r="E1438" i="7"/>
  <c r="E1430" i="7"/>
  <c r="E1422" i="7"/>
  <c r="E1414" i="7"/>
  <c r="E1406" i="7"/>
  <c r="E1398" i="7"/>
  <c r="E1390" i="7"/>
  <c r="E1382" i="7"/>
  <c r="E1374" i="7"/>
  <c r="E1366" i="7"/>
  <c r="E1358" i="7"/>
  <c r="E1350" i="7"/>
  <c r="E1342" i="7"/>
  <c r="E1334" i="7"/>
  <c r="E1326" i="7"/>
  <c r="E1318" i="7"/>
  <c r="E1310" i="7"/>
  <c r="E1302" i="7"/>
  <c r="E1294" i="7"/>
  <c r="E1286" i="7"/>
  <c r="E1278" i="7"/>
  <c r="E1270" i="7"/>
  <c r="E1262" i="7"/>
  <c r="E1254" i="7"/>
  <c r="E1246" i="7"/>
  <c r="E1237" i="7"/>
  <c r="E1226" i="7"/>
  <c r="E1216" i="7"/>
  <c r="E1205" i="7"/>
  <c r="E1194" i="7"/>
  <c r="E1184" i="7"/>
  <c r="E1173" i="7"/>
  <c r="E1162" i="7"/>
  <c r="E1152" i="7"/>
  <c r="E1141" i="7"/>
  <c r="E1130" i="7"/>
  <c r="E1120" i="7"/>
  <c r="E1109" i="7"/>
  <c r="E1098" i="7"/>
  <c r="E1088" i="7"/>
  <c r="E1077" i="7"/>
  <c r="E1066" i="7"/>
  <c r="E1056" i="7"/>
  <c r="E1045" i="7"/>
  <c r="E1034" i="7"/>
  <c r="E1024" i="7"/>
  <c r="E1013" i="7"/>
  <c r="E1002" i="7"/>
  <c r="E992" i="7"/>
  <c r="E981" i="7"/>
  <c r="E970" i="7"/>
  <c r="E959" i="7"/>
  <c r="E946" i="7"/>
  <c r="E933" i="7"/>
  <c r="E920" i="7"/>
  <c r="E908" i="7"/>
  <c r="E895" i="7"/>
  <c r="E879" i="7"/>
  <c r="E863" i="7"/>
  <c r="E847" i="7"/>
  <c r="E831" i="7"/>
  <c r="E815" i="7"/>
  <c r="E799" i="7"/>
  <c r="E783" i="7"/>
  <c r="E767" i="7"/>
  <c r="E751" i="7"/>
  <c r="E735" i="7"/>
  <c r="E719" i="7"/>
  <c r="E703" i="7"/>
  <c r="E687" i="7"/>
  <c r="E671" i="7"/>
  <c r="E655" i="7"/>
  <c r="E629" i="7"/>
  <c r="E597" i="7"/>
  <c r="E565" i="7"/>
  <c r="E533" i="7"/>
  <c r="E501" i="7"/>
  <c r="E469" i="7"/>
  <c r="E434" i="7"/>
  <c r="E392" i="7"/>
  <c r="E349" i="7"/>
  <c r="E306" i="7"/>
  <c r="E264" i="7"/>
  <c r="E221" i="7"/>
  <c r="E178" i="7"/>
  <c r="D1482" i="7"/>
  <c r="D1418" i="7"/>
  <c r="D1354" i="7"/>
  <c r="D1290" i="7"/>
  <c r="D1226" i="7"/>
  <c r="D1108" i="7"/>
  <c r="D980" i="7"/>
  <c r="D846" i="7"/>
  <c r="D675" i="7"/>
  <c r="D271" i="7"/>
  <c r="C1307" i="7"/>
  <c r="F601" i="7"/>
  <c r="F593" i="7"/>
  <c r="F585" i="7"/>
  <c r="F577" i="7"/>
  <c r="F569" i="7"/>
  <c r="F561" i="7"/>
  <c r="F553" i="7"/>
  <c r="F545" i="7"/>
  <c r="F537" i="7"/>
  <c r="F529" i="7"/>
  <c r="F521" i="7"/>
  <c r="F513" i="7"/>
  <c r="F505" i="7"/>
  <c r="F497" i="7"/>
  <c r="F489" i="7"/>
  <c r="F481" i="7"/>
  <c r="F473" i="7"/>
  <c r="F465" i="7"/>
  <c r="F457" i="7"/>
  <c r="F449" i="7"/>
  <c r="F441" i="7"/>
  <c r="F433" i="7"/>
  <c r="F425" i="7"/>
  <c r="F417" i="7"/>
  <c r="F409" i="7"/>
  <c r="F401" i="7"/>
  <c r="F393" i="7"/>
  <c r="F385" i="7"/>
  <c r="F377" i="7"/>
  <c r="F369" i="7"/>
  <c r="F361" i="7"/>
  <c r="F353" i="7"/>
  <c r="F345" i="7"/>
  <c r="F337" i="7"/>
  <c r="F329" i="7"/>
  <c r="F321" i="7"/>
  <c r="F313" i="7"/>
  <c r="F305" i="7"/>
  <c r="F297" i="7"/>
  <c r="F289" i="7"/>
  <c r="F281" i="7"/>
  <c r="F273" i="7"/>
  <c r="F265" i="7"/>
  <c r="F257" i="7"/>
  <c r="F249" i="7"/>
  <c r="F241" i="7"/>
  <c r="F233" i="7"/>
  <c r="F225" i="7"/>
  <c r="F217" i="7"/>
  <c r="F209" i="7"/>
  <c r="F201" i="7"/>
  <c r="F193" i="7"/>
  <c r="F185" i="7"/>
  <c r="F177" i="7"/>
  <c r="F169" i="7"/>
  <c r="E1525" i="7"/>
  <c r="E1517" i="7"/>
  <c r="E1509" i="7"/>
  <c r="E1501" i="7"/>
  <c r="E1493" i="7"/>
  <c r="E1485" i="7"/>
  <c r="E1477" i="7"/>
  <c r="E1469" i="7"/>
  <c r="E1461" i="7"/>
  <c r="E1453" i="7"/>
  <c r="E1445" i="7"/>
  <c r="E1437" i="7"/>
  <c r="E1429" i="7"/>
  <c r="E1421" i="7"/>
  <c r="E1413" i="7"/>
  <c r="E1405" i="7"/>
  <c r="E1397" i="7"/>
  <c r="E1389" i="7"/>
  <c r="E1381" i="7"/>
  <c r="E1373" i="7"/>
  <c r="E1365" i="7"/>
  <c r="E1357" i="7"/>
  <c r="E1349" i="7"/>
  <c r="E1341" i="7"/>
  <c r="E1333" i="7"/>
  <c r="E1325" i="7"/>
  <c r="E1317" i="7"/>
  <c r="E1309" i="7"/>
  <c r="E1301" i="7"/>
  <c r="E1293" i="7"/>
  <c r="E1285" i="7"/>
  <c r="E1277" i="7"/>
  <c r="E1269" i="7"/>
  <c r="E1261" i="7"/>
  <c r="E1253" i="7"/>
  <c r="E1245" i="7"/>
  <c r="E1236" i="7"/>
  <c r="E1225" i="7"/>
  <c r="E1215" i="7"/>
  <c r="E1204" i="7"/>
  <c r="E1193" i="7"/>
  <c r="E1183" i="7"/>
  <c r="E1172" i="7"/>
  <c r="E1161" i="7"/>
  <c r="E1151" i="7"/>
  <c r="E1140" i="7"/>
  <c r="E1129" i="7"/>
  <c r="E1119" i="7"/>
  <c r="E1108" i="7"/>
  <c r="E1097" i="7"/>
  <c r="E1087" i="7"/>
  <c r="E1076" i="7"/>
  <c r="E1065" i="7"/>
  <c r="E1055" i="7"/>
  <c r="E1044" i="7"/>
  <c r="E1033" i="7"/>
  <c r="E1023" i="7"/>
  <c r="E1012" i="7"/>
  <c r="E1001" i="7"/>
  <c r="E991" i="7"/>
  <c r="E980" i="7"/>
  <c r="E969" i="7"/>
  <c r="E957" i="7"/>
  <c r="E944" i="7"/>
  <c r="E932" i="7"/>
  <c r="E919" i="7"/>
  <c r="E906" i="7"/>
  <c r="E893" i="7"/>
  <c r="E877" i="7"/>
  <c r="E861" i="7"/>
  <c r="E845" i="7"/>
  <c r="E829" i="7"/>
  <c r="E813" i="7"/>
  <c r="E797" i="7"/>
  <c r="E781" i="7"/>
  <c r="E765" i="7"/>
  <c r="E749" i="7"/>
  <c r="E733" i="7"/>
  <c r="E717" i="7"/>
  <c r="E701" i="7"/>
  <c r="E685" i="7"/>
  <c r="E669" i="7"/>
  <c r="E653" i="7"/>
  <c r="E628" i="7"/>
  <c r="E596" i="7"/>
  <c r="E564" i="7"/>
  <c r="E532" i="7"/>
  <c r="E500" i="7"/>
  <c r="E468" i="7"/>
  <c r="E433" i="7"/>
  <c r="E390" i="7"/>
  <c r="E348" i="7"/>
  <c r="E305" i="7"/>
  <c r="E262" i="7"/>
  <c r="E220" i="7"/>
  <c r="E177" i="7"/>
  <c r="D1468" i="7"/>
  <c r="D1404" i="7"/>
  <c r="D1340" i="7"/>
  <c r="D1276" i="7"/>
  <c r="D1205" i="7"/>
  <c r="D1077" i="7"/>
  <c r="D949" i="7"/>
  <c r="D804" i="7"/>
  <c r="D633" i="7"/>
  <c r="C1306" i="7"/>
  <c r="F1000" i="7"/>
  <c r="F992" i="7"/>
  <c r="F984" i="7"/>
  <c r="F976" i="7"/>
  <c r="F968" i="7"/>
  <c r="F960" i="7"/>
  <c r="F952" i="7"/>
  <c r="F944" i="7"/>
  <c r="F936" i="7"/>
  <c r="F928" i="7"/>
  <c r="F920" i="7"/>
  <c r="F912" i="7"/>
  <c r="F904" i="7"/>
  <c r="F896" i="7"/>
  <c r="F888" i="7"/>
  <c r="F880" i="7"/>
  <c r="F872" i="7"/>
  <c r="F864" i="7"/>
  <c r="F856" i="7"/>
  <c r="F848" i="7"/>
  <c r="F840" i="7"/>
  <c r="F832" i="7"/>
  <c r="F824" i="7"/>
  <c r="F816" i="7"/>
  <c r="F808" i="7"/>
  <c r="F800" i="7"/>
  <c r="F792" i="7"/>
  <c r="F784" i="7"/>
  <c r="F776" i="7"/>
  <c r="F768" i="7"/>
  <c r="F760" i="7"/>
  <c r="F752" i="7"/>
  <c r="F744" i="7"/>
  <c r="F736" i="7"/>
  <c r="F728" i="7"/>
  <c r="F720" i="7"/>
  <c r="F712" i="7"/>
  <c r="F704" i="7"/>
  <c r="F696" i="7"/>
  <c r="C535" i="7"/>
  <c r="C383" i="7"/>
  <c r="B1371" i="7"/>
  <c r="B1028" i="7"/>
  <c r="D321" i="7"/>
  <c r="D249" i="7"/>
  <c r="D169" i="7"/>
  <c r="C1493" i="7"/>
  <c r="C1445" i="7"/>
  <c r="C1397" i="7"/>
  <c r="C1245" i="7"/>
  <c r="C1077" i="7"/>
  <c r="C1029" i="7"/>
  <c r="C845" i="7"/>
  <c r="C757" i="7"/>
  <c r="C701" i="7"/>
  <c r="C646" i="7"/>
  <c r="C464" i="7"/>
  <c r="C208" i="7"/>
  <c r="B1418" i="7"/>
  <c r="B1098" i="7"/>
  <c r="B841" i="7"/>
  <c r="C653" i="7"/>
  <c r="C613" i="7"/>
  <c r="C565" i="7"/>
  <c r="C525" i="7"/>
  <c r="C463" i="7"/>
  <c r="C358" i="7"/>
  <c r="C184" i="7"/>
  <c r="B1268" i="7"/>
  <c r="B1163" i="7"/>
  <c r="B1012" i="7"/>
  <c r="B907" i="7"/>
  <c r="B330" i="7"/>
  <c r="C658" i="7"/>
  <c r="C626" i="7"/>
  <c r="C594" i="7"/>
  <c r="C554" i="7"/>
  <c r="C478" i="7"/>
  <c r="C414" i="7"/>
  <c r="C304" i="7"/>
  <c r="C240" i="7"/>
  <c r="B1452" i="7"/>
  <c r="B1347" i="7"/>
  <c r="B1004" i="7"/>
  <c r="B587" i="7"/>
  <c r="B370" i="7"/>
  <c r="C625" i="7"/>
  <c r="C585" i="7"/>
  <c r="C561" i="7"/>
  <c r="C472" i="7"/>
  <c r="B1387" i="7"/>
  <c r="B1323" i="7"/>
  <c r="B1195" i="7"/>
  <c r="B1003" i="7"/>
  <c r="B939" i="7"/>
  <c r="B755" i="7"/>
  <c r="C640" i="7"/>
  <c r="C600" i="7"/>
  <c r="C552" i="7"/>
  <c r="C430" i="7"/>
  <c r="C302" i="7"/>
  <c r="C174" i="7"/>
  <c r="B1468" i="7"/>
  <c r="B1386" i="7"/>
  <c r="B1322" i="7"/>
  <c r="B1276" i="7"/>
  <c r="B1235" i="7"/>
  <c r="B1130" i="7"/>
  <c r="B1043" i="7"/>
  <c r="B851" i="7"/>
  <c r="B633" i="7"/>
  <c r="B242" i="7"/>
  <c r="B1275" i="7"/>
  <c r="B1211" i="7"/>
  <c r="B1106" i="7"/>
  <c r="B1338" i="7"/>
  <c r="B1228" i="7"/>
  <c r="C477" i="7"/>
  <c r="C421" i="7"/>
  <c r="C229" i="7"/>
  <c r="B1497" i="7"/>
  <c r="B1457" i="7"/>
  <c r="B1417" i="7"/>
  <c r="B1265" i="7"/>
  <c r="B1225" i="7"/>
  <c r="B1185" i="7"/>
  <c r="B1073" i="7"/>
  <c r="B730" i="7"/>
  <c r="C508" i="7"/>
  <c r="C332" i="7"/>
  <c r="B1496" i="7"/>
  <c r="B1256" i="7"/>
  <c r="B1152" i="7"/>
  <c r="B1008" i="7"/>
  <c r="B864" i="7"/>
  <c r="B770" i="7"/>
  <c r="B665" i="7"/>
  <c r="B537" i="7"/>
  <c r="B450" i="7"/>
  <c r="B345" i="7"/>
  <c r="B217" i="7"/>
  <c r="C387" i="7"/>
  <c r="C363" i="7"/>
  <c r="C315" i="7"/>
  <c r="C275" i="7"/>
  <c r="C243" i="7"/>
  <c r="B1511" i="7"/>
  <c r="B1455" i="7"/>
  <c r="B1407" i="7"/>
  <c r="B1367" i="7"/>
  <c r="B1223" i="7"/>
  <c r="B1183" i="7"/>
  <c r="B1135" i="7"/>
  <c r="B1095" i="7"/>
  <c r="B1063" i="7"/>
  <c r="B935" i="7"/>
  <c r="B903" i="7"/>
  <c r="B847" i="7"/>
  <c r="B746" i="7"/>
  <c r="B641" i="7"/>
  <c r="B554" i="7"/>
  <c r="B385" i="7"/>
  <c r="B193" i="7"/>
  <c r="C458" i="7"/>
  <c r="C418" i="7"/>
  <c r="C378" i="7"/>
  <c r="C338" i="7"/>
  <c r="C298" i="7"/>
  <c r="C274" i="7"/>
  <c r="C242" i="7"/>
  <c r="C202" i="7"/>
  <c r="B1518" i="7"/>
  <c r="B1470" i="7"/>
  <c r="B1430" i="7"/>
  <c r="B1374" i="7"/>
  <c r="B1302" i="7"/>
  <c r="B1238" i="7"/>
  <c r="B1198" i="7"/>
  <c r="B1126" i="7"/>
  <c r="B1006" i="7"/>
  <c r="B974" i="7"/>
  <c r="B934" i="7"/>
  <c r="B910" i="7"/>
  <c r="B878" i="7"/>
  <c r="B827" i="7"/>
  <c r="B699" i="7"/>
  <c r="B594" i="7"/>
  <c r="B530" i="7"/>
  <c r="B425" i="7"/>
  <c r="B315" i="7"/>
  <c r="B187" i="7"/>
  <c r="C457" i="7"/>
  <c r="C409" i="7"/>
  <c r="C345" i="7"/>
  <c r="C305" i="7"/>
  <c r="C241" i="7"/>
  <c r="C193" i="7"/>
  <c r="B1445" i="7"/>
  <c r="B1413" i="7"/>
  <c r="B1293" i="7"/>
  <c r="B1237" i="7"/>
  <c r="B1189" i="7"/>
  <c r="B1149" i="7"/>
  <c r="B1045" i="7"/>
  <c r="B957" i="7"/>
  <c r="B925" i="7"/>
  <c r="B877" i="7"/>
  <c r="B845" i="7"/>
  <c r="B570" i="7"/>
  <c r="B465" i="7"/>
  <c r="B378" i="7"/>
  <c r="B291" i="7"/>
  <c r="B186" i="7"/>
  <c r="B816" i="7"/>
  <c r="B776" i="7"/>
  <c r="B736" i="7"/>
  <c r="B696" i="7"/>
  <c r="B656" i="7"/>
  <c r="B616" i="7"/>
  <c r="B568" i="7"/>
  <c r="B528" i="7"/>
  <c r="B496" i="7"/>
  <c r="B456" i="7"/>
  <c r="B336" i="7"/>
  <c r="B304" i="7"/>
  <c r="B272" i="7"/>
  <c r="B192" i="7"/>
  <c r="B831" i="7"/>
  <c r="B799" i="7"/>
  <c r="B703" i="7"/>
  <c r="B639" i="7"/>
  <c r="B591" i="7"/>
  <c r="B559" i="7"/>
  <c r="B527" i="7"/>
  <c r="B487" i="7"/>
  <c r="B455" i="7"/>
  <c r="B335" i="7"/>
  <c r="B287" i="7"/>
  <c r="B239" i="7"/>
  <c r="B199" i="7"/>
  <c r="B830" i="7"/>
  <c r="B782" i="7"/>
  <c r="B742" i="7"/>
  <c r="B710" i="7"/>
  <c r="B670" i="7"/>
  <c r="B622" i="7"/>
  <c r="B582" i="7"/>
  <c r="B526" i="7"/>
  <c r="B494" i="7"/>
  <c r="B462" i="7"/>
  <c r="B406" i="7"/>
  <c r="B366" i="7"/>
  <c r="B326" i="7"/>
  <c r="B278" i="7"/>
  <c r="B238" i="7"/>
  <c r="B206" i="7"/>
  <c r="B166" i="7"/>
  <c r="B813" i="7"/>
  <c r="B781" i="7"/>
  <c r="B757" i="7"/>
  <c r="B725" i="7"/>
  <c r="B693" i="7"/>
  <c r="B661" i="7"/>
  <c r="B605" i="7"/>
  <c r="B565" i="7"/>
  <c r="B525" i="7"/>
  <c r="B485" i="7"/>
  <c r="B429" i="7"/>
  <c r="B381" i="7"/>
  <c r="B325" i="7"/>
  <c r="B293" i="7"/>
  <c r="B253" i="7"/>
  <c r="B213" i="7"/>
  <c r="B836" i="7"/>
  <c r="B788" i="7"/>
  <c r="B748" i="7"/>
  <c r="B708" i="7"/>
  <c r="B660" i="7"/>
  <c r="B628" i="7"/>
  <c r="B588" i="7"/>
  <c r="B548" i="7"/>
  <c r="B508" i="7"/>
  <c r="B468" i="7"/>
  <c r="B420" i="7"/>
  <c r="B380" i="7"/>
  <c r="B340" i="7"/>
  <c r="B300" i="7"/>
  <c r="B172" i="7"/>
  <c r="A1155" i="7"/>
  <c r="A1131" i="7"/>
  <c r="A1107" i="7"/>
  <c r="A1091" i="7"/>
  <c r="A1059" i="7"/>
  <c r="A1051" i="7"/>
  <c r="A1035" i="7"/>
  <c r="A1019" i="7"/>
  <c r="A995" i="7"/>
  <c r="A979" i="7"/>
  <c r="A947" i="7"/>
  <c r="A939" i="7"/>
  <c r="A915" i="7"/>
  <c r="A891" i="7"/>
  <c r="A859" i="7"/>
  <c r="A843" i="7"/>
  <c r="A827" i="7"/>
  <c r="A803" i="7"/>
  <c r="A795" i="7"/>
  <c r="A771" i="7"/>
  <c r="A755" i="7"/>
  <c r="A731" i="7"/>
  <c r="A699" i="7"/>
  <c r="A675" i="7"/>
  <c r="A659" i="7"/>
  <c r="A643" i="7"/>
  <c r="A619" i="7"/>
  <c r="A603" i="7"/>
  <c r="A579" i="7"/>
  <c r="A547" i="7"/>
  <c r="A531" i="7"/>
  <c r="A507" i="7"/>
  <c r="A491" i="7"/>
  <c r="A475" i="7"/>
  <c r="A448" i="7"/>
  <c r="A427" i="7"/>
  <c r="A406" i="7"/>
  <c r="A374" i="7"/>
  <c r="A342" i="7"/>
  <c r="A320" i="7"/>
  <c r="A299" i="7"/>
  <c r="A267" i="7"/>
  <c r="A235" i="7"/>
  <c r="A214" i="7"/>
  <c r="A192" i="7"/>
  <c r="A171" i="7"/>
  <c r="H1512" i="7"/>
  <c r="H1491" i="7"/>
  <c r="H1459" i="7"/>
  <c r="H1427" i="7"/>
  <c r="H1395" i="7"/>
  <c r="H1374" i="7"/>
  <c r="H1342" i="7"/>
  <c r="H1310" i="7"/>
  <c r="H1284" i="7"/>
  <c r="H1244" i="7"/>
  <c r="H1212" i="7"/>
  <c r="H1164" i="7"/>
  <c r="H1132" i="7"/>
  <c r="H1116" i="7"/>
  <c r="H1068" i="7"/>
  <c r="H1036" i="7"/>
  <c r="H1004" i="7"/>
  <c r="H972" i="7"/>
  <c r="H940" i="7"/>
  <c r="H892" i="7"/>
  <c r="H828" i="7"/>
  <c r="H778" i="7"/>
  <c r="H682" i="7"/>
  <c r="H586" i="7"/>
  <c r="H522" i="7"/>
  <c r="H426" i="7"/>
  <c r="H330" i="7"/>
  <c r="H266" i="7"/>
  <c r="H170" i="7"/>
  <c r="G1466" i="7"/>
  <c r="G1381" i="7"/>
  <c r="G1210" i="7"/>
  <c r="G1167" i="7"/>
  <c r="G1065" i="7"/>
  <c r="G962" i="7"/>
  <c r="G663" i="7"/>
  <c r="G279" i="7"/>
  <c r="F1187" i="7"/>
  <c r="F906" i="7"/>
  <c r="F557" i="7"/>
  <c r="E1049" i="7"/>
  <c r="A1506" i="7"/>
  <c r="A1490" i="7"/>
  <c r="A1474" i="7"/>
  <c r="A1450" i="7"/>
  <c r="A1434" i="7"/>
  <c r="A1410" i="7"/>
  <c r="A1386" i="7"/>
  <c r="A1354" i="7"/>
  <c r="A1322" i="7"/>
  <c r="A1298" i="7"/>
  <c r="A1282" i="7"/>
  <c r="A1266" i="7"/>
  <c r="A1250" i="7"/>
  <c r="A1226" i="7"/>
  <c r="A1210" i="7"/>
  <c r="A1170" i="7"/>
  <c r="A1138" i="7"/>
  <c r="A1122" i="7"/>
  <c r="A1098" i="7"/>
  <c r="A1074" i="7"/>
  <c r="A1050" i="7"/>
  <c r="A1018" i="7"/>
  <c r="A970" i="7"/>
  <c r="A954" i="7"/>
  <c r="A922" i="7"/>
  <c r="A906" i="7"/>
  <c r="A866" i="7"/>
  <c r="A850" i="7"/>
  <c r="A834" i="7"/>
  <c r="A810" i="7"/>
  <c r="A786" i="7"/>
  <c r="A754" i="7"/>
  <c r="A730" i="7"/>
  <c r="A706" i="7"/>
  <c r="A682" i="7"/>
  <c r="A658" i="7"/>
  <c r="A626" i="7"/>
  <c r="A610" i="7"/>
  <c r="A586" i="7"/>
  <c r="A578" i="7"/>
  <c r="A562" i="7"/>
  <c r="A522" i="7"/>
  <c r="A498" i="7"/>
  <c r="A482" i="7"/>
  <c r="A466" i="7"/>
  <c r="A436" i="7"/>
  <c r="A404" i="7"/>
  <c r="A383" i="7"/>
  <c r="A372" i="7"/>
  <c r="A351" i="7"/>
  <c r="A330" i="7"/>
  <c r="A308" i="7"/>
  <c r="A266" i="7"/>
  <c r="A244" i="7"/>
  <c r="A223" i="7"/>
  <c r="F630" i="7"/>
  <c r="F609" i="7"/>
  <c r="F583" i="7"/>
  <c r="F546" i="7"/>
  <c r="F519" i="7"/>
  <c r="F482" i="7"/>
  <c r="F469" i="7"/>
  <c r="F429" i="7"/>
  <c r="F386" i="7"/>
  <c r="F365" i="7"/>
  <c r="F301" i="7"/>
  <c r="F246" i="7"/>
  <c r="F182" i="7"/>
  <c r="E1482" i="7"/>
  <c r="E1418" i="7"/>
  <c r="E1354" i="7"/>
  <c r="E1290" i="7"/>
  <c r="E1258" i="7"/>
  <c r="E1221" i="7"/>
  <c r="E1136" i="7"/>
  <c r="E1050" i="7"/>
  <c r="E965" i="7"/>
  <c r="E855" i="7"/>
  <c r="E791" i="7"/>
  <c r="E663" i="7"/>
  <c r="E413" i="7"/>
  <c r="D1436" i="7"/>
  <c r="D424" i="7"/>
  <c r="G949" i="7"/>
  <c r="G925" i="7"/>
  <c r="G901" i="7"/>
  <c r="G877" i="7"/>
  <c r="G861" i="7"/>
  <c r="G845" i="7"/>
  <c r="G837" i="7"/>
  <c r="G813" i="7"/>
  <c r="G797" i="7"/>
  <c r="G781" i="7"/>
  <c r="G765" i="7"/>
  <c r="G749" i="7"/>
  <c r="G733" i="7"/>
  <c r="G709" i="7"/>
  <c r="G701" i="7"/>
  <c r="G685" i="7"/>
  <c r="G677" i="7"/>
  <c r="G661" i="7"/>
  <c r="G653" i="7"/>
  <c r="F1262" i="7"/>
  <c r="F1246" i="7"/>
  <c r="F1238" i="7"/>
  <c r="F1230" i="7"/>
  <c r="F1214" i="7"/>
  <c r="F1198" i="7"/>
  <c r="F1182" i="7"/>
  <c r="F1166" i="7"/>
  <c r="F1158" i="7"/>
  <c r="F1142" i="7"/>
  <c r="F1134" i="7"/>
  <c r="F1118" i="7"/>
  <c r="F1110" i="7"/>
  <c r="F1094" i="7"/>
  <c r="F1086" i="7"/>
  <c r="F1070" i="7"/>
  <c r="F1062" i="7"/>
  <c r="F1054" i="7"/>
  <c r="F1046" i="7"/>
  <c r="F1038" i="7"/>
  <c r="F1022" i="7"/>
  <c r="F1014" i="7"/>
  <c r="F995" i="7"/>
  <c r="F985" i="7"/>
  <c r="F963" i="7"/>
  <c r="F953" i="7"/>
  <c r="F931" i="7"/>
  <c r="F921" i="7"/>
  <c r="F899" i="7"/>
  <c r="F878" i="7"/>
  <c r="F867" i="7"/>
  <c r="F857" i="7"/>
  <c r="F835" i="7"/>
  <c r="F825" i="7"/>
  <c r="F803" i="7"/>
  <c r="F782" i="7"/>
  <c r="F771" i="7"/>
  <c r="F750" i="7"/>
  <c r="F739" i="7"/>
  <c r="F729" i="7"/>
  <c r="F718" i="7"/>
  <c r="F697" i="7"/>
  <c r="F675" i="7"/>
  <c r="F665" i="7"/>
  <c r="F643" i="7"/>
  <c r="F633" i="7"/>
  <c r="F622" i="7"/>
  <c r="F599" i="7"/>
  <c r="F587" i="7"/>
  <c r="F574" i="7"/>
  <c r="F549" i="7"/>
  <c r="F535" i="7"/>
  <c r="F523" i="7"/>
  <c r="F498" i="7"/>
  <c r="F471" i="7"/>
  <c r="F459" i="7"/>
  <c r="F446" i="7"/>
  <c r="F413" i="7"/>
  <c r="F390" i="7"/>
  <c r="F349" i="7"/>
  <c r="F326" i="7"/>
  <c r="F285" i="7"/>
  <c r="F254" i="7"/>
  <c r="F190" i="7"/>
  <c r="E1522" i="7"/>
  <c r="E1458" i="7"/>
  <c r="E1426" i="7"/>
  <c r="E1362" i="7"/>
  <c r="E1330" i="7"/>
  <c r="E1266" i="7"/>
  <c r="E1232" i="7"/>
  <c r="E1146" i="7"/>
  <c r="E1104" i="7"/>
  <c r="E1018" i="7"/>
  <c r="E976" i="7"/>
  <c r="E871" i="7"/>
  <c r="E807" i="7"/>
  <c r="E679" i="7"/>
  <c r="E581" i="7"/>
  <c r="E285" i="7"/>
  <c r="D1500" i="7"/>
  <c r="D719" i="7"/>
  <c r="G873" i="7"/>
  <c r="G857" i="7"/>
  <c r="G841" i="7"/>
  <c r="G833" i="7"/>
  <c r="G817" i="7"/>
  <c r="G689" i="7"/>
  <c r="G681" i="7"/>
  <c r="G673" i="7"/>
  <c r="G657" i="7"/>
  <c r="G649" i="7"/>
  <c r="G633" i="7"/>
  <c r="G617" i="7"/>
  <c r="G609" i="7"/>
  <c r="G601" i="7"/>
  <c r="G585" i="7"/>
  <c r="G569" i="7"/>
  <c r="G561" i="7"/>
  <c r="G545" i="7"/>
  <c r="G529" i="7"/>
  <c r="G521" i="7"/>
  <c r="G513" i="7"/>
  <c r="G497" i="7"/>
  <c r="G489" i="7"/>
  <c r="G473" i="7"/>
  <c r="G457" i="7"/>
  <c r="G449" i="7"/>
  <c r="G433" i="7"/>
  <c r="G425" i="7"/>
  <c r="G409" i="7"/>
  <c r="G401" i="7"/>
  <c r="G385" i="7"/>
  <c r="G369" i="7"/>
  <c r="G353" i="7"/>
  <c r="G345" i="7"/>
  <c r="G329" i="7"/>
  <c r="G313" i="7"/>
  <c r="G305" i="7"/>
  <c r="G289" i="7"/>
  <c r="G281" i="7"/>
  <c r="G265" i="7"/>
  <c r="G257" i="7"/>
  <c r="G241" i="7"/>
  <c r="G233" i="7"/>
  <c r="G225" i="7"/>
  <c r="G209" i="7"/>
  <c r="G201" i="7"/>
  <c r="G185" i="7"/>
  <c r="G169" i="7"/>
  <c r="F1517" i="7"/>
  <c r="F1509" i="7"/>
  <c r="F1501" i="7"/>
  <c r="F1485" i="7"/>
  <c r="F1469" i="7"/>
  <c r="F1461" i="7"/>
  <c r="F1453" i="7"/>
  <c r="F1445" i="7"/>
  <c r="F1437" i="7"/>
  <c r="F1429" i="7"/>
  <c r="F1413" i="7"/>
  <c r="F1405" i="7"/>
  <c r="F1389" i="7"/>
  <c r="F1381" i="7"/>
  <c r="F1365" i="7"/>
  <c r="F1357" i="7"/>
  <c r="F1341" i="7"/>
  <c r="F1333" i="7"/>
  <c r="F1317" i="7"/>
  <c r="F1309" i="7"/>
  <c r="F1293" i="7"/>
  <c r="F1285" i="7"/>
  <c r="F1269" i="7"/>
  <c r="F1253" i="7"/>
  <c r="F1245" i="7"/>
  <c r="F1237" i="7"/>
  <c r="F1221" i="7"/>
  <c r="F1205" i="7"/>
  <c r="F1189" i="7"/>
  <c r="F1181" i="7"/>
  <c r="F1173" i="7"/>
  <c r="F1157" i="7"/>
  <c r="F1149" i="7"/>
  <c r="F1141" i="7"/>
  <c r="F1125" i="7"/>
  <c r="F1117" i="7"/>
  <c r="F1101" i="7"/>
  <c r="F1093" i="7"/>
  <c r="F1077" i="7"/>
  <c r="F1069" i="7"/>
  <c r="F1061" i="7"/>
  <c r="F1045" i="7"/>
  <c r="F1029" i="7"/>
  <c r="F1021" i="7"/>
  <c r="F1005" i="7"/>
  <c r="F994" i="7"/>
  <c r="F973" i="7"/>
  <c r="F962" i="7"/>
  <c r="F941" i="7"/>
  <c r="F930" i="7"/>
  <c r="F909" i="7"/>
  <c r="F887" i="7"/>
  <c r="F877" i="7"/>
  <c r="F855" i="7"/>
  <c r="F845" i="7"/>
  <c r="F823" i="7"/>
  <c r="F802" i="7"/>
  <c r="F791" i="7"/>
  <c r="F770" i="7"/>
  <c r="F759" i="7"/>
  <c r="F738" i="7"/>
  <c r="F727" i="7"/>
  <c r="F706" i="7"/>
  <c r="F695" i="7"/>
  <c r="F674" i="7"/>
  <c r="F663" i="7"/>
  <c r="F653" i="7"/>
  <c r="F642" i="7"/>
  <c r="F621" i="7"/>
  <c r="F610" i="7"/>
  <c r="F586" i="7"/>
  <c r="F559" i="7"/>
  <c r="F547" i="7"/>
  <c r="F534" i="7"/>
  <c r="F509" i="7"/>
  <c r="F495" i="7"/>
  <c r="F470" i="7"/>
  <c r="F458" i="7"/>
  <c r="F430" i="7"/>
  <c r="F410" i="7"/>
  <c r="F366" i="7"/>
  <c r="F346" i="7"/>
  <c r="F302" i="7"/>
  <c r="F282" i="7"/>
  <c r="F221" i="7"/>
  <c r="F189" i="7"/>
  <c r="E1489" i="7"/>
  <c r="E1393" i="7"/>
  <c r="E1361" i="7"/>
  <c r="E1297" i="7"/>
  <c r="E1265" i="7"/>
  <c r="E1188" i="7"/>
  <c r="E1145" i="7"/>
  <c r="E1060" i="7"/>
  <c r="E975" i="7"/>
  <c r="E925" i="7"/>
  <c r="E805" i="7"/>
  <c r="E677" i="7"/>
  <c r="E580" i="7"/>
  <c r="E284" i="7"/>
  <c r="D1450" i="7"/>
  <c r="D545" i="7"/>
  <c r="F996" i="7"/>
  <c r="F988" i="7"/>
  <c r="F972" i="7"/>
  <c r="F964" i="7"/>
  <c r="F956" i="7"/>
  <c r="F940" i="7"/>
  <c r="F932" i="7"/>
  <c r="F916" i="7"/>
  <c r="F908" i="7"/>
  <c r="F892" i="7"/>
  <c r="F884" i="7"/>
  <c r="F868" i="7"/>
  <c r="F852" i="7"/>
  <c r="F844" i="7"/>
  <c r="F828" i="7"/>
  <c r="F812" i="7"/>
  <c r="F804" i="7"/>
  <c r="F788" i="7"/>
  <c r="F780" i="7"/>
  <c r="F764" i="7"/>
  <c r="F756" i="7"/>
  <c r="F740" i="7"/>
  <c r="F724" i="7"/>
  <c r="F716" i="7"/>
  <c r="F700" i="7"/>
  <c r="F692" i="7"/>
  <c r="F684" i="7"/>
  <c r="F668" i="7"/>
  <c r="F660" i="7"/>
  <c r="F652" i="7"/>
  <c r="F644" i="7"/>
  <c r="F636" i="7"/>
  <c r="F620" i="7"/>
  <c r="F604" i="7"/>
  <c r="F596" i="7"/>
  <c r="F580" i="7"/>
  <c r="F572" i="7"/>
  <c r="F564" i="7"/>
  <c r="F548" i="7"/>
  <c r="F540" i="7"/>
  <c r="F532" i="7"/>
  <c r="F524" i="7"/>
  <c r="F508" i="7"/>
  <c r="F492" i="7"/>
  <c r="F484" i="7"/>
  <c r="F468" i="7"/>
  <c r="F460" i="7"/>
  <c r="F444" i="7"/>
  <c r="F436" i="7"/>
  <c r="F420" i="7"/>
  <c r="F412" i="7"/>
  <c r="F396" i="7"/>
  <c r="F380" i="7"/>
  <c r="F372" i="7"/>
  <c r="F364" i="7"/>
  <c r="F348" i="7"/>
  <c r="F332" i="7"/>
  <c r="F324" i="7"/>
  <c r="F316" i="7"/>
  <c r="F308" i="7"/>
  <c r="F292" i="7"/>
  <c r="F284" i="7"/>
  <c r="F268" i="7"/>
  <c r="F260" i="7"/>
  <c r="F244" i="7"/>
  <c r="F236" i="7"/>
  <c r="F220" i="7"/>
  <c r="F204" i="7"/>
  <c r="F180" i="7"/>
  <c r="E1528" i="7"/>
  <c r="E1512" i="7"/>
  <c r="E1504" i="7"/>
  <c r="E1488" i="7"/>
  <c r="E1480" i="7"/>
  <c r="E1464" i="7"/>
  <c r="E1448" i="7"/>
  <c r="E1432" i="7"/>
  <c r="E1424" i="7"/>
  <c r="E1408" i="7"/>
  <c r="E1392" i="7"/>
  <c r="E1384" i="7"/>
  <c r="E1368" i="7"/>
  <c r="E1360" i="7"/>
  <c r="E1344" i="7"/>
  <c r="E1336" i="7"/>
  <c r="E1320" i="7"/>
  <c r="E1312" i="7"/>
  <c r="E1304" i="7"/>
  <c r="E1288" i="7"/>
  <c r="E1272" i="7"/>
  <c r="E1256" i="7"/>
  <c r="E1248" i="7"/>
  <c r="E1229" i="7"/>
  <c r="E1208" i="7"/>
  <c r="E1197" i="7"/>
  <c r="E1176" i="7"/>
  <c r="E1165" i="7"/>
  <c r="E1144" i="7"/>
  <c r="E1133" i="7"/>
  <c r="E1112" i="7"/>
  <c r="E1080" i="7"/>
  <c r="E1069" i="7"/>
  <c r="E1048" i="7"/>
  <c r="E1037" i="7"/>
  <c r="E1016" i="7"/>
  <c r="E994" i="7"/>
  <c r="E984" i="7"/>
  <c r="E962" i="7"/>
  <c r="E949" i="7"/>
  <c r="E924" i="7"/>
  <c r="E911" i="7"/>
  <c r="E884" i="7"/>
  <c r="E852" i="7"/>
  <c r="E820" i="7"/>
  <c r="E804" i="7"/>
  <c r="E772" i="7"/>
  <c r="E756" i="7"/>
  <c r="E724" i="7"/>
  <c r="E692" i="7"/>
  <c r="E676" i="7"/>
  <c r="E637" i="7"/>
  <c r="E605" i="7"/>
  <c r="E541" i="7"/>
  <c r="E477" i="7"/>
  <c r="E445" i="7"/>
  <c r="E402" i="7"/>
  <c r="E360" i="7"/>
  <c r="E317" i="7"/>
  <c r="E274" i="7"/>
  <c r="E189" i="7"/>
  <c r="D1498" i="7"/>
  <c r="D1434" i="7"/>
  <c r="D1306" i="7"/>
  <c r="D1140" i="7"/>
  <c r="D1012" i="7"/>
  <c r="D718" i="7"/>
  <c r="D417" i="7"/>
  <c r="F419" i="7"/>
  <c r="F411" i="7"/>
  <c r="F395" i="7"/>
  <c r="F387" i="7"/>
  <c r="F371" i="7"/>
  <c r="F355" i="7"/>
  <c r="F347" i="7"/>
  <c r="F339" i="7"/>
  <c r="F323" i="7"/>
  <c r="F315" i="7"/>
  <c r="F299" i="7"/>
  <c r="F291" i="7"/>
  <c r="F283" i="7"/>
  <c r="F267" i="7"/>
  <c r="F259" i="7"/>
  <c r="F243" i="7"/>
  <c r="F235" i="7"/>
  <c r="F227" i="7"/>
  <c r="F211" i="7"/>
  <c r="F195" i="7"/>
  <c r="F187" i="7"/>
  <c r="F179" i="7"/>
  <c r="E1527" i="7"/>
  <c r="E1519" i="7"/>
  <c r="E1511" i="7"/>
  <c r="E1495" i="7"/>
  <c r="E1479" i="7"/>
  <c r="E1471" i="7"/>
  <c r="E1455" i="7"/>
  <c r="E1447" i="7"/>
  <c r="E1431" i="7"/>
  <c r="E1423" i="7"/>
  <c r="E1407" i="7"/>
  <c r="E1391" i="7"/>
  <c r="E1383" i="7"/>
  <c r="E1375" i="7"/>
  <c r="E1359" i="7"/>
  <c r="E1351" i="7"/>
  <c r="E1335" i="7"/>
  <c r="F688" i="7"/>
  <c r="F680" i="7"/>
  <c r="F672" i="7"/>
  <c r="F664" i="7"/>
  <c r="F656" i="7"/>
  <c r="F648" i="7"/>
  <c r="F640" i="7"/>
  <c r="F632" i="7"/>
  <c r="F624" i="7"/>
  <c r="F616" i="7"/>
  <c r="F608" i="7"/>
  <c r="F600" i="7"/>
  <c r="F592" i="7"/>
  <c r="F584" i="7"/>
  <c r="F576" i="7"/>
  <c r="F568" i="7"/>
  <c r="F560" i="7"/>
  <c r="F552" i="7"/>
  <c r="F544" i="7"/>
  <c r="F536" i="7"/>
  <c r="F528" i="7"/>
  <c r="F520" i="7"/>
  <c r="F512" i="7"/>
  <c r="F504" i="7"/>
  <c r="F496" i="7"/>
  <c r="F488" i="7"/>
  <c r="F480" i="7"/>
  <c r="F472" i="7"/>
  <c r="F464" i="7"/>
  <c r="F456" i="7"/>
  <c r="F448" i="7"/>
  <c r="F440" i="7"/>
  <c r="F432" i="7"/>
  <c r="F424" i="7"/>
  <c r="F416" i="7"/>
  <c r="F408" i="7"/>
  <c r="F400" i="7"/>
  <c r="F392" i="7"/>
  <c r="F384" i="7"/>
  <c r="F376" i="7"/>
  <c r="F368" i="7"/>
  <c r="F360" i="7"/>
  <c r="F352" i="7"/>
  <c r="F344" i="7"/>
  <c r="F336" i="7"/>
  <c r="F328" i="7"/>
  <c r="F320" i="7"/>
  <c r="F312" i="7"/>
  <c r="F304" i="7"/>
  <c r="F296" i="7"/>
  <c r="F288" i="7"/>
  <c r="F280" i="7"/>
  <c r="F272" i="7"/>
  <c r="F264" i="7"/>
  <c r="F256" i="7"/>
  <c r="F248" i="7"/>
  <c r="F240" i="7"/>
  <c r="F232" i="7"/>
  <c r="F224" i="7"/>
  <c r="F216" i="7"/>
  <c r="F208" i="7"/>
  <c r="F200" i="7"/>
  <c r="F192" i="7"/>
  <c r="F184" i="7"/>
  <c r="F176" i="7"/>
  <c r="F168" i="7"/>
  <c r="E1524" i="7"/>
  <c r="E1516" i="7"/>
  <c r="E1508" i="7"/>
  <c r="E1500" i="7"/>
  <c r="E1492" i="7"/>
  <c r="E1484" i="7"/>
  <c r="E1476" i="7"/>
  <c r="E1468" i="7"/>
  <c r="E1460" i="7"/>
  <c r="E1452" i="7"/>
  <c r="E1444" i="7"/>
  <c r="E1436" i="7"/>
  <c r="E1428" i="7"/>
  <c r="E1420" i="7"/>
  <c r="E1412" i="7"/>
  <c r="E1404" i="7"/>
  <c r="E1396" i="7"/>
  <c r="E1388" i="7"/>
  <c r="E1380" i="7"/>
  <c r="E1372" i="7"/>
  <c r="E1364" i="7"/>
  <c r="E1356" i="7"/>
  <c r="E1348" i="7"/>
  <c r="E1340" i="7"/>
  <c r="E1332" i="7"/>
  <c r="E1324" i="7"/>
  <c r="E1316" i="7"/>
  <c r="E1308" i="7"/>
  <c r="E1300" i="7"/>
  <c r="E1292" i="7"/>
  <c r="E1284" i="7"/>
  <c r="E1276" i="7"/>
  <c r="E1268" i="7"/>
  <c r="E1260" i="7"/>
  <c r="E1252" i="7"/>
  <c r="E1244" i="7"/>
  <c r="E1234" i="7"/>
  <c r="E1224" i="7"/>
  <c r="E1213" i="7"/>
  <c r="E1202" i="7"/>
  <c r="E1192" i="7"/>
  <c r="E1181" i="7"/>
  <c r="E1170" i="7"/>
  <c r="E1160" i="7"/>
  <c r="E1149" i="7"/>
  <c r="E1138" i="7"/>
  <c r="E1128" i="7"/>
  <c r="E1117" i="7"/>
  <c r="E1106" i="7"/>
  <c r="E1096" i="7"/>
  <c r="E1085" i="7"/>
  <c r="E1074" i="7"/>
  <c r="E1064" i="7"/>
  <c r="E1053" i="7"/>
  <c r="E1042" i="7"/>
  <c r="E1032" i="7"/>
  <c r="E1021" i="7"/>
  <c r="E1010" i="7"/>
  <c r="E1000" i="7"/>
  <c r="E989" i="7"/>
  <c r="E978" i="7"/>
  <c r="E968" i="7"/>
  <c r="E956" i="7"/>
  <c r="E943" i="7"/>
  <c r="E930" i="7"/>
  <c r="E917" i="7"/>
  <c r="E904" i="7"/>
  <c r="E892" i="7"/>
  <c r="E876" i="7"/>
  <c r="E860" i="7"/>
  <c r="E844" i="7"/>
  <c r="E828" i="7"/>
  <c r="E812" i="7"/>
  <c r="E796" i="7"/>
  <c r="E780" i="7"/>
  <c r="E764" i="7"/>
  <c r="E748" i="7"/>
  <c r="E732" i="7"/>
  <c r="E716" i="7"/>
  <c r="E700" i="7"/>
  <c r="E684" i="7"/>
  <c r="E668" i="7"/>
  <c r="E652" i="7"/>
  <c r="E621" i="7"/>
  <c r="E589" i="7"/>
  <c r="E557" i="7"/>
  <c r="E525" i="7"/>
  <c r="E493" i="7"/>
  <c r="E461" i="7"/>
  <c r="E424" i="7"/>
  <c r="E381" i="7"/>
  <c r="E338" i="7"/>
  <c r="E296" i="7"/>
  <c r="E253" i="7"/>
  <c r="E210" i="7"/>
  <c r="E168" i="7"/>
  <c r="D1530" i="7"/>
  <c r="D1466" i="7"/>
  <c r="D1402" i="7"/>
  <c r="D1338" i="7"/>
  <c r="D1274" i="7"/>
  <c r="D1204" i="7"/>
  <c r="D1076" i="7"/>
  <c r="D948" i="7"/>
  <c r="D803" i="7"/>
  <c r="D632" i="7"/>
  <c r="C795" i="7"/>
  <c r="F431" i="7"/>
  <c r="F423" i="7"/>
  <c r="F415" i="7"/>
  <c r="F407" i="7"/>
  <c r="F399" i="7"/>
  <c r="F391" i="7"/>
  <c r="F383" i="7"/>
  <c r="F375" i="7"/>
  <c r="F367" i="7"/>
  <c r="F359" i="7"/>
  <c r="F351" i="7"/>
  <c r="F343" i="7"/>
  <c r="F335" i="7"/>
  <c r="F327" i="7"/>
  <c r="F319" i="7"/>
  <c r="F311" i="7"/>
  <c r="F303" i="7"/>
  <c r="F295" i="7"/>
  <c r="F287" i="7"/>
  <c r="F279" i="7"/>
  <c r="F271" i="7"/>
  <c r="F263" i="7"/>
  <c r="F255" i="7"/>
  <c r="F247" i="7"/>
  <c r="F239" i="7"/>
  <c r="F231" i="7"/>
  <c r="F223" i="7"/>
  <c r="F215" i="7"/>
  <c r="F207" i="7"/>
  <c r="F199" i="7"/>
  <c r="F191" i="7"/>
  <c r="F183" i="7"/>
  <c r="F175" i="7"/>
  <c r="F167" i="7"/>
  <c r="E1531" i="7"/>
  <c r="E1523" i="7"/>
  <c r="E1515" i="7"/>
  <c r="E1507" i="7"/>
  <c r="E1499" i="7"/>
  <c r="E1491" i="7"/>
  <c r="E1483" i="7"/>
  <c r="E1475" i="7"/>
  <c r="E1467" i="7"/>
  <c r="E1459" i="7"/>
  <c r="E1451" i="7"/>
  <c r="E1443" i="7"/>
  <c r="E1435" i="7"/>
  <c r="E1427" i="7"/>
  <c r="E1419" i="7"/>
  <c r="E1411" i="7"/>
  <c r="E1403" i="7"/>
  <c r="E1395" i="7"/>
  <c r="E1387" i="7"/>
  <c r="E1379" i="7"/>
  <c r="E1371" i="7"/>
  <c r="E1363" i="7"/>
  <c r="E1355" i="7"/>
  <c r="E1347" i="7"/>
  <c r="E1339" i="7"/>
  <c r="E1331" i="7"/>
  <c r="E1323" i="7"/>
  <c r="E1315" i="7"/>
  <c r="E1307" i="7"/>
  <c r="E1299" i="7"/>
  <c r="E1291" i="7"/>
  <c r="E1283" i="7"/>
  <c r="E1275" i="7"/>
  <c r="E1267" i="7"/>
  <c r="E1259" i="7"/>
  <c r="E1251" i="7"/>
  <c r="E1242" i="7"/>
  <c r="E1233" i="7"/>
  <c r="E1223" i="7"/>
  <c r="E1212" i="7"/>
  <c r="E1201" i="7"/>
  <c r="E1191" i="7"/>
  <c r="E1180" i="7"/>
  <c r="E1169" i="7"/>
  <c r="E1159" i="7"/>
  <c r="E1148" i="7"/>
  <c r="E1137" i="7"/>
  <c r="E1127" i="7"/>
  <c r="E1116" i="7"/>
  <c r="E1105" i="7"/>
  <c r="E1095" i="7"/>
  <c r="E1084" i="7"/>
  <c r="E1073" i="7"/>
  <c r="E1063" i="7"/>
  <c r="E1052" i="7"/>
  <c r="E1041" i="7"/>
  <c r="E1031" i="7"/>
  <c r="E1020" i="7"/>
  <c r="E1009" i="7"/>
  <c r="E999" i="7"/>
  <c r="E988" i="7"/>
  <c r="E977" i="7"/>
  <c r="E967" i="7"/>
  <c r="E954" i="7"/>
  <c r="E941" i="7"/>
  <c r="E928" i="7"/>
  <c r="E916" i="7"/>
  <c r="E903" i="7"/>
  <c r="E888" i="7"/>
  <c r="E872" i="7"/>
  <c r="E856" i="7"/>
  <c r="E840" i="7"/>
  <c r="E824" i="7"/>
  <c r="E808" i="7"/>
  <c r="E792" i="7"/>
  <c r="E776" i="7"/>
  <c r="E760" i="7"/>
  <c r="E744" i="7"/>
  <c r="E728" i="7"/>
  <c r="E712" i="7"/>
  <c r="E696" i="7"/>
  <c r="E680" i="7"/>
  <c r="E664" i="7"/>
  <c r="E648" i="7"/>
  <c r="E620" i="7"/>
  <c r="E588" i="7"/>
  <c r="E556" i="7"/>
  <c r="E524" i="7"/>
  <c r="E492" i="7"/>
  <c r="E460" i="7"/>
  <c r="E422" i="7"/>
  <c r="E380" i="7"/>
  <c r="E337" i="7"/>
  <c r="E294" i="7"/>
  <c r="E252" i="7"/>
  <c r="E209" i="7"/>
  <c r="E166" i="7"/>
  <c r="D1516" i="7"/>
  <c r="D1452" i="7"/>
  <c r="D1388" i="7"/>
  <c r="D1324" i="7"/>
  <c r="D1260" i="7"/>
  <c r="D1173" i="7"/>
  <c r="D1045" i="7"/>
  <c r="D917" i="7"/>
  <c r="D761" i="7"/>
  <c r="D552" i="7"/>
  <c r="C794" i="7"/>
  <c r="E1230" i="7"/>
  <c r="E1222" i="7"/>
  <c r="E1214" i="7"/>
  <c r="E1206" i="7"/>
  <c r="E1198" i="7"/>
  <c r="E1190" i="7"/>
  <c r="E1182" i="7"/>
  <c r="E1174" i="7"/>
  <c r="E1166" i="7"/>
  <c r="E1158" i="7"/>
  <c r="E1150" i="7"/>
  <c r="E1142" i="7"/>
  <c r="E1134" i="7"/>
  <c r="E1126" i="7"/>
  <c r="E1118" i="7"/>
  <c r="E1110" i="7"/>
  <c r="E1102" i="7"/>
  <c r="E1094" i="7"/>
  <c r="E1086" i="7"/>
  <c r="E1078" i="7"/>
  <c r="E1070" i="7"/>
  <c r="E1062" i="7"/>
  <c r="E1054" i="7"/>
  <c r="E1046" i="7"/>
  <c r="E1038" i="7"/>
  <c r="E1030" i="7"/>
  <c r="E1022" i="7"/>
  <c r="E1014" i="7"/>
  <c r="E1006" i="7"/>
  <c r="E998" i="7"/>
  <c r="E990" i="7"/>
  <c r="E982" i="7"/>
  <c r="E974" i="7"/>
  <c r="E966" i="7"/>
  <c r="E958" i="7"/>
  <c r="E950" i="7"/>
  <c r="E942" i="7"/>
  <c r="E934" i="7"/>
  <c r="E926" i="7"/>
  <c r="E918" i="7"/>
  <c r="E910" i="7"/>
  <c r="E902" i="7"/>
  <c r="E894" i="7"/>
  <c r="E886" i="7"/>
  <c r="E878" i="7"/>
  <c r="E870" i="7"/>
  <c r="E862" i="7"/>
  <c r="E854" i="7"/>
  <c r="E846" i="7"/>
  <c r="E838" i="7"/>
  <c r="E830" i="7"/>
  <c r="E822" i="7"/>
  <c r="E814" i="7"/>
  <c r="E806" i="7"/>
  <c r="E798" i="7"/>
  <c r="E790" i="7"/>
  <c r="E782" i="7"/>
  <c r="E774" i="7"/>
  <c r="E766" i="7"/>
  <c r="E758" i="7"/>
  <c r="E750" i="7"/>
  <c r="E742" i="7"/>
  <c r="E734" i="7"/>
  <c r="E726" i="7"/>
  <c r="E718" i="7"/>
  <c r="E710" i="7"/>
  <c r="E702" i="7"/>
  <c r="E694" i="7"/>
  <c r="E686" i="7"/>
  <c r="E678" i="7"/>
  <c r="E670" i="7"/>
  <c r="E662" i="7"/>
  <c r="E654" i="7"/>
  <c r="E646" i="7"/>
  <c r="E638" i="7"/>
  <c r="E630" i="7"/>
  <c r="E622" i="7"/>
  <c r="E614" i="7"/>
  <c r="E606" i="7"/>
  <c r="E598" i="7"/>
  <c r="E590" i="7"/>
  <c r="E582" i="7"/>
  <c r="E574" i="7"/>
  <c r="E566" i="7"/>
  <c r="E558" i="7"/>
  <c r="E550" i="7"/>
  <c r="E542" i="7"/>
  <c r="E534" i="7"/>
  <c r="E526" i="7"/>
  <c r="E518" i="7"/>
  <c r="E510" i="7"/>
  <c r="E502" i="7"/>
  <c r="E494" i="7"/>
  <c r="E486" i="7"/>
  <c r="E478" i="7"/>
  <c r="E470" i="7"/>
  <c r="E462" i="7"/>
  <c r="E454" i="7"/>
  <c r="E446" i="7"/>
  <c r="E436" i="7"/>
  <c r="E425" i="7"/>
  <c r="E414" i="7"/>
  <c r="E404" i="7"/>
  <c r="E393" i="7"/>
  <c r="E382" i="7"/>
  <c r="E372" i="7"/>
  <c r="E361" i="7"/>
  <c r="E350" i="7"/>
  <c r="E340" i="7"/>
  <c r="E329" i="7"/>
  <c r="E318" i="7"/>
  <c r="E308" i="7"/>
  <c r="E297" i="7"/>
  <c r="E286" i="7"/>
  <c r="E276" i="7"/>
  <c r="E265" i="7"/>
  <c r="E254" i="7"/>
  <c r="E244" i="7"/>
  <c r="E233" i="7"/>
  <c r="E222" i="7"/>
  <c r="E212" i="7"/>
  <c r="E201" i="7"/>
  <c r="E190" i="7"/>
  <c r="E180" i="7"/>
  <c r="E169" i="7"/>
  <c r="D1517" i="7"/>
  <c r="D1501" i="7"/>
  <c r="D1485" i="7"/>
  <c r="D1469" i="7"/>
  <c r="D1453" i="7"/>
  <c r="D1437" i="7"/>
  <c r="D1421" i="7"/>
  <c r="D1405" i="7"/>
  <c r="D1389" i="7"/>
  <c r="D1373" i="7"/>
  <c r="D1357" i="7"/>
  <c r="D1341" i="7"/>
  <c r="D1325" i="7"/>
  <c r="D1309" i="7"/>
  <c r="D1293" i="7"/>
  <c r="D1277" i="7"/>
  <c r="D1261" i="7"/>
  <c r="D1245" i="7"/>
  <c r="D1229" i="7"/>
  <c r="D1212" i="7"/>
  <c r="D1180" i="7"/>
  <c r="D1148" i="7"/>
  <c r="D1116" i="7"/>
  <c r="D1084" i="7"/>
  <c r="D1052" i="7"/>
  <c r="D1020" i="7"/>
  <c r="D988" i="7"/>
  <c r="D956" i="7"/>
  <c r="D924" i="7"/>
  <c r="D892" i="7"/>
  <c r="D856" i="7"/>
  <c r="D814" i="7"/>
  <c r="D771" i="7"/>
  <c r="D728" i="7"/>
  <c r="D686" i="7"/>
  <c r="D643" i="7"/>
  <c r="D577" i="7"/>
  <c r="D449" i="7"/>
  <c r="D315" i="7"/>
  <c r="C1434" i="7"/>
  <c r="C922" i="7"/>
  <c r="E1243" i="7"/>
  <c r="E1235" i="7"/>
  <c r="E1227" i="7"/>
  <c r="E1219" i="7"/>
  <c r="E1211" i="7"/>
  <c r="E1203" i="7"/>
  <c r="E1195" i="7"/>
  <c r="E1187" i="7"/>
  <c r="E1179" i="7"/>
  <c r="E1171" i="7"/>
  <c r="E1163" i="7"/>
  <c r="E1155" i="7"/>
  <c r="E1147" i="7"/>
  <c r="E1139" i="7"/>
  <c r="E1131" i="7"/>
  <c r="E1123" i="7"/>
  <c r="E1115" i="7"/>
  <c r="E1107" i="7"/>
  <c r="E1099" i="7"/>
  <c r="E1091" i="7"/>
  <c r="E1083" i="7"/>
  <c r="E1075" i="7"/>
  <c r="E1067" i="7"/>
  <c r="E1059" i="7"/>
  <c r="E1051" i="7"/>
  <c r="E1043" i="7"/>
  <c r="E1035" i="7"/>
  <c r="E1027" i="7"/>
  <c r="E1019" i="7"/>
  <c r="E1011" i="7"/>
  <c r="E1003" i="7"/>
  <c r="E995" i="7"/>
  <c r="E987" i="7"/>
  <c r="E979" i="7"/>
  <c r="E971" i="7"/>
  <c r="E963" i="7"/>
  <c r="E955" i="7"/>
  <c r="E947" i="7"/>
  <c r="E939" i="7"/>
  <c r="E931" i="7"/>
  <c r="E923" i="7"/>
  <c r="E915" i="7"/>
  <c r="E907" i="7"/>
  <c r="E899" i="7"/>
  <c r="E891" i="7"/>
  <c r="E883" i="7"/>
  <c r="E875" i="7"/>
  <c r="E867" i="7"/>
  <c r="E859" i="7"/>
  <c r="E851" i="7"/>
  <c r="E843" i="7"/>
  <c r="E835" i="7"/>
  <c r="E827" i="7"/>
  <c r="E819" i="7"/>
  <c r="E811" i="7"/>
  <c r="E803" i="7"/>
  <c r="E795" i="7"/>
  <c r="E787" i="7"/>
  <c r="E779" i="7"/>
  <c r="E771" i="7"/>
  <c r="E763" i="7"/>
  <c r="E755" i="7"/>
  <c r="E747" i="7"/>
  <c r="E739" i="7"/>
  <c r="E731" i="7"/>
  <c r="E723" i="7"/>
  <c r="E715" i="7"/>
  <c r="E707" i="7"/>
  <c r="E699" i="7"/>
  <c r="E691" i="7"/>
  <c r="E683" i="7"/>
  <c r="E675" i="7"/>
  <c r="E667" i="7"/>
  <c r="E659" i="7"/>
  <c r="E651" i="7"/>
  <c r="E643" i="7"/>
  <c r="E635" i="7"/>
  <c r="E627" i="7"/>
  <c r="E619" i="7"/>
  <c r="E611" i="7"/>
  <c r="E603" i="7"/>
  <c r="E595" i="7"/>
  <c r="E587" i="7"/>
  <c r="E579" i="7"/>
  <c r="E571" i="7"/>
  <c r="E563" i="7"/>
  <c r="E555" i="7"/>
  <c r="E547" i="7"/>
  <c r="E539" i="7"/>
  <c r="E531" i="7"/>
  <c r="E523" i="7"/>
  <c r="E515" i="7"/>
  <c r="E507" i="7"/>
  <c r="E499" i="7"/>
  <c r="E491" i="7"/>
  <c r="E483" i="7"/>
  <c r="E475" i="7"/>
  <c r="E467" i="7"/>
  <c r="E459" i="7"/>
  <c r="E451" i="7"/>
  <c r="E442" i="7"/>
  <c r="E432" i="7"/>
  <c r="E421" i="7"/>
  <c r="E410" i="7"/>
  <c r="E400" i="7"/>
  <c r="E389" i="7"/>
  <c r="E378" i="7"/>
  <c r="E368" i="7"/>
  <c r="E357" i="7"/>
  <c r="E346" i="7"/>
  <c r="E336" i="7"/>
  <c r="E325" i="7"/>
  <c r="E314" i="7"/>
  <c r="E304" i="7"/>
  <c r="E293" i="7"/>
  <c r="E282" i="7"/>
  <c r="E272" i="7"/>
  <c r="E261" i="7"/>
  <c r="E250" i="7"/>
  <c r="E240" i="7"/>
  <c r="E229" i="7"/>
  <c r="E218" i="7"/>
  <c r="E208" i="7"/>
  <c r="E197" i="7"/>
  <c r="E186" i="7"/>
  <c r="E176" i="7"/>
  <c r="E165" i="7"/>
  <c r="D1526" i="7"/>
  <c r="D1510" i="7"/>
  <c r="D1494" i="7"/>
  <c r="D1478" i="7"/>
  <c r="D1462" i="7"/>
  <c r="D1446" i="7"/>
  <c r="D1430" i="7"/>
  <c r="D1414" i="7"/>
  <c r="D1398" i="7"/>
  <c r="D1382" i="7"/>
  <c r="D1366" i="7"/>
  <c r="D1350" i="7"/>
  <c r="D1334" i="7"/>
  <c r="D1318" i="7"/>
  <c r="D1302" i="7"/>
  <c r="D1286" i="7"/>
  <c r="D1270" i="7"/>
  <c r="D1254" i="7"/>
  <c r="D1238" i="7"/>
  <c r="D1222" i="7"/>
  <c r="D1197" i="7"/>
  <c r="D1165" i="7"/>
  <c r="D1133" i="7"/>
  <c r="D1101" i="7"/>
  <c r="D1069" i="7"/>
  <c r="D1037" i="7"/>
  <c r="D1005" i="7"/>
  <c r="D973" i="7"/>
  <c r="D941" i="7"/>
  <c r="D909" i="7"/>
  <c r="D877" i="7"/>
  <c r="D836" i="7"/>
  <c r="D793" i="7"/>
  <c r="D751" i="7"/>
  <c r="D708" i="7"/>
  <c r="D665" i="7"/>
  <c r="D623" i="7"/>
  <c r="D520" i="7"/>
  <c r="D392" i="7"/>
  <c r="D231" i="7"/>
  <c r="C1179" i="7"/>
  <c r="C657" i="7"/>
  <c r="E890" i="7"/>
  <c r="E882" i="7"/>
  <c r="E874" i="7"/>
  <c r="E866" i="7"/>
  <c r="E858" i="7"/>
  <c r="E850" i="7"/>
  <c r="E842" i="7"/>
  <c r="E834" i="7"/>
  <c r="E826" i="7"/>
  <c r="E818" i="7"/>
  <c r="E810" i="7"/>
  <c r="E802" i="7"/>
  <c r="E794" i="7"/>
  <c r="E786" i="7"/>
  <c r="E778" i="7"/>
  <c r="E770" i="7"/>
  <c r="E762" i="7"/>
  <c r="E754" i="7"/>
  <c r="E746" i="7"/>
  <c r="E738" i="7"/>
  <c r="E730" i="7"/>
  <c r="E722" i="7"/>
  <c r="E714" i="7"/>
  <c r="E706" i="7"/>
  <c r="E698" i="7"/>
  <c r="E690" i="7"/>
  <c r="E682" i="7"/>
  <c r="E674" i="7"/>
  <c r="E666" i="7"/>
  <c r="E658" i="7"/>
  <c r="E650" i="7"/>
  <c r="E642" i="7"/>
  <c r="E634" i="7"/>
  <c r="E626" i="7"/>
  <c r="E618" i="7"/>
  <c r="E610" i="7"/>
  <c r="E602" i="7"/>
  <c r="E594" i="7"/>
  <c r="E586" i="7"/>
  <c r="E578" i="7"/>
  <c r="E570" i="7"/>
  <c r="E562" i="7"/>
  <c r="E554" i="7"/>
  <c r="E546" i="7"/>
  <c r="E538" i="7"/>
  <c r="E530" i="7"/>
  <c r="E522" i="7"/>
  <c r="E514" i="7"/>
  <c r="E506" i="7"/>
  <c r="E498" i="7"/>
  <c r="E490" i="7"/>
  <c r="E482" i="7"/>
  <c r="E474" i="7"/>
  <c r="E466" i="7"/>
  <c r="E458" i="7"/>
  <c r="E450" i="7"/>
  <c r="E441" i="7"/>
  <c r="E430" i="7"/>
  <c r="E420" i="7"/>
  <c r="E409" i="7"/>
  <c r="E398" i="7"/>
  <c r="E388" i="7"/>
  <c r="E377" i="7"/>
  <c r="E366" i="7"/>
  <c r="E356" i="7"/>
  <c r="E345" i="7"/>
  <c r="E334" i="7"/>
  <c r="E324" i="7"/>
  <c r="E313" i="7"/>
  <c r="E302" i="7"/>
  <c r="E292" i="7"/>
  <c r="E281" i="7"/>
  <c r="E270" i="7"/>
  <c r="E260" i="7"/>
  <c r="E249" i="7"/>
  <c r="E238" i="7"/>
  <c r="E228" i="7"/>
  <c r="E217" i="7"/>
  <c r="E206" i="7"/>
  <c r="E196" i="7"/>
  <c r="E185" i="7"/>
  <c r="E174" i="7"/>
  <c r="D1525" i="7"/>
  <c r="D1509" i="7"/>
  <c r="D1493" i="7"/>
  <c r="D1477" i="7"/>
  <c r="D1461" i="7"/>
  <c r="D1445" i="7"/>
  <c r="D1429" i="7"/>
  <c r="D1413" i="7"/>
  <c r="D1397" i="7"/>
  <c r="D1381" i="7"/>
  <c r="D1365" i="7"/>
  <c r="D1349" i="7"/>
  <c r="D1333" i="7"/>
  <c r="D1317" i="7"/>
  <c r="D1301" i="7"/>
  <c r="D1285" i="7"/>
  <c r="D1269" i="7"/>
  <c r="D1253" i="7"/>
  <c r="D1237" i="7"/>
  <c r="D1221" i="7"/>
  <c r="D1196" i="7"/>
  <c r="D1164" i="7"/>
  <c r="D1132" i="7"/>
  <c r="D1100" i="7"/>
  <c r="D1068" i="7"/>
  <c r="D1036" i="7"/>
  <c r="D1004" i="7"/>
  <c r="D972" i="7"/>
  <c r="D940" i="7"/>
  <c r="D908" i="7"/>
  <c r="D876" i="7"/>
  <c r="D835" i="7"/>
  <c r="D792" i="7"/>
  <c r="D750" i="7"/>
  <c r="D707" i="7"/>
  <c r="D664" i="7"/>
  <c r="D622" i="7"/>
  <c r="D513" i="7"/>
  <c r="D385" i="7"/>
  <c r="D219" i="7"/>
  <c r="C1178" i="7"/>
  <c r="C655" i="7"/>
  <c r="E961" i="7"/>
  <c r="E953" i="7"/>
  <c r="E945" i="7"/>
  <c r="E937" i="7"/>
  <c r="E929" i="7"/>
  <c r="E921" i="7"/>
  <c r="E913" i="7"/>
  <c r="E905" i="7"/>
  <c r="E897" i="7"/>
  <c r="E889" i="7"/>
  <c r="E881" i="7"/>
  <c r="E873" i="7"/>
  <c r="E865" i="7"/>
  <c r="E857" i="7"/>
  <c r="E849" i="7"/>
  <c r="E841" i="7"/>
  <c r="E833" i="7"/>
  <c r="E825" i="7"/>
  <c r="E817" i="7"/>
  <c r="E809" i="7"/>
  <c r="E801" i="7"/>
  <c r="E793" i="7"/>
  <c r="E785" i="7"/>
  <c r="E777" i="7"/>
  <c r="E769" i="7"/>
  <c r="E761" i="7"/>
  <c r="E753" i="7"/>
  <c r="E745" i="7"/>
  <c r="E737" i="7"/>
  <c r="E729" i="7"/>
  <c r="E721" i="7"/>
  <c r="E713" i="7"/>
  <c r="E705" i="7"/>
  <c r="E697" i="7"/>
  <c r="E689" i="7"/>
  <c r="E681" i="7"/>
  <c r="E673" i="7"/>
  <c r="E665" i="7"/>
  <c r="E657" i="7"/>
  <c r="E649" i="7"/>
  <c r="E641" i="7"/>
  <c r="E633" i="7"/>
  <c r="E625" i="7"/>
  <c r="E617" i="7"/>
  <c r="E609" i="7"/>
  <c r="E601" i="7"/>
  <c r="E593" i="7"/>
  <c r="E585" i="7"/>
  <c r="E577" i="7"/>
  <c r="E569" i="7"/>
  <c r="E561" i="7"/>
  <c r="E553" i="7"/>
  <c r="E545" i="7"/>
  <c r="E537" i="7"/>
  <c r="E529" i="7"/>
  <c r="E521" i="7"/>
  <c r="E513" i="7"/>
  <c r="E505" i="7"/>
  <c r="E497" i="7"/>
  <c r="E489" i="7"/>
  <c r="E481" i="7"/>
  <c r="E473" i="7"/>
  <c r="E465" i="7"/>
  <c r="E457" i="7"/>
  <c r="E449" i="7"/>
  <c r="E440" i="7"/>
  <c r="E429" i="7"/>
  <c r="E418" i="7"/>
  <c r="E408" i="7"/>
  <c r="E397" i="7"/>
  <c r="E386" i="7"/>
  <c r="E376" i="7"/>
  <c r="E365" i="7"/>
  <c r="E354" i="7"/>
  <c r="E344" i="7"/>
  <c r="E333" i="7"/>
  <c r="E322" i="7"/>
  <c r="E312" i="7"/>
  <c r="E301" i="7"/>
  <c r="E290" i="7"/>
  <c r="E280" i="7"/>
  <c r="E269" i="7"/>
  <c r="E258" i="7"/>
  <c r="E248" i="7"/>
  <c r="E237" i="7"/>
  <c r="E226" i="7"/>
  <c r="E216" i="7"/>
  <c r="E205" i="7"/>
  <c r="E194" i="7"/>
  <c r="E184" i="7"/>
  <c r="E173" i="7"/>
  <c r="D1524" i="7"/>
  <c r="D1508" i="7"/>
  <c r="D1492" i="7"/>
  <c r="D1476" i="7"/>
  <c r="D1460" i="7"/>
  <c r="D1444" i="7"/>
  <c r="D1428" i="7"/>
  <c r="D1412" i="7"/>
  <c r="D1396" i="7"/>
  <c r="D1380" i="7"/>
  <c r="D1364" i="7"/>
  <c r="D1348" i="7"/>
  <c r="D1332" i="7"/>
  <c r="D1316" i="7"/>
  <c r="D1300" i="7"/>
  <c r="D1284" i="7"/>
  <c r="D1268" i="7"/>
  <c r="D1252" i="7"/>
  <c r="D1236" i="7"/>
  <c r="D1220" i="7"/>
  <c r="D1189" i="7"/>
  <c r="D1157" i="7"/>
  <c r="D1125" i="7"/>
  <c r="D1093" i="7"/>
  <c r="D1061" i="7"/>
  <c r="D1029" i="7"/>
  <c r="D997" i="7"/>
  <c r="D965" i="7"/>
  <c r="D933" i="7"/>
  <c r="D901" i="7"/>
  <c r="D868" i="7"/>
  <c r="D825" i="7"/>
  <c r="D783" i="7"/>
  <c r="D740" i="7"/>
  <c r="D697" i="7"/>
  <c r="D655" i="7"/>
  <c r="D611" i="7"/>
  <c r="D488" i="7"/>
  <c r="D360" i="7"/>
  <c r="D167" i="7"/>
  <c r="C1051" i="7"/>
  <c r="C246" i="7"/>
  <c r="E640" i="7"/>
  <c r="E632" i="7"/>
  <c r="E624" i="7"/>
  <c r="E616" i="7"/>
  <c r="E608" i="7"/>
  <c r="E600" i="7"/>
  <c r="E592" i="7"/>
  <c r="E584" i="7"/>
  <c r="E576" i="7"/>
  <c r="E568" i="7"/>
  <c r="E560" i="7"/>
  <c r="E552" i="7"/>
  <c r="E544" i="7"/>
  <c r="E536" i="7"/>
  <c r="E528" i="7"/>
  <c r="E520" i="7"/>
  <c r="E512" i="7"/>
  <c r="E504" i="7"/>
  <c r="E496" i="7"/>
  <c r="E488" i="7"/>
  <c r="E480" i="7"/>
  <c r="E472" i="7"/>
  <c r="E464" i="7"/>
  <c r="E456" i="7"/>
  <c r="E448" i="7"/>
  <c r="E438" i="7"/>
  <c r="E428" i="7"/>
  <c r="E417" i="7"/>
  <c r="E406" i="7"/>
  <c r="E396" i="7"/>
  <c r="E385" i="7"/>
  <c r="E374" i="7"/>
  <c r="E364" i="7"/>
  <c r="E353" i="7"/>
  <c r="E342" i="7"/>
  <c r="E332" i="7"/>
  <c r="E321" i="7"/>
  <c r="E310" i="7"/>
  <c r="E300" i="7"/>
  <c r="E289" i="7"/>
  <c r="E278" i="7"/>
  <c r="E268" i="7"/>
  <c r="E257" i="7"/>
  <c r="E246" i="7"/>
  <c r="E236" i="7"/>
  <c r="E225" i="7"/>
  <c r="E214" i="7"/>
  <c r="E204" i="7"/>
  <c r="E193" i="7"/>
  <c r="E182" i="7"/>
  <c r="E172" i="7"/>
  <c r="D1522" i="7"/>
  <c r="D1506" i="7"/>
  <c r="D1490" i="7"/>
  <c r="D1474" i="7"/>
  <c r="D1458" i="7"/>
  <c r="D1442" i="7"/>
  <c r="D1426" i="7"/>
  <c r="D1410" i="7"/>
  <c r="D1394" i="7"/>
  <c r="D1378" i="7"/>
  <c r="D1362" i="7"/>
  <c r="D1346" i="7"/>
  <c r="D1330" i="7"/>
  <c r="D1314" i="7"/>
  <c r="D1298" i="7"/>
  <c r="D1282" i="7"/>
  <c r="D1266" i="7"/>
  <c r="D1250" i="7"/>
  <c r="D1234" i="7"/>
  <c r="D1218" i="7"/>
  <c r="D1188" i="7"/>
  <c r="D1156" i="7"/>
  <c r="D1124" i="7"/>
  <c r="D1092" i="7"/>
  <c r="D1060" i="7"/>
  <c r="D1028" i="7"/>
  <c r="D996" i="7"/>
  <c r="D964" i="7"/>
  <c r="D932" i="7"/>
  <c r="D900" i="7"/>
  <c r="D867" i="7"/>
  <c r="D824" i="7"/>
  <c r="D782" i="7"/>
  <c r="D739" i="7"/>
  <c r="D696" i="7"/>
  <c r="D654" i="7"/>
  <c r="D609" i="7"/>
  <c r="D481" i="7"/>
  <c r="D353" i="7"/>
  <c r="C1050" i="7"/>
  <c r="C232" i="7"/>
  <c r="B1484" i="7"/>
  <c r="E647" i="7"/>
  <c r="E639" i="7"/>
  <c r="E631" i="7"/>
  <c r="E623" i="7"/>
  <c r="E615" i="7"/>
  <c r="E607" i="7"/>
  <c r="E599" i="7"/>
  <c r="E591" i="7"/>
  <c r="E583" i="7"/>
  <c r="E575" i="7"/>
  <c r="E567" i="7"/>
  <c r="E559" i="7"/>
  <c r="E551" i="7"/>
  <c r="E543" i="7"/>
  <c r="E535" i="7"/>
  <c r="E527" i="7"/>
  <c r="E519" i="7"/>
  <c r="E511" i="7"/>
  <c r="E503" i="7"/>
  <c r="E495" i="7"/>
  <c r="E487" i="7"/>
  <c r="E479" i="7"/>
  <c r="E471" i="7"/>
  <c r="E463" i="7"/>
  <c r="E455" i="7"/>
  <c r="E447" i="7"/>
  <c r="E437" i="7"/>
  <c r="E426" i="7"/>
  <c r="E416" i="7"/>
  <c r="E405" i="7"/>
  <c r="E394" i="7"/>
  <c r="E384" i="7"/>
  <c r="E373" i="7"/>
  <c r="E362" i="7"/>
  <c r="E352" i="7"/>
  <c r="E341" i="7"/>
  <c r="E330" i="7"/>
  <c r="E320" i="7"/>
  <c r="E309" i="7"/>
  <c r="E298" i="7"/>
  <c r="E288" i="7"/>
  <c r="E277" i="7"/>
  <c r="E266" i="7"/>
  <c r="E256" i="7"/>
  <c r="E245" i="7"/>
  <c r="C615" i="7"/>
  <c r="C424" i="7"/>
  <c r="C214" i="7"/>
  <c r="B434" i="7"/>
  <c r="D225" i="7"/>
  <c r="D185" i="7"/>
  <c r="C1501" i="7"/>
  <c r="C1437" i="7"/>
  <c r="C1237" i="7"/>
  <c r="C1197" i="7"/>
  <c r="C1173" i="7"/>
  <c r="C1141" i="7"/>
  <c r="C1117" i="7"/>
  <c r="C1085" i="7"/>
  <c r="C997" i="7"/>
  <c r="C965" i="7"/>
  <c r="C925" i="7"/>
  <c r="C893" i="7"/>
  <c r="C837" i="7"/>
  <c r="C805" i="7"/>
  <c r="C630" i="7"/>
  <c r="C550" i="7"/>
  <c r="B1459" i="7"/>
  <c r="C589" i="7"/>
  <c r="C230" i="7"/>
  <c r="B1396" i="7"/>
  <c r="B1314" i="7"/>
  <c r="B1250" i="7"/>
  <c r="B842" i="7"/>
  <c r="B562" i="7"/>
  <c r="C618" i="7"/>
  <c r="C538" i="7"/>
  <c r="C490" i="7"/>
  <c r="C199" i="7"/>
  <c r="B1411" i="7"/>
  <c r="B1114" i="7"/>
  <c r="B876" i="7"/>
  <c r="B249" i="7"/>
  <c r="C617" i="7"/>
  <c r="C521" i="7"/>
  <c r="C454" i="7"/>
  <c r="C390" i="7"/>
  <c r="C326" i="7"/>
  <c r="B1492" i="7"/>
  <c r="B1131" i="7"/>
  <c r="B1044" i="7"/>
  <c r="B875" i="7"/>
  <c r="C672" i="7"/>
  <c r="C511" i="7"/>
  <c r="C407" i="7"/>
  <c r="B1171" i="7"/>
  <c r="B1066" i="7"/>
  <c r="B353" i="7"/>
  <c r="B1339" i="7"/>
  <c r="B1083" i="7"/>
  <c r="B978" i="7"/>
  <c r="B914" i="7"/>
  <c r="B850" i="7"/>
  <c r="B690" i="7"/>
  <c r="B521" i="7"/>
  <c r="B1274" i="7"/>
  <c r="B1100" i="7"/>
  <c r="B1018" i="7"/>
  <c r="B890" i="7"/>
  <c r="B674" i="7"/>
  <c r="B283" i="7"/>
  <c r="C373" i="7"/>
  <c r="C349" i="7"/>
  <c r="C333" i="7"/>
  <c r="C301" i="7"/>
  <c r="C253" i="7"/>
  <c r="C221" i="7"/>
  <c r="C205" i="7"/>
  <c r="C173" i="7"/>
  <c r="B1425" i="7"/>
  <c r="B1385" i="7"/>
  <c r="B1361" i="7"/>
  <c r="E234" i="7"/>
  <c r="E224" i="7"/>
  <c r="E213" i="7"/>
  <c r="E202" i="7"/>
  <c r="E192" i="7"/>
  <c r="E181" i="7"/>
  <c r="E170" i="7"/>
  <c r="D1518" i="7"/>
  <c r="D1502" i="7"/>
  <c r="D1486" i="7"/>
  <c r="D1470" i="7"/>
  <c r="D1454" i="7"/>
  <c r="D1438" i="7"/>
  <c r="D1422" i="7"/>
  <c r="D1406" i="7"/>
  <c r="D1390" i="7"/>
  <c r="D1374" i="7"/>
  <c r="D1358" i="7"/>
  <c r="D1342" i="7"/>
  <c r="D1326" i="7"/>
  <c r="D1310" i="7"/>
  <c r="D1294" i="7"/>
  <c r="D1278" i="7"/>
  <c r="D1262" i="7"/>
  <c r="D1246" i="7"/>
  <c r="D1230" i="7"/>
  <c r="D1213" i="7"/>
  <c r="D1181" i="7"/>
  <c r="D1149" i="7"/>
  <c r="D1117" i="7"/>
  <c r="D1085" i="7"/>
  <c r="D1053" i="7"/>
  <c r="D1021" i="7"/>
  <c r="D989" i="7"/>
  <c r="D957" i="7"/>
  <c r="D925" i="7"/>
  <c r="D893" i="7"/>
  <c r="D857" i="7"/>
  <c r="D815" i="7"/>
  <c r="D772" i="7"/>
  <c r="D729" i="7"/>
  <c r="D687" i="7"/>
  <c r="D644" i="7"/>
  <c r="D584" i="7"/>
  <c r="D456" i="7"/>
  <c r="D324" i="7"/>
  <c r="C1435" i="7"/>
  <c r="C923" i="7"/>
  <c r="E439" i="7"/>
  <c r="E431" i="7"/>
  <c r="E423" i="7"/>
  <c r="E415" i="7"/>
  <c r="E407" i="7"/>
  <c r="E399" i="7"/>
  <c r="E391" i="7"/>
  <c r="E383" i="7"/>
  <c r="E375" i="7"/>
  <c r="E367" i="7"/>
  <c r="E359" i="7"/>
  <c r="E351" i="7"/>
  <c r="E343" i="7"/>
  <c r="E335" i="7"/>
  <c r="E327" i="7"/>
  <c r="E319" i="7"/>
  <c r="E311" i="7"/>
  <c r="E303" i="7"/>
  <c r="E295" i="7"/>
  <c r="E287" i="7"/>
  <c r="E279" i="7"/>
  <c r="E271" i="7"/>
  <c r="E263" i="7"/>
  <c r="E255" i="7"/>
  <c r="E247" i="7"/>
  <c r="E239" i="7"/>
  <c r="E231" i="7"/>
  <c r="E223" i="7"/>
  <c r="E215" i="7"/>
  <c r="E207" i="7"/>
  <c r="E199" i="7"/>
  <c r="E191" i="7"/>
  <c r="E183" i="7"/>
  <c r="E175" i="7"/>
  <c r="E167" i="7"/>
  <c r="D1531" i="7"/>
  <c r="D1523" i="7"/>
  <c r="D1515" i="7"/>
  <c r="D1507" i="7"/>
  <c r="D1499" i="7"/>
  <c r="D1491" i="7"/>
  <c r="D1483" i="7"/>
  <c r="D1475" i="7"/>
  <c r="D1467" i="7"/>
  <c r="D1459" i="7"/>
  <c r="D1451" i="7"/>
  <c r="D1443" i="7"/>
  <c r="D1435" i="7"/>
  <c r="D1427" i="7"/>
  <c r="D1419" i="7"/>
  <c r="D1411" i="7"/>
  <c r="D1403" i="7"/>
  <c r="D1395" i="7"/>
  <c r="D1387" i="7"/>
  <c r="D1379" i="7"/>
  <c r="D1371" i="7"/>
  <c r="D1363" i="7"/>
  <c r="D1355" i="7"/>
  <c r="D1347" i="7"/>
  <c r="D1339" i="7"/>
  <c r="D1331" i="7"/>
  <c r="D1323" i="7"/>
  <c r="D1315" i="7"/>
  <c r="D1307" i="7"/>
  <c r="D1299" i="7"/>
  <c r="D1291" i="7"/>
  <c r="D1283" i="7"/>
  <c r="D1275" i="7"/>
  <c r="D1267" i="7"/>
  <c r="D1259" i="7"/>
  <c r="D1251" i="7"/>
  <c r="D1243" i="7"/>
  <c r="D1235" i="7"/>
  <c r="D1227" i="7"/>
  <c r="D1219" i="7"/>
  <c r="D1211" i="7"/>
  <c r="D1203" i="7"/>
  <c r="D1195" i="7"/>
  <c r="D1187" i="7"/>
  <c r="D1179" i="7"/>
  <c r="D1171" i="7"/>
  <c r="D1163" i="7"/>
  <c r="D1155" i="7"/>
  <c r="D1147" i="7"/>
  <c r="D1139" i="7"/>
  <c r="D1131" i="7"/>
  <c r="D1123" i="7"/>
  <c r="D1115" i="7"/>
  <c r="D1107" i="7"/>
  <c r="D1099" i="7"/>
  <c r="D1091" i="7"/>
  <c r="D1083" i="7"/>
  <c r="D1075" i="7"/>
  <c r="D1067" i="7"/>
  <c r="D1059" i="7"/>
  <c r="D1051" i="7"/>
  <c r="D1043" i="7"/>
  <c r="D1035" i="7"/>
  <c r="D1027" i="7"/>
  <c r="D1019" i="7"/>
  <c r="D1011" i="7"/>
  <c r="D1003" i="7"/>
  <c r="D995" i="7"/>
  <c r="D987" i="7"/>
  <c r="D979" i="7"/>
  <c r="D971" i="7"/>
  <c r="D963" i="7"/>
  <c r="D955" i="7"/>
  <c r="D947" i="7"/>
  <c r="D939" i="7"/>
  <c r="D931" i="7"/>
  <c r="D923" i="7"/>
  <c r="D915" i="7"/>
  <c r="D907" i="7"/>
  <c r="D899" i="7"/>
  <c r="D891" i="7"/>
  <c r="D883" i="7"/>
  <c r="D875" i="7"/>
  <c r="D865" i="7"/>
  <c r="D855" i="7"/>
  <c r="D844" i="7"/>
  <c r="D833" i="7"/>
  <c r="D823" i="7"/>
  <c r="D812" i="7"/>
  <c r="D801" i="7"/>
  <c r="D791" i="7"/>
  <c r="D780" i="7"/>
  <c r="D769" i="7"/>
  <c r="D759" i="7"/>
  <c r="D748" i="7"/>
  <c r="D737" i="7"/>
  <c r="D727" i="7"/>
  <c r="D716" i="7"/>
  <c r="D705" i="7"/>
  <c r="D695" i="7"/>
  <c r="D684" i="7"/>
  <c r="D673" i="7"/>
  <c r="D663" i="7"/>
  <c r="D652" i="7"/>
  <c r="D641" i="7"/>
  <c r="D631" i="7"/>
  <c r="D620" i="7"/>
  <c r="D608" i="7"/>
  <c r="D576" i="7"/>
  <c r="D544" i="7"/>
  <c r="D512" i="7"/>
  <c r="D480" i="7"/>
  <c r="D448" i="7"/>
  <c r="D416" i="7"/>
  <c r="D384" i="7"/>
  <c r="D352" i="7"/>
  <c r="D312" i="7"/>
  <c r="D270" i="7"/>
  <c r="D215" i="7"/>
  <c r="C1531" i="7"/>
  <c r="C1403" i="7"/>
  <c r="C1275" i="7"/>
  <c r="C1147" i="7"/>
  <c r="C1019" i="7"/>
  <c r="C891" i="7"/>
  <c r="C763" i="7"/>
  <c r="C595" i="7"/>
  <c r="B1444" i="7"/>
  <c r="D1210" i="7"/>
  <c r="D1202" i="7"/>
  <c r="D1194" i="7"/>
  <c r="D1186" i="7"/>
  <c r="D1178" i="7"/>
  <c r="D1170" i="7"/>
  <c r="D1162" i="7"/>
  <c r="D1154" i="7"/>
  <c r="D1146" i="7"/>
  <c r="D1138" i="7"/>
  <c r="D1130" i="7"/>
  <c r="D1122" i="7"/>
  <c r="D1114" i="7"/>
  <c r="D1106" i="7"/>
  <c r="D1098" i="7"/>
  <c r="D1090" i="7"/>
  <c r="D1082" i="7"/>
  <c r="D1074" i="7"/>
  <c r="D1066" i="7"/>
  <c r="D1058" i="7"/>
  <c r="D1050" i="7"/>
  <c r="D1042" i="7"/>
  <c r="D1034" i="7"/>
  <c r="D1026" i="7"/>
  <c r="D1018" i="7"/>
  <c r="D1010" i="7"/>
  <c r="D1002" i="7"/>
  <c r="D994" i="7"/>
  <c r="D986" i="7"/>
  <c r="D978" i="7"/>
  <c r="D970" i="7"/>
  <c r="D962" i="7"/>
  <c r="D954" i="7"/>
  <c r="D946" i="7"/>
  <c r="D938" i="7"/>
  <c r="D930" i="7"/>
  <c r="D922" i="7"/>
  <c r="D914" i="7"/>
  <c r="D906" i="7"/>
  <c r="D898" i="7"/>
  <c r="D890" i="7"/>
  <c r="D882" i="7"/>
  <c r="D874" i="7"/>
  <c r="D864" i="7"/>
  <c r="D854" i="7"/>
  <c r="D843" i="7"/>
  <c r="D832" i="7"/>
  <c r="D822" i="7"/>
  <c r="D811" i="7"/>
  <c r="D800" i="7"/>
  <c r="D790" i="7"/>
  <c r="D779" i="7"/>
  <c r="D768" i="7"/>
  <c r="D758" i="7"/>
  <c r="D747" i="7"/>
  <c r="D736" i="7"/>
  <c r="D726" i="7"/>
  <c r="D715" i="7"/>
  <c r="D704" i="7"/>
  <c r="D694" i="7"/>
  <c r="D683" i="7"/>
  <c r="D672" i="7"/>
  <c r="D662" i="7"/>
  <c r="D651" i="7"/>
  <c r="D640" i="7"/>
  <c r="D630" i="7"/>
  <c r="D619" i="7"/>
  <c r="D601" i="7"/>
  <c r="D569" i="7"/>
  <c r="D537" i="7"/>
  <c r="D505" i="7"/>
  <c r="D473" i="7"/>
  <c r="D441" i="7"/>
  <c r="D409" i="7"/>
  <c r="D377" i="7"/>
  <c r="D345" i="7"/>
  <c r="D303" i="7"/>
  <c r="D261" i="7"/>
  <c r="D203" i="7"/>
  <c r="C1530" i="7"/>
  <c r="C1402" i="7"/>
  <c r="C1274" i="7"/>
  <c r="C1146" i="7"/>
  <c r="C1018" i="7"/>
  <c r="C890" i="7"/>
  <c r="C762" i="7"/>
  <c r="C591" i="7"/>
  <c r="B1243" i="7"/>
  <c r="D1529" i="7"/>
  <c r="D1521" i="7"/>
  <c r="D1513" i="7"/>
  <c r="D1505" i="7"/>
  <c r="D1497" i="7"/>
  <c r="D1489" i="7"/>
  <c r="D1481" i="7"/>
  <c r="D1473" i="7"/>
  <c r="D1465" i="7"/>
  <c r="D1457" i="7"/>
  <c r="D1449" i="7"/>
  <c r="D1441" i="7"/>
  <c r="D1433" i="7"/>
  <c r="D1425" i="7"/>
  <c r="D1417" i="7"/>
  <c r="D1409" i="7"/>
  <c r="D1401" i="7"/>
  <c r="D1393" i="7"/>
  <c r="D1385" i="7"/>
  <c r="D1377" i="7"/>
  <c r="D1369" i="7"/>
  <c r="D1361" i="7"/>
  <c r="D1353" i="7"/>
  <c r="D1345" i="7"/>
  <c r="D1337" i="7"/>
  <c r="D1329" i="7"/>
  <c r="D1321" i="7"/>
  <c r="D1313" i="7"/>
  <c r="D1305" i="7"/>
  <c r="D1297" i="7"/>
  <c r="D1289" i="7"/>
  <c r="D1281" i="7"/>
  <c r="D1273" i="7"/>
  <c r="D1265" i="7"/>
  <c r="D1257" i="7"/>
  <c r="D1249" i="7"/>
  <c r="D1241" i="7"/>
  <c r="D1233" i="7"/>
  <c r="D1225" i="7"/>
  <c r="D1217" i="7"/>
  <c r="D1209" i="7"/>
  <c r="D1201" i="7"/>
  <c r="D1193" i="7"/>
  <c r="D1185" i="7"/>
  <c r="D1177" i="7"/>
  <c r="D1169" i="7"/>
  <c r="D1161" i="7"/>
  <c r="D1153" i="7"/>
  <c r="D1145" i="7"/>
  <c r="D1137" i="7"/>
  <c r="D1129" i="7"/>
  <c r="D1121" i="7"/>
  <c r="D1113" i="7"/>
  <c r="D1105" i="7"/>
  <c r="D1097" i="7"/>
  <c r="D1089" i="7"/>
  <c r="D1081" i="7"/>
  <c r="D1073" i="7"/>
  <c r="D1065" i="7"/>
  <c r="D1057" i="7"/>
  <c r="D1049" i="7"/>
  <c r="D1041" i="7"/>
  <c r="D1033" i="7"/>
  <c r="D1025" i="7"/>
  <c r="D1017" i="7"/>
  <c r="D1009" i="7"/>
  <c r="D1001" i="7"/>
  <c r="D993" i="7"/>
  <c r="D985" i="7"/>
  <c r="D977" i="7"/>
  <c r="D969" i="7"/>
  <c r="D961" i="7"/>
  <c r="D953" i="7"/>
  <c r="D945" i="7"/>
  <c r="D937" i="7"/>
  <c r="D929" i="7"/>
  <c r="D921" i="7"/>
  <c r="D913" i="7"/>
  <c r="D905" i="7"/>
  <c r="D897" i="7"/>
  <c r="D889" i="7"/>
  <c r="D881" i="7"/>
  <c r="D873" i="7"/>
  <c r="D863" i="7"/>
  <c r="D852" i="7"/>
  <c r="D841" i="7"/>
  <c r="D831" i="7"/>
  <c r="D820" i="7"/>
  <c r="D809" i="7"/>
  <c r="D799" i="7"/>
  <c r="D788" i="7"/>
  <c r="D777" i="7"/>
  <c r="D767" i="7"/>
  <c r="D756" i="7"/>
  <c r="D745" i="7"/>
  <c r="D735" i="7"/>
  <c r="D724" i="7"/>
  <c r="D713" i="7"/>
  <c r="D703" i="7"/>
  <c r="D692" i="7"/>
  <c r="D681" i="7"/>
  <c r="D671" i="7"/>
  <c r="D660" i="7"/>
  <c r="D649" i="7"/>
  <c r="D639" i="7"/>
  <c r="D628" i="7"/>
  <c r="D617" i="7"/>
  <c r="D600" i="7"/>
  <c r="D568" i="7"/>
  <c r="D536" i="7"/>
  <c r="D504" i="7"/>
  <c r="D472" i="7"/>
  <c r="D440" i="7"/>
  <c r="D408" i="7"/>
  <c r="D376" i="7"/>
  <c r="D344" i="7"/>
  <c r="D302" i="7"/>
  <c r="D260" i="7"/>
  <c r="D199" i="7"/>
  <c r="C1499" i="7"/>
  <c r="C1371" i="7"/>
  <c r="C1243" i="7"/>
  <c r="C1115" i="7"/>
  <c r="C987" i="7"/>
  <c r="C859" i="7"/>
  <c r="C731" i="7"/>
  <c r="C531" i="7"/>
  <c r="B1162" i="7"/>
  <c r="D1528" i="7"/>
  <c r="D1520" i="7"/>
  <c r="D1512" i="7"/>
  <c r="D1504" i="7"/>
  <c r="D1496" i="7"/>
  <c r="D1488" i="7"/>
  <c r="D1480" i="7"/>
  <c r="D1472" i="7"/>
  <c r="D1464" i="7"/>
  <c r="D1456" i="7"/>
  <c r="D1448" i="7"/>
  <c r="D1440" i="7"/>
  <c r="D1432" i="7"/>
  <c r="D1424" i="7"/>
  <c r="D1416" i="7"/>
  <c r="D1408" i="7"/>
  <c r="D1400" i="7"/>
  <c r="D1392" i="7"/>
  <c r="D1384" i="7"/>
  <c r="D1376" i="7"/>
  <c r="D1368" i="7"/>
  <c r="D1360" i="7"/>
  <c r="D1352" i="7"/>
  <c r="D1344" i="7"/>
  <c r="D1336" i="7"/>
  <c r="D1328" i="7"/>
  <c r="D1320" i="7"/>
  <c r="D1312" i="7"/>
  <c r="D1304" i="7"/>
  <c r="D1296" i="7"/>
  <c r="D1288" i="7"/>
  <c r="D1280" i="7"/>
  <c r="D1272" i="7"/>
  <c r="D1264" i="7"/>
  <c r="D1256" i="7"/>
  <c r="D1248" i="7"/>
  <c r="D1240" i="7"/>
  <c r="D1232" i="7"/>
  <c r="D1224" i="7"/>
  <c r="D1216" i="7"/>
  <c r="D1208" i="7"/>
  <c r="D1200" i="7"/>
  <c r="D1192" i="7"/>
  <c r="D1184" i="7"/>
  <c r="D1176" i="7"/>
  <c r="D1168" i="7"/>
  <c r="D1160" i="7"/>
  <c r="D1152" i="7"/>
  <c r="D1144" i="7"/>
  <c r="D1136" i="7"/>
  <c r="D1128" i="7"/>
  <c r="D1120" i="7"/>
  <c r="D1112" i="7"/>
  <c r="D1104" i="7"/>
  <c r="D1096" i="7"/>
  <c r="D1088" i="7"/>
  <c r="D1080" i="7"/>
  <c r="D1072" i="7"/>
  <c r="D1064" i="7"/>
  <c r="D1056" i="7"/>
  <c r="D1048" i="7"/>
  <c r="D1040" i="7"/>
  <c r="D1032" i="7"/>
  <c r="D1024" i="7"/>
  <c r="D1016" i="7"/>
  <c r="D1008" i="7"/>
  <c r="D1000" i="7"/>
  <c r="D992" i="7"/>
  <c r="D984" i="7"/>
  <c r="D976" i="7"/>
  <c r="D968" i="7"/>
  <c r="D960" i="7"/>
  <c r="D952" i="7"/>
  <c r="D944" i="7"/>
  <c r="D936" i="7"/>
  <c r="D928" i="7"/>
  <c r="D920" i="7"/>
  <c r="D912" i="7"/>
  <c r="D904" i="7"/>
  <c r="D896" i="7"/>
  <c r="D888" i="7"/>
  <c r="D880" i="7"/>
  <c r="D872" i="7"/>
  <c r="D862" i="7"/>
  <c r="D851" i="7"/>
  <c r="D840" i="7"/>
  <c r="D830" i="7"/>
  <c r="D819" i="7"/>
  <c r="D808" i="7"/>
  <c r="D798" i="7"/>
  <c r="D787" i="7"/>
  <c r="D776" i="7"/>
  <c r="D766" i="7"/>
  <c r="D755" i="7"/>
  <c r="D744" i="7"/>
  <c r="D734" i="7"/>
  <c r="D723" i="7"/>
  <c r="D712" i="7"/>
  <c r="D702" i="7"/>
  <c r="D691" i="7"/>
  <c r="D680" i="7"/>
  <c r="D670" i="7"/>
  <c r="D659" i="7"/>
  <c r="D648" i="7"/>
  <c r="D638" i="7"/>
  <c r="D627" i="7"/>
  <c r="D616" i="7"/>
  <c r="D593" i="7"/>
  <c r="D561" i="7"/>
  <c r="D529" i="7"/>
  <c r="D497" i="7"/>
  <c r="D465" i="7"/>
  <c r="D433" i="7"/>
  <c r="D401" i="7"/>
  <c r="D369" i="7"/>
  <c r="D335" i="7"/>
  <c r="D293" i="7"/>
  <c r="D251" i="7"/>
  <c r="D187" i="7"/>
  <c r="C1498" i="7"/>
  <c r="C1370" i="7"/>
  <c r="C1242" i="7"/>
  <c r="C1114" i="7"/>
  <c r="C986" i="7"/>
  <c r="C858" i="7"/>
  <c r="C730" i="7"/>
  <c r="C527" i="7"/>
  <c r="B900" i="7"/>
  <c r="E443" i="7"/>
  <c r="E435" i="7"/>
  <c r="E427" i="7"/>
  <c r="E419" i="7"/>
  <c r="E411" i="7"/>
  <c r="E403" i="7"/>
  <c r="E395" i="7"/>
  <c r="E387" i="7"/>
  <c r="E379" i="7"/>
  <c r="E371" i="7"/>
  <c r="E363" i="7"/>
  <c r="E355" i="7"/>
  <c r="E347" i="7"/>
  <c r="E339" i="7"/>
  <c r="E331" i="7"/>
  <c r="E323" i="7"/>
  <c r="E315" i="7"/>
  <c r="E307" i="7"/>
  <c r="E299" i="7"/>
  <c r="E291" i="7"/>
  <c r="E283" i="7"/>
  <c r="E275" i="7"/>
  <c r="E267" i="7"/>
  <c r="E259" i="7"/>
  <c r="E251" i="7"/>
  <c r="E243" i="7"/>
  <c r="E235" i="7"/>
  <c r="E227" i="7"/>
  <c r="E219" i="7"/>
  <c r="E211" i="7"/>
  <c r="E203" i="7"/>
  <c r="E195" i="7"/>
  <c r="E187" i="7"/>
  <c r="E179" i="7"/>
  <c r="E171" i="7"/>
  <c r="D1527" i="7"/>
  <c r="D1519" i="7"/>
  <c r="D1511" i="7"/>
  <c r="D1503" i="7"/>
  <c r="D1495" i="7"/>
  <c r="D1487" i="7"/>
  <c r="D1479" i="7"/>
  <c r="D1471" i="7"/>
  <c r="D1463" i="7"/>
  <c r="D1455" i="7"/>
  <c r="D1447" i="7"/>
  <c r="D1439" i="7"/>
  <c r="D1431" i="7"/>
  <c r="D1423" i="7"/>
  <c r="D1415" i="7"/>
  <c r="D1407" i="7"/>
  <c r="D1399" i="7"/>
  <c r="D1391" i="7"/>
  <c r="D1383" i="7"/>
  <c r="D1375" i="7"/>
  <c r="D1367" i="7"/>
  <c r="D1359" i="7"/>
  <c r="D1351" i="7"/>
  <c r="D1343" i="7"/>
  <c r="D1335" i="7"/>
  <c r="D1327" i="7"/>
  <c r="D1319" i="7"/>
  <c r="D1311" i="7"/>
  <c r="D1303" i="7"/>
  <c r="D1295" i="7"/>
  <c r="D1287" i="7"/>
  <c r="D1279" i="7"/>
  <c r="D1271" i="7"/>
  <c r="D1263" i="7"/>
  <c r="D1255" i="7"/>
  <c r="D1247" i="7"/>
  <c r="D1239" i="7"/>
  <c r="D1231" i="7"/>
  <c r="D1223" i="7"/>
  <c r="D1215" i="7"/>
  <c r="D1207" i="7"/>
  <c r="D1199" i="7"/>
  <c r="D1191" i="7"/>
  <c r="D1183" i="7"/>
  <c r="D1175" i="7"/>
  <c r="D1167" i="7"/>
  <c r="D1159" i="7"/>
  <c r="D1151" i="7"/>
  <c r="D1143" i="7"/>
  <c r="D1135" i="7"/>
  <c r="D1127" i="7"/>
  <c r="D1119" i="7"/>
  <c r="D1111" i="7"/>
  <c r="D1103" i="7"/>
  <c r="D1095" i="7"/>
  <c r="D1087" i="7"/>
  <c r="D1079" i="7"/>
  <c r="D1071" i="7"/>
  <c r="D1063" i="7"/>
  <c r="D1055" i="7"/>
  <c r="D1047" i="7"/>
  <c r="D1039" i="7"/>
  <c r="D1031" i="7"/>
  <c r="D1023" i="7"/>
  <c r="D1015" i="7"/>
  <c r="D1007" i="7"/>
  <c r="D999" i="7"/>
  <c r="D991" i="7"/>
  <c r="D983" i="7"/>
  <c r="D975" i="7"/>
  <c r="D967" i="7"/>
  <c r="D959" i="7"/>
  <c r="D951" i="7"/>
  <c r="D943" i="7"/>
  <c r="D935" i="7"/>
  <c r="D927" i="7"/>
  <c r="D919" i="7"/>
  <c r="D911" i="7"/>
  <c r="D903" i="7"/>
  <c r="D895" i="7"/>
  <c r="D887" i="7"/>
  <c r="D879" i="7"/>
  <c r="D871" i="7"/>
  <c r="D860" i="7"/>
  <c r="D849" i="7"/>
  <c r="D839" i="7"/>
  <c r="D828" i="7"/>
  <c r="D817" i="7"/>
  <c r="D807" i="7"/>
  <c r="D796" i="7"/>
  <c r="D785" i="7"/>
  <c r="D775" i="7"/>
  <c r="D764" i="7"/>
  <c r="D753" i="7"/>
  <c r="D743" i="7"/>
  <c r="D732" i="7"/>
  <c r="D721" i="7"/>
  <c r="D711" i="7"/>
  <c r="D700" i="7"/>
  <c r="D689" i="7"/>
  <c r="D679" i="7"/>
  <c r="D668" i="7"/>
  <c r="D657" i="7"/>
  <c r="D647" i="7"/>
  <c r="D636" i="7"/>
  <c r="D625" i="7"/>
  <c r="D615" i="7"/>
  <c r="D592" i="7"/>
  <c r="D560" i="7"/>
  <c r="D528" i="7"/>
  <c r="D496" i="7"/>
  <c r="D464" i="7"/>
  <c r="D432" i="7"/>
  <c r="D400" i="7"/>
  <c r="D368" i="7"/>
  <c r="D334" i="7"/>
  <c r="D292" i="7"/>
  <c r="D247" i="7"/>
  <c r="D183" i="7"/>
  <c r="C1467" i="7"/>
  <c r="C1339" i="7"/>
  <c r="C1211" i="7"/>
  <c r="C1083" i="7"/>
  <c r="C955" i="7"/>
  <c r="C827" i="7"/>
  <c r="C699" i="7"/>
  <c r="C415" i="7"/>
  <c r="B778" i="7"/>
  <c r="D1214" i="7"/>
  <c r="D1206" i="7"/>
  <c r="D1198" i="7"/>
  <c r="D1190" i="7"/>
  <c r="D1182" i="7"/>
  <c r="D1174" i="7"/>
  <c r="D1166" i="7"/>
  <c r="D1158" i="7"/>
  <c r="D1150" i="7"/>
  <c r="D1142" i="7"/>
  <c r="D1134" i="7"/>
  <c r="D1126" i="7"/>
  <c r="D1118" i="7"/>
  <c r="D1110" i="7"/>
  <c r="D1102" i="7"/>
  <c r="D1094" i="7"/>
  <c r="D1086" i="7"/>
  <c r="D1078" i="7"/>
  <c r="D1070" i="7"/>
  <c r="D1062" i="7"/>
  <c r="D1054" i="7"/>
  <c r="D1046" i="7"/>
  <c r="D1038" i="7"/>
  <c r="D1030" i="7"/>
  <c r="D1022" i="7"/>
  <c r="D1014" i="7"/>
  <c r="D1006" i="7"/>
  <c r="D998" i="7"/>
  <c r="D990" i="7"/>
  <c r="D982" i="7"/>
  <c r="D974" i="7"/>
  <c r="D966" i="7"/>
  <c r="D958" i="7"/>
  <c r="D950" i="7"/>
  <c r="D942" i="7"/>
  <c r="D934" i="7"/>
  <c r="D926" i="7"/>
  <c r="D918" i="7"/>
  <c r="D910" i="7"/>
  <c r="D902" i="7"/>
  <c r="D894" i="7"/>
  <c r="D886" i="7"/>
  <c r="D878" i="7"/>
  <c r="D870" i="7"/>
  <c r="D859" i="7"/>
  <c r="D848" i="7"/>
  <c r="D838" i="7"/>
  <c r="D827" i="7"/>
  <c r="D816" i="7"/>
  <c r="D806" i="7"/>
  <c r="D795" i="7"/>
  <c r="D784" i="7"/>
  <c r="D774" i="7"/>
  <c r="D763" i="7"/>
  <c r="D752" i="7"/>
  <c r="D742" i="7"/>
  <c r="D731" i="7"/>
  <c r="D720" i="7"/>
  <c r="D710" i="7"/>
  <c r="D699" i="7"/>
  <c r="D688" i="7"/>
  <c r="D678" i="7"/>
  <c r="D667" i="7"/>
  <c r="D656" i="7"/>
  <c r="D646" i="7"/>
  <c r="D635" i="7"/>
  <c r="D624" i="7"/>
  <c r="D612" i="7"/>
  <c r="D585" i="7"/>
  <c r="D553" i="7"/>
  <c r="D521" i="7"/>
  <c r="D489" i="7"/>
  <c r="D457" i="7"/>
  <c r="D425" i="7"/>
  <c r="D393" i="7"/>
  <c r="D361" i="7"/>
  <c r="D325" i="7"/>
  <c r="D283" i="7"/>
  <c r="D235" i="7"/>
  <c r="D171" i="7"/>
  <c r="C1466" i="7"/>
  <c r="C1338" i="7"/>
  <c r="C1210" i="7"/>
  <c r="C1082" i="7"/>
  <c r="C954" i="7"/>
  <c r="C826" i="7"/>
  <c r="C698" i="7"/>
  <c r="C406" i="7"/>
  <c r="D607" i="7"/>
  <c r="D599" i="7"/>
  <c r="D591" i="7"/>
  <c r="D583" i="7"/>
  <c r="D575" i="7"/>
  <c r="D567" i="7"/>
  <c r="D559" i="7"/>
  <c r="D551" i="7"/>
  <c r="D543" i="7"/>
  <c r="D535" i="7"/>
  <c r="D527" i="7"/>
  <c r="D519" i="7"/>
  <c r="D511" i="7"/>
  <c r="D503" i="7"/>
  <c r="D495" i="7"/>
  <c r="D487" i="7"/>
  <c r="D479" i="7"/>
  <c r="D471" i="7"/>
  <c r="D463" i="7"/>
  <c r="D455" i="7"/>
  <c r="D447" i="7"/>
  <c r="D439" i="7"/>
  <c r="D431" i="7"/>
  <c r="D423" i="7"/>
  <c r="D415" i="7"/>
  <c r="D407" i="7"/>
  <c r="D399" i="7"/>
  <c r="D391" i="7"/>
  <c r="D383" i="7"/>
  <c r="D375" i="7"/>
  <c r="D367" i="7"/>
  <c r="D359" i="7"/>
  <c r="D351" i="7"/>
  <c r="D343" i="7"/>
  <c r="D333" i="7"/>
  <c r="D323" i="7"/>
  <c r="D311" i="7"/>
  <c r="D301" i="7"/>
  <c r="D291" i="7"/>
  <c r="D279" i="7"/>
  <c r="D269" i="7"/>
  <c r="D259" i="7"/>
  <c r="D246" i="7"/>
  <c r="D230" i="7"/>
  <c r="D214" i="7"/>
  <c r="D198" i="7"/>
  <c r="D182" i="7"/>
  <c r="D166" i="7"/>
  <c r="C1523" i="7"/>
  <c r="C1491" i="7"/>
  <c r="C1459" i="7"/>
  <c r="C1427" i="7"/>
  <c r="C1395" i="7"/>
  <c r="C1363" i="7"/>
  <c r="C1331" i="7"/>
  <c r="C1299" i="7"/>
  <c r="C1267" i="7"/>
  <c r="C1235" i="7"/>
  <c r="C1203" i="7"/>
  <c r="C1171" i="7"/>
  <c r="C1139" i="7"/>
  <c r="C1107" i="7"/>
  <c r="C1075" i="7"/>
  <c r="C1043" i="7"/>
  <c r="C1011" i="7"/>
  <c r="C979" i="7"/>
  <c r="C947" i="7"/>
  <c r="C915" i="7"/>
  <c r="C883" i="7"/>
  <c r="C851" i="7"/>
  <c r="C819" i="7"/>
  <c r="C787" i="7"/>
  <c r="C755" i="7"/>
  <c r="C723" i="7"/>
  <c r="C690" i="7"/>
  <c r="C643" i="7"/>
  <c r="C579" i="7"/>
  <c r="C514" i="7"/>
  <c r="C374" i="7"/>
  <c r="C200" i="7"/>
  <c r="B1443" i="7"/>
  <c r="B1156" i="7"/>
  <c r="B777" i="7"/>
  <c r="D614" i="7"/>
  <c r="D606" i="7"/>
  <c r="D598" i="7"/>
  <c r="D590" i="7"/>
  <c r="D582" i="7"/>
  <c r="D574" i="7"/>
  <c r="D566" i="7"/>
  <c r="D558" i="7"/>
  <c r="D550" i="7"/>
  <c r="D542" i="7"/>
  <c r="D534" i="7"/>
  <c r="D526" i="7"/>
  <c r="D518" i="7"/>
  <c r="D510" i="7"/>
  <c r="D502" i="7"/>
  <c r="D494" i="7"/>
  <c r="D486" i="7"/>
  <c r="D478" i="7"/>
  <c r="D470" i="7"/>
  <c r="D462" i="7"/>
  <c r="D454" i="7"/>
  <c r="D446" i="7"/>
  <c r="D438" i="7"/>
  <c r="D430" i="7"/>
  <c r="D422" i="7"/>
  <c r="D414" i="7"/>
  <c r="D406" i="7"/>
  <c r="D398" i="7"/>
  <c r="D390" i="7"/>
  <c r="D382" i="7"/>
  <c r="D374" i="7"/>
  <c r="D366" i="7"/>
  <c r="D358" i="7"/>
  <c r="D350" i="7"/>
  <c r="D342" i="7"/>
  <c r="D332" i="7"/>
  <c r="D320" i="7"/>
  <c r="D310" i="7"/>
  <c r="D300" i="7"/>
  <c r="D288" i="7"/>
  <c r="D278" i="7"/>
  <c r="D268" i="7"/>
  <c r="D256" i="7"/>
  <c r="D244" i="7"/>
  <c r="D228" i="7"/>
  <c r="D212" i="7"/>
  <c r="D196" i="7"/>
  <c r="D180" i="7"/>
  <c r="C1522" i="7"/>
  <c r="C1490" i="7"/>
  <c r="C1458" i="7"/>
  <c r="C1426" i="7"/>
  <c r="C1394" i="7"/>
  <c r="C1362" i="7"/>
  <c r="C1330" i="7"/>
  <c r="C1298" i="7"/>
  <c r="C1266" i="7"/>
  <c r="C1234" i="7"/>
  <c r="C1202" i="7"/>
  <c r="C1170" i="7"/>
  <c r="C1138" i="7"/>
  <c r="C1106" i="7"/>
  <c r="C1074" i="7"/>
  <c r="C1042" i="7"/>
  <c r="C1010" i="7"/>
  <c r="C978" i="7"/>
  <c r="C946" i="7"/>
  <c r="C914" i="7"/>
  <c r="C882" i="7"/>
  <c r="C850" i="7"/>
  <c r="C818" i="7"/>
  <c r="C786" i="7"/>
  <c r="C754" i="7"/>
  <c r="C722" i="7"/>
  <c r="C689" i="7"/>
  <c r="C639" i="7"/>
  <c r="C575" i="7"/>
  <c r="C510" i="7"/>
  <c r="C360" i="7"/>
  <c r="C191" i="7"/>
  <c r="B1403" i="7"/>
  <c r="B1075" i="7"/>
  <c r="B546" i="7"/>
  <c r="D869" i="7"/>
  <c r="D861" i="7"/>
  <c r="D853" i="7"/>
  <c r="D845" i="7"/>
  <c r="D837" i="7"/>
  <c r="D829" i="7"/>
  <c r="D821" i="7"/>
  <c r="D813" i="7"/>
  <c r="D805" i="7"/>
  <c r="D797" i="7"/>
  <c r="D789" i="7"/>
  <c r="D781" i="7"/>
  <c r="D773" i="7"/>
  <c r="D765" i="7"/>
  <c r="D757" i="7"/>
  <c r="D749" i="7"/>
  <c r="D741" i="7"/>
  <c r="D733" i="7"/>
  <c r="D725" i="7"/>
  <c r="D717" i="7"/>
  <c r="D709" i="7"/>
  <c r="D701" i="7"/>
  <c r="D693" i="7"/>
  <c r="D685" i="7"/>
  <c r="D677" i="7"/>
  <c r="D669" i="7"/>
  <c r="D661" i="7"/>
  <c r="D653" i="7"/>
  <c r="D645" i="7"/>
  <c r="D637" i="7"/>
  <c r="D629" i="7"/>
  <c r="D621" i="7"/>
  <c r="D613" i="7"/>
  <c r="D605" i="7"/>
  <c r="D597" i="7"/>
  <c r="D589" i="7"/>
  <c r="D581" i="7"/>
  <c r="D573" i="7"/>
  <c r="D565" i="7"/>
  <c r="D557" i="7"/>
  <c r="D549" i="7"/>
  <c r="D541" i="7"/>
  <c r="D533" i="7"/>
  <c r="D525" i="7"/>
  <c r="D517" i="7"/>
  <c r="D509" i="7"/>
  <c r="D501" i="7"/>
  <c r="D493" i="7"/>
  <c r="D485" i="7"/>
  <c r="D477" i="7"/>
  <c r="D469" i="7"/>
  <c r="D461" i="7"/>
  <c r="D453" i="7"/>
  <c r="D445" i="7"/>
  <c r="D437" i="7"/>
  <c r="D429" i="7"/>
  <c r="D421" i="7"/>
  <c r="D413" i="7"/>
  <c r="D405" i="7"/>
  <c r="D397" i="7"/>
  <c r="D389" i="7"/>
  <c r="D381" i="7"/>
  <c r="D373" i="7"/>
  <c r="D365" i="7"/>
  <c r="D357" i="7"/>
  <c r="D349" i="7"/>
  <c r="D341" i="7"/>
  <c r="D331" i="7"/>
  <c r="D319" i="7"/>
  <c r="D309" i="7"/>
  <c r="D299" i="7"/>
  <c r="D287" i="7"/>
  <c r="D277" i="7"/>
  <c r="D267" i="7"/>
  <c r="D255" i="7"/>
  <c r="D243" i="7"/>
  <c r="D227" i="7"/>
  <c r="D211" i="7"/>
  <c r="D195" i="7"/>
  <c r="D179" i="7"/>
  <c r="C1515" i="7"/>
  <c r="C1483" i="7"/>
  <c r="C1451" i="7"/>
  <c r="C1419" i="7"/>
  <c r="C1387" i="7"/>
  <c r="C1355" i="7"/>
  <c r="C1323" i="7"/>
  <c r="C1291" i="7"/>
  <c r="C1259" i="7"/>
  <c r="C1227" i="7"/>
  <c r="C1195" i="7"/>
  <c r="C1163" i="7"/>
  <c r="C1131" i="7"/>
  <c r="C1099" i="7"/>
  <c r="C1067" i="7"/>
  <c r="C1035" i="7"/>
  <c r="C1003" i="7"/>
  <c r="C971" i="7"/>
  <c r="C939" i="7"/>
  <c r="C907" i="7"/>
  <c r="C875" i="7"/>
  <c r="C843" i="7"/>
  <c r="C811" i="7"/>
  <c r="C779" i="7"/>
  <c r="C747" i="7"/>
  <c r="C715" i="7"/>
  <c r="C681" i="7"/>
  <c r="C627" i="7"/>
  <c r="C563" i="7"/>
  <c r="C494" i="7"/>
  <c r="C328" i="7"/>
  <c r="B1402" i="7"/>
  <c r="B1074" i="7"/>
  <c r="B545" i="7"/>
  <c r="D604" i="7"/>
  <c r="D596" i="7"/>
  <c r="D588" i="7"/>
  <c r="D580" i="7"/>
  <c r="D572" i="7"/>
  <c r="D564" i="7"/>
  <c r="D556" i="7"/>
  <c r="D548" i="7"/>
  <c r="D540" i="7"/>
  <c r="D532" i="7"/>
  <c r="D524" i="7"/>
  <c r="D516" i="7"/>
  <c r="D508" i="7"/>
  <c r="D500" i="7"/>
  <c r="D492" i="7"/>
  <c r="D484" i="7"/>
  <c r="D476" i="7"/>
  <c r="D468" i="7"/>
  <c r="D460" i="7"/>
  <c r="D452" i="7"/>
  <c r="D444" i="7"/>
  <c r="D436" i="7"/>
  <c r="D428" i="7"/>
  <c r="D420" i="7"/>
  <c r="D412" i="7"/>
  <c r="D404" i="7"/>
  <c r="D396" i="7"/>
  <c r="D388" i="7"/>
  <c r="D380" i="7"/>
  <c r="D372" i="7"/>
  <c r="D364" i="7"/>
  <c r="D356" i="7"/>
  <c r="D348" i="7"/>
  <c r="D340" i="7"/>
  <c r="D328" i="7"/>
  <c r="D318" i="7"/>
  <c r="D308" i="7"/>
  <c r="D296" i="7"/>
  <c r="D286" i="7"/>
  <c r="D276" i="7"/>
  <c r="D264" i="7"/>
  <c r="D254" i="7"/>
  <c r="D239" i="7"/>
  <c r="D223" i="7"/>
  <c r="D207" i="7"/>
  <c r="D191" i="7"/>
  <c r="D175" i="7"/>
  <c r="C1514" i="7"/>
  <c r="C1482" i="7"/>
  <c r="C1450" i="7"/>
  <c r="C1418" i="7"/>
  <c r="C1386" i="7"/>
  <c r="C1354" i="7"/>
  <c r="C1322" i="7"/>
  <c r="C1290" i="7"/>
  <c r="C1258" i="7"/>
  <c r="C1226" i="7"/>
  <c r="C1194" i="7"/>
  <c r="C1162" i="7"/>
  <c r="C1130" i="7"/>
  <c r="C1098" i="7"/>
  <c r="C1066" i="7"/>
  <c r="C1034" i="7"/>
  <c r="C1002" i="7"/>
  <c r="C970" i="7"/>
  <c r="C938" i="7"/>
  <c r="C906" i="7"/>
  <c r="C874" i="7"/>
  <c r="C842" i="7"/>
  <c r="C810" i="7"/>
  <c r="C778" i="7"/>
  <c r="C746" i="7"/>
  <c r="C714" i="7"/>
  <c r="C679" i="7"/>
  <c r="C623" i="7"/>
  <c r="C559" i="7"/>
  <c r="C487" i="7"/>
  <c r="C319" i="7"/>
  <c r="B1531" i="7"/>
  <c r="B1331" i="7"/>
  <c r="B988" i="7"/>
  <c r="B329" i="7"/>
  <c r="D603" i="7"/>
  <c r="D595" i="7"/>
  <c r="D587" i="7"/>
  <c r="D579" i="7"/>
  <c r="D571" i="7"/>
  <c r="D563" i="7"/>
  <c r="D555" i="7"/>
  <c r="D547" i="7"/>
  <c r="D539" i="7"/>
  <c r="D531" i="7"/>
  <c r="D523" i="7"/>
  <c r="D515" i="7"/>
  <c r="D507" i="7"/>
  <c r="D499" i="7"/>
  <c r="D491" i="7"/>
  <c r="D483" i="7"/>
  <c r="D475" i="7"/>
  <c r="D467" i="7"/>
  <c r="D459" i="7"/>
  <c r="D451" i="7"/>
  <c r="D443" i="7"/>
  <c r="D435" i="7"/>
  <c r="D427" i="7"/>
  <c r="D419" i="7"/>
  <c r="D411" i="7"/>
  <c r="D403" i="7"/>
  <c r="D395" i="7"/>
  <c r="D387" i="7"/>
  <c r="D379" i="7"/>
  <c r="D371" i="7"/>
  <c r="D363" i="7"/>
  <c r="D355" i="7"/>
  <c r="D347" i="7"/>
  <c r="D339" i="7"/>
  <c r="D327" i="7"/>
  <c r="D317" i="7"/>
  <c r="D307" i="7"/>
  <c r="D295" i="7"/>
  <c r="D285" i="7"/>
  <c r="D275" i="7"/>
  <c r="D263" i="7"/>
  <c r="D253" i="7"/>
  <c r="D238" i="7"/>
  <c r="D222" i="7"/>
  <c r="D206" i="7"/>
  <c r="D190" i="7"/>
  <c r="D174" i="7"/>
  <c r="C1507" i="7"/>
  <c r="C1475" i="7"/>
  <c r="C1443" i="7"/>
  <c r="C1411" i="7"/>
  <c r="C1379" i="7"/>
  <c r="C1347" i="7"/>
  <c r="C1315" i="7"/>
  <c r="C1283" i="7"/>
  <c r="C1251" i="7"/>
  <c r="C1219" i="7"/>
  <c r="C1187" i="7"/>
  <c r="C1155" i="7"/>
  <c r="C1123" i="7"/>
  <c r="C1091" i="7"/>
  <c r="C1059" i="7"/>
  <c r="C1027" i="7"/>
  <c r="C995" i="7"/>
  <c r="C963" i="7"/>
  <c r="C931" i="7"/>
  <c r="C899" i="7"/>
  <c r="C867" i="7"/>
  <c r="C835" i="7"/>
  <c r="C803" i="7"/>
  <c r="C771" i="7"/>
  <c r="C739" i="7"/>
  <c r="C707" i="7"/>
  <c r="C670" i="7"/>
  <c r="C611" i="7"/>
  <c r="C547" i="7"/>
  <c r="C456" i="7"/>
  <c r="C287" i="7"/>
  <c r="B1530" i="7"/>
  <c r="B1330" i="7"/>
  <c r="B987" i="7"/>
  <c r="B313" i="7"/>
  <c r="D866" i="7"/>
  <c r="D858" i="7"/>
  <c r="D850" i="7"/>
  <c r="D842" i="7"/>
  <c r="D834" i="7"/>
  <c r="D826" i="7"/>
  <c r="D818" i="7"/>
  <c r="D810" i="7"/>
  <c r="D802" i="7"/>
  <c r="D794" i="7"/>
  <c r="D786" i="7"/>
  <c r="D778" i="7"/>
  <c r="D770" i="7"/>
  <c r="D762" i="7"/>
  <c r="D754" i="7"/>
  <c r="D746" i="7"/>
  <c r="D738" i="7"/>
  <c r="D730" i="7"/>
  <c r="D722" i="7"/>
  <c r="D714" i="7"/>
  <c r="D706" i="7"/>
  <c r="D698" i="7"/>
  <c r="D690" i="7"/>
  <c r="D682" i="7"/>
  <c r="D674" i="7"/>
  <c r="D666" i="7"/>
  <c r="D658" i="7"/>
  <c r="D650" i="7"/>
  <c r="D642" i="7"/>
  <c r="D634" i="7"/>
  <c r="D626" i="7"/>
  <c r="D618" i="7"/>
  <c r="D610" i="7"/>
  <c r="D602" i="7"/>
  <c r="D594" i="7"/>
  <c r="D586" i="7"/>
  <c r="D578" i="7"/>
  <c r="D570" i="7"/>
  <c r="D562" i="7"/>
  <c r="D554" i="7"/>
  <c r="D546" i="7"/>
  <c r="D538" i="7"/>
  <c r="D530" i="7"/>
  <c r="D522" i="7"/>
  <c r="D514" i="7"/>
  <c r="D506" i="7"/>
  <c r="D498" i="7"/>
  <c r="D490" i="7"/>
  <c r="D482" i="7"/>
  <c r="D474" i="7"/>
  <c r="D466" i="7"/>
  <c r="D458" i="7"/>
  <c r="D450" i="7"/>
  <c r="D442" i="7"/>
  <c r="D434" i="7"/>
  <c r="D426" i="7"/>
  <c r="D418" i="7"/>
  <c r="D410" i="7"/>
  <c r="D402" i="7"/>
  <c r="D394" i="7"/>
  <c r="D386" i="7"/>
  <c r="D378" i="7"/>
  <c r="D370" i="7"/>
  <c r="D362" i="7"/>
  <c r="D354" i="7"/>
  <c r="D346" i="7"/>
  <c r="D336" i="7"/>
  <c r="D326" i="7"/>
  <c r="D316" i="7"/>
  <c r="D304" i="7"/>
  <c r="D294" i="7"/>
  <c r="D284" i="7"/>
  <c r="D272" i="7"/>
  <c r="D262" i="7"/>
  <c r="D252" i="7"/>
  <c r="D236" i="7"/>
  <c r="D220" i="7"/>
  <c r="D204" i="7"/>
  <c r="D188" i="7"/>
  <c r="D172" i="7"/>
  <c r="C1506" i="7"/>
  <c r="C1474" i="7"/>
  <c r="C1442" i="7"/>
  <c r="C1410" i="7"/>
  <c r="C1378" i="7"/>
  <c r="C1346" i="7"/>
  <c r="C1314" i="7"/>
  <c r="C1282" i="7"/>
  <c r="C1250" i="7"/>
  <c r="C1218" i="7"/>
  <c r="C1186" i="7"/>
  <c r="C1154" i="7"/>
  <c r="C1122" i="7"/>
  <c r="C1090" i="7"/>
  <c r="C1058" i="7"/>
  <c r="C1026" i="7"/>
  <c r="C994" i="7"/>
  <c r="C962" i="7"/>
  <c r="C930" i="7"/>
  <c r="C898" i="7"/>
  <c r="C866" i="7"/>
  <c r="C834" i="7"/>
  <c r="C802" i="7"/>
  <c r="C770" i="7"/>
  <c r="C738" i="7"/>
  <c r="C706" i="7"/>
  <c r="C668" i="7"/>
  <c r="C607" i="7"/>
  <c r="C543" i="7"/>
  <c r="C447" i="7"/>
  <c r="C278" i="7"/>
  <c r="B1490" i="7"/>
  <c r="B1244" i="7"/>
  <c r="B906" i="7"/>
  <c r="D248" i="7"/>
  <c r="D240" i="7"/>
  <c r="D232" i="7"/>
  <c r="D224" i="7"/>
  <c r="D216" i="7"/>
  <c r="D208" i="7"/>
  <c r="D200" i="7"/>
  <c r="D192" i="7"/>
  <c r="D184" i="7"/>
  <c r="D176" i="7"/>
  <c r="D168" i="7"/>
  <c r="C1524" i="7"/>
  <c r="C1516" i="7"/>
  <c r="C1508" i="7"/>
  <c r="C1500" i="7"/>
  <c r="C1492" i="7"/>
  <c r="C1484" i="7"/>
  <c r="C1476" i="7"/>
  <c r="C1468" i="7"/>
  <c r="C1460" i="7"/>
  <c r="C1452" i="7"/>
  <c r="C1444" i="7"/>
  <c r="C1436" i="7"/>
  <c r="C1428" i="7"/>
  <c r="C1420" i="7"/>
  <c r="C1412" i="7"/>
  <c r="C1404" i="7"/>
  <c r="C1396" i="7"/>
  <c r="C1388" i="7"/>
  <c r="C1380" i="7"/>
  <c r="C1372" i="7"/>
  <c r="C1364" i="7"/>
  <c r="C1356" i="7"/>
  <c r="C1348" i="7"/>
  <c r="C1340" i="7"/>
  <c r="C1332" i="7"/>
  <c r="C1324" i="7"/>
  <c r="C1316" i="7"/>
  <c r="C1308" i="7"/>
  <c r="C1300" i="7"/>
  <c r="C1292" i="7"/>
  <c r="C1284" i="7"/>
  <c r="C1276" i="7"/>
  <c r="C1268" i="7"/>
  <c r="C1260" i="7"/>
  <c r="C1252" i="7"/>
  <c r="C1244" i="7"/>
  <c r="C1236" i="7"/>
  <c r="C1228" i="7"/>
  <c r="C1220" i="7"/>
  <c r="C1212" i="7"/>
  <c r="C1204" i="7"/>
  <c r="C1196" i="7"/>
  <c r="C1188" i="7"/>
  <c r="C1180" i="7"/>
  <c r="C1172" i="7"/>
  <c r="C1164" i="7"/>
  <c r="C1156" i="7"/>
  <c r="C1148" i="7"/>
  <c r="C1140" i="7"/>
  <c r="C1132" i="7"/>
  <c r="C1124" i="7"/>
  <c r="C1116" i="7"/>
  <c r="C1108" i="7"/>
  <c r="C1100" i="7"/>
  <c r="C1092" i="7"/>
  <c r="C1084" i="7"/>
  <c r="C1076" i="7"/>
  <c r="C1068" i="7"/>
  <c r="C1060" i="7"/>
  <c r="C1052" i="7"/>
  <c r="C1044" i="7"/>
  <c r="C1036" i="7"/>
  <c r="C1028" i="7"/>
  <c r="C1020" i="7"/>
  <c r="C1012" i="7"/>
  <c r="C1004" i="7"/>
  <c r="C996" i="7"/>
  <c r="C988" i="7"/>
  <c r="C980" i="7"/>
  <c r="C972" i="7"/>
  <c r="C964" i="7"/>
  <c r="C956" i="7"/>
  <c r="C948" i="7"/>
  <c r="C940" i="7"/>
  <c r="C932" i="7"/>
  <c r="C924" i="7"/>
  <c r="C916" i="7"/>
  <c r="C908" i="7"/>
  <c r="C900" i="7"/>
  <c r="C892" i="7"/>
  <c r="C884" i="7"/>
  <c r="C876" i="7"/>
  <c r="C868" i="7"/>
  <c r="C860" i="7"/>
  <c r="C852" i="7"/>
  <c r="C844" i="7"/>
  <c r="C836" i="7"/>
  <c r="C828" i="7"/>
  <c r="C820" i="7"/>
  <c r="C812" i="7"/>
  <c r="C804" i="7"/>
  <c r="C796" i="7"/>
  <c r="C788" i="7"/>
  <c r="C780" i="7"/>
  <c r="C772" i="7"/>
  <c r="C764" i="7"/>
  <c r="C756" i="7"/>
  <c r="C748" i="7"/>
  <c r="C740" i="7"/>
  <c r="C732" i="7"/>
  <c r="C724" i="7"/>
  <c r="C716" i="7"/>
  <c r="C708" i="7"/>
  <c r="C700" i="7"/>
  <c r="C691" i="7"/>
  <c r="C682" i="7"/>
  <c r="C671" i="7"/>
  <c r="C659" i="7"/>
  <c r="C644" i="7"/>
  <c r="C628" i="7"/>
  <c r="C612" i="7"/>
  <c r="C596" i="7"/>
  <c r="C580" i="7"/>
  <c r="C564" i="7"/>
  <c r="C548" i="7"/>
  <c r="C532" i="7"/>
  <c r="C515" i="7"/>
  <c r="C495" i="7"/>
  <c r="C462" i="7"/>
  <c r="C416" i="7"/>
  <c r="C375" i="7"/>
  <c r="C334" i="7"/>
  <c r="C288" i="7"/>
  <c r="C247" i="7"/>
  <c r="C206" i="7"/>
  <c r="B1499" i="7"/>
  <c r="B1458" i="7"/>
  <c r="B1412" i="7"/>
  <c r="B1348" i="7"/>
  <c r="B1266" i="7"/>
  <c r="B1179" i="7"/>
  <c r="B1092" i="7"/>
  <c r="B1010" i="7"/>
  <c r="B923" i="7"/>
  <c r="B825" i="7"/>
  <c r="B603" i="7"/>
  <c r="B371" i="7"/>
  <c r="D245" i="7"/>
  <c r="D237" i="7"/>
  <c r="D229" i="7"/>
  <c r="D221" i="7"/>
  <c r="D213" i="7"/>
  <c r="D205" i="7"/>
  <c r="D197" i="7"/>
  <c r="D189" i="7"/>
  <c r="D181" i="7"/>
  <c r="D173" i="7"/>
  <c r="D165" i="7"/>
  <c r="C1529" i="7"/>
  <c r="C1521" i="7"/>
  <c r="C1513" i="7"/>
  <c r="C1505" i="7"/>
  <c r="C1497" i="7"/>
  <c r="C1489" i="7"/>
  <c r="C1481" i="7"/>
  <c r="C1473" i="7"/>
  <c r="C1465" i="7"/>
  <c r="C1457" i="7"/>
  <c r="C1449" i="7"/>
  <c r="C1441" i="7"/>
  <c r="C1433" i="7"/>
  <c r="C1425" i="7"/>
  <c r="C1417" i="7"/>
  <c r="C1409" i="7"/>
  <c r="C1401" i="7"/>
  <c r="C1393" i="7"/>
  <c r="C1385" i="7"/>
  <c r="C1377" i="7"/>
  <c r="C1369" i="7"/>
  <c r="C1361" i="7"/>
  <c r="C1353" i="7"/>
  <c r="C1345" i="7"/>
  <c r="C1337" i="7"/>
  <c r="C1329" i="7"/>
  <c r="C1321" i="7"/>
  <c r="C1313" i="7"/>
  <c r="C1305" i="7"/>
  <c r="C1297" i="7"/>
  <c r="C1289" i="7"/>
  <c r="C1281" i="7"/>
  <c r="C1273" i="7"/>
  <c r="C1265" i="7"/>
  <c r="C1257" i="7"/>
  <c r="C1249" i="7"/>
  <c r="C1241" i="7"/>
  <c r="C1233" i="7"/>
  <c r="C1225" i="7"/>
  <c r="C1217" i="7"/>
  <c r="C1209" i="7"/>
  <c r="C1201" i="7"/>
  <c r="C1193" i="7"/>
  <c r="C1185" i="7"/>
  <c r="C1177" i="7"/>
  <c r="C1169" i="7"/>
  <c r="C1161" i="7"/>
  <c r="C1153" i="7"/>
  <c r="C1145" i="7"/>
  <c r="C1137" i="7"/>
  <c r="C1129" i="7"/>
  <c r="C1121" i="7"/>
  <c r="C1113" i="7"/>
  <c r="C1105" i="7"/>
  <c r="C1097" i="7"/>
  <c r="C1089" i="7"/>
  <c r="C1081" i="7"/>
  <c r="C1073" i="7"/>
  <c r="C1065" i="7"/>
  <c r="C1057" i="7"/>
  <c r="C1049" i="7"/>
  <c r="C1041" i="7"/>
  <c r="C1033" i="7"/>
  <c r="C1025" i="7"/>
  <c r="C1017" i="7"/>
  <c r="C1009" i="7"/>
  <c r="C1001" i="7"/>
  <c r="C993" i="7"/>
  <c r="C985" i="7"/>
  <c r="C977" i="7"/>
  <c r="C969" i="7"/>
  <c r="C961" i="7"/>
  <c r="C953" i="7"/>
  <c r="C945" i="7"/>
  <c r="C937" i="7"/>
  <c r="C929" i="7"/>
  <c r="C921" i="7"/>
  <c r="C913" i="7"/>
  <c r="C905" i="7"/>
  <c r="C897" i="7"/>
  <c r="C889" i="7"/>
  <c r="C881" i="7"/>
  <c r="C873" i="7"/>
  <c r="C865" i="7"/>
  <c r="C857" i="7"/>
  <c r="C849" i="7"/>
  <c r="C841" i="7"/>
  <c r="C833" i="7"/>
  <c r="C825" i="7"/>
  <c r="C817" i="7"/>
  <c r="C809" i="7"/>
  <c r="C801" i="7"/>
  <c r="C793" i="7"/>
  <c r="C785" i="7"/>
  <c r="C777" i="7"/>
  <c r="C769" i="7"/>
  <c r="C761" i="7"/>
  <c r="C753" i="7"/>
  <c r="C745" i="7"/>
  <c r="C737" i="7"/>
  <c r="C729" i="7"/>
  <c r="C721" i="7"/>
  <c r="C713" i="7"/>
  <c r="C705" i="7"/>
  <c r="C697" i="7"/>
  <c r="C687" i="7"/>
  <c r="C678" i="7"/>
  <c r="C667" i="7"/>
  <c r="C654" i="7"/>
  <c r="C638" i="7"/>
  <c r="C622" i="7"/>
  <c r="C606" i="7"/>
  <c r="C590" i="7"/>
  <c r="C574" i="7"/>
  <c r="C558" i="7"/>
  <c r="C542" i="7"/>
  <c r="C526" i="7"/>
  <c r="C507" i="7"/>
  <c r="C486" i="7"/>
  <c r="C446" i="7"/>
  <c r="C400" i="7"/>
  <c r="C359" i="7"/>
  <c r="C318" i="7"/>
  <c r="C272" i="7"/>
  <c r="C231" i="7"/>
  <c r="C190" i="7"/>
  <c r="B1523" i="7"/>
  <c r="B1482" i="7"/>
  <c r="B1436" i="7"/>
  <c r="B1395" i="7"/>
  <c r="B1308" i="7"/>
  <c r="B1226" i="7"/>
  <c r="B1139" i="7"/>
  <c r="B1052" i="7"/>
  <c r="B970" i="7"/>
  <c r="B883" i="7"/>
  <c r="B715" i="7"/>
  <c r="B498" i="7"/>
  <c r="B266" i="7"/>
  <c r="C1528" i="7"/>
  <c r="C1520" i="7"/>
  <c r="C1512" i="7"/>
  <c r="C1504" i="7"/>
  <c r="C1496" i="7"/>
  <c r="C1488" i="7"/>
  <c r="C1480" i="7"/>
  <c r="C1472" i="7"/>
  <c r="C1464" i="7"/>
  <c r="C1456" i="7"/>
  <c r="C1448" i="7"/>
  <c r="C1440" i="7"/>
  <c r="C1432" i="7"/>
  <c r="C1424" i="7"/>
  <c r="C1416" i="7"/>
  <c r="C1408" i="7"/>
  <c r="C1400" i="7"/>
  <c r="C1392" i="7"/>
  <c r="C1384" i="7"/>
  <c r="C1376" i="7"/>
  <c r="C1368" i="7"/>
  <c r="C1360" i="7"/>
  <c r="C1352" i="7"/>
  <c r="C1344" i="7"/>
  <c r="C1336" i="7"/>
  <c r="C1328" i="7"/>
  <c r="C1320" i="7"/>
  <c r="C1312" i="7"/>
  <c r="C1304" i="7"/>
  <c r="C1296" i="7"/>
  <c r="C1288" i="7"/>
  <c r="C1280" i="7"/>
  <c r="C1272" i="7"/>
  <c r="C1264" i="7"/>
  <c r="C1256" i="7"/>
  <c r="C1248" i="7"/>
  <c r="C1240" i="7"/>
  <c r="C1232" i="7"/>
  <c r="C1224" i="7"/>
  <c r="C1216" i="7"/>
  <c r="C1208" i="7"/>
  <c r="C1200" i="7"/>
  <c r="C1192" i="7"/>
  <c r="C1184" i="7"/>
  <c r="C1176" i="7"/>
  <c r="C1168" i="7"/>
  <c r="C1160" i="7"/>
  <c r="C1152" i="7"/>
  <c r="C1144" i="7"/>
  <c r="C1136" i="7"/>
  <c r="C1128" i="7"/>
  <c r="C1120" i="7"/>
  <c r="C1112" i="7"/>
  <c r="C1104" i="7"/>
  <c r="C1096" i="7"/>
  <c r="C1088" i="7"/>
  <c r="C1080" i="7"/>
  <c r="C1072" i="7"/>
  <c r="C1064" i="7"/>
  <c r="C1056" i="7"/>
  <c r="C1048" i="7"/>
  <c r="C1040" i="7"/>
  <c r="C1032" i="7"/>
  <c r="C1024" i="7"/>
  <c r="C1016" i="7"/>
  <c r="C1008" i="7"/>
  <c r="C1000" i="7"/>
  <c r="C992" i="7"/>
  <c r="C984" i="7"/>
  <c r="C976" i="7"/>
  <c r="C968" i="7"/>
  <c r="C960" i="7"/>
  <c r="C952" i="7"/>
  <c r="C944" i="7"/>
  <c r="C936" i="7"/>
  <c r="C928" i="7"/>
  <c r="C920" i="7"/>
  <c r="C912" i="7"/>
  <c r="C904" i="7"/>
  <c r="C896" i="7"/>
  <c r="C888" i="7"/>
  <c r="C880" i="7"/>
  <c r="C872" i="7"/>
  <c r="C864" i="7"/>
  <c r="C856" i="7"/>
  <c r="C848" i="7"/>
  <c r="C840" i="7"/>
  <c r="C832" i="7"/>
  <c r="C824" i="7"/>
  <c r="C816" i="7"/>
  <c r="C808" i="7"/>
  <c r="C800" i="7"/>
  <c r="C792" i="7"/>
  <c r="C784" i="7"/>
  <c r="C776" i="7"/>
  <c r="C768" i="7"/>
  <c r="C760" i="7"/>
  <c r="C752" i="7"/>
  <c r="C744" i="7"/>
  <c r="C736" i="7"/>
  <c r="C728" i="7"/>
  <c r="C720" i="7"/>
  <c r="C712" i="7"/>
  <c r="C704" i="7"/>
  <c r="C695" i="7"/>
  <c r="C686" i="7"/>
  <c r="C677" i="7"/>
  <c r="C665" i="7"/>
  <c r="C652" i="7"/>
  <c r="C636" i="7"/>
  <c r="C620" i="7"/>
  <c r="C604" i="7"/>
  <c r="C588" i="7"/>
  <c r="C572" i="7"/>
  <c r="C556" i="7"/>
  <c r="C540" i="7"/>
  <c r="C524" i="7"/>
  <c r="C505" i="7"/>
  <c r="C480" i="7"/>
  <c r="C439" i="7"/>
  <c r="C398" i="7"/>
  <c r="C352" i="7"/>
  <c r="C311" i="7"/>
  <c r="C270" i="7"/>
  <c r="C224" i="7"/>
  <c r="C183" i="7"/>
  <c r="B1522" i="7"/>
  <c r="B1476" i="7"/>
  <c r="B1435" i="7"/>
  <c r="B1394" i="7"/>
  <c r="B1307" i="7"/>
  <c r="B1220" i="7"/>
  <c r="B1138" i="7"/>
  <c r="B1051" i="7"/>
  <c r="B964" i="7"/>
  <c r="B882" i="7"/>
  <c r="B714" i="7"/>
  <c r="B482" i="7"/>
  <c r="B265" i="7"/>
  <c r="C1527" i="7"/>
  <c r="C1519" i="7"/>
  <c r="C1511" i="7"/>
  <c r="C1503" i="7"/>
  <c r="C1495" i="7"/>
  <c r="C1487" i="7"/>
  <c r="C1479" i="7"/>
  <c r="C1471" i="7"/>
  <c r="C1463" i="7"/>
  <c r="C1455" i="7"/>
  <c r="C1447" i="7"/>
  <c r="C1439" i="7"/>
  <c r="C1431" i="7"/>
  <c r="C1423" i="7"/>
  <c r="C1415" i="7"/>
  <c r="C1407" i="7"/>
  <c r="C1399" i="7"/>
  <c r="C1391" i="7"/>
  <c r="C1383" i="7"/>
  <c r="C1375" i="7"/>
  <c r="C1367" i="7"/>
  <c r="C1359" i="7"/>
  <c r="C1351" i="7"/>
  <c r="C1343" i="7"/>
  <c r="C1335" i="7"/>
  <c r="C1327" i="7"/>
  <c r="C1319" i="7"/>
  <c r="C1311" i="7"/>
  <c r="C1303" i="7"/>
  <c r="C1295" i="7"/>
  <c r="C1287" i="7"/>
  <c r="C1279" i="7"/>
  <c r="C1271" i="7"/>
  <c r="C1263" i="7"/>
  <c r="C1255" i="7"/>
  <c r="C1247" i="7"/>
  <c r="C1239" i="7"/>
  <c r="C1231" i="7"/>
  <c r="C1223" i="7"/>
  <c r="C1215" i="7"/>
  <c r="C1207" i="7"/>
  <c r="C1199" i="7"/>
  <c r="C1191" i="7"/>
  <c r="C1183" i="7"/>
  <c r="C1175" i="7"/>
  <c r="C1167" i="7"/>
  <c r="C1159" i="7"/>
  <c r="C1151" i="7"/>
  <c r="C1143" i="7"/>
  <c r="C1135" i="7"/>
  <c r="C1127" i="7"/>
  <c r="C1119" i="7"/>
  <c r="C1111" i="7"/>
  <c r="C1103" i="7"/>
  <c r="C1095" i="7"/>
  <c r="C1087" i="7"/>
  <c r="C1079" i="7"/>
  <c r="C1071" i="7"/>
  <c r="C1063" i="7"/>
  <c r="C1055" i="7"/>
  <c r="C1047" i="7"/>
  <c r="C1039" i="7"/>
  <c r="C1031" i="7"/>
  <c r="C1023" i="7"/>
  <c r="C1015" i="7"/>
  <c r="C1007" i="7"/>
  <c r="C999" i="7"/>
  <c r="C991" i="7"/>
  <c r="C983" i="7"/>
  <c r="C975" i="7"/>
  <c r="C967" i="7"/>
  <c r="C959" i="7"/>
  <c r="C951" i="7"/>
  <c r="C943" i="7"/>
  <c r="C935" i="7"/>
  <c r="C927" i="7"/>
  <c r="C919" i="7"/>
  <c r="C911" i="7"/>
  <c r="C903" i="7"/>
  <c r="C895" i="7"/>
  <c r="C887" i="7"/>
  <c r="C879" i="7"/>
  <c r="C871" i="7"/>
  <c r="C863" i="7"/>
  <c r="C855" i="7"/>
  <c r="C847" i="7"/>
  <c r="C839" i="7"/>
  <c r="C831" i="7"/>
  <c r="C823" i="7"/>
  <c r="C815" i="7"/>
  <c r="C807" i="7"/>
  <c r="C799" i="7"/>
  <c r="C791" i="7"/>
  <c r="C783" i="7"/>
  <c r="C775" i="7"/>
  <c r="C767" i="7"/>
  <c r="C759" i="7"/>
  <c r="C751" i="7"/>
  <c r="C743" i="7"/>
  <c r="C735" i="7"/>
  <c r="C727" i="7"/>
  <c r="C719" i="7"/>
  <c r="C711" i="7"/>
  <c r="C703" i="7"/>
  <c r="C694" i="7"/>
  <c r="C685" i="7"/>
  <c r="C676" i="7"/>
  <c r="C663" i="7"/>
  <c r="C651" i="7"/>
  <c r="C635" i="7"/>
  <c r="C619" i="7"/>
  <c r="C603" i="7"/>
  <c r="C587" i="7"/>
  <c r="C571" i="7"/>
  <c r="C555" i="7"/>
  <c r="C539" i="7"/>
  <c r="C523" i="7"/>
  <c r="C504" i="7"/>
  <c r="C479" i="7"/>
  <c r="C438" i="7"/>
  <c r="C392" i="7"/>
  <c r="C351" i="7"/>
  <c r="C310" i="7"/>
  <c r="C264" i="7"/>
  <c r="C223" i="7"/>
  <c r="C182" i="7"/>
  <c r="B1508" i="7"/>
  <c r="B1467" i="7"/>
  <c r="B1426" i="7"/>
  <c r="B1372" i="7"/>
  <c r="B1290" i="7"/>
  <c r="B1203" i="7"/>
  <c r="B1116" i="7"/>
  <c r="B1034" i="7"/>
  <c r="B947" i="7"/>
  <c r="B860" i="7"/>
  <c r="B667" i="7"/>
  <c r="B435" i="7"/>
  <c r="B203" i="7"/>
  <c r="D338" i="7"/>
  <c r="D330" i="7"/>
  <c r="D322" i="7"/>
  <c r="D314" i="7"/>
  <c r="D306" i="7"/>
  <c r="D298" i="7"/>
  <c r="D290" i="7"/>
  <c r="D282" i="7"/>
  <c r="D274" i="7"/>
  <c r="D266" i="7"/>
  <c r="D258" i="7"/>
  <c r="D250" i="7"/>
  <c r="D242" i="7"/>
  <c r="D234" i="7"/>
  <c r="D226" i="7"/>
  <c r="D218" i="7"/>
  <c r="D210" i="7"/>
  <c r="D202" i="7"/>
  <c r="D194" i="7"/>
  <c r="D186" i="7"/>
  <c r="D178" i="7"/>
  <c r="D170" i="7"/>
  <c r="C1526" i="7"/>
  <c r="C1518" i="7"/>
  <c r="C1510" i="7"/>
  <c r="C1502" i="7"/>
  <c r="C1494" i="7"/>
  <c r="C1486" i="7"/>
  <c r="C1478" i="7"/>
  <c r="C1470" i="7"/>
  <c r="C1462" i="7"/>
  <c r="C1454" i="7"/>
  <c r="C1446" i="7"/>
  <c r="C1438" i="7"/>
  <c r="C1430" i="7"/>
  <c r="C1422" i="7"/>
  <c r="C1414" i="7"/>
  <c r="C1406" i="7"/>
  <c r="C1398" i="7"/>
  <c r="C1390" i="7"/>
  <c r="C1382" i="7"/>
  <c r="C1374" i="7"/>
  <c r="C1366" i="7"/>
  <c r="C1358" i="7"/>
  <c r="C1350" i="7"/>
  <c r="C1342" i="7"/>
  <c r="C1334" i="7"/>
  <c r="C1326" i="7"/>
  <c r="C1318" i="7"/>
  <c r="C1310" i="7"/>
  <c r="C1302" i="7"/>
  <c r="C1294" i="7"/>
  <c r="C1286" i="7"/>
  <c r="C1278" i="7"/>
  <c r="C1270" i="7"/>
  <c r="C1262" i="7"/>
  <c r="C1254" i="7"/>
  <c r="C1246" i="7"/>
  <c r="C1238" i="7"/>
  <c r="C1230" i="7"/>
  <c r="C1222" i="7"/>
  <c r="C1214" i="7"/>
  <c r="C1206" i="7"/>
  <c r="C1198" i="7"/>
  <c r="C1190" i="7"/>
  <c r="C1182" i="7"/>
  <c r="C1174" i="7"/>
  <c r="C1166" i="7"/>
  <c r="C1158" i="7"/>
  <c r="C1150" i="7"/>
  <c r="C1142" i="7"/>
  <c r="C1134" i="7"/>
  <c r="C1126" i="7"/>
  <c r="C1118" i="7"/>
  <c r="C1110" i="7"/>
  <c r="C1102" i="7"/>
  <c r="C1094" i="7"/>
  <c r="C1086" i="7"/>
  <c r="C1078" i="7"/>
  <c r="C1070" i="7"/>
  <c r="C1062" i="7"/>
  <c r="C1054" i="7"/>
  <c r="C1046" i="7"/>
  <c r="C1038" i="7"/>
  <c r="C1030" i="7"/>
  <c r="C1022" i="7"/>
  <c r="C1014" i="7"/>
  <c r="C1006" i="7"/>
  <c r="C998" i="7"/>
  <c r="C990" i="7"/>
  <c r="C982" i="7"/>
  <c r="C974" i="7"/>
  <c r="C966" i="7"/>
  <c r="C958" i="7"/>
  <c r="C950" i="7"/>
  <c r="C942" i="7"/>
  <c r="C934" i="7"/>
  <c r="C926" i="7"/>
  <c r="C918" i="7"/>
  <c r="C910" i="7"/>
  <c r="C902" i="7"/>
  <c r="C894" i="7"/>
  <c r="C886" i="7"/>
  <c r="C878" i="7"/>
  <c r="C870" i="7"/>
  <c r="C862" i="7"/>
  <c r="C854" i="7"/>
  <c r="C846" i="7"/>
  <c r="C838" i="7"/>
  <c r="C830" i="7"/>
  <c r="C822" i="7"/>
  <c r="C814" i="7"/>
  <c r="C806" i="7"/>
  <c r="C798" i="7"/>
  <c r="C790" i="7"/>
  <c r="C782" i="7"/>
  <c r="C774" i="7"/>
  <c r="C766" i="7"/>
  <c r="C758" i="7"/>
  <c r="C750" i="7"/>
  <c r="C742" i="7"/>
  <c r="C734" i="7"/>
  <c r="C726" i="7"/>
  <c r="C718" i="7"/>
  <c r="C710" i="7"/>
  <c r="C702" i="7"/>
  <c r="C693" i="7"/>
  <c r="C684" i="7"/>
  <c r="C675" i="7"/>
  <c r="C662" i="7"/>
  <c r="C647" i="7"/>
  <c r="C342" i="7"/>
  <c r="C168" i="7"/>
  <c r="D337" i="7"/>
  <c r="D281" i="7"/>
  <c r="D217" i="7"/>
  <c r="D177" i="7"/>
  <c r="C1349" i="7"/>
  <c r="C1317" i="7"/>
  <c r="C1253" i="7"/>
  <c r="C1205" i="7"/>
  <c r="C1149" i="7"/>
  <c r="C1013" i="7"/>
  <c r="C909" i="7"/>
  <c r="C813" i="7"/>
  <c r="C692" i="7"/>
  <c r="C614" i="7"/>
  <c r="B1180" i="7"/>
  <c r="C621" i="7"/>
  <c r="C376" i="7"/>
  <c r="C294" i="7"/>
  <c r="B1460" i="7"/>
  <c r="B1186" i="7"/>
  <c r="B884" i="7"/>
  <c r="B731" i="7"/>
  <c r="C674" i="7"/>
  <c r="C634" i="7"/>
  <c r="C562" i="7"/>
  <c r="C432" i="7"/>
  <c r="C222" i="7"/>
  <c r="B1219" i="7"/>
  <c r="B1050" i="7"/>
  <c r="B922" i="7"/>
  <c r="B201" i="7"/>
  <c r="C489" i="7"/>
  <c r="C367" i="7"/>
  <c r="C303" i="7"/>
  <c r="C198" i="7"/>
  <c r="B1172" i="7"/>
  <c r="B1090" i="7"/>
  <c r="B962" i="7"/>
  <c r="C616" i="7"/>
  <c r="C584" i="7"/>
  <c r="C256" i="7"/>
  <c r="B1450" i="7"/>
  <c r="B956" i="7"/>
  <c r="B874" i="7"/>
  <c r="B459" i="7"/>
  <c r="B458" i="7"/>
  <c r="B178" i="7"/>
  <c r="B1210" i="7"/>
  <c r="B1082" i="7"/>
  <c r="B995" i="7"/>
  <c r="B795" i="7"/>
  <c r="B626" i="7"/>
  <c r="B457" i="7"/>
  <c r="B225" i="7"/>
  <c r="C389" i="7"/>
  <c r="C365" i="7"/>
  <c r="C341" i="7"/>
  <c r="C309" i="7"/>
  <c r="C277" i="7"/>
  <c r="C237" i="7"/>
  <c r="C213" i="7"/>
  <c r="C189" i="7"/>
  <c r="C165" i="7"/>
  <c r="B1401" i="7"/>
  <c r="B1313" i="7"/>
  <c r="B1257" i="7"/>
  <c r="B1209" i="7"/>
  <c r="B1177" i="7"/>
  <c r="B1153" i="7"/>
  <c r="B1105" i="7"/>
  <c r="B1081" i="7"/>
  <c r="B1041" i="7"/>
  <c r="B1017" i="7"/>
  <c r="B993" i="7"/>
  <c r="B961" i="7"/>
  <c r="B921" i="7"/>
  <c r="B897" i="7"/>
  <c r="B771" i="7"/>
  <c r="B666" i="7"/>
  <c r="B515" i="7"/>
  <c r="B451" i="7"/>
  <c r="B346" i="7"/>
  <c r="B195" i="7"/>
  <c r="C500" i="7"/>
  <c r="C468" i="7"/>
  <c r="C444" i="7"/>
  <c r="C420" i="7"/>
  <c r="C396" i="7"/>
  <c r="C364" i="7"/>
  <c r="C308" i="7"/>
  <c r="C260" i="7"/>
  <c r="C236" i="7"/>
  <c r="C180" i="7"/>
  <c r="B1488" i="7"/>
  <c r="B1448" i="7"/>
  <c r="B1416" i="7"/>
  <c r="B1392" i="7"/>
  <c r="B1368" i="7"/>
  <c r="B1344" i="7"/>
  <c r="B1312" i="7"/>
  <c r="B1280" i="7"/>
  <c r="B1240" i="7"/>
  <c r="B1216" i="7"/>
  <c r="B1184" i="7"/>
  <c r="B1144" i="7"/>
  <c r="B1112" i="7"/>
  <c r="B1080" i="7"/>
  <c r="B1048" i="7"/>
  <c r="B1016" i="7"/>
  <c r="B984" i="7"/>
  <c r="B960" i="7"/>
  <c r="B936" i="7"/>
  <c r="B904" i="7"/>
  <c r="B872" i="7"/>
  <c r="B793" i="7"/>
  <c r="B619" i="7"/>
  <c r="B427" i="7"/>
  <c r="B322" i="7"/>
  <c r="B194" i="7"/>
  <c r="C483" i="7"/>
  <c r="C459" i="7"/>
  <c r="C419" i="7"/>
  <c r="C323" i="7"/>
  <c r="C267" i="7"/>
  <c r="C227" i="7"/>
  <c r="C203" i="7"/>
  <c r="C171" i="7"/>
  <c r="B1495" i="7"/>
  <c r="B1463" i="7"/>
  <c r="B1431" i="7"/>
  <c r="B1375" i="7"/>
  <c r="B1343" i="7"/>
  <c r="B1311" i="7"/>
  <c r="B1279" i="7"/>
  <c r="B1255" i="7"/>
  <c r="B1231" i="7"/>
  <c r="B1191" i="7"/>
  <c r="B1151" i="7"/>
  <c r="B1119" i="7"/>
  <c r="B1087" i="7"/>
  <c r="B1055" i="7"/>
  <c r="B1007" i="7"/>
  <c r="B975" i="7"/>
  <c r="B943" i="7"/>
  <c r="B911" i="7"/>
  <c r="B871" i="7"/>
  <c r="B769" i="7"/>
  <c r="B682" i="7"/>
  <c r="B577" i="7"/>
  <c r="B513" i="7"/>
  <c r="B449" i="7"/>
  <c r="B339" i="7"/>
  <c r="B257" i="7"/>
  <c r="C482" i="7"/>
  <c r="C442" i="7"/>
  <c r="C402" i="7"/>
  <c r="C370" i="7"/>
  <c r="C346" i="7"/>
  <c r="C314" i="7"/>
  <c r="C282" i="7"/>
  <c r="C218" i="7"/>
  <c r="C178" i="7"/>
  <c r="B1510" i="7"/>
  <c r="B1478" i="7"/>
  <c r="B1438" i="7"/>
  <c r="B1398" i="7"/>
  <c r="B1366" i="7"/>
  <c r="B1342" i="7"/>
  <c r="B1310" i="7"/>
  <c r="B1246" i="7"/>
  <c r="B1214" i="7"/>
  <c r="B1182" i="7"/>
  <c r="B1158" i="7"/>
  <c r="B1094" i="7"/>
  <c r="B1070" i="7"/>
  <c r="B1046" i="7"/>
  <c r="B998" i="7"/>
  <c r="B966" i="7"/>
  <c r="B902" i="7"/>
  <c r="B854" i="7"/>
  <c r="B745" i="7"/>
  <c r="B658" i="7"/>
  <c r="B402" i="7"/>
  <c r="B210" i="7"/>
  <c r="C449" i="7"/>
  <c r="C401" i="7"/>
  <c r="C353" i="7"/>
  <c r="C289" i="7"/>
  <c r="C273" i="7"/>
  <c r="C225" i="7"/>
  <c r="B1517" i="7"/>
  <c r="B1469" i="7"/>
  <c r="B1365" i="7"/>
  <c r="B1309" i="7"/>
  <c r="B1253" i="7"/>
  <c r="B1213" i="7"/>
  <c r="B1125" i="7"/>
  <c r="B1093" i="7"/>
  <c r="B1061" i="7"/>
  <c r="B1005" i="7"/>
  <c r="B981" i="7"/>
  <c r="B949" i="7"/>
  <c r="B885" i="7"/>
  <c r="B721" i="7"/>
  <c r="B611" i="7"/>
  <c r="B506" i="7"/>
  <c r="B401" i="7"/>
  <c r="B273" i="7"/>
  <c r="B792" i="7"/>
  <c r="B760" i="7"/>
  <c r="B720" i="7"/>
  <c r="B664" i="7"/>
  <c r="B632" i="7"/>
  <c r="B584" i="7"/>
  <c r="B544" i="7"/>
  <c r="B504" i="7"/>
  <c r="B464" i="7"/>
  <c r="B432" i="7"/>
  <c r="B400" i="7"/>
  <c r="B360" i="7"/>
  <c r="B224" i="7"/>
  <c r="B200" i="7"/>
  <c r="B815" i="7"/>
  <c r="B767" i="7"/>
  <c r="B719" i="7"/>
  <c r="B687" i="7"/>
  <c r="B655" i="7"/>
  <c r="B623" i="7"/>
  <c r="B567" i="7"/>
  <c r="B519" i="7"/>
  <c r="B447" i="7"/>
  <c r="B407" i="7"/>
  <c r="B375" i="7"/>
  <c r="B343" i="7"/>
  <c r="B319" i="7"/>
  <c r="B279" i="7"/>
  <c r="B255" i="7"/>
  <c r="B223" i="7"/>
  <c r="B183" i="7"/>
  <c r="B822" i="7"/>
  <c r="B790" i="7"/>
  <c r="B750" i="7"/>
  <c r="B718" i="7"/>
  <c r="B686" i="7"/>
  <c r="B646" i="7"/>
  <c r="B598" i="7"/>
  <c r="B558" i="7"/>
  <c r="B510" i="7"/>
  <c r="B470" i="7"/>
  <c r="B430" i="7"/>
  <c r="B390" i="7"/>
  <c r="B358" i="7"/>
  <c r="B318" i="7"/>
  <c r="B286" i="7"/>
  <c r="B246" i="7"/>
  <c r="B214" i="7"/>
  <c r="B182" i="7"/>
  <c r="B837" i="7"/>
  <c r="B805" i="7"/>
  <c r="B765" i="7"/>
  <c r="B741" i="7"/>
  <c r="B701" i="7"/>
  <c r="B669" i="7"/>
  <c r="B629" i="7"/>
  <c r="B597" i="7"/>
  <c r="B549" i="7"/>
  <c r="B517" i="7"/>
  <c r="B477" i="7"/>
  <c r="B445" i="7"/>
  <c r="B405" i="7"/>
  <c r="B373" i="7"/>
  <c r="B341" i="7"/>
  <c r="B301" i="7"/>
  <c r="B261" i="7"/>
  <c r="B221" i="7"/>
  <c r="B189" i="7"/>
  <c r="B844" i="7"/>
  <c r="B780" i="7"/>
  <c r="B732" i="7"/>
  <c r="B692" i="7"/>
  <c r="B652" i="7"/>
  <c r="B596" i="7"/>
  <c r="B564" i="7"/>
  <c r="B524" i="7"/>
  <c r="B484" i="7"/>
  <c r="B444" i="7"/>
  <c r="B412" i="7"/>
  <c r="B364" i="7"/>
  <c r="B316" i="7"/>
  <c r="B276" i="7"/>
  <c r="B244" i="7"/>
  <c r="B220" i="7"/>
  <c r="B212" i="7"/>
  <c r="B196" i="7"/>
  <c r="A157" i="7"/>
  <c r="A133" i="7"/>
  <c r="A49" i="7"/>
  <c r="H93" i="7"/>
  <c r="G107" i="7"/>
  <c r="F151" i="7"/>
  <c r="E163" i="7"/>
  <c r="A164" i="7"/>
  <c r="A140" i="7"/>
  <c r="A132" i="7"/>
  <c r="A76" i="7"/>
  <c r="H154" i="7"/>
  <c r="H90" i="7"/>
  <c r="H26" i="7"/>
  <c r="G102" i="7"/>
  <c r="G38" i="7"/>
  <c r="F116" i="7"/>
  <c r="F49" i="7"/>
  <c r="E18" i="7"/>
  <c r="C124" i="7"/>
  <c r="A149" i="7"/>
  <c r="A17" i="7"/>
  <c r="H61" i="7"/>
  <c r="G75" i="7"/>
  <c r="F119" i="7"/>
  <c r="E35" i="7"/>
  <c r="A163" i="7"/>
  <c r="A129" i="7"/>
  <c r="A73" i="7"/>
  <c r="A9" i="7"/>
  <c r="H117" i="7"/>
  <c r="H21" i="7"/>
  <c r="G131" i="7"/>
  <c r="G67" i="7"/>
  <c r="F143" i="7"/>
  <c r="F79" i="7"/>
  <c r="E131" i="7"/>
  <c r="C100" i="7"/>
  <c r="A154" i="7"/>
  <c r="A36" i="7"/>
  <c r="H50" i="7"/>
  <c r="G62" i="7"/>
  <c r="F76" i="7"/>
  <c r="D35" i="7"/>
  <c r="A161" i="7"/>
  <c r="A145" i="7"/>
  <c r="A127" i="7"/>
  <c r="A65" i="7"/>
  <c r="H141" i="7"/>
  <c r="H77" i="7"/>
  <c r="H13" i="7"/>
  <c r="G123" i="7"/>
  <c r="G59" i="7"/>
  <c r="F135" i="7"/>
  <c r="F71" i="7"/>
  <c r="C36" i="7"/>
  <c r="B53" i="7"/>
  <c r="A152" i="7"/>
  <c r="A136" i="7"/>
  <c r="A92" i="7"/>
  <c r="A28" i="7"/>
  <c r="H106" i="7"/>
  <c r="H42" i="7"/>
  <c r="G118" i="7"/>
  <c r="G54" i="7"/>
  <c r="F164" i="7"/>
  <c r="F100" i="7"/>
  <c r="E82" i="7"/>
  <c r="A146" i="7"/>
  <c r="H82" i="7"/>
  <c r="F108" i="7"/>
  <c r="A151" i="7"/>
  <c r="A135" i="7"/>
  <c r="A89" i="7"/>
  <c r="A25" i="7"/>
  <c r="H133" i="7"/>
  <c r="H69" i="7"/>
  <c r="G147" i="7"/>
  <c r="G83" i="7"/>
  <c r="G19" i="7"/>
  <c r="F127" i="7"/>
  <c r="F63" i="7"/>
  <c r="D163" i="7"/>
  <c r="A162" i="7"/>
  <c r="A68" i="7"/>
  <c r="H18" i="7"/>
  <c r="G30" i="7"/>
  <c r="A158" i="7"/>
  <c r="A142" i="7"/>
  <c r="A116" i="7"/>
  <c r="A84" i="7"/>
  <c r="A20" i="7"/>
  <c r="H130" i="7"/>
  <c r="H66" i="7"/>
  <c r="G142" i="7"/>
  <c r="G78" i="7"/>
  <c r="G14" i="7"/>
  <c r="F92" i="7"/>
  <c r="E50" i="7"/>
  <c r="A131" i="7"/>
  <c r="A115" i="7"/>
  <c r="A99" i="7"/>
  <c r="A83" i="7"/>
  <c r="A67" i="7"/>
  <c r="A51" i="7"/>
  <c r="A35" i="7"/>
  <c r="A19" i="7"/>
  <c r="H164" i="7"/>
  <c r="H148" i="7"/>
  <c r="H132" i="7"/>
  <c r="H116" i="7"/>
  <c r="H100" i="7"/>
  <c r="H84" i="7"/>
  <c r="H68" i="7"/>
  <c r="H52" i="7"/>
  <c r="H36" i="7"/>
  <c r="H20" i="7"/>
  <c r="G157" i="7"/>
  <c r="G141" i="7"/>
  <c r="G125" i="7"/>
  <c r="G109" i="7"/>
  <c r="G93" i="7"/>
  <c r="G77" i="7"/>
  <c r="G61" i="7"/>
  <c r="G29" i="7"/>
  <c r="G13" i="7"/>
  <c r="F158" i="7"/>
  <c r="F142" i="7"/>
  <c r="F126" i="7"/>
  <c r="F110" i="7"/>
  <c r="F94" i="7"/>
  <c r="F78" i="7"/>
  <c r="F62" i="7"/>
  <c r="F26" i="7"/>
  <c r="E107" i="7"/>
  <c r="E43" i="7"/>
  <c r="D156" i="7"/>
  <c r="D51" i="7"/>
  <c r="C116" i="7"/>
  <c r="B109" i="7"/>
  <c r="A130" i="7"/>
  <c r="A114" i="7"/>
  <c r="A98" i="7"/>
  <c r="A82" i="7"/>
  <c r="A66" i="7"/>
  <c r="A50" i="7"/>
  <c r="A34" i="7"/>
  <c r="A18" i="7"/>
  <c r="H163" i="7"/>
  <c r="H147" i="7"/>
  <c r="H131" i="7"/>
  <c r="H115" i="7"/>
  <c r="H99" i="7"/>
  <c r="H75" i="7"/>
  <c r="H67" i="7"/>
  <c r="H51" i="7"/>
  <c r="H43" i="7"/>
  <c r="H27" i="7"/>
  <c r="G164" i="7"/>
  <c r="G148" i="7"/>
  <c r="G132" i="7"/>
  <c r="G116" i="7"/>
  <c r="G100" i="7"/>
  <c r="G84" i="7"/>
  <c r="G68" i="7"/>
  <c r="G52" i="7"/>
  <c r="G36" i="7"/>
  <c r="G20" i="7"/>
  <c r="F157" i="7"/>
  <c r="F141" i="7"/>
  <c r="F125" i="7"/>
  <c r="F101" i="7"/>
  <c r="F85" i="7"/>
  <c r="F69" i="7"/>
  <c r="F50" i="7"/>
  <c r="E138" i="7"/>
  <c r="E74" i="7"/>
  <c r="E10" i="7"/>
  <c r="D107" i="7"/>
  <c r="C108" i="7"/>
  <c r="B101" i="7"/>
  <c r="B37" i="7"/>
  <c r="A112" i="7"/>
  <c r="A96" i="7"/>
  <c r="A80" i="7"/>
  <c r="H145" i="7"/>
  <c r="H137" i="7"/>
  <c r="H129" i="7"/>
  <c r="H121" i="7"/>
  <c r="H113" i="7"/>
  <c r="H105" i="7"/>
  <c r="H97" i="7"/>
  <c r="H89" i="7"/>
  <c r="H81" i="7"/>
  <c r="H73" i="7"/>
  <c r="H65" i="7"/>
  <c r="H57" i="7"/>
  <c r="H49" i="7"/>
  <c r="H41" i="7"/>
  <c r="H33" i="7"/>
  <c r="H25" i="7"/>
  <c r="H17" i="7"/>
  <c r="H9" i="7"/>
  <c r="G162" i="7"/>
  <c r="G154" i="7"/>
  <c r="G146" i="7"/>
  <c r="G138" i="7"/>
  <c r="G130" i="7"/>
  <c r="G122" i="7"/>
  <c r="G114" i="7"/>
  <c r="G106" i="7"/>
  <c r="G98" i="7"/>
  <c r="G90" i="7"/>
  <c r="G82" i="7"/>
  <c r="G74" i="7"/>
  <c r="G66" i="7"/>
  <c r="G58" i="7"/>
  <c r="G50" i="7"/>
  <c r="G42" i="7"/>
  <c r="G34" i="7"/>
  <c r="G26" i="7"/>
  <c r="G18" i="7"/>
  <c r="G10" i="7"/>
  <c r="F163" i="7"/>
  <c r="F155" i="7"/>
  <c r="F147" i="7"/>
  <c r="F139" i="7"/>
  <c r="F131" i="7"/>
  <c r="F123" i="7"/>
  <c r="F115" i="7"/>
  <c r="F107" i="7"/>
  <c r="F99" i="7"/>
  <c r="F91" i="7"/>
  <c r="F83" i="7"/>
  <c r="F75" i="7"/>
  <c r="F67" i="7"/>
  <c r="F59" i="7"/>
  <c r="F48" i="7"/>
  <c r="F17" i="7"/>
  <c r="E162" i="7"/>
  <c r="E130" i="7"/>
  <c r="E98" i="7"/>
  <c r="E66" i="7"/>
  <c r="E34" i="7"/>
  <c r="D147" i="7"/>
  <c r="D91" i="7"/>
  <c r="D27" i="7"/>
  <c r="C156" i="7"/>
  <c r="C92" i="7"/>
  <c r="C28" i="7"/>
  <c r="B149" i="7"/>
  <c r="B85" i="7"/>
  <c r="B21" i="7"/>
  <c r="A119" i="7"/>
  <c r="A111" i="7"/>
  <c r="A103" i="7"/>
  <c r="A95" i="7"/>
  <c r="A87" i="7"/>
  <c r="A79" i="7"/>
  <c r="A71" i="7"/>
  <c r="A63" i="7"/>
  <c r="A55" i="7"/>
  <c r="A47" i="7"/>
  <c r="A39" i="7"/>
  <c r="A31" i="7"/>
  <c r="A23" i="7"/>
  <c r="A15" i="7"/>
  <c r="H160" i="7"/>
  <c r="H152" i="7"/>
  <c r="H144" i="7"/>
  <c r="H136" i="7"/>
  <c r="H128" i="7"/>
  <c r="H120" i="7"/>
  <c r="H112" i="7"/>
  <c r="H104" i="7"/>
  <c r="H96" i="7"/>
  <c r="H88" i="7"/>
  <c r="H80" i="7"/>
  <c r="H72" i="7"/>
  <c r="H64" i="7"/>
  <c r="H56" i="7"/>
  <c r="H48" i="7"/>
  <c r="H40" i="7"/>
  <c r="H32" i="7"/>
  <c r="H24" i="7"/>
  <c r="H16" i="7"/>
  <c r="H8" i="7"/>
  <c r="G161" i="7"/>
  <c r="G153" i="7"/>
  <c r="G145" i="7"/>
  <c r="G137" i="7"/>
  <c r="G129" i="7"/>
  <c r="G121" i="7"/>
  <c r="G113" i="7"/>
  <c r="G105" i="7"/>
  <c r="G97" i="7"/>
  <c r="G89" i="7"/>
  <c r="G81" i="7"/>
  <c r="G73" i="7"/>
  <c r="G65" i="7"/>
  <c r="G57" i="7"/>
  <c r="G49" i="7"/>
  <c r="G41" i="7"/>
  <c r="G33" i="7"/>
  <c r="G25" i="7"/>
  <c r="G17" i="7"/>
  <c r="G9" i="7"/>
  <c r="F162" i="7"/>
  <c r="F154" i="7"/>
  <c r="F146" i="7"/>
  <c r="F138" i="7"/>
  <c r="F130" i="7"/>
  <c r="F122" i="7"/>
  <c r="F114" i="7"/>
  <c r="F106" i="7"/>
  <c r="F98" i="7"/>
  <c r="F90" i="7"/>
  <c r="F82" i="7"/>
  <c r="F74" i="7"/>
  <c r="F66" i="7"/>
  <c r="F58" i="7"/>
  <c r="F42" i="7"/>
  <c r="F10" i="7"/>
  <c r="E155" i="7"/>
  <c r="E123" i="7"/>
  <c r="E91" i="7"/>
  <c r="E59" i="7"/>
  <c r="E27" i="7"/>
  <c r="D140" i="7"/>
  <c r="D83" i="7"/>
  <c r="D19" i="7"/>
  <c r="C148" i="7"/>
  <c r="C84" i="7"/>
  <c r="C20" i="7"/>
  <c r="B141" i="7"/>
  <c r="B77" i="7"/>
  <c r="B13" i="7"/>
  <c r="A126" i="7"/>
  <c r="A118" i="7"/>
  <c r="A110" i="7"/>
  <c r="A102" i="7"/>
  <c r="A94" i="7"/>
  <c r="A86" i="7"/>
  <c r="A78" i="7"/>
  <c r="A70" i="7"/>
  <c r="A62" i="7"/>
  <c r="A54" i="7"/>
  <c r="A46" i="7"/>
  <c r="A38" i="7"/>
  <c r="A30" i="7"/>
  <c r="A22" i="7"/>
  <c r="A14" i="7"/>
  <c r="H159" i="7"/>
  <c r="H151" i="7"/>
  <c r="H143" i="7"/>
  <c r="H135" i="7"/>
  <c r="H127" i="7"/>
  <c r="H119" i="7"/>
  <c r="H111" i="7"/>
  <c r="H103" i="7"/>
  <c r="H95" i="7"/>
  <c r="H87" i="7"/>
  <c r="H79" i="7"/>
  <c r="H71" i="7"/>
  <c r="H63" i="7"/>
  <c r="H55" i="7"/>
  <c r="H47" i="7"/>
  <c r="H39" i="7"/>
  <c r="H31" i="7"/>
  <c r="H23" i="7"/>
  <c r="H15" i="7"/>
  <c r="G160" i="7"/>
  <c r="G152" i="7"/>
  <c r="G144" i="7"/>
  <c r="G136" i="7"/>
  <c r="G128" i="7"/>
  <c r="G120" i="7"/>
  <c r="G112" i="7"/>
  <c r="G104" i="7"/>
  <c r="G96" i="7"/>
  <c r="G88" i="7"/>
  <c r="G80" i="7"/>
  <c r="G72" i="7"/>
  <c r="G64" i="7"/>
  <c r="G56" i="7"/>
  <c r="G48" i="7"/>
  <c r="G40" i="7"/>
  <c r="G32" i="7"/>
  <c r="G24" i="7"/>
  <c r="G16" i="7"/>
  <c r="G8" i="7"/>
  <c r="F161" i="7"/>
  <c r="F153" i="7"/>
  <c r="F145" i="7"/>
  <c r="F137" i="7"/>
  <c r="F129" i="7"/>
  <c r="F121" i="7"/>
  <c r="F113" i="7"/>
  <c r="F105" i="7"/>
  <c r="F97" i="7"/>
  <c r="F89" i="7"/>
  <c r="F81" i="7"/>
  <c r="F73" i="7"/>
  <c r="F65" i="7"/>
  <c r="F57" i="7"/>
  <c r="F41" i="7"/>
  <c r="F9" i="7"/>
  <c r="E154" i="7"/>
  <c r="E122" i="7"/>
  <c r="E90" i="7"/>
  <c r="E58" i="7"/>
  <c r="E26" i="7"/>
  <c r="D139" i="7"/>
  <c r="D75" i="7"/>
  <c r="D11" i="7"/>
  <c r="C140" i="7"/>
  <c r="C76" i="7"/>
  <c r="C12" i="7"/>
  <c r="B133" i="7"/>
  <c r="B69" i="7"/>
  <c r="A125" i="7"/>
  <c r="A117" i="7"/>
  <c r="A109" i="7"/>
  <c r="A101" i="7"/>
  <c r="A93" i="7"/>
  <c r="A85" i="7"/>
  <c r="A77" i="7"/>
  <c r="A69" i="7"/>
  <c r="A61" i="7"/>
  <c r="A53" i="7"/>
  <c r="A45" i="7"/>
  <c r="A37" i="7"/>
  <c r="A29" i="7"/>
  <c r="A21" i="7"/>
  <c r="A13" i="7"/>
  <c r="H158" i="7"/>
  <c r="H150" i="7"/>
  <c r="H142" i="7"/>
  <c r="H134" i="7"/>
  <c r="H126" i="7"/>
  <c r="H118" i="7"/>
  <c r="H110" i="7"/>
  <c r="H102" i="7"/>
  <c r="H94" i="7"/>
  <c r="H86" i="7"/>
  <c r="H78" i="7"/>
  <c r="H70" i="7"/>
  <c r="H62" i="7"/>
  <c r="H54" i="7"/>
  <c r="H46" i="7"/>
  <c r="H38" i="7"/>
  <c r="H30" i="7"/>
  <c r="H22" i="7"/>
  <c r="H14" i="7"/>
  <c r="G159" i="7"/>
  <c r="G151" i="7"/>
  <c r="G143" i="7"/>
  <c r="G135" i="7"/>
  <c r="G127" i="7"/>
  <c r="G119" i="7"/>
  <c r="G111" i="7"/>
  <c r="G103" i="7"/>
  <c r="G95" i="7"/>
  <c r="G87" i="7"/>
  <c r="G79" i="7"/>
  <c r="G71" i="7"/>
  <c r="G63" i="7"/>
  <c r="G55" i="7"/>
  <c r="G47" i="7"/>
  <c r="G39" i="7"/>
  <c r="G31" i="7"/>
  <c r="G23" i="7"/>
  <c r="G15" i="7"/>
  <c r="F160" i="7"/>
  <c r="F152" i="7"/>
  <c r="F144" i="7"/>
  <c r="F136" i="7"/>
  <c r="F128" i="7"/>
  <c r="F120" i="7"/>
  <c r="F112" i="7"/>
  <c r="F104" i="7"/>
  <c r="F96" i="7"/>
  <c r="F88" i="7"/>
  <c r="F80" i="7"/>
  <c r="F72" i="7"/>
  <c r="F64" i="7"/>
  <c r="F56" i="7"/>
  <c r="F34" i="7"/>
  <c r="E147" i="7"/>
  <c r="E115" i="7"/>
  <c r="E83" i="7"/>
  <c r="E51" i="7"/>
  <c r="E19" i="7"/>
  <c r="D164" i="7"/>
  <c r="D131" i="7"/>
  <c r="D67" i="7"/>
  <c r="C132" i="7"/>
  <c r="C68" i="7"/>
  <c r="B125" i="7"/>
  <c r="B61" i="7"/>
  <c r="F40" i="7"/>
  <c r="F32" i="7"/>
  <c r="F24" i="7"/>
  <c r="F16" i="7"/>
  <c r="F8" i="7"/>
  <c r="E161" i="7"/>
  <c r="E153" i="7"/>
  <c r="E145" i="7"/>
  <c r="E137" i="7"/>
  <c r="E129" i="7"/>
  <c r="E121" i="7"/>
  <c r="E113" i="7"/>
  <c r="E105" i="7"/>
  <c r="E97" i="7"/>
  <c r="E89" i="7"/>
  <c r="E81" i="7"/>
  <c r="E73" i="7"/>
  <c r="E65" i="7"/>
  <c r="E57" i="7"/>
  <c r="E49" i="7"/>
  <c r="E41" i="7"/>
  <c r="E33" i="7"/>
  <c r="E25" i="7"/>
  <c r="E17" i="7"/>
  <c r="E9" i="7"/>
  <c r="D162" i="7"/>
  <c r="D154" i="7"/>
  <c r="D146" i="7"/>
  <c r="D138" i="7"/>
  <c r="D130" i="7"/>
  <c r="D122" i="7"/>
  <c r="D114" i="7"/>
  <c r="D106" i="7"/>
  <c r="D98" i="7"/>
  <c r="D90" i="7"/>
  <c r="D82" i="7"/>
  <c r="D74" i="7"/>
  <c r="D66" i="7"/>
  <c r="D58" i="7"/>
  <c r="D50" i="7"/>
  <c r="D42" i="7"/>
  <c r="D34" i="7"/>
  <c r="D26" i="7"/>
  <c r="D18" i="7"/>
  <c r="D10" i="7"/>
  <c r="C163" i="7"/>
  <c r="C155" i="7"/>
  <c r="C147" i="7"/>
  <c r="C139" i="7"/>
  <c r="C131" i="7"/>
  <c r="C123" i="7"/>
  <c r="C115" i="7"/>
  <c r="C107" i="7"/>
  <c r="C99" i="7"/>
  <c r="C91" i="7"/>
  <c r="C83" i="7"/>
  <c r="C75" i="7"/>
  <c r="C67" i="7"/>
  <c r="C59" i="7"/>
  <c r="C51" i="7"/>
  <c r="C43" i="7"/>
  <c r="C35" i="7"/>
  <c r="C27" i="7"/>
  <c r="C19" i="7"/>
  <c r="C11" i="7"/>
  <c r="B164" i="7"/>
  <c r="B156" i="7"/>
  <c r="B148" i="7"/>
  <c r="B140" i="7"/>
  <c r="B132" i="7"/>
  <c r="B124" i="7"/>
  <c r="B116" i="7"/>
  <c r="B108" i="7"/>
  <c r="B100" i="7"/>
  <c r="B92" i="7"/>
  <c r="B84" i="7"/>
  <c r="B76" i="7"/>
  <c r="B68" i="7"/>
  <c r="B60" i="7"/>
  <c r="B52" i="7"/>
  <c r="B44" i="7"/>
  <c r="B36" i="7"/>
  <c r="B28" i="7"/>
  <c r="B20" i="7"/>
  <c r="B12" i="7"/>
  <c r="F47" i="7"/>
  <c r="F39" i="7"/>
  <c r="F31" i="7"/>
  <c r="F23" i="7"/>
  <c r="F15" i="7"/>
  <c r="E160" i="7"/>
  <c r="E152" i="7"/>
  <c r="E144" i="7"/>
  <c r="E136" i="7"/>
  <c r="E128" i="7"/>
  <c r="E120" i="7"/>
  <c r="E112" i="7"/>
  <c r="E104" i="7"/>
  <c r="E96" i="7"/>
  <c r="E88" i="7"/>
  <c r="E80" i="7"/>
  <c r="E72" i="7"/>
  <c r="E64" i="7"/>
  <c r="E56" i="7"/>
  <c r="E48" i="7"/>
  <c r="E40" i="7"/>
  <c r="E32" i="7"/>
  <c r="E24" i="7"/>
  <c r="E16" i="7"/>
  <c r="E8" i="7"/>
  <c r="D161" i="7"/>
  <c r="D153" i="7"/>
  <c r="D145" i="7"/>
  <c r="D137" i="7"/>
  <c r="D129" i="7"/>
  <c r="D121" i="7"/>
  <c r="D113" i="7"/>
  <c r="D105" i="7"/>
  <c r="D97" i="7"/>
  <c r="D89" i="7"/>
  <c r="D81" i="7"/>
  <c r="D73" i="7"/>
  <c r="D65" i="7"/>
  <c r="D57" i="7"/>
  <c r="D49" i="7"/>
  <c r="D41" i="7"/>
  <c r="D33" i="7"/>
  <c r="D25" i="7"/>
  <c r="D17" i="7"/>
  <c r="D9" i="7"/>
  <c r="C162" i="7"/>
  <c r="C154" i="7"/>
  <c r="C146" i="7"/>
  <c r="C138" i="7"/>
  <c r="C130" i="7"/>
  <c r="C122" i="7"/>
  <c r="C114" i="7"/>
  <c r="C106" i="7"/>
  <c r="C98" i="7"/>
  <c r="C90" i="7"/>
  <c r="C82" i="7"/>
  <c r="C74" i="7"/>
  <c r="C66" i="7"/>
  <c r="C58" i="7"/>
  <c r="C50" i="7"/>
  <c r="C42" i="7"/>
  <c r="C34" i="7"/>
  <c r="C26" i="7"/>
  <c r="C18" i="7"/>
  <c r="C10" i="7"/>
  <c r="B163" i="7"/>
  <c r="B155" i="7"/>
  <c r="B147" i="7"/>
  <c r="B139" i="7"/>
  <c r="B131" i="7"/>
  <c r="B123" i="7"/>
  <c r="B115" i="7"/>
  <c r="B107" i="7"/>
  <c r="B99" i="7"/>
  <c r="B91" i="7"/>
  <c r="B83" i="7"/>
  <c r="B75" i="7"/>
  <c r="B67" i="7"/>
  <c r="B59" i="7"/>
  <c r="B51" i="7"/>
  <c r="B43" i="7"/>
  <c r="B35" i="7"/>
  <c r="B27" i="7"/>
  <c r="B19" i="7"/>
  <c r="B11" i="7"/>
  <c r="F46" i="7"/>
  <c r="F38" i="7"/>
  <c r="F30" i="7"/>
  <c r="F22" i="7"/>
  <c r="F14" i="7"/>
  <c r="E159" i="7"/>
  <c r="E151" i="7"/>
  <c r="E143" i="7"/>
  <c r="E135" i="7"/>
  <c r="E127" i="7"/>
  <c r="E119" i="7"/>
  <c r="E111" i="7"/>
  <c r="E103" i="7"/>
  <c r="E95" i="7"/>
  <c r="E87" i="7"/>
  <c r="E79" i="7"/>
  <c r="E71" i="7"/>
  <c r="E63" i="7"/>
  <c r="E55" i="7"/>
  <c r="E47" i="7"/>
  <c r="E39" i="7"/>
  <c r="E31" i="7"/>
  <c r="E23" i="7"/>
  <c r="E15" i="7"/>
  <c r="D160" i="7"/>
  <c r="D152" i="7"/>
  <c r="D144" i="7"/>
  <c r="D136" i="7"/>
  <c r="D128" i="7"/>
  <c r="D120" i="7"/>
  <c r="D112" i="7"/>
  <c r="D104" i="7"/>
  <c r="D96" i="7"/>
  <c r="D88" i="7"/>
  <c r="D80" i="7"/>
  <c r="D72" i="7"/>
  <c r="D64" i="7"/>
  <c r="D56" i="7"/>
  <c r="D48" i="7"/>
  <c r="D40" i="7"/>
  <c r="D32" i="7"/>
  <c r="D24" i="7"/>
  <c r="D16" i="7"/>
  <c r="D8" i="7"/>
  <c r="C161" i="7"/>
  <c r="C153" i="7"/>
  <c r="C145" i="7"/>
  <c r="C137" i="7"/>
  <c r="C129" i="7"/>
  <c r="C121" i="7"/>
  <c r="C113" i="7"/>
  <c r="C105" i="7"/>
  <c r="C97" i="7"/>
  <c r="C89" i="7"/>
  <c r="C81" i="7"/>
  <c r="C73" i="7"/>
  <c r="C65" i="7"/>
  <c r="C57" i="7"/>
  <c r="C49" i="7"/>
  <c r="C41" i="7"/>
  <c r="C33" i="7"/>
  <c r="C25" i="7"/>
  <c r="C17" i="7"/>
  <c r="C9" i="7"/>
  <c r="B162" i="7"/>
  <c r="B154" i="7"/>
  <c r="B146" i="7"/>
  <c r="B138" i="7"/>
  <c r="B130" i="7"/>
  <c r="B122" i="7"/>
  <c r="B114" i="7"/>
  <c r="B106" i="7"/>
  <c r="B98" i="7"/>
  <c r="B90" i="7"/>
  <c r="B82" i="7"/>
  <c r="B74" i="7"/>
  <c r="B66" i="7"/>
  <c r="B58" i="7"/>
  <c r="B50" i="7"/>
  <c r="B42" i="7"/>
  <c r="B34" i="7"/>
  <c r="B26" i="7"/>
  <c r="B18" i="7"/>
  <c r="B10" i="7"/>
  <c r="F53" i="7"/>
  <c r="F45" i="7"/>
  <c r="F37" i="7"/>
  <c r="F29" i="7"/>
  <c r="F21" i="7"/>
  <c r="F13" i="7"/>
  <c r="E158" i="7"/>
  <c r="E150" i="7"/>
  <c r="E142" i="7"/>
  <c r="E134" i="7"/>
  <c r="E126" i="7"/>
  <c r="E118" i="7"/>
  <c r="E110" i="7"/>
  <c r="E102" i="7"/>
  <c r="E94" i="7"/>
  <c r="E86" i="7"/>
  <c r="E78" i="7"/>
  <c r="E70" i="7"/>
  <c r="E62" i="7"/>
  <c r="E54" i="7"/>
  <c r="E46" i="7"/>
  <c r="E38" i="7"/>
  <c r="E30" i="7"/>
  <c r="E22" i="7"/>
  <c r="E14" i="7"/>
  <c r="D159" i="7"/>
  <c r="D151" i="7"/>
  <c r="D143" i="7"/>
  <c r="D135" i="7"/>
  <c r="D127" i="7"/>
  <c r="D119" i="7"/>
  <c r="D111" i="7"/>
  <c r="D103" i="7"/>
  <c r="D95" i="7"/>
  <c r="D87" i="7"/>
  <c r="D79" i="7"/>
  <c r="D71" i="7"/>
  <c r="D63" i="7"/>
  <c r="D55" i="7"/>
  <c r="D47" i="7"/>
  <c r="D39" i="7"/>
  <c r="D31" i="7"/>
  <c r="D23" i="7"/>
  <c r="D15" i="7"/>
  <c r="C160" i="7"/>
  <c r="C152" i="7"/>
  <c r="C144" i="7"/>
  <c r="C136" i="7"/>
  <c r="C128" i="7"/>
  <c r="C120" i="7"/>
  <c r="C112" i="7"/>
  <c r="C104" i="7"/>
  <c r="C96" i="7"/>
  <c r="C88" i="7"/>
  <c r="C80" i="7"/>
  <c r="C72" i="7"/>
  <c r="C64" i="7"/>
  <c r="C56" i="7"/>
  <c r="C48" i="7"/>
  <c r="C40" i="7"/>
  <c r="C32" i="7"/>
  <c r="C24" i="7"/>
  <c r="C16" i="7"/>
  <c r="C8" i="7"/>
  <c r="B161" i="7"/>
  <c r="B153" i="7"/>
  <c r="B145" i="7"/>
  <c r="B137" i="7"/>
  <c r="B129" i="7"/>
  <c r="B121" i="7"/>
  <c r="B113" i="7"/>
  <c r="B105" i="7"/>
  <c r="B97" i="7"/>
  <c r="B89" i="7"/>
  <c r="B81" i="7"/>
  <c r="B73" i="7"/>
  <c r="B65" i="7"/>
  <c r="B57" i="7"/>
  <c r="B49" i="7"/>
  <c r="B41" i="7"/>
  <c r="B33" i="7"/>
  <c r="B25" i="7"/>
  <c r="B17" i="7"/>
  <c r="B9" i="7"/>
  <c r="F52" i="7"/>
  <c r="F44" i="7"/>
  <c r="F36" i="7"/>
  <c r="F28" i="7"/>
  <c r="F20" i="7"/>
  <c r="F12" i="7"/>
  <c r="E157" i="7"/>
  <c r="E149" i="7"/>
  <c r="E141" i="7"/>
  <c r="E133" i="7"/>
  <c r="E125" i="7"/>
  <c r="E117" i="7"/>
  <c r="E109" i="7"/>
  <c r="E101" i="7"/>
  <c r="E93" i="7"/>
  <c r="E85" i="7"/>
  <c r="E77" i="7"/>
  <c r="E69" i="7"/>
  <c r="E61" i="7"/>
  <c r="E53" i="7"/>
  <c r="E45" i="7"/>
  <c r="E37" i="7"/>
  <c r="E29" i="7"/>
  <c r="E21" i="7"/>
  <c r="E13" i="7"/>
  <c r="D158" i="7"/>
  <c r="D150" i="7"/>
  <c r="D142" i="7"/>
  <c r="D134" i="7"/>
  <c r="D126" i="7"/>
  <c r="C519" i="7"/>
  <c r="C255" i="7"/>
  <c r="B1284" i="7"/>
  <c r="B202" i="7"/>
  <c r="D305" i="7"/>
  <c r="D273" i="7"/>
  <c r="D241" i="7"/>
  <c r="D201" i="7"/>
  <c r="C1517" i="7"/>
  <c r="C1485" i="7"/>
  <c r="C1373" i="7"/>
  <c r="C1301" i="7"/>
  <c r="C1269" i="7"/>
  <c r="C1221" i="7"/>
  <c r="C1165" i="7"/>
  <c r="C1133" i="7"/>
  <c r="C1109" i="7"/>
  <c r="C1053" i="7"/>
  <c r="C957" i="7"/>
  <c r="C901" i="7"/>
  <c r="C869" i="7"/>
  <c r="C821" i="7"/>
  <c r="C789" i="7"/>
  <c r="C598" i="7"/>
  <c r="C423" i="7"/>
  <c r="C637" i="7"/>
  <c r="C557" i="7"/>
  <c r="C481" i="7"/>
  <c r="C248" i="7"/>
  <c r="B1506" i="7"/>
  <c r="B1227" i="7"/>
  <c r="B1122" i="7"/>
  <c r="B866" i="7"/>
  <c r="B673" i="7"/>
  <c r="B219" i="7"/>
  <c r="C650" i="7"/>
  <c r="C530" i="7"/>
  <c r="C176" i="7"/>
  <c r="B1370" i="7"/>
  <c r="B1306" i="7"/>
  <c r="B1132" i="7"/>
  <c r="B1068" i="7"/>
  <c r="B963" i="7"/>
  <c r="B858" i="7"/>
  <c r="C649" i="7"/>
  <c r="C601" i="7"/>
  <c r="C512" i="7"/>
  <c r="C431" i="7"/>
  <c r="C344" i="7"/>
  <c r="C239" i="7"/>
  <c r="B1474" i="7"/>
  <c r="B1259" i="7"/>
  <c r="B1154" i="7"/>
  <c r="B1067" i="7"/>
  <c r="B852" i="7"/>
  <c r="B649" i="7"/>
  <c r="B417" i="7"/>
  <c r="C696" i="7"/>
  <c r="C664" i="7"/>
  <c r="C520" i="7"/>
  <c r="C471" i="7"/>
  <c r="C343" i="7"/>
  <c r="B1194" i="7"/>
  <c r="B1002" i="7"/>
  <c r="B290" i="7"/>
  <c r="B1298" i="7"/>
  <c r="B1124" i="7"/>
  <c r="B955" i="7"/>
  <c r="B627" i="7"/>
  <c r="B347" i="7"/>
  <c r="B1315" i="7"/>
  <c r="B1146" i="7"/>
  <c r="B1036" i="7"/>
  <c r="B972" i="7"/>
  <c r="B908" i="7"/>
  <c r="B843" i="7"/>
  <c r="B505" i="7"/>
  <c r="B331" i="7"/>
  <c r="C509" i="7"/>
  <c r="C445" i="7"/>
  <c r="C357" i="7"/>
  <c r="C325" i="7"/>
  <c r="C285" i="7"/>
  <c r="C261" i="7"/>
  <c r="C181" i="7"/>
  <c r="B1513" i="7"/>
  <c r="B1409" i="7"/>
  <c r="B1377" i="7"/>
  <c r="B1345" i="7"/>
  <c r="B1321" i="7"/>
  <c r="B1273" i="7"/>
  <c r="B1193" i="7"/>
  <c r="B1161" i="7"/>
  <c r="B1137" i="7"/>
  <c r="B1113" i="7"/>
  <c r="B1089" i="7"/>
  <c r="B1049" i="7"/>
  <c r="B1009" i="7"/>
  <c r="B977" i="7"/>
  <c r="B953" i="7"/>
  <c r="B913" i="7"/>
  <c r="B881" i="7"/>
  <c r="B857" i="7"/>
  <c r="B707" i="7"/>
  <c r="B579" i="7"/>
  <c r="B474" i="7"/>
  <c r="B410" i="7"/>
  <c r="B323" i="7"/>
  <c r="B259" i="7"/>
  <c r="B177" i="7"/>
  <c r="C484" i="7"/>
  <c r="C452" i="7"/>
  <c r="C428" i="7"/>
  <c r="C404" i="7"/>
  <c r="C372" i="7"/>
  <c r="C276" i="7"/>
  <c r="C244" i="7"/>
  <c r="C212" i="7"/>
  <c r="B1528" i="7"/>
  <c r="B1480" i="7"/>
  <c r="B1440" i="7"/>
  <c r="B1408" i="7"/>
  <c r="B1384" i="7"/>
  <c r="B1360" i="7"/>
  <c r="B1336" i="7"/>
  <c r="B1304" i="7"/>
  <c r="B1272" i="7"/>
  <c r="B1232" i="7"/>
  <c r="B1200" i="7"/>
  <c r="B1160" i="7"/>
  <c r="B1128" i="7"/>
  <c r="B1104" i="7"/>
  <c r="B1072" i="7"/>
  <c r="B976" i="7"/>
  <c r="B952" i="7"/>
  <c r="B920" i="7"/>
  <c r="B880" i="7"/>
  <c r="B834" i="7"/>
  <c r="B642" i="7"/>
  <c r="B514" i="7"/>
  <c r="B258" i="7"/>
  <c r="C491" i="7"/>
  <c r="C467" i="7"/>
  <c r="C435" i="7"/>
  <c r="C331" i="7"/>
  <c r="C299" i="7"/>
  <c r="C219" i="7"/>
  <c r="C195" i="7"/>
  <c r="B1503" i="7"/>
  <c r="B1471" i="7"/>
  <c r="B1415" i="7"/>
  <c r="B1359" i="7"/>
  <c r="B1327" i="7"/>
  <c r="B1295" i="7"/>
  <c r="B1263" i="7"/>
  <c r="B1239" i="7"/>
  <c r="B1167" i="7"/>
  <c r="B1127" i="7"/>
  <c r="B1023" i="7"/>
  <c r="B999" i="7"/>
  <c r="B967" i="7"/>
  <c r="B887" i="7"/>
  <c r="B833" i="7"/>
  <c r="B723" i="7"/>
  <c r="B1326" i="7"/>
  <c r="B1278" i="7"/>
  <c r="B1230" i="7"/>
  <c r="B1206" i="7"/>
  <c r="B1174" i="7"/>
  <c r="B1150" i="7"/>
  <c r="B1118" i="7"/>
  <c r="B1086" i="7"/>
  <c r="B1062" i="7"/>
  <c r="B1030" i="7"/>
  <c r="B942" i="7"/>
  <c r="B870" i="7"/>
  <c r="B722" i="7"/>
  <c r="B635" i="7"/>
  <c r="B489" i="7"/>
  <c r="B443" i="7"/>
  <c r="B297" i="7"/>
  <c r="C465" i="7"/>
  <c r="C417" i="7"/>
  <c r="C377" i="7"/>
  <c r="C321" i="7"/>
  <c r="C265" i="7"/>
  <c r="C233" i="7"/>
  <c r="C185" i="7"/>
  <c r="B1509" i="7"/>
  <c r="B1477" i="7"/>
  <c r="B1381" i="7"/>
  <c r="B1357" i="7"/>
  <c r="B1325" i="7"/>
  <c r="B1269" i="7"/>
  <c r="B1229" i="7"/>
  <c r="B1181" i="7"/>
  <c r="B1141" i="7"/>
  <c r="B1117" i="7"/>
  <c r="B1085" i="7"/>
  <c r="B1053" i="7"/>
  <c r="B1013" i="7"/>
  <c r="B989" i="7"/>
  <c r="B965" i="7"/>
  <c r="B909" i="7"/>
  <c r="B826" i="7"/>
  <c r="B739" i="7"/>
  <c r="B634" i="7"/>
  <c r="B547" i="7"/>
  <c r="B442" i="7"/>
  <c r="B355" i="7"/>
  <c r="B250" i="7"/>
  <c r="B840" i="7"/>
  <c r="B808" i="7"/>
  <c r="B768" i="7"/>
  <c r="B728" i="7"/>
  <c r="B688" i="7"/>
  <c r="B640" i="7"/>
  <c r="B600" i="7"/>
  <c r="B560" i="7"/>
  <c r="B512" i="7"/>
  <c r="B472" i="7"/>
  <c r="B424" i="7"/>
  <c r="B384" i="7"/>
  <c r="B328" i="7"/>
  <c r="B256" i="7"/>
  <c r="B232" i="7"/>
  <c r="B208" i="7"/>
  <c r="B168" i="7"/>
  <c r="B759" i="7"/>
  <c r="B735" i="7"/>
  <c r="B695" i="7"/>
  <c r="B663" i="7"/>
  <c r="B631" i="7"/>
  <c r="B583" i="7"/>
  <c r="B495" i="7"/>
  <c r="B399" i="7"/>
  <c r="B367" i="7"/>
  <c r="B311" i="7"/>
  <c r="B271" i="7"/>
  <c r="B231" i="7"/>
  <c r="B191" i="7"/>
  <c r="B838" i="7"/>
  <c r="B798" i="7"/>
  <c r="B758" i="7"/>
  <c r="B734" i="7"/>
  <c r="B694" i="7"/>
  <c r="B654" i="7"/>
  <c r="B614" i="7"/>
  <c r="B574" i="7"/>
  <c r="B542" i="7"/>
  <c r="B486" i="7"/>
  <c r="B446" i="7"/>
  <c r="B414" i="7"/>
  <c r="B374" i="7"/>
  <c r="B334" i="7"/>
  <c r="B302" i="7"/>
  <c r="B270" i="7"/>
  <c r="B254" i="7"/>
  <c r="B222" i="7"/>
  <c r="B190" i="7"/>
  <c r="B174" i="7"/>
  <c r="B821" i="7"/>
  <c r="B789" i="7"/>
  <c r="B749" i="7"/>
  <c r="B717" i="7"/>
  <c r="B685" i="7"/>
  <c r="B645" i="7"/>
  <c r="B613" i="7"/>
  <c r="B573" i="7"/>
  <c r="B541" i="7"/>
  <c r="B501" i="7"/>
  <c r="B469" i="7"/>
  <c r="B437" i="7"/>
  <c r="B397" i="7"/>
  <c r="B349" i="7"/>
  <c r="B317" i="7"/>
  <c r="B277" i="7"/>
  <c r="B245" i="7"/>
  <c r="B197" i="7"/>
  <c r="B173" i="7"/>
  <c r="B828" i="7"/>
  <c r="B804" i="7"/>
  <c r="B772" i="7"/>
  <c r="B740" i="7"/>
  <c r="B700" i="7"/>
  <c r="B668" i="7"/>
  <c r="B620" i="7"/>
  <c r="B580" i="7"/>
  <c r="B540" i="7"/>
  <c r="B500" i="7"/>
  <c r="B460" i="7"/>
  <c r="B428" i="7"/>
  <c r="B404" i="7"/>
  <c r="B372" i="7"/>
  <c r="B332" i="7"/>
  <c r="B308" i="7"/>
  <c r="B284" i="7"/>
  <c r="B252" i="7"/>
  <c r="B228" i="7"/>
  <c r="B204" i="7"/>
  <c r="B180" i="7"/>
  <c r="A141" i="7"/>
  <c r="A81" i="7"/>
  <c r="H157" i="7"/>
  <c r="H29" i="7"/>
  <c r="G43" i="7"/>
  <c r="F87" i="7"/>
  <c r="C164" i="7"/>
  <c r="A156" i="7"/>
  <c r="A148" i="7"/>
  <c r="A108" i="7"/>
  <c r="A44" i="7"/>
  <c r="A12" i="7"/>
  <c r="H122" i="7"/>
  <c r="H58" i="7"/>
  <c r="G134" i="7"/>
  <c r="G70" i="7"/>
  <c r="F148" i="7"/>
  <c r="F84" i="7"/>
  <c r="E146" i="7"/>
  <c r="D99" i="7"/>
  <c r="B157" i="7"/>
  <c r="A113" i="7"/>
  <c r="H125" i="7"/>
  <c r="G139" i="7"/>
  <c r="G11" i="7"/>
  <c r="F55" i="7"/>
  <c r="D123" i="7"/>
  <c r="A155" i="7"/>
  <c r="A147" i="7"/>
  <c r="A139" i="7"/>
  <c r="A105" i="7"/>
  <c r="A41" i="7"/>
  <c r="H149" i="7"/>
  <c r="H85" i="7"/>
  <c r="H53" i="7"/>
  <c r="G163" i="7"/>
  <c r="G99" i="7"/>
  <c r="G35" i="7"/>
  <c r="F111" i="7"/>
  <c r="F33" i="7"/>
  <c r="D59" i="7"/>
  <c r="B117" i="7"/>
  <c r="A128" i="7"/>
  <c r="H146" i="7"/>
  <c r="G158" i="7"/>
  <c r="F140" i="7"/>
  <c r="E114" i="7"/>
  <c r="C60" i="7"/>
  <c r="B93" i="7"/>
  <c r="A153" i="7"/>
  <c r="A137" i="7"/>
  <c r="A97" i="7"/>
  <c r="A33" i="7"/>
  <c r="H109" i="7"/>
  <c r="H45" i="7"/>
  <c r="G155" i="7"/>
  <c r="G91" i="7"/>
  <c r="G27" i="7"/>
  <c r="F103" i="7"/>
  <c r="E99" i="7"/>
  <c r="A160" i="7"/>
  <c r="A144" i="7"/>
  <c r="A124" i="7"/>
  <c r="A60" i="7"/>
  <c r="H138" i="7"/>
  <c r="H74" i="7"/>
  <c r="H10" i="7"/>
  <c r="G150" i="7"/>
  <c r="G86" i="7"/>
  <c r="G22" i="7"/>
  <c r="F132" i="7"/>
  <c r="F68" i="7"/>
  <c r="B29" i="7"/>
  <c r="A100" i="7"/>
  <c r="G94" i="7"/>
  <c r="A159" i="7"/>
  <c r="A143" i="7"/>
  <c r="A121" i="7"/>
  <c r="A57" i="7"/>
  <c r="H101" i="7"/>
  <c r="H37" i="7"/>
  <c r="G115" i="7"/>
  <c r="G51" i="7"/>
  <c r="F159" i="7"/>
  <c r="F95" i="7"/>
  <c r="E67" i="7"/>
  <c r="A138" i="7"/>
  <c r="H114" i="7"/>
  <c r="G126" i="7"/>
  <c r="F18" i="7"/>
  <c r="A150" i="7"/>
  <c r="A134" i="7"/>
  <c r="A52" i="7"/>
  <c r="H162" i="7"/>
  <c r="H98" i="7"/>
  <c r="H34" i="7"/>
  <c r="G110" i="7"/>
  <c r="G46" i="7"/>
  <c r="F156" i="7"/>
  <c r="F124" i="7"/>
  <c r="F60" i="7"/>
  <c r="D148" i="7"/>
  <c r="A123" i="7"/>
  <c r="A107" i="7"/>
  <c r="A91" i="7"/>
  <c r="A75" i="7"/>
  <c r="A59" i="7"/>
  <c r="A43" i="7"/>
  <c r="A27" i="7"/>
  <c r="A11" i="7"/>
  <c r="H156" i="7"/>
  <c r="H140" i="7"/>
  <c r="H124" i="7"/>
  <c r="H108" i="7"/>
  <c r="H92" i="7"/>
  <c r="H76" i="7"/>
  <c r="H60" i="7"/>
  <c r="H44" i="7"/>
  <c r="H28" i="7"/>
  <c r="H12" i="7"/>
  <c r="G149" i="7"/>
  <c r="G133" i="7"/>
  <c r="G117" i="7"/>
  <c r="G101" i="7"/>
  <c r="G85" i="7"/>
  <c r="G69" i="7"/>
  <c r="G53" i="7"/>
  <c r="G45" i="7"/>
  <c r="G37" i="7"/>
  <c r="G21" i="7"/>
  <c r="F150" i="7"/>
  <c r="F134" i="7"/>
  <c r="F118" i="7"/>
  <c r="F102" i="7"/>
  <c r="F86" i="7"/>
  <c r="F70" i="7"/>
  <c r="F54" i="7"/>
  <c r="E139" i="7"/>
  <c r="E75" i="7"/>
  <c r="E11" i="7"/>
  <c r="D115" i="7"/>
  <c r="C52" i="7"/>
  <c r="B45" i="7"/>
  <c r="A122" i="7"/>
  <c r="A106" i="7"/>
  <c r="A90" i="7"/>
  <c r="A74" i="7"/>
  <c r="A58" i="7"/>
  <c r="A42" i="7"/>
  <c r="A26" i="7"/>
  <c r="A10" i="7"/>
  <c r="H155" i="7"/>
  <c r="H139" i="7"/>
  <c r="H123" i="7"/>
  <c r="H107" i="7"/>
  <c r="H91" i="7"/>
  <c r="H83" i="7"/>
  <c r="H59" i="7"/>
  <c r="H35" i="7"/>
  <c r="H19" i="7"/>
  <c r="H11" i="7"/>
  <c r="G156" i="7"/>
  <c r="G140" i="7"/>
  <c r="G124" i="7"/>
  <c r="G108" i="7"/>
  <c r="G92" i="7"/>
  <c r="G76" i="7"/>
  <c r="G60" i="7"/>
  <c r="G44" i="7"/>
  <c r="G28" i="7"/>
  <c r="G12" i="7"/>
  <c r="F149" i="7"/>
  <c r="F133" i="7"/>
  <c r="F117" i="7"/>
  <c r="F109" i="7"/>
  <c r="F93" i="7"/>
  <c r="F77" i="7"/>
  <c r="F61" i="7"/>
  <c r="F25" i="7"/>
  <c r="E106" i="7"/>
  <c r="E42" i="7"/>
  <c r="D155" i="7"/>
  <c r="D43" i="7"/>
  <c r="C44" i="7"/>
  <c r="A120" i="7"/>
  <c r="A104" i="7"/>
  <c r="A88" i="7"/>
  <c r="A72" i="7"/>
  <c r="A64" i="7"/>
  <c r="A56" i="7"/>
  <c r="A48" i="7"/>
  <c r="A40" i="7"/>
  <c r="A32" i="7"/>
  <c r="A24" i="7"/>
  <c r="A16" i="7"/>
  <c r="H161" i="7"/>
  <c r="H153" i="7"/>
  <c r="D118" i="7"/>
  <c r="D110" i="7"/>
  <c r="D102" i="7"/>
  <c r="D94" i="7"/>
  <c r="D86" i="7"/>
  <c r="D78" i="7"/>
  <c r="D70" i="7"/>
  <c r="D62" i="7"/>
  <c r="D54" i="7"/>
  <c r="D46" i="7"/>
  <c r="D38" i="7"/>
  <c r="D30" i="7"/>
  <c r="D22" i="7"/>
  <c r="D14" i="7"/>
  <c r="C159" i="7"/>
  <c r="C151" i="7"/>
  <c r="C143" i="7"/>
  <c r="C135" i="7"/>
  <c r="C127" i="7"/>
  <c r="C119" i="7"/>
  <c r="C111" i="7"/>
  <c r="C103" i="7"/>
  <c r="C95" i="7"/>
  <c r="C87" i="7"/>
  <c r="C79" i="7"/>
  <c r="C71" i="7"/>
  <c r="C63" i="7"/>
  <c r="C55" i="7"/>
  <c r="C47" i="7"/>
  <c r="C39" i="7"/>
  <c r="C31" i="7"/>
  <c r="C23" i="7"/>
  <c r="C15" i="7"/>
  <c r="B160" i="7"/>
  <c r="B152" i="7"/>
  <c r="B144" i="7"/>
  <c r="B136" i="7"/>
  <c r="B128" i="7"/>
  <c r="B120" i="7"/>
  <c r="B112" i="7"/>
  <c r="B104" i="7"/>
  <c r="B96" i="7"/>
  <c r="B88" i="7"/>
  <c r="B80" i="7"/>
  <c r="B72" i="7"/>
  <c r="B64" i="7"/>
  <c r="B56" i="7"/>
  <c r="B48" i="7"/>
  <c r="B40" i="7"/>
  <c r="B32" i="7"/>
  <c r="B24" i="7"/>
  <c r="B16" i="7"/>
  <c r="B8" i="7"/>
  <c r="F51" i="7"/>
  <c r="F43" i="7"/>
  <c r="F35" i="7"/>
  <c r="F27" i="7"/>
  <c r="F19" i="7"/>
  <c r="F11" i="7"/>
  <c r="E164" i="7"/>
  <c r="E156" i="7"/>
  <c r="E148" i="7"/>
  <c r="E140" i="7"/>
  <c r="E132" i="7"/>
  <c r="E124" i="7"/>
  <c r="E116" i="7"/>
  <c r="E108" i="7"/>
  <c r="E100" i="7"/>
  <c r="E92" i="7"/>
  <c r="E84" i="7"/>
  <c r="E76" i="7"/>
  <c r="E68" i="7"/>
  <c r="E60" i="7"/>
  <c r="E52" i="7"/>
  <c r="E44" i="7"/>
  <c r="E36" i="7"/>
  <c r="E28" i="7"/>
  <c r="E20" i="7"/>
  <c r="E12" i="7"/>
  <c r="D157" i="7"/>
  <c r="D149" i="7"/>
  <c r="D141" i="7"/>
  <c r="D133" i="7"/>
  <c r="D125" i="7"/>
  <c r="D117" i="7"/>
  <c r="D109" i="7"/>
  <c r="D101" i="7"/>
  <c r="D93" i="7"/>
  <c r="D85" i="7"/>
  <c r="D77" i="7"/>
  <c r="D69" i="7"/>
  <c r="D61" i="7"/>
  <c r="D53" i="7"/>
  <c r="D45" i="7"/>
  <c r="D37" i="7"/>
  <c r="D29" i="7"/>
  <c r="D21" i="7"/>
  <c r="D13" i="7"/>
  <c r="C158" i="7"/>
  <c r="C150" i="7"/>
  <c r="C142" i="7"/>
  <c r="C134" i="7"/>
  <c r="C126" i="7"/>
  <c r="C118" i="7"/>
  <c r="C110" i="7"/>
  <c r="C102" i="7"/>
  <c r="C94" i="7"/>
  <c r="C86" i="7"/>
  <c r="C78" i="7"/>
  <c r="C70" i="7"/>
  <c r="C62" i="7"/>
  <c r="C54" i="7"/>
  <c r="C46" i="7"/>
  <c r="C38" i="7"/>
  <c r="C30" i="7"/>
  <c r="C22" i="7"/>
  <c r="C14" i="7"/>
  <c r="B159" i="7"/>
  <c r="B151" i="7"/>
  <c r="B143" i="7"/>
  <c r="B135" i="7"/>
  <c r="B127" i="7"/>
  <c r="B119" i="7"/>
  <c r="B111" i="7"/>
  <c r="B103" i="7"/>
  <c r="B95" i="7"/>
  <c r="B87" i="7"/>
  <c r="B79" i="7"/>
  <c r="B71" i="7"/>
  <c r="B63" i="7"/>
  <c r="B55" i="7"/>
  <c r="B47" i="7"/>
  <c r="B39" i="7"/>
  <c r="B31" i="7"/>
  <c r="B23" i="7"/>
  <c r="B15" i="7"/>
  <c r="D132" i="7"/>
  <c r="D124" i="7"/>
  <c r="D116" i="7"/>
  <c r="D108" i="7"/>
  <c r="D100" i="7"/>
  <c r="D92" i="7"/>
  <c r="D84" i="7"/>
  <c r="D76" i="7"/>
  <c r="D68" i="7"/>
  <c r="D60" i="7"/>
  <c r="D52" i="7"/>
  <c r="D44" i="7"/>
  <c r="D36" i="7"/>
  <c r="D28" i="7"/>
  <c r="D20" i="7"/>
  <c r="D12" i="7"/>
  <c r="C157" i="7"/>
  <c r="C149" i="7"/>
  <c r="C141" i="7"/>
  <c r="C133" i="7"/>
  <c r="C125" i="7"/>
  <c r="C117" i="7"/>
  <c r="C109" i="7"/>
  <c r="C101" i="7"/>
  <c r="C93" i="7"/>
  <c r="C85" i="7"/>
  <c r="C77" i="7"/>
  <c r="C69" i="7"/>
  <c r="C61" i="7"/>
  <c r="C53" i="7"/>
  <c r="C45" i="7"/>
  <c r="C37" i="7"/>
  <c r="C29" i="7"/>
  <c r="C21" i="7"/>
  <c r="C13" i="7"/>
  <c r="B158" i="7"/>
  <c r="B150" i="7"/>
  <c r="B142" i="7"/>
  <c r="B134" i="7"/>
  <c r="B126" i="7"/>
  <c r="B118" i="7"/>
  <c r="B110" i="7"/>
  <c r="B102" i="7"/>
  <c r="B94" i="7"/>
  <c r="B86" i="7"/>
  <c r="B78" i="7"/>
  <c r="B70" i="7"/>
  <c r="B62" i="7"/>
  <c r="B54" i="7"/>
  <c r="B46" i="7"/>
  <c r="B38" i="7"/>
  <c r="B30" i="7"/>
  <c r="B22" i="7"/>
  <c r="B14" i="7"/>
  <c r="A1524" i="7"/>
  <c r="A1396" i="7"/>
  <c r="A1268" i="7"/>
  <c r="A1140" i="7"/>
  <c r="A1044" i="7"/>
  <c r="A916" i="7"/>
  <c r="A756" i="7"/>
  <c r="A660" i="7"/>
  <c r="A532" i="7"/>
  <c r="A468" i="7"/>
  <c r="A195" i="7"/>
  <c r="A1453" i="7"/>
  <c r="A1325" i="7"/>
  <c r="A1197" i="7"/>
  <c r="A1069" i="7"/>
  <c r="A941" i="7"/>
  <c r="A781" i="7"/>
  <c r="A653" i="7"/>
  <c r="A557" i="7"/>
  <c r="A461" i="7"/>
  <c r="A184" i="7"/>
  <c r="A1404" i="7"/>
  <c r="A604" i="7"/>
  <c r="A1525" i="7"/>
  <c r="A1493" i="7"/>
  <c r="A1461" i="7"/>
  <c r="A1429" i="7"/>
  <c r="A1397" i="7"/>
  <c r="A1365" i="7"/>
  <c r="A1333" i="7"/>
  <c r="A1301" i="7"/>
  <c r="A1269" i="7"/>
  <c r="A1237" i="7"/>
  <c r="A1205" i="7"/>
  <c r="A1173" i="7"/>
  <c r="A1141" i="7"/>
  <c r="A1109" i="7"/>
  <c r="A1077" i="7"/>
  <c r="A1045" i="7"/>
  <c r="A1013" i="7"/>
  <c r="A981" i="7"/>
  <c r="A949" i="7"/>
  <c r="A917" i="7"/>
  <c r="A885" i="7"/>
  <c r="A853" i="7"/>
  <c r="A821" i="7"/>
  <c r="A789" i="7"/>
  <c r="A757" i="7"/>
  <c r="A725" i="7"/>
  <c r="A693" i="7"/>
  <c r="A661" i="7"/>
  <c r="A629" i="7"/>
  <c r="A597" i="7"/>
  <c r="A565" i="7"/>
  <c r="A533" i="7"/>
  <c r="A501" i="7"/>
  <c r="A469" i="7"/>
  <c r="A430" i="7"/>
  <c r="A387" i="7"/>
  <c r="A344" i="7"/>
  <c r="A291" i="7"/>
  <c r="A206" i="7"/>
  <c r="H1462" i="7"/>
  <c r="H1376" i="7"/>
  <c r="A1460" i="7"/>
  <c r="A1332" i="7"/>
  <c r="A1204" i="7"/>
  <c r="A1076" i="7"/>
  <c r="A980" i="7"/>
  <c r="A820" i="7"/>
  <c r="A692" i="7"/>
  <c r="A564" i="7"/>
  <c r="A386" i="7"/>
  <c r="H1366" i="7"/>
  <c r="A1517" i="7"/>
  <c r="A1389" i="7"/>
  <c r="A1261" i="7"/>
  <c r="A1165" i="7"/>
  <c r="A1037" i="7"/>
  <c r="A909" i="7"/>
  <c r="A813" i="7"/>
  <c r="A717" i="7"/>
  <c r="A589" i="7"/>
  <c r="A493" i="7"/>
  <c r="A419" i="7"/>
  <c r="H1440" i="7"/>
  <c r="A1516" i="7"/>
  <c r="A1484" i="7"/>
  <c r="A1452" i="7"/>
  <c r="A1420" i="7"/>
  <c r="A1388" i="7"/>
  <c r="A1356" i="7"/>
  <c r="A1324" i="7"/>
  <c r="A1292" i="7"/>
  <c r="A1260" i="7"/>
  <c r="A1228" i="7"/>
  <c r="A1196" i="7"/>
  <c r="A1164" i="7"/>
  <c r="A1132" i="7"/>
  <c r="A1100" i="7"/>
  <c r="A1068" i="7"/>
  <c r="A1036" i="7"/>
  <c r="A1004" i="7"/>
  <c r="A972" i="7"/>
  <c r="A940" i="7"/>
  <c r="A908" i="7"/>
  <c r="A876" i="7"/>
  <c r="A844" i="7"/>
  <c r="A812" i="7"/>
  <c r="A780" i="7"/>
  <c r="A748" i="7"/>
  <c r="A716" i="7"/>
  <c r="A684" i="7"/>
  <c r="A652" i="7"/>
  <c r="A620" i="7"/>
  <c r="A588" i="7"/>
  <c r="A556" i="7"/>
  <c r="A524" i="7"/>
  <c r="A492" i="7"/>
  <c r="A460" i="7"/>
  <c r="A418" i="7"/>
  <c r="A375" i="7"/>
  <c r="A332" i="7"/>
  <c r="A259" i="7"/>
  <c r="A174" i="7"/>
  <c r="H1504" i="7"/>
  <c r="H1430" i="7"/>
  <c r="H1344" i="7"/>
  <c r="A1428" i="7"/>
  <c r="A1300" i="7"/>
  <c r="A1172" i="7"/>
  <c r="A1012" i="7"/>
  <c r="A852" i="7"/>
  <c r="A724" i="7"/>
  <c r="A628" i="7"/>
  <c r="A500" i="7"/>
  <c r="A428" i="7"/>
  <c r="A280" i="7"/>
  <c r="H1526" i="7"/>
  <c r="A1485" i="7"/>
  <c r="A1357" i="7"/>
  <c r="A1229" i="7"/>
  <c r="A1101" i="7"/>
  <c r="A973" i="7"/>
  <c r="A845" i="7"/>
  <c r="A685" i="7"/>
  <c r="A270" i="7"/>
  <c r="H1355" i="7"/>
  <c r="A1509" i="7"/>
  <c r="A1477" i="7"/>
  <c r="A1445" i="7"/>
  <c r="A1413" i="7"/>
  <c r="A1381" i="7"/>
  <c r="A1349" i="7"/>
  <c r="A1317" i="7"/>
  <c r="A1285" i="7"/>
  <c r="A1253" i="7"/>
  <c r="A1221" i="7"/>
  <c r="A1189" i="7"/>
  <c r="A1157" i="7"/>
  <c r="A1125" i="7"/>
  <c r="A1093" i="7"/>
  <c r="A1061" i="7"/>
  <c r="A1029" i="7"/>
  <c r="A997" i="7"/>
  <c r="A965" i="7"/>
  <c r="A933" i="7"/>
  <c r="A901" i="7"/>
  <c r="A869" i="7"/>
  <c r="A837" i="7"/>
  <c r="A805" i="7"/>
  <c r="A773" i="7"/>
  <c r="A741" i="7"/>
  <c r="A709" i="7"/>
  <c r="A677" i="7"/>
  <c r="A645" i="7"/>
  <c r="A613" i="7"/>
  <c r="A581" i="7"/>
  <c r="A549" i="7"/>
  <c r="A517" i="7"/>
  <c r="A485" i="7"/>
  <c r="A451" i="7"/>
  <c r="A408" i="7"/>
  <c r="A366" i="7"/>
  <c r="A323" i="7"/>
  <c r="A248" i="7"/>
  <c r="H1503" i="7"/>
  <c r="H1419" i="7"/>
  <c r="H1334" i="7"/>
  <c r="A376" i="7"/>
  <c r="A1508" i="7"/>
  <c r="A1476" i="7"/>
  <c r="A1444" i="7"/>
  <c r="A1412" i="7"/>
  <c r="A1380" i="7"/>
  <c r="A1348" i="7"/>
  <c r="A1316" i="7"/>
  <c r="A1284" i="7"/>
  <c r="A1252" i="7"/>
  <c r="A1220" i="7"/>
  <c r="A1188" i="7"/>
  <c r="A1156" i="7"/>
  <c r="A1124" i="7"/>
  <c r="A1092" i="7"/>
  <c r="A1060" i="7"/>
  <c r="A1028" i="7"/>
  <c r="A996" i="7"/>
  <c r="A964" i="7"/>
  <c r="A932" i="7"/>
  <c r="A900" i="7"/>
  <c r="A868" i="7"/>
  <c r="A836" i="7"/>
  <c r="A804" i="7"/>
  <c r="A772" i="7"/>
  <c r="A740" i="7"/>
  <c r="A708" i="7"/>
  <c r="A676" i="7"/>
  <c r="A644" i="7"/>
  <c r="A612" i="7"/>
  <c r="A580" i="7"/>
  <c r="A548" i="7"/>
  <c r="A516" i="7"/>
  <c r="A484" i="7"/>
  <c r="A450" i="7"/>
  <c r="A407" i="7"/>
  <c r="A364" i="7"/>
  <c r="A322" i="7"/>
  <c r="A238" i="7"/>
  <c r="H1494" i="7"/>
  <c r="H1408" i="7"/>
  <c r="A884" i="7"/>
  <c r="A1501" i="7"/>
  <c r="A1469" i="7"/>
  <c r="A1437" i="7"/>
  <c r="A1405" i="7"/>
  <c r="A1373" i="7"/>
  <c r="A1341" i="7"/>
  <c r="A1309" i="7"/>
  <c r="A1277" i="7"/>
  <c r="A1245" i="7"/>
  <c r="A1213" i="7"/>
  <c r="A1181" i="7"/>
  <c r="A1149" i="7"/>
  <c r="A1117" i="7"/>
  <c r="A1085" i="7"/>
  <c r="A1053" i="7"/>
  <c r="A1021" i="7"/>
  <c r="A989" i="7"/>
  <c r="A957" i="7"/>
  <c r="A925" i="7"/>
  <c r="A893" i="7"/>
  <c r="A861" i="7"/>
  <c r="A829" i="7"/>
  <c r="A797" i="7"/>
  <c r="A765" i="7"/>
  <c r="A733" i="7"/>
  <c r="A701" i="7"/>
  <c r="A669" i="7"/>
  <c r="A637" i="7"/>
  <c r="A605" i="7"/>
  <c r="A573" i="7"/>
  <c r="A541" i="7"/>
  <c r="A509" i="7"/>
  <c r="A477" i="7"/>
  <c r="A440" i="7"/>
  <c r="A398" i="7"/>
  <c r="A355" i="7"/>
  <c r="A312" i="7"/>
  <c r="A227" i="7"/>
  <c r="H1483" i="7"/>
  <c r="H1398" i="7"/>
  <c r="A1492" i="7"/>
  <c r="A1364" i="7"/>
  <c r="A1236" i="7"/>
  <c r="A1108" i="7"/>
  <c r="A948" i="7"/>
  <c r="A788" i="7"/>
  <c r="A596" i="7"/>
  <c r="A343" i="7"/>
  <c r="H1451" i="7"/>
  <c r="A1421" i="7"/>
  <c r="A1293" i="7"/>
  <c r="A1133" i="7"/>
  <c r="A1005" i="7"/>
  <c r="A877" i="7"/>
  <c r="A749" i="7"/>
  <c r="A621" i="7"/>
  <c r="A525" i="7"/>
  <c r="A334" i="7"/>
  <c r="H1515" i="7"/>
  <c r="A1500" i="7"/>
  <c r="A1468" i="7"/>
  <c r="A1436" i="7"/>
  <c r="A1372" i="7"/>
  <c r="A1340" i="7"/>
  <c r="A1308" i="7"/>
  <c r="A1276" i="7"/>
  <c r="A1244" i="7"/>
  <c r="A1212" i="7"/>
  <c r="A1180" i="7"/>
  <c r="A1148" i="7"/>
  <c r="A1116" i="7"/>
  <c r="A1084" i="7"/>
  <c r="A1052" i="7"/>
  <c r="A1020" i="7"/>
  <c r="A988" i="7"/>
  <c r="A956" i="7"/>
  <c r="A924" i="7"/>
  <c r="A892" i="7"/>
  <c r="A860" i="7"/>
  <c r="A828" i="7"/>
  <c r="A796" i="7"/>
  <c r="A764" i="7"/>
  <c r="A732" i="7"/>
  <c r="A700" i="7"/>
  <c r="A668" i="7"/>
  <c r="A636" i="7"/>
  <c r="A572" i="7"/>
  <c r="A540" i="7"/>
  <c r="A508" i="7"/>
  <c r="A476" i="7"/>
  <c r="A439" i="7"/>
  <c r="A396" i="7"/>
  <c r="A354" i="7"/>
  <c r="A302" i="7"/>
  <c r="A216" i="7"/>
  <c r="H1472" i="7"/>
  <c r="H1387" i="7"/>
  <c r="A1526" i="7"/>
  <c r="A1518" i="7"/>
  <c r="A1510" i="7"/>
  <c r="A1502" i="7"/>
  <c r="A1494" i="7"/>
  <c r="A1486" i="7"/>
  <c r="A1478" i="7"/>
  <c r="A1470" i="7"/>
  <c r="A1462" i="7"/>
  <c r="A1454" i="7"/>
  <c r="A1446" i="7"/>
  <c r="A1438" i="7"/>
  <c r="A1430" i="7"/>
  <c r="A1422" i="7"/>
  <c r="A1414" i="7"/>
  <c r="A1406" i="7"/>
  <c r="A1398" i="7"/>
  <c r="A1390" i="7"/>
  <c r="A1382" i="7"/>
  <c r="A1374" i="7"/>
  <c r="A1366" i="7"/>
  <c r="A1358" i="7"/>
  <c r="A1350" i="7"/>
  <c r="A1342" i="7"/>
  <c r="A1334" i="7"/>
  <c r="A1326" i="7"/>
  <c r="A1318" i="7"/>
  <c r="A1310" i="7"/>
  <c r="A1302" i="7"/>
  <c r="A1294" i="7"/>
  <c r="A1286" i="7"/>
  <c r="A1278" i="7"/>
  <c r="A1270" i="7"/>
  <c r="A1262" i="7"/>
  <c r="A1254" i="7"/>
  <c r="A1246" i="7"/>
  <c r="A1238" i="7"/>
  <c r="A1230" i="7"/>
  <c r="A1222" i="7"/>
  <c r="A1214" i="7"/>
  <c r="A1206" i="7"/>
  <c r="A1198" i="7"/>
  <c r="A1190" i="7"/>
  <c r="A1182" i="7"/>
  <c r="A1174" i="7"/>
  <c r="A1166" i="7"/>
  <c r="A1158" i="7"/>
  <c r="A1150" i="7"/>
  <c r="A1142" i="7"/>
  <c r="A1134" i="7"/>
  <c r="A1126" i="7"/>
  <c r="A1118" i="7"/>
  <c r="A1110" i="7"/>
  <c r="A1102" i="7"/>
  <c r="A1094" i="7"/>
  <c r="A1086" i="7"/>
  <c r="A1078" i="7"/>
  <c r="A1070" i="7"/>
  <c r="A1062" i="7"/>
  <c r="A1054" i="7"/>
  <c r="A1046" i="7"/>
  <c r="A1038" i="7"/>
  <c r="A1030" i="7"/>
  <c r="A1022" i="7"/>
  <c r="A1014" i="7"/>
  <c r="A1006" i="7"/>
  <c r="A998" i="7"/>
  <c r="A990" i="7"/>
  <c r="A982" i="7"/>
  <c r="A974" i="7"/>
  <c r="A966" i="7"/>
  <c r="A958" i="7"/>
  <c r="A950" i="7"/>
  <c r="A942" i="7"/>
  <c r="A934" i="7"/>
  <c r="A926" i="7"/>
  <c r="A918" i="7"/>
  <c r="A910" i="7"/>
  <c r="A902" i="7"/>
  <c r="A894" i="7"/>
  <c r="A886" i="7"/>
  <c r="A878" i="7"/>
  <c r="A870" i="7"/>
  <c r="A862" i="7"/>
  <c r="A854" i="7"/>
  <c r="A846" i="7"/>
  <c r="A838" i="7"/>
  <c r="A830" i="7"/>
  <c r="A822" i="7"/>
  <c r="A814" i="7"/>
  <c r="A806" i="7"/>
  <c r="A798" i="7"/>
  <c r="A790" i="7"/>
  <c r="A782" i="7"/>
  <c r="A774" i="7"/>
  <c r="A766" i="7"/>
  <c r="A758" i="7"/>
  <c r="A750" i="7"/>
  <c r="A742" i="7"/>
  <c r="A734" i="7"/>
  <c r="A726" i="7"/>
  <c r="A718" i="7"/>
  <c r="A710" i="7"/>
  <c r="A702" i="7"/>
  <c r="A694" i="7"/>
  <c r="A686" i="7"/>
  <c r="A678" i="7"/>
  <c r="A670" i="7"/>
  <c r="A662" i="7"/>
  <c r="A654" i="7"/>
  <c r="A646" i="7"/>
  <c r="A638" i="7"/>
  <c r="A630" i="7"/>
  <c r="A622" i="7"/>
  <c r="A614" i="7"/>
  <c r="A606" i="7"/>
  <c r="A598" i="7"/>
  <c r="A590" i="7"/>
  <c r="A582" i="7"/>
  <c r="A574" i="7"/>
  <c r="A566" i="7"/>
  <c r="A558" i="7"/>
  <c r="A550" i="7"/>
  <c r="A542" i="7"/>
  <c r="A534" i="7"/>
  <c r="A526" i="7"/>
  <c r="A518" i="7"/>
  <c r="A510" i="7"/>
  <c r="A502" i="7"/>
  <c r="A494" i="7"/>
  <c r="A486" i="7"/>
  <c r="A478" i="7"/>
  <c r="A470" i="7"/>
  <c r="A462" i="7"/>
  <c r="A452" i="7"/>
  <c r="A442" i="7"/>
  <c r="A431" i="7"/>
  <c r="A420" i="7"/>
  <c r="A410" i="7"/>
  <c r="A399" i="7"/>
  <c r="A388" i="7"/>
  <c r="A378" i="7"/>
  <c r="A367" i="7"/>
  <c r="A356" i="7"/>
  <c r="A346" i="7"/>
  <c r="A335" i="7"/>
  <c r="A324" i="7"/>
  <c r="A314" i="7"/>
  <c r="A303" i="7"/>
  <c r="A292" i="7"/>
  <c r="A282" i="7"/>
  <c r="A271" i="7"/>
  <c r="A260" i="7"/>
  <c r="A250" i="7"/>
  <c r="A239" i="7"/>
  <c r="A228" i="7"/>
  <c r="A218" i="7"/>
  <c r="A207" i="7"/>
  <c r="A196" i="7"/>
  <c r="A186" i="7"/>
  <c r="A175" i="7"/>
  <c r="H1527" i="7"/>
  <c r="H1516" i="7"/>
  <c r="H1506" i="7"/>
  <c r="H1495" i="7"/>
  <c r="H1484" i="7"/>
  <c r="H1474" i="7"/>
  <c r="H1463" i="7"/>
  <c r="H1452" i="7"/>
  <c r="H1442" i="7"/>
  <c r="H1431" i="7"/>
  <c r="H1420" i="7"/>
  <c r="H1410" i="7"/>
  <c r="H1399" i="7"/>
  <c r="H1388" i="7"/>
  <c r="H1378" i="7"/>
  <c r="H1367" i="7"/>
  <c r="H1356" i="7"/>
  <c r="H1346" i="7"/>
  <c r="H1335" i="7"/>
  <c r="H1324" i="7"/>
  <c r="H1314" i="7"/>
  <c r="H1302" i="7"/>
  <c r="H1290" i="7"/>
  <c r="H1276" i="7"/>
  <c r="H1264" i="7"/>
  <c r="H1251" i="7"/>
  <c r="H1235" i="7"/>
  <c r="H1219" i="7"/>
  <c r="H1203" i="7"/>
  <c r="H1187" i="7"/>
  <c r="H1171" i="7"/>
  <c r="H1155" i="7"/>
  <c r="H1139" i="7"/>
  <c r="H1123" i="7"/>
  <c r="H1107" i="7"/>
  <c r="H1091" i="7"/>
  <c r="H1075" i="7"/>
  <c r="H1059" i="7"/>
  <c r="H1043" i="7"/>
  <c r="H1027" i="7"/>
  <c r="H1011" i="7"/>
  <c r="H995" i="7"/>
  <c r="H979" i="7"/>
  <c r="H963" i="7"/>
  <c r="H947" i="7"/>
  <c r="H931" i="7"/>
  <c r="H915" i="7"/>
  <c r="H899" i="7"/>
  <c r="H883" i="7"/>
  <c r="H867" i="7"/>
  <c r="H851" i="7"/>
  <c r="H835" i="7"/>
  <c r="H819" i="7"/>
  <c r="H803" i="7"/>
  <c r="H786" i="7"/>
  <c r="H755" i="7"/>
  <c r="H723" i="7"/>
  <c r="H691" i="7"/>
  <c r="H659" i="7"/>
  <c r="H627" i="7"/>
  <c r="H595" i="7"/>
  <c r="H563" i="7"/>
  <c r="H531" i="7"/>
  <c r="H499" i="7"/>
  <c r="H467" i="7"/>
  <c r="H435" i="7"/>
  <c r="H403" i="7"/>
  <c r="H371" i="7"/>
  <c r="H339" i="7"/>
  <c r="H307" i="7"/>
  <c r="H275" i="7"/>
  <c r="H243" i="7"/>
  <c r="H211" i="7"/>
  <c r="H179" i="7"/>
  <c r="G1529" i="7"/>
  <c r="G1486" i="7"/>
  <c r="G1443" i="7"/>
  <c r="G1401" i="7"/>
  <c r="G1358" i="7"/>
  <c r="G1315" i="7"/>
  <c r="G1273" i="7"/>
  <c r="G1230" i="7"/>
  <c r="G1187" i="7"/>
  <c r="G1141" i="7"/>
  <c r="G1089" i="7"/>
  <c r="G1038" i="7"/>
  <c r="G986" i="7"/>
  <c r="G929" i="7"/>
  <c r="G854" i="7"/>
  <c r="G726" i="7"/>
  <c r="G598" i="7"/>
  <c r="G470" i="7"/>
  <c r="G342" i="7"/>
  <c r="G214" i="7"/>
  <c r="F1482" i="7"/>
  <c r="F1354" i="7"/>
  <c r="F1226" i="7"/>
  <c r="F1098" i="7"/>
  <c r="F958" i="7"/>
  <c r="F787" i="7"/>
  <c r="F617" i="7"/>
  <c r="F402" i="7"/>
  <c r="E1346" i="7"/>
  <c r="E517" i="7"/>
  <c r="D1013" i="7"/>
  <c r="H1323" i="7"/>
  <c r="H1312" i="7"/>
  <c r="H1300" i="7"/>
  <c r="H1288" i="7"/>
  <c r="H1275" i="7"/>
  <c r="H1262" i="7"/>
  <c r="H1250" i="7"/>
  <c r="H1234" i="7"/>
  <c r="H1218" i="7"/>
  <c r="H1202" i="7"/>
  <c r="H1186" i="7"/>
  <c r="H1170" i="7"/>
  <c r="H1154" i="7"/>
  <c r="H1138" i="7"/>
  <c r="H1122" i="7"/>
  <c r="H1106" i="7"/>
  <c r="H1090" i="7"/>
  <c r="H1074" i="7"/>
  <c r="H1058" i="7"/>
  <c r="H1042" i="7"/>
  <c r="H1026" i="7"/>
  <c r="H1010" i="7"/>
  <c r="H994" i="7"/>
  <c r="H978" i="7"/>
  <c r="H962" i="7"/>
  <c r="H946" i="7"/>
  <c r="H930" i="7"/>
  <c r="H914" i="7"/>
  <c r="H898" i="7"/>
  <c r="H882" i="7"/>
  <c r="H866" i="7"/>
  <c r="H850" i="7"/>
  <c r="H834" i="7"/>
  <c r="H818" i="7"/>
  <c r="H802" i="7"/>
  <c r="H784" i="7"/>
  <c r="H754" i="7"/>
  <c r="H722" i="7"/>
  <c r="H690" i="7"/>
  <c r="H658" i="7"/>
  <c r="H626" i="7"/>
  <c r="H594" i="7"/>
  <c r="H562" i="7"/>
  <c r="H530" i="7"/>
  <c r="H498" i="7"/>
  <c r="H466" i="7"/>
  <c r="H434" i="7"/>
  <c r="H402" i="7"/>
  <c r="H370" i="7"/>
  <c r="H338" i="7"/>
  <c r="H306" i="7"/>
  <c r="H274" i="7"/>
  <c r="H242" i="7"/>
  <c r="H210" i="7"/>
  <c r="H178" i="7"/>
  <c r="G1519" i="7"/>
  <c r="G1477" i="7"/>
  <c r="G1434" i="7"/>
  <c r="G1391" i="7"/>
  <c r="G1349" i="7"/>
  <c r="G1306" i="7"/>
  <c r="G1263" i="7"/>
  <c r="G1221" i="7"/>
  <c r="G1178" i="7"/>
  <c r="G1129" i="7"/>
  <c r="G1078" i="7"/>
  <c r="G1026" i="7"/>
  <c r="G975" i="7"/>
  <c r="G914" i="7"/>
  <c r="G823" i="7"/>
  <c r="G695" i="7"/>
  <c r="G567" i="7"/>
  <c r="G439" i="7"/>
  <c r="G311" i="7"/>
  <c r="G183" i="7"/>
  <c r="F1475" i="7"/>
  <c r="F1347" i="7"/>
  <c r="F1219" i="7"/>
  <c r="F1091" i="7"/>
  <c r="F949" i="7"/>
  <c r="F778" i="7"/>
  <c r="F607" i="7"/>
  <c r="F382" i="7"/>
  <c r="E1220" i="7"/>
  <c r="A311" i="7"/>
  <c r="A300" i="7"/>
  <c r="A290" i="7"/>
  <c r="A279" i="7"/>
  <c r="A268" i="7"/>
  <c r="A258" i="7"/>
  <c r="A247" i="7"/>
  <c r="A236" i="7"/>
  <c r="A226" i="7"/>
  <c r="A215" i="7"/>
  <c r="A204" i="7"/>
  <c r="A194" i="7"/>
  <c r="A183" i="7"/>
  <c r="A172" i="7"/>
  <c r="H1524" i="7"/>
  <c r="H1514" i="7"/>
  <c r="H1492" i="7"/>
  <c r="H1482" i="7"/>
  <c r="H1471" i="7"/>
  <c r="H1460" i="7"/>
  <c r="H1450" i="7"/>
  <c r="H1439" i="7"/>
  <c r="H1428" i="7"/>
  <c r="H1418" i="7"/>
  <c r="H1407" i="7"/>
  <c r="H1396" i="7"/>
  <c r="H1386" i="7"/>
  <c r="H1375" i="7"/>
  <c r="H1364" i="7"/>
  <c r="H1354" i="7"/>
  <c r="H1343" i="7"/>
  <c r="H1332" i="7"/>
  <c r="H1322" i="7"/>
  <c r="H1311" i="7"/>
  <c r="H1299" i="7"/>
  <c r="H1286" i="7"/>
  <c r="H1274" i="7"/>
  <c r="H1260" i="7"/>
  <c r="H1248" i="7"/>
  <c r="H1232" i="7"/>
  <c r="H1216" i="7"/>
  <c r="H1200" i="7"/>
  <c r="H1184" i="7"/>
  <c r="H1168" i="7"/>
  <c r="H1152" i="7"/>
  <c r="H1136" i="7"/>
  <c r="H1120" i="7"/>
  <c r="H1104" i="7"/>
  <c r="H1088" i="7"/>
  <c r="H1072" i="7"/>
  <c r="H1056" i="7"/>
  <c r="H1040" i="7"/>
  <c r="H1024" i="7"/>
  <c r="H1008" i="7"/>
  <c r="H992" i="7"/>
  <c r="H976" i="7"/>
  <c r="H960" i="7"/>
  <c r="H944" i="7"/>
  <c r="H928" i="7"/>
  <c r="H912" i="7"/>
  <c r="H896" i="7"/>
  <c r="H880" i="7"/>
  <c r="H864" i="7"/>
  <c r="H848" i="7"/>
  <c r="H832" i="7"/>
  <c r="H816" i="7"/>
  <c r="H800" i="7"/>
  <c r="H779" i="7"/>
  <c r="H747" i="7"/>
  <c r="H715" i="7"/>
  <c r="H683" i="7"/>
  <c r="H651" i="7"/>
  <c r="H619" i="7"/>
  <c r="H587" i="7"/>
  <c r="H555" i="7"/>
  <c r="H523" i="7"/>
  <c r="H491" i="7"/>
  <c r="H459" i="7"/>
  <c r="H427" i="7"/>
  <c r="H395" i="7"/>
  <c r="H363" i="7"/>
  <c r="H331" i="7"/>
  <c r="H299" i="7"/>
  <c r="H267" i="7"/>
  <c r="H235" i="7"/>
  <c r="H203" i="7"/>
  <c r="H171" i="7"/>
  <c r="G1518" i="7"/>
  <c r="G1475" i="7"/>
  <c r="G1433" i="7"/>
  <c r="G1390" i="7"/>
  <c r="G1347" i="7"/>
  <c r="G1305" i="7"/>
  <c r="G1262" i="7"/>
  <c r="G1219" i="7"/>
  <c r="G1177" i="7"/>
  <c r="G1127" i="7"/>
  <c r="G1077" i="7"/>
  <c r="G1025" i="7"/>
  <c r="G974" i="7"/>
  <c r="G913" i="7"/>
  <c r="G822" i="7"/>
  <c r="G694" i="7"/>
  <c r="G566" i="7"/>
  <c r="G438" i="7"/>
  <c r="G310" i="7"/>
  <c r="G182" i="7"/>
  <c r="F1450" i="7"/>
  <c r="F1322" i="7"/>
  <c r="F1194" i="7"/>
  <c r="F1066" i="7"/>
  <c r="F915" i="7"/>
  <c r="F745" i="7"/>
  <c r="F567" i="7"/>
  <c r="F317" i="7"/>
  <c r="E1210" i="7"/>
  <c r="A1531" i="7"/>
  <c r="A1523" i="7"/>
  <c r="A1515" i="7"/>
  <c r="A1507" i="7"/>
  <c r="A1499" i="7"/>
  <c r="A1491" i="7"/>
  <c r="A1483" i="7"/>
  <c r="A1475" i="7"/>
  <c r="A1467" i="7"/>
  <c r="A1459" i="7"/>
  <c r="A1451" i="7"/>
  <c r="A1443" i="7"/>
  <c r="A1435" i="7"/>
  <c r="A1427" i="7"/>
  <c r="A1419" i="7"/>
  <c r="A1411" i="7"/>
  <c r="A1403" i="7"/>
  <c r="A1395" i="7"/>
  <c r="A1387" i="7"/>
  <c r="A1379" i="7"/>
  <c r="A1371" i="7"/>
  <c r="A1363" i="7"/>
  <c r="A1355" i="7"/>
  <c r="A1347" i="7"/>
  <c r="A1339" i="7"/>
  <c r="A1331" i="7"/>
  <c r="A1323" i="7"/>
  <c r="A1315" i="7"/>
  <c r="A1307" i="7"/>
  <c r="A1299" i="7"/>
  <c r="A1291" i="7"/>
  <c r="A1283" i="7"/>
  <c r="A1275" i="7"/>
  <c r="A1267" i="7"/>
  <c r="A1259" i="7"/>
  <c r="A1251" i="7"/>
  <c r="A1243" i="7"/>
  <c r="A1235" i="7"/>
  <c r="A1227" i="7"/>
  <c r="A1219" i="7"/>
  <c r="A1211" i="7"/>
  <c r="A1203" i="7"/>
  <c r="A1195" i="7"/>
  <c r="A1187" i="7"/>
  <c r="A1179" i="7"/>
  <c r="A1171" i="7"/>
  <c r="H1130" i="7"/>
  <c r="H1114" i="7"/>
  <c r="H1098" i="7"/>
  <c r="H1082" i="7"/>
  <c r="H1066" i="7"/>
  <c r="H1050" i="7"/>
  <c r="H1034" i="7"/>
  <c r="H1018" i="7"/>
  <c r="H1002" i="7"/>
  <c r="H986" i="7"/>
  <c r="H970" i="7"/>
  <c r="H954" i="7"/>
  <c r="H938" i="7"/>
  <c r="H922" i="7"/>
  <c r="H906" i="7"/>
  <c r="H890" i="7"/>
  <c r="H874" i="7"/>
  <c r="H858" i="7"/>
  <c r="H842" i="7"/>
  <c r="H826" i="7"/>
  <c r="H810" i="7"/>
  <c r="H794" i="7"/>
  <c r="H770" i="7"/>
  <c r="H738" i="7"/>
  <c r="H706" i="7"/>
  <c r="H674" i="7"/>
  <c r="H642" i="7"/>
  <c r="H610" i="7"/>
  <c r="H578" i="7"/>
  <c r="H546" i="7"/>
  <c r="H514" i="7"/>
  <c r="H482" i="7"/>
  <c r="H450" i="7"/>
  <c r="H418" i="7"/>
  <c r="H386" i="7"/>
  <c r="H354" i="7"/>
  <c r="H322" i="7"/>
  <c r="H290" i="7"/>
  <c r="H258" i="7"/>
  <c r="H226" i="7"/>
  <c r="H194" i="7"/>
  <c r="G1498" i="7"/>
  <c r="G1455" i="7"/>
  <c r="G1413" i="7"/>
  <c r="G1370" i="7"/>
  <c r="G1327" i="7"/>
  <c r="G1285" i="7"/>
  <c r="G1242" i="7"/>
  <c r="G1199" i="7"/>
  <c r="G1154" i="7"/>
  <c r="G1103" i="7"/>
  <c r="G1053" i="7"/>
  <c r="G1001" i="7"/>
  <c r="G946" i="7"/>
  <c r="G882" i="7"/>
  <c r="G759" i="7"/>
  <c r="G631" i="7"/>
  <c r="G503" i="7"/>
  <c r="G375" i="7"/>
  <c r="G247" i="7"/>
  <c r="F1411" i="7"/>
  <c r="F1283" i="7"/>
  <c r="F1155" i="7"/>
  <c r="F1027" i="7"/>
  <c r="F863" i="7"/>
  <c r="F693" i="7"/>
  <c r="F506" i="7"/>
  <c r="F181" i="7"/>
  <c r="E1481" i="7"/>
  <c r="E853" i="7"/>
  <c r="A1528" i="7"/>
  <c r="A1520" i="7"/>
  <c r="A1512" i="7"/>
  <c r="A1504" i="7"/>
  <c r="A1496" i="7"/>
  <c r="A1488" i="7"/>
  <c r="A1480" i="7"/>
  <c r="A1472" i="7"/>
  <c r="A1464" i="7"/>
  <c r="A1456" i="7"/>
  <c r="A1448" i="7"/>
  <c r="A1440" i="7"/>
  <c r="A1432" i="7"/>
  <c r="A1424" i="7"/>
  <c r="A1416" i="7"/>
  <c r="A1408" i="7"/>
  <c r="A1400" i="7"/>
  <c r="A1392" i="7"/>
  <c r="A1384" i="7"/>
  <c r="A1376" i="7"/>
  <c r="A1368" i="7"/>
  <c r="A1360" i="7"/>
  <c r="A1352" i="7"/>
  <c r="A1344" i="7"/>
  <c r="A1336" i="7"/>
  <c r="A1328" i="7"/>
  <c r="A1320" i="7"/>
  <c r="A1312" i="7"/>
  <c r="A1304" i="7"/>
  <c r="A1296" i="7"/>
  <c r="A1288" i="7"/>
  <c r="A1280" i="7"/>
  <c r="A1272" i="7"/>
  <c r="A1264" i="7"/>
  <c r="A1256" i="7"/>
  <c r="A1248" i="7"/>
  <c r="A1240" i="7"/>
  <c r="A1232" i="7"/>
  <c r="A1224" i="7"/>
  <c r="A1216" i="7"/>
  <c r="A1208" i="7"/>
  <c r="A1200" i="7"/>
  <c r="A1192" i="7"/>
  <c r="A1184" i="7"/>
  <c r="A1176" i="7"/>
  <c r="A1168" i="7"/>
  <c r="A1160" i="7"/>
  <c r="A1152" i="7"/>
  <c r="A1144" i="7"/>
  <c r="A1136" i="7"/>
  <c r="A1128" i="7"/>
  <c r="A1120" i="7"/>
  <c r="A1112" i="7"/>
  <c r="A1104" i="7"/>
  <c r="A1096" i="7"/>
  <c r="A1088" i="7"/>
  <c r="A1080" i="7"/>
  <c r="A1072" i="7"/>
  <c r="A1064" i="7"/>
  <c r="A1056" i="7"/>
  <c r="A1048" i="7"/>
  <c r="A1040" i="7"/>
  <c r="A1032" i="7"/>
  <c r="A1024" i="7"/>
  <c r="A1016" i="7"/>
  <c r="A1008" i="7"/>
  <c r="A1000" i="7"/>
  <c r="A992" i="7"/>
  <c r="A984" i="7"/>
  <c r="A976" i="7"/>
  <c r="A968" i="7"/>
  <c r="A960" i="7"/>
  <c r="A952" i="7"/>
  <c r="A944" i="7"/>
  <c r="A936" i="7"/>
  <c r="A928" i="7"/>
  <c r="A920" i="7"/>
  <c r="A912" i="7"/>
  <c r="A904" i="7"/>
  <c r="A896" i="7"/>
  <c r="A888" i="7"/>
  <c r="A880" i="7"/>
  <c r="A872" i="7"/>
  <c r="A864" i="7"/>
  <c r="A856" i="7"/>
  <c r="A848" i="7"/>
  <c r="A840" i="7"/>
  <c r="A832" i="7"/>
  <c r="A824" i="7"/>
  <c r="A816" i="7"/>
  <c r="A808" i="7"/>
  <c r="A800" i="7"/>
  <c r="A792" i="7"/>
  <c r="A784" i="7"/>
  <c r="A776" i="7"/>
  <c r="A768" i="7"/>
  <c r="A760" i="7"/>
  <c r="A752" i="7"/>
  <c r="A744" i="7"/>
  <c r="A736" i="7"/>
  <c r="A728" i="7"/>
  <c r="A720" i="7"/>
  <c r="A712" i="7"/>
  <c r="A704" i="7"/>
  <c r="A696" i="7"/>
  <c r="A688" i="7"/>
  <c r="A680" i="7"/>
  <c r="A672" i="7"/>
  <c r="A664" i="7"/>
  <c r="A656" i="7"/>
  <c r="A648" i="7"/>
  <c r="A640" i="7"/>
  <c r="A632" i="7"/>
  <c r="A624" i="7"/>
  <c r="A616" i="7"/>
  <c r="A608" i="7"/>
  <c r="A600" i="7"/>
  <c r="A592" i="7"/>
  <c r="A584" i="7"/>
  <c r="A576" i="7"/>
  <c r="A568" i="7"/>
  <c r="A560" i="7"/>
  <c r="A552" i="7"/>
  <c r="A544" i="7"/>
  <c r="A536" i="7"/>
  <c r="A528" i="7"/>
  <c r="A520" i="7"/>
  <c r="A512" i="7"/>
  <c r="A504" i="7"/>
  <c r="A496" i="7"/>
  <c r="A488" i="7"/>
  <c r="A480" i="7"/>
  <c r="A472" i="7"/>
  <c r="A464" i="7"/>
  <c r="A455" i="7"/>
  <c r="A444" i="7"/>
  <c r="A434" i="7"/>
  <c r="A423" i="7"/>
  <c r="A412" i="7"/>
  <c r="A402" i="7"/>
  <c r="A391" i="7"/>
  <c r="A380" i="7"/>
  <c r="A370" i="7"/>
  <c r="A359" i="7"/>
  <c r="A348" i="7"/>
  <c r="A338" i="7"/>
  <c r="A327" i="7"/>
  <c r="A316" i="7"/>
  <c r="A306" i="7"/>
  <c r="A295" i="7"/>
  <c r="A284" i="7"/>
  <c r="A274" i="7"/>
  <c r="A263" i="7"/>
  <c r="A252" i="7"/>
  <c r="A242" i="7"/>
  <c r="A231" i="7"/>
  <c r="A220" i="7"/>
  <c r="A210" i="7"/>
  <c r="A199" i="7"/>
  <c r="A188" i="7"/>
  <c r="A178" i="7"/>
  <c r="A167" i="7"/>
  <c r="H1530" i="7"/>
  <c r="H1519" i="7"/>
  <c r="H1508" i="7"/>
  <c r="H1498" i="7"/>
  <c r="H1487" i="7"/>
  <c r="H1476" i="7"/>
  <c r="H1466" i="7"/>
  <c r="H1455" i="7"/>
  <c r="H1444" i="7"/>
  <c r="H1434" i="7"/>
  <c r="H1423" i="7"/>
  <c r="H1412" i="7"/>
  <c r="H1402" i="7"/>
  <c r="H1391" i="7"/>
  <c r="H1380" i="7"/>
  <c r="H1370" i="7"/>
  <c r="H1359" i="7"/>
  <c r="H1348" i="7"/>
  <c r="H1338" i="7"/>
  <c r="H1327" i="7"/>
  <c r="H1316" i="7"/>
  <c r="H1306" i="7"/>
  <c r="H1292" i="7"/>
  <c r="H1280" i="7"/>
  <c r="H1267" i="7"/>
  <c r="H1254" i="7"/>
  <c r="H1240" i="7"/>
  <c r="H1224" i="7"/>
  <c r="H1208" i="7"/>
  <c r="H1192" i="7"/>
  <c r="H1176" i="7"/>
  <c r="H1160" i="7"/>
  <c r="H1144" i="7"/>
  <c r="H1128" i="7"/>
  <c r="H1112" i="7"/>
  <c r="H1096" i="7"/>
  <c r="H1080" i="7"/>
  <c r="H1064" i="7"/>
  <c r="H1048" i="7"/>
  <c r="H1032" i="7"/>
  <c r="H1016" i="7"/>
  <c r="H1000" i="7"/>
  <c r="H984" i="7"/>
  <c r="H968" i="7"/>
  <c r="H952" i="7"/>
  <c r="H936" i="7"/>
  <c r="H920" i="7"/>
  <c r="H904" i="7"/>
  <c r="H888" i="7"/>
  <c r="H872" i="7"/>
  <c r="H856" i="7"/>
  <c r="H840" i="7"/>
  <c r="H824" i="7"/>
  <c r="H808" i="7"/>
  <c r="H792" i="7"/>
  <c r="H763" i="7"/>
  <c r="H731" i="7"/>
  <c r="H699" i="7"/>
  <c r="H667" i="7"/>
  <c r="H635" i="7"/>
  <c r="H603" i="7"/>
  <c r="H571" i="7"/>
  <c r="H539" i="7"/>
  <c r="H507" i="7"/>
  <c r="H475" i="7"/>
  <c r="H443" i="7"/>
  <c r="H411" i="7"/>
  <c r="H379" i="7"/>
  <c r="H347" i="7"/>
  <c r="H315" i="7"/>
  <c r="H283" i="7"/>
  <c r="H251" i="7"/>
  <c r="H219" i="7"/>
  <c r="H187" i="7"/>
  <c r="G1497" i="7"/>
  <c r="G1454" i="7"/>
  <c r="G1411" i="7"/>
  <c r="G1369" i="7"/>
  <c r="G1326" i="7"/>
  <c r="G1283" i="7"/>
  <c r="G1241" i="7"/>
  <c r="G1198" i="7"/>
  <c r="G1153" i="7"/>
  <c r="G1102" i="7"/>
  <c r="G1050" i="7"/>
  <c r="G999" i="7"/>
  <c r="G945" i="7"/>
  <c r="G881" i="7"/>
  <c r="G758" i="7"/>
  <c r="G630" i="7"/>
  <c r="G502" i="7"/>
  <c r="G374" i="7"/>
  <c r="G246" i="7"/>
  <c r="F1514" i="7"/>
  <c r="F1386" i="7"/>
  <c r="F1258" i="7"/>
  <c r="F1130" i="7"/>
  <c r="F1001" i="7"/>
  <c r="F830" i="7"/>
  <c r="F659" i="7"/>
  <c r="F466" i="7"/>
  <c r="E1474" i="7"/>
  <c r="E839" i="7"/>
  <c r="A1527" i="7"/>
  <c r="A1519" i="7"/>
  <c r="A1511" i="7"/>
  <c r="A1503" i="7"/>
  <c r="A1495" i="7"/>
  <c r="A1487" i="7"/>
  <c r="A1479" i="7"/>
  <c r="C631" i="7"/>
  <c r="C583" i="7"/>
  <c r="C470" i="7"/>
  <c r="C296" i="7"/>
  <c r="B859" i="7"/>
  <c r="D313" i="7"/>
  <c r="D289" i="7"/>
  <c r="D233" i="7"/>
  <c r="D193" i="7"/>
  <c r="C1421" i="7"/>
  <c r="C1365" i="7"/>
  <c r="C1333" i="7"/>
  <c r="C1285" i="7"/>
  <c r="C1261" i="7"/>
  <c r="C1189" i="7"/>
  <c r="C1157" i="7"/>
  <c r="C1125" i="7"/>
  <c r="C1093" i="7"/>
  <c r="C1069" i="7"/>
  <c r="C981" i="7"/>
  <c r="C941" i="7"/>
  <c r="C917" i="7"/>
  <c r="C885" i="7"/>
  <c r="C829" i="7"/>
  <c r="C797" i="7"/>
  <c r="C582" i="7"/>
  <c r="C518" i="7"/>
  <c r="C661" i="7"/>
  <c r="C581" i="7"/>
  <c r="C517" i="7"/>
  <c r="C440" i="7"/>
  <c r="C335" i="7"/>
  <c r="C271" i="7"/>
  <c r="C166" i="7"/>
  <c r="B1355" i="7"/>
  <c r="B1076" i="7"/>
  <c r="B779" i="7"/>
  <c r="C666" i="7"/>
  <c r="C642" i="7"/>
  <c r="C602" i="7"/>
  <c r="C546" i="7"/>
  <c r="C513" i="7"/>
  <c r="C368" i="7"/>
  <c r="B1498" i="7"/>
  <c r="B1434" i="7"/>
  <c r="B1260" i="7"/>
  <c r="B1155" i="7"/>
  <c r="B1091" i="7"/>
  <c r="B986" i="7"/>
  <c r="B761" i="7"/>
  <c r="B307" i="7"/>
  <c r="C633" i="7"/>
  <c r="C593" i="7"/>
  <c r="C537" i="7"/>
  <c r="C408" i="7"/>
  <c r="B1515" i="7"/>
  <c r="B1428" i="7"/>
  <c r="B1300" i="7"/>
  <c r="B1218" i="7"/>
  <c r="B1108" i="7"/>
  <c r="B818" i="7"/>
  <c r="B523" i="7"/>
  <c r="B306" i="7"/>
  <c r="C688" i="7"/>
  <c r="C536" i="7"/>
  <c r="C488" i="7"/>
  <c r="C366" i="7"/>
  <c r="B1212" i="7"/>
  <c r="B915" i="7"/>
  <c r="B802" i="7"/>
  <c r="B585" i="7"/>
  <c r="B1252" i="7"/>
  <c r="B1019" i="7"/>
  <c r="B932" i="7"/>
  <c r="B738" i="7"/>
  <c r="B289" i="7"/>
  <c r="B1059" i="7"/>
  <c r="B931" i="7"/>
  <c r="B867" i="7"/>
  <c r="B737" i="7"/>
  <c r="B563" i="7"/>
  <c r="B394" i="7"/>
  <c r="C461" i="7"/>
  <c r="C317" i="7"/>
  <c r="C293" i="7"/>
  <c r="C245" i="7"/>
  <c r="C197" i="7"/>
  <c r="B1529" i="7"/>
  <c r="B1393" i="7"/>
  <c r="B1337" i="7"/>
  <c r="B1297" i="7"/>
  <c r="B1169" i="7"/>
  <c r="B1129" i="7"/>
  <c r="B1097" i="7"/>
  <c r="B1065" i="7"/>
  <c r="B1001" i="7"/>
  <c r="B969" i="7"/>
  <c r="B937" i="7"/>
  <c r="B889" i="7"/>
  <c r="B865" i="7"/>
  <c r="B689" i="7"/>
  <c r="B625" i="7"/>
  <c r="B497" i="7"/>
  <c r="B433" i="7"/>
  <c r="B369" i="7"/>
  <c r="B305" i="7"/>
  <c r="B218" i="7"/>
  <c r="C516" i="7"/>
  <c r="C460" i="7"/>
  <c r="C436" i="7"/>
  <c r="C412" i="7"/>
  <c r="C388" i="7"/>
  <c r="C348" i="7"/>
  <c r="C292" i="7"/>
  <c r="C268" i="7"/>
  <c r="C252" i="7"/>
  <c r="C228" i="7"/>
  <c r="C196" i="7"/>
  <c r="C172" i="7"/>
  <c r="B1464" i="7"/>
  <c r="B1432" i="7"/>
  <c r="B1400" i="7"/>
  <c r="B1376" i="7"/>
  <c r="B1352" i="7"/>
  <c r="B1320" i="7"/>
  <c r="B1288" i="7"/>
  <c r="B1264" i="7"/>
  <c r="B1208" i="7"/>
  <c r="B1120" i="7"/>
  <c r="B1088" i="7"/>
  <c r="B1064" i="7"/>
  <c r="B1032" i="7"/>
  <c r="B1000" i="7"/>
  <c r="B968" i="7"/>
  <c r="B944" i="7"/>
  <c r="B888" i="7"/>
  <c r="B856" i="7"/>
  <c r="B747" i="7"/>
  <c r="B683" i="7"/>
  <c r="B555" i="7"/>
  <c r="B473" i="7"/>
  <c r="B171" i="7"/>
  <c r="C475" i="7"/>
  <c r="C451" i="7"/>
  <c r="C411" i="7"/>
  <c r="C347" i="7"/>
  <c r="C307" i="7"/>
  <c r="C211" i="7"/>
  <c r="C187" i="7"/>
  <c r="B1519" i="7"/>
  <c r="B1479" i="7"/>
  <c r="B1447" i="7"/>
  <c r="B1391" i="7"/>
  <c r="B1335" i="7"/>
  <c r="B1303" i="7"/>
  <c r="B1271" i="7"/>
  <c r="B1247" i="7"/>
  <c r="B1215" i="7"/>
  <c r="B1143" i="7"/>
  <c r="B1039" i="7"/>
  <c r="B1015" i="7"/>
  <c r="B983" i="7"/>
  <c r="B959" i="7"/>
  <c r="B855" i="7"/>
  <c r="B787" i="7"/>
  <c r="B705" i="7"/>
  <c r="B595" i="7"/>
  <c r="B531" i="7"/>
  <c r="B467" i="7"/>
  <c r="B362" i="7"/>
  <c r="B298" i="7"/>
  <c r="C466" i="7"/>
  <c r="C434" i="7"/>
  <c r="C386" i="7"/>
  <c r="C362" i="7"/>
  <c r="C306" i="7"/>
  <c r="C266" i="7"/>
  <c r="C234" i="7"/>
  <c r="C186" i="7"/>
  <c r="B1494" i="7"/>
  <c r="B1454" i="7"/>
  <c r="B1414" i="7"/>
  <c r="B1382" i="7"/>
  <c r="B1358" i="7"/>
  <c r="B1334" i="7"/>
  <c r="B1294" i="7"/>
  <c r="B1262" i="7"/>
  <c r="B1222" i="7"/>
  <c r="B1190" i="7"/>
  <c r="B1166" i="7"/>
  <c r="B1134" i="7"/>
  <c r="B1078" i="7"/>
  <c r="B1054" i="7"/>
  <c r="B1014" i="7"/>
  <c r="B958" i="7"/>
  <c r="B786" i="7"/>
  <c r="B681" i="7"/>
  <c r="B466" i="7"/>
  <c r="B361" i="7"/>
  <c r="B251" i="7"/>
  <c r="B169" i="7"/>
  <c r="C441" i="7"/>
  <c r="C385" i="7"/>
  <c r="C337" i="7"/>
  <c r="C281" i="7"/>
  <c r="C249" i="7"/>
  <c r="C209" i="7"/>
  <c r="C169" i="7"/>
  <c r="B1501" i="7"/>
  <c r="B1485" i="7"/>
  <c r="B1437" i="7"/>
  <c r="B1397" i="7"/>
  <c r="B1373" i="7"/>
  <c r="B1333" i="7"/>
  <c r="B1285" i="7"/>
  <c r="B1245" i="7"/>
  <c r="B1197" i="7"/>
  <c r="B1165" i="7"/>
  <c r="B1133" i="7"/>
  <c r="B1109" i="7"/>
  <c r="B1069" i="7"/>
  <c r="B1037" i="7"/>
  <c r="B997" i="7"/>
  <c r="B973" i="7"/>
  <c r="B901" i="7"/>
  <c r="B853" i="7"/>
  <c r="B785" i="7"/>
  <c r="B657" i="7"/>
  <c r="B593" i="7"/>
  <c r="B483" i="7"/>
  <c r="B314" i="7"/>
  <c r="B209" i="7"/>
  <c r="B824" i="7"/>
  <c r="B784" i="7"/>
  <c r="B744" i="7"/>
  <c r="B704" i="7"/>
  <c r="B672" i="7"/>
  <c r="B624" i="7"/>
  <c r="B592" i="7"/>
  <c r="B552" i="7"/>
  <c r="B520" i="7"/>
  <c r="B488" i="7"/>
  <c r="B448" i="7"/>
  <c r="B416" i="7"/>
  <c r="B376" i="7"/>
  <c r="B296" i="7"/>
  <c r="B240" i="7"/>
  <c r="B216" i="7"/>
  <c r="B184" i="7"/>
  <c r="B783" i="7"/>
  <c r="B751" i="7"/>
  <c r="B711" i="7"/>
  <c r="B679" i="7"/>
  <c r="B647" i="7"/>
  <c r="B599" i="7"/>
  <c r="B543" i="7"/>
  <c r="B511" i="7"/>
  <c r="B479" i="7"/>
  <c r="B431" i="7"/>
  <c r="B391" i="7"/>
  <c r="B359" i="7"/>
  <c r="B653" i="7"/>
  <c r="B621" i="7"/>
  <c r="B581" i="7"/>
  <c r="B533" i="7"/>
  <c r="B493" i="7"/>
  <c r="B453" i="7"/>
  <c r="B413" i="7"/>
  <c r="B365" i="7"/>
  <c r="B333" i="7"/>
  <c r="B285" i="7"/>
  <c r="B237" i="7"/>
  <c r="B205" i="7"/>
  <c r="B181" i="7"/>
  <c r="B165" i="7"/>
  <c r="B812" i="7"/>
  <c r="B764" i="7"/>
  <c r="B724" i="7"/>
  <c r="B684" i="7"/>
  <c r="B636" i="7"/>
  <c r="B604" i="7"/>
  <c r="B572" i="7"/>
  <c r="B532" i="7"/>
  <c r="B492" i="7"/>
  <c r="B452" i="7"/>
  <c r="B396" i="7"/>
  <c r="B356" i="7"/>
  <c r="B260" i="7"/>
  <c r="A1163" i="7"/>
  <c r="A1139" i="7"/>
  <c r="A1115" i="7"/>
  <c r="A1083" i="7"/>
  <c r="A1043" i="7"/>
  <c r="A1003" i="7"/>
  <c r="A963" i="7"/>
  <c r="A923" i="7"/>
  <c r="A883" i="7"/>
  <c r="A851" i="7"/>
  <c r="A811" i="7"/>
  <c r="A787" i="7"/>
  <c r="A747" i="7"/>
  <c r="A715" i="7"/>
  <c r="A683" i="7"/>
  <c r="A635" i="7"/>
  <c r="A595" i="7"/>
  <c r="A563" i="7"/>
  <c r="A523" i="7"/>
  <c r="A499" i="7"/>
  <c r="A459" i="7"/>
  <c r="A416" i="7"/>
  <c r="A363" i="7"/>
  <c r="A310" i="7"/>
  <c r="A256" i="7"/>
  <c r="A203" i="7"/>
  <c r="H1523" i="7"/>
  <c r="H1470" i="7"/>
  <c r="H1416" i="7"/>
  <c r="H1352" i="7"/>
  <c r="H1298" i="7"/>
  <c r="H1228" i="7"/>
  <c r="H1148" i="7"/>
  <c r="H1084" i="7"/>
  <c r="H1020" i="7"/>
  <c r="H860" i="7"/>
  <c r="H746" i="7"/>
  <c r="H618" i="7"/>
  <c r="H394" i="7"/>
  <c r="H202" i="7"/>
  <c r="G1338" i="7"/>
  <c r="G1117" i="7"/>
  <c r="G898" i="7"/>
  <c r="F1443" i="7"/>
  <c r="F735" i="7"/>
  <c r="A1530" i="7"/>
  <c r="A1498" i="7"/>
  <c r="A1466" i="7"/>
  <c r="A1426" i="7"/>
  <c r="A1378" i="7"/>
  <c r="A1338" i="7"/>
  <c r="A1290" i="7"/>
  <c r="A1234" i="7"/>
  <c r="A1194" i="7"/>
  <c r="A1154" i="7"/>
  <c r="A1114" i="7"/>
  <c r="A1066" i="7"/>
  <c r="A1010" i="7"/>
  <c r="A978" i="7"/>
  <c r="A938" i="7"/>
  <c r="A890" i="7"/>
  <c r="A858" i="7"/>
  <c r="A818" i="7"/>
  <c r="A770" i="7"/>
  <c r="A690" i="7"/>
  <c r="A650" i="7"/>
  <c r="A602" i="7"/>
  <c r="A570" i="7"/>
  <c r="A530" i="7"/>
  <c r="A506" i="7"/>
  <c r="A458" i="7"/>
  <c r="A394" i="7"/>
  <c r="A298" i="7"/>
  <c r="A276" i="7"/>
  <c r="A234" i="7"/>
  <c r="A212" i="7"/>
  <c r="A191" i="7"/>
  <c r="A170" i="7"/>
  <c r="H1511" i="7"/>
  <c r="H1468" i="7"/>
  <c r="H1447" i="7"/>
  <c r="H1426" i="7"/>
  <c r="H1404" i="7"/>
  <c r="H1383" i="7"/>
  <c r="H1362" i="7"/>
  <c r="H1340" i="7"/>
  <c r="H1319" i="7"/>
  <c r="H1296" i="7"/>
  <c r="H1283" i="7"/>
  <c r="H1258" i="7"/>
  <c r="H1227" i="7"/>
  <c r="H1195" i="7"/>
  <c r="H1163" i="7"/>
  <c r="H1131" i="7"/>
  <c r="H1099" i="7"/>
  <c r="H1067" i="7"/>
  <c r="H1035" i="7"/>
  <c r="H1003" i="7"/>
  <c r="H971" i="7"/>
  <c r="H939" i="7"/>
  <c r="H923" i="7"/>
  <c r="H891" i="7"/>
  <c r="H859" i="7"/>
  <c r="H811" i="7"/>
  <c r="H771" i="7"/>
  <c r="H739" i="7"/>
  <c r="H675" i="7"/>
  <c r="H611" i="7"/>
  <c r="H547" i="7"/>
  <c r="H483" i="7"/>
  <c r="H451" i="7"/>
  <c r="H387" i="7"/>
  <c r="H323" i="7"/>
  <c r="H259" i="7"/>
  <c r="H227" i="7"/>
  <c r="G1465" i="7"/>
  <c r="G1379" i="7"/>
  <c r="G1294" i="7"/>
  <c r="G1251" i="7"/>
  <c r="G1166" i="7"/>
  <c r="G1063" i="7"/>
  <c r="G961" i="7"/>
  <c r="G790" i="7"/>
  <c r="G534" i="7"/>
  <c r="G406" i="7"/>
  <c r="F1418" i="7"/>
  <c r="F1162" i="7"/>
  <c r="F873" i="7"/>
  <c r="F517" i="7"/>
  <c r="F206" i="7"/>
  <c r="A1529" i="7"/>
  <c r="A1513" i="7"/>
  <c r="A1497" i="7"/>
  <c r="A1481" i="7"/>
  <c r="A1465" i="7"/>
  <c r="A1449" i="7"/>
  <c r="A1433" i="7"/>
  <c r="A1417" i="7"/>
  <c r="A1409" i="7"/>
  <c r="A1393" i="7"/>
  <c r="A1377" i="7"/>
  <c r="A1361" i="7"/>
  <c r="A1345" i="7"/>
  <c r="A1329" i="7"/>
  <c r="A1305" i="7"/>
  <c r="A1297" i="7"/>
  <c r="A1281" i="7"/>
  <c r="A1265" i="7"/>
  <c r="A1257" i="7"/>
  <c r="A1241" i="7"/>
  <c r="A1233" i="7"/>
  <c r="A1217" i="7"/>
  <c r="A1193" i="7"/>
  <c r="A1177" i="7"/>
  <c r="A1161" i="7"/>
  <c r="A1145" i="7"/>
  <c r="A1137" i="7"/>
  <c r="A1113" i="7"/>
  <c r="A1097" i="7"/>
  <c r="A1081" i="7"/>
  <c r="A1073" i="7"/>
  <c r="A1057" i="7"/>
  <c r="A1041" i="7"/>
  <c r="A1033" i="7"/>
  <c r="A1025" i="7"/>
  <c r="A1017" i="7"/>
  <c r="A1009" i="7"/>
  <c r="A1001" i="7"/>
  <c r="A993" i="7"/>
  <c r="A985" i="7"/>
  <c r="A977" i="7"/>
  <c r="A969" i="7"/>
  <c r="A961" i="7"/>
  <c r="A953" i="7"/>
  <c r="A945" i="7"/>
  <c r="A937" i="7"/>
  <c r="A929" i="7"/>
  <c r="A921" i="7"/>
  <c r="A913" i="7"/>
  <c r="A905" i="7"/>
  <c r="A897" i="7"/>
  <c r="A889" i="7"/>
  <c r="A881" i="7"/>
  <c r="A873" i="7"/>
  <c r="A865" i="7"/>
  <c r="A857" i="7"/>
  <c r="A849" i="7"/>
  <c r="A841" i="7"/>
  <c r="A833" i="7"/>
  <c r="A825" i="7"/>
  <c r="A817" i="7"/>
  <c r="A809" i="7"/>
  <c r="A801" i="7"/>
  <c r="A793" i="7"/>
  <c r="A785" i="7"/>
  <c r="A777" i="7"/>
  <c r="A769" i="7"/>
  <c r="A761" i="7"/>
  <c r="A753" i="7"/>
  <c r="A745" i="7"/>
  <c r="A737" i="7"/>
  <c r="A729" i="7"/>
  <c r="A721" i="7"/>
  <c r="A713" i="7"/>
  <c r="A705" i="7"/>
  <c r="A697" i="7"/>
  <c r="A689" i="7"/>
  <c r="A681" i="7"/>
  <c r="A673" i="7"/>
  <c r="A665" i="7"/>
  <c r="A657" i="7"/>
  <c r="A649" i="7"/>
  <c r="A641" i="7"/>
  <c r="A633" i="7"/>
  <c r="A625" i="7"/>
  <c r="A617" i="7"/>
  <c r="A609" i="7"/>
  <c r="A601" i="7"/>
  <c r="A593" i="7"/>
  <c r="A585" i="7"/>
  <c r="A577" i="7"/>
  <c r="A569" i="7"/>
  <c r="A561" i="7"/>
  <c r="A553" i="7"/>
  <c r="A545" i="7"/>
  <c r="A537" i="7"/>
  <c r="A529" i="7"/>
  <c r="A521" i="7"/>
  <c r="A513" i="7"/>
  <c r="A505" i="7"/>
  <c r="A497" i="7"/>
  <c r="A489" i="7"/>
  <c r="A481" i="7"/>
  <c r="A473" i="7"/>
  <c r="A465" i="7"/>
  <c r="A456" i="7"/>
  <c r="A446" i="7"/>
  <c r="A435" i="7"/>
  <c r="A424" i="7"/>
  <c r="A414" i="7"/>
  <c r="A403" i="7"/>
  <c r="A392" i="7"/>
  <c r="A382" i="7"/>
  <c r="A371" i="7"/>
  <c r="A360" i="7"/>
  <c r="A350" i="7"/>
  <c r="A339" i="7"/>
  <c r="A328" i="7"/>
  <c r="A318" i="7"/>
  <c r="A307" i="7"/>
  <c r="A296" i="7"/>
  <c r="A286" i="7"/>
  <c r="A275" i="7"/>
  <c r="A264" i="7"/>
  <c r="A254" i="7"/>
  <c r="A243" i="7"/>
  <c r="A232" i="7"/>
  <c r="A222" i="7"/>
  <c r="A211" i="7"/>
  <c r="A200" i="7"/>
  <c r="A190" i="7"/>
  <c r="A179" i="7"/>
  <c r="A168" i="7"/>
  <c r="H1531" i="7"/>
  <c r="H1520" i="7"/>
  <c r="H1510" i="7"/>
  <c r="H1499" i="7"/>
  <c r="H1488" i="7"/>
  <c r="H1478" i="7"/>
  <c r="H1467" i="7"/>
  <c r="H1456" i="7"/>
  <c r="H1446" i="7"/>
  <c r="H1435" i="7"/>
  <c r="H1424" i="7"/>
  <c r="H1414" i="7"/>
  <c r="H1403" i="7"/>
  <c r="H1392" i="7"/>
  <c r="H1382" i="7"/>
  <c r="H1371" i="7"/>
  <c r="H1360" i="7"/>
  <c r="H1350" i="7"/>
  <c r="H1339" i="7"/>
  <c r="H1328" i="7"/>
  <c r="H1318" i="7"/>
  <c r="H1307" i="7"/>
  <c r="H1294" i="7"/>
  <c r="H1282" i="7"/>
  <c r="H1268" i="7"/>
  <c r="H1256" i="7"/>
  <c r="H1242" i="7"/>
  <c r="H1226" i="7"/>
  <c r="H1210" i="7"/>
  <c r="H1194" i="7"/>
  <c r="H1178" i="7"/>
  <c r="H1162" i="7"/>
  <c r="H1146" i="7"/>
  <c r="A1471" i="7"/>
  <c r="A1463" i="7"/>
  <c r="A1455" i="7"/>
  <c r="A1447" i="7"/>
  <c r="A1439" i="7"/>
  <c r="A1431" i="7"/>
  <c r="A1423" i="7"/>
  <c r="A1415" i="7"/>
  <c r="A1407" i="7"/>
  <c r="A1399" i="7"/>
  <c r="A1391" i="7"/>
  <c r="A1383" i="7"/>
  <c r="A1375" i="7"/>
  <c r="A1367" i="7"/>
  <c r="A1359" i="7"/>
  <c r="A1351" i="7"/>
  <c r="A1343" i="7"/>
  <c r="A1335" i="7"/>
  <c r="A1327" i="7"/>
  <c r="A1319" i="7"/>
  <c r="A1311" i="7"/>
  <c r="A1303" i="7"/>
  <c r="A1295" i="7"/>
  <c r="A1287" i="7"/>
  <c r="A1279" i="7"/>
  <c r="A1271" i="7"/>
  <c r="A1263" i="7"/>
  <c r="A1255" i="7"/>
  <c r="A1247" i="7"/>
  <c r="A1239" i="7"/>
  <c r="A1231" i="7"/>
  <c r="A1223" i="7"/>
  <c r="A1215" i="7"/>
  <c r="A1207" i="7"/>
  <c r="A1199" i="7"/>
  <c r="A1191" i="7"/>
  <c r="A1183" i="7"/>
  <c r="A1175" i="7"/>
  <c r="A1167" i="7"/>
  <c r="A1159" i="7"/>
  <c r="A1151" i="7"/>
  <c r="A1143" i="7"/>
  <c r="A1135" i="7"/>
  <c r="A1127" i="7"/>
  <c r="A1119" i="7"/>
  <c r="A1111" i="7"/>
  <c r="A1103" i="7"/>
  <c r="A1095" i="7"/>
  <c r="A1087" i="7"/>
  <c r="A1079" i="7"/>
  <c r="A1071" i="7"/>
  <c r="A1063" i="7"/>
  <c r="A1055" i="7"/>
  <c r="A1047" i="7"/>
  <c r="A1039" i="7"/>
  <c r="A1031" i="7"/>
  <c r="A1023" i="7"/>
  <c r="A1015" i="7"/>
  <c r="A1007" i="7"/>
  <c r="A999" i="7"/>
  <c r="A991" i="7"/>
  <c r="A983" i="7"/>
  <c r="A975" i="7"/>
  <c r="A967" i="7"/>
  <c r="A959" i="7"/>
  <c r="A951" i="7"/>
  <c r="A943" i="7"/>
  <c r="A935" i="7"/>
  <c r="A927" i="7"/>
  <c r="A919" i="7"/>
  <c r="A911" i="7"/>
  <c r="A903" i="7"/>
  <c r="A895" i="7"/>
  <c r="A887" i="7"/>
  <c r="A879" i="7"/>
  <c r="A871" i="7"/>
  <c r="A863" i="7"/>
  <c r="A855" i="7"/>
  <c r="A847" i="7"/>
  <c r="A839" i="7"/>
  <c r="A831" i="7"/>
  <c r="A823" i="7"/>
  <c r="A815" i="7"/>
  <c r="A807" i="7"/>
  <c r="A799" i="7"/>
  <c r="A791" i="7"/>
  <c r="A783" i="7"/>
  <c r="A775" i="7"/>
  <c r="A767" i="7"/>
  <c r="A759" i="7"/>
  <c r="A751" i="7"/>
  <c r="A743" i="7"/>
  <c r="A735" i="7"/>
  <c r="A727" i="7"/>
  <c r="A719" i="7"/>
  <c r="A711" i="7"/>
  <c r="A703" i="7"/>
  <c r="A695" i="7"/>
  <c r="A687" i="7"/>
  <c r="A679" i="7"/>
  <c r="A671" i="7"/>
  <c r="A663" i="7"/>
  <c r="A655" i="7"/>
  <c r="A647" i="7"/>
  <c r="A639" i="7"/>
  <c r="A631" i="7"/>
  <c r="A623" i="7"/>
  <c r="A615" i="7"/>
  <c r="A607" i="7"/>
  <c r="A599" i="7"/>
  <c r="A591" i="7"/>
  <c r="A583" i="7"/>
  <c r="A575" i="7"/>
  <c r="A567" i="7"/>
  <c r="A559" i="7"/>
  <c r="A551" i="7"/>
  <c r="A543" i="7"/>
  <c r="A535" i="7"/>
  <c r="A527" i="7"/>
  <c r="A519" i="7"/>
  <c r="A511" i="7"/>
  <c r="A503" i="7"/>
  <c r="A495" i="7"/>
  <c r="A487" i="7"/>
  <c r="A479" i="7"/>
  <c r="A471" i="7"/>
  <c r="A463" i="7"/>
  <c r="A454" i="7"/>
  <c r="A443" i="7"/>
  <c r="A432" i="7"/>
  <c r="A422" i="7"/>
  <c r="A411" i="7"/>
  <c r="A400" i="7"/>
  <c r="A390" i="7"/>
  <c r="A379" i="7"/>
  <c r="A368" i="7"/>
  <c r="A358" i="7"/>
  <c r="A347" i="7"/>
  <c r="A336" i="7"/>
  <c r="A326" i="7"/>
  <c r="A315" i="7"/>
  <c r="A304" i="7"/>
  <c r="A294" i="7"/>
  <c r="A283" i="7"/>
  <c r="A272" i="7"/>
  <c r="A262" i="7"/>
  <c r="A251" i="7"/>
  <c r="A240" i="7"/>
  <c r="A230" i="7"/>
  <c r="A219" i="7"/>
  <c r="A208" i="7"/>
  <c r="A198" i="7"/>
  <c r="A187" i="7"/>
  <c r="A176" i="7"/>
  <c r="A166" i="7"/>
  <c r="H1528" i="7"/>
  <c r="H1518" i="7"/>
  <c r="H1507" i="7"/>
  <c r="H1496" i="7"/>
  <c r="H1486" i="7"/>
  <c r="H1475" i="7"/>
  <c r="H1464" i="7"/>
  <c r="H1454" i="7"/>
  <c r="H1443" i="7"/>
  <c r="H1432" i="7"/>
  <c r="H1422" i="7"/>
  <c r="H1411" i="7"/>
  <c r="H1400" i="7"/>
  <c r="H1390" i="7"/>
  <c r="H1379" i="7"/>
  <c r="H1368" i="7"/>
  <c r="H1358" i="7"/>
  <c r="H1347" i="7"/>
  <c r="H1336" i="7"/>
  <c r="H1326" i="7"/>
  <c r="H1315" i="7"/>
  <c r="H1304" i="7"/>
  <c r="H1291" i="7"/>
  <c r="H1278" i="7"/>
  <c r="H1266" i="7"/>
  <c r="H1252" i="7"/>
  <c r="H1236" i="7"/>
  <c r="H1220" i="7"/>
  <c r="H1204" i="7"/>
  <c r="H1188" i="7"/>
  <c r="H1172" i="7"/>
  <c r="H1156" i="7"/>
  <c r="H1140" i="7"/>
  <c r="H1124" i="7"/>
  <c r="H1108" i="7"/>
  <c r="H1092" i="7"/>
  <c r="H1076" i="7"/>
  <c r="H1060" i="7"/>
  <c r="H1044" i="7"/>
  <c r="H1028" i="7"/>
  <c r="H1012" i="7"/>
  <c r="H996" i="7"/>
  <c r="H980" i="7"/>
  <c r="H964" i="7"/>
  <c r="H948" i="7"/>
  <c r="H932" i="7"/>
  <c r="H916" i="7"/>
  <c r="H900" i="7"/>
  <c r="H884" i="7"/>
  <c r="H868" i="7"/>
  <c r="H852" i="7"/>
  <c r="H836" i="7"/>
  <c r="H820" i="7"/>
  <c r="H804" i="7"/>
  <c r="H787" i="7"/>
  <c r="H762" i="7"/>
  <c r="H730" i="7"/>
  <c r="H698" i="7"/>
  <c r="H666" i="7"/>
  <c r="H634" i="7"/>
  <c r="H602" i="7"/>
  <c r="H570" i="7"/>
  <c r="H538" i="7"/>
  <c r="H506" i="7"/>
  <c r="H474" i="7"/>
  <c r="H442" i="7"/>
  <c r="H410" i="7"/>
  <c r="H378" i="7"/>
  <c r="H346" i="7"/>
  <c r="H314" i="7"/>
  <c r="H282" i="7"/>
  <c r="H250" i="7"/>
  <c r="H218" i="7"/>
  <c r="H186" i="7"/>
  <c r="G1530" i="7"/>
  <c r="G1487" i="7"/>
  <c r="G1445" i="7"/>
  <c r="G1402" i="7"/>
  <c r="G1359" i="7"/>
  <c r="G1317" i="7"/>
  <c r="G1274" i="7"/>
  <c r="G1231" i="7"/>
  <c r="G1189" i="7"/>
  <c r="G1142" i="7"/>
  <c r="G1090" i="7"/>
  <c r="G1039" i="7"/>
  <c r="G989" i="7"/>
  <c r="G930" i="7"/>
  <c r="G855" i="7"/>
  <c r="G727" i="7"/>
  <c r="G599" i="7"/>
  <c r="G471" i="7"/>
  <c r="G343" i="7"/>
  <c r="G215" i="7"/>
  <c r="F1507" i="7"/>
  <c r="F1379" i="7"/>
  <c r="F1251" i="7"/>
  <c r="F1123" i="7"/>
  <c r="F991" i="7"/>
  <c r="F821" i="7"/>
  <c r="F650" i="7"/>
  <c r="F454" i="7"/>
  <c r="E1353" i="7"/>
  <c r="E548" i="7"/>
  <c r="A453" i="7"/>
  <c r="A445" i="7"/>
  <c r="A437" i="7"/>
  <c r="A429" i="7"/>
  <c r="A421" i="7"/>
  <c r="A413" i="7"/>
  <c r="A405" i="7"/>
  <c r="A397" i="7"/>
  <c r="A389" i="7"/>
  <c r="A381" i="7"/>
  <c r="A373" i="7"/>
  <c r="A365" i="7"/>
  <c r="A357" i="7"/>
  <c r="A349" i="7"/>
  <c r="A341" i="7"/>
  <c r="A333" i="7"/>
  <c r="A325" i="7"/>
  <c r="A317" i="7"/>
  <c r="A309" i="7"/>
  <c r="A301" i="7"/>
  <c r="A293" i="7"/>
  <c r="A285" i="7"/>
  <c r="A277" i="7"/>
  <c r="A269" i="7"/>
  <c r="A261" i="7"/>
  <c r="A253" i="7"/>
  <c r="A245" i="7"/>
  <c r="A237" i="7"/>
  <c r="A229" i="7"/>
  <c r="A221" i="7"/>
  <c r="A213" i="7"/>
  <c r="A205" i="7"/>
  <c r="A197" i="7"/>
  <c r="A189" i="7"/>
  <c r="A181" i="7"/>
  <c r="A173" i="7"/>
  <c r="A165" i="7"/>
  <c r="H1529" i="7"/>
  <c r="H1521" i="7"/>
  <c r="H1513" i="7"/>
  <c r="H1505" i="7"/>
  <c r="H1497" i="7"/>
  <c r="H1489" i="7"/>
  <c r="H1481" i="7"/>
  <c r="H1473" i="7"/>
  <c r="H1465" i="7"/>
  <c r="H1457" i="7"/>
  <c r="H1449" i="7"/>
  <c r="H1441" i="7"/>
  <c r="H1433" i="7"/>
  <c r="H1425" i="7"/>
  <c r="H1417" i="7"/>
  <c r="H1409" i="7"/>
  <c r="H1401" i="7"/>
  <c r="H1393" i="7"/>
  <c r="H1385" i="7"/>
  <c r="H1377" i="7"/>
  <c r="H1369" i="7"/>
  <c r="H1361" i="7"/>
  <c r="H1353" i="7"/>
  <c r="H1345" i="7"/>
  <c r="H1337" i="7"/>
  <c r="H1329" i="7"/>
  <c r="H1321" i="7"/>
  <c r="H1313" i="7"/>
  <c r="H1305" i="7"/>
  <c r="H1297" i="7"/>
  <c r="H1289" i="7"/>
  <c r="H1281" i="7"/>
  <c r="H1273" i="7"/>
  <c r="H1265" i="7"/>
  <c r="H1257" i="7"/>
  <c r="H1249" i="7"/>
  <c r="H1241" i="7"/>
  <c r="H1233" i="7"/>
  <c r="H1225" i="7"/>
  <c r="H1217" i="7"/>
  <c r="H1209" i="7"/>
  <c r="H1201" i="7"/>
  <c r="H1193" i="7"/>
  <c r="H1185" i="7"/>
  <c r="H1177" i="7"/>
  <c r="H1169" i="7"/>
  <c r="H1161" i="7"/>
  <c r="H1153" i="7"/>
  <c r="H1145" i="7"/>
  <c r="H1137" i="7"/>
  <c r="H1129" i="7"/>
  <c r="H1121" i="7"/>
  <c r="H1113" i="7"/>
  <c r="H1105" i="7"/>
  <c r="H1097" i="7"/>
  <c r="H1089" i="7"/>
  <c r="H1081" i="7"/>
  <c r="H1073" i="7"/>
  <c r="H1065" i="7"/>
  <c r="H1057" i="7"/>
  <c r="H1049" i="7"/>
  <c r="H1041" i="7"/>
  <c r="H1033" i="7"/>
  <c r="H1025" i="7"/>
  <c r="H1017" i="7"/>
  <c r="H1009" i="7"/>
  <c r="H1001" i="7"/>
  <c r="H993" i="7"/>
  <c r="H985" i="7"/>
  <c r="H977" i="7"/>
  <c r="H969" i="7"/>
  <c r="H961" i="7"/>
  <c r="H953" i="7"/>
  <c r="H945" i="7"/>
  <c r="H937" i="7"/>
  <c r="H929" i="7"/>
  <c r="H921" i="7"/>
  <c r="H913" i="7"/>
  <c r="H905" i="7"/>
  <c r="H897" i="7"/>
  <c r="H889" i="7"/>
  <c r="H881" i="7"/>
  <c r="H873" i="7"/>
  <c r="H865" i="7"/>
  <c r="H857" i="7"/>
  <c r="H849" i="7"/>
  <c r="H841" i="7"/>
  <c r="H833" i="7"/>
  <c r="H825" i="7"/>
  <c r="H817" i="7"/>
  <c r="H809" i="7"/>
  <c r="H801" i="7"/>
  <c r="H793" i="7"/>
  <c r="H785" i="7"/>
  <c r="H777" i="7"/>
  <c r="H769" i="7"/>
  <c r="H761" i="7"/>
  <c r="H753" i="7"/>
  <c r="H745" i="7"/>
  <c r="H737" i="7"/>
  <c r="H729" i="7"/>
  <c r="H721" i="7"/>
  <c r="H713" i="7"/>
  <c r="H705" i="7"/>
  <c r="H697" i="7"/>
  <c r="H689" i="7"/>
  <c r="H681" i="7"/>
  <c r="H673" i="7"/>
  <c r="H665" i="7"/>
  <c r="H657" i="7"/>
  <c r="H649" i="7"/>
  <c r="H641" i="7"/>
  <c r="H633" i="7"/>
  <c r="H625" i="7"/>
  <c r="H617" i="7"/>
  <c r="H609" i="7"/>
  <c r="H601" i="7"/>
  <c r="H593" i="7"/>
  <c r="H585" i="7"/>
  <c r="H577" i="7"/>
  <c r="H569" i="7"/>
  <c r="H561" i="7"/>
  <c r="H553" i="7"/>
  <c r="H545" i="7"/>
  <c r="H537" i="7"/>
  <c r="H529" i="7"/>
  <c r="H521" i="7"/>
  <c r="H513" i="7"/>
  <c r="H505" i="7"/>
  <c r="H497" i="7"/>
  <c r="H489" i="7"/>
  <c r="H481" i="7"/>
  <c r="H473" i="7"/>
  <c r="H465" i="7"/>
  <c r="H457" i="7"/>
  <c r="H449" i="7"/>
  <c r="H441" i="7"/>
  <c r="H433" i="7"/>
  <c r="H425" i="7"/>
  <c r="H417" i="7"/>
  <c r="H409" i="7"/>
  <c r="H401" i="7"/>
  <c r="H393" i="7"/>
  <c r="H385" i="7"/>
  <c r="H377" i="7"/>
  <c r="H369" i="7"/>
  <c r="H361" i="7"/>
  <c r="H353" i="7"/>
  <c r="H345" i="7"/>
  <c r="H337" i="7"/>
  <c r="H329" i="7"/>
  <c r="H321" i="7"/>
  <c r="H313" i="7"/>
  <c r="H305" i="7"/>
  <c r="H297" i="7"/>
  <c r="H289" i="7"/>
  <c r="H281" i="7"/>
  <c r="H273" i="7"/>
  <c r="H265" i="7"/>
  <c r="H257" i="7"/>
  <c r="H249" i="7"/>
  <c r="H241" i="7"/>
  <c r="H233" i="7"/>
  <c r="H225" i="7"/>
  <c r="H217" i="7"/>
  <c r="H209" i="7"/>
  <c r="H201" i="7"/>
  <c r="H193" i="7"/>
  <c r="H185" i="7"/>
  <c r="H177" i="7"/>
  <c r="H169" i="7"/>
  <c r="G1527" i="7"/>
  <c r="G1517" i="7"/>
  <c r="G1506" i="7"/>
  <c r="G1495" i="7"/>
  <c r="G1485" i="7"/>
  <c r="G1474" i="7"/>
  <c r="G1463" i="7"/>
  <c r="G1453" i="7"/>
  <c r="G1442" i="7"/>
  <c r="G1431" i="7"/>
  <c r="G1421" i="7"/>
  <c r="G1410" i="7"/>
  <c r="G1399" i="7"/>
  <c r="G1389" i="7"/>
  <c r="G1378" i="7"/>
  <c r="G1367" i="7"/>
  <c r="G1357" i="7"/>
  <c r="G1346" i="7"/>
  <c r="G1335" i="7"/>
  <c r="G1325" i="7"/>
  <c r="G1314" i="7"/>
  <c r="G1303" i="7"/>
  <c r="G1293" i="7"/>
  <c r="G1282" i="7"/>
  <c r="G1271" i="7"/>
  <c r="G1261" i="7"/>
  <c r="G1250" i="7"/>
  <c r="G1239" i="7"/>
  <c r="G1229" i="7"/>
  <c r="G1218" i="7"/>
  <c r="G1207" i="7"/>
  <c r="G1197" i="7"/>
  <c r="G1186" i="7"/>
  <c r="G1175" i="7"/>
  <c r="G1165" i="7"/>
  <c r="G1151" i="7"/>
  <c r="G1138" i="7"/>
  <c r="G1126" i="7"/>
  <c r="G1113" i="7"/>
  <c r="G1101" i="7"/>
  <c r="G1087" i="7"/>
  <c r="G1074" i="7"/>
  <c r="G1062" i="7"/>
  <c r="G1049" i="7"/>
  <c r="G1037" i="7"/>
  <c r="G1023" i="7"/>
  <c r="G1010" i="7"/>
  <c r="G998" i="7"/>
  <c r="G985" i="7"/>
  <c r="G973" i="7"/>
  <c r="G959" i="7"/>
  <c r="G943" i="7"/>
  <c r="G927" i="7"/>
  <c r="G911" i="7"/>
  <c r="G895" i="7"/>
  <c r="G879" i="7"/>
  <c r="G847" i="7"/>
  <c r="G815" i="7"/>
  <c r="G783" i="7"/>
  <c r="G751" i="7"/>
  <c r="G719" i="7"/>
  <c r="G687" i="7"/>
  <c r="G655" i="7"/>
  <c r="G623" i="7"/>
  <c r="G591" i="7"/>
  <c r="G559" i="7"/>
  <c r="G527" i="7"/>
  <c r="G495" i="7"/>
  <c r="G463" i="7"/>
  <c r="G431" i="7"/>
  <c r="G399" i="7"/>
  <c r="G367" i="7"/>
  <c r="G335" i="7"/>
  <c r="G303" i="7"/>
  <c r="G271" i="7"/>
  <c r="G239" i="7"/>
  <c r="G207" i="7"/>
  <c r="G175" i="7"/>
  <c r="F1506" i="7"/>
  <c r="F1474" i="7"/>
  <c r="F1442" i="7"/>
  <c r="F1410" i="7"/>
  <c r="F1378" i="7"/>
  <c r="F1346" i="7"/>
  <c r="F1314" i="7"/>
  <c r="F1282" i="7"/>
  <c r="F1250" i="7"/>
  <c r="F1218" i="7"/>
  <c r="F1186" i="7"/>
  <c r="F1154" i="7"/>
  <c r="F1122" i="7"/>
  <c r="F1090" i="7"/>
  <c r="F1058" i="7"/>
  <c r="F1026" i="7"/>
  <c r="F990" i="7"/>
  <c r="F947" i="7"/>
  <c r="F905" i="7"/>
  <c r="F862" i="7"/>
  <c r="F819" i="7"/>
  <c r="F777" i="7"/>
  <c r="F734" i="7"/>
  <c r="F691" i="7"/>
  <c r="F649" i="7"/>
  <c r="F606" i="7"/>
  <c r="F555" i="7"/>
  <c r="F503" i="7"/>
  <c r="F453" i="7"/>
  <c r="F381" i="7"/>
  <c r="F294" i="7"/>
  <c r="F174" i="7"/>
  <c r="E1449" i="7"/>
  <c r="E1321" i="7"/>
  <c r="E1177" i="7"/>
  <c r="E1007" i="7"/>
  <c r="E789" i="7"/>
  <c r="E412" i="7"/>
  <c r="H776" i="7"/>
  <c r="H768" i="7"/>
  <c r="H760" i="7"/>
  <c r="H752" i="7"/>
  <c r="H744" i="7"/>
  <c r="H736" i="7"/>
  <c r="H728" i="7"/>
  <c r="H720" i="7"/>
  <c r="H712" i="7"/>
  <c r="H704" i="7"/>
  <c r="H696" i="7"/>
  <c r="H688" i="7"/>
  <c r="H680" i="7"/>
  <c r="H672" i="7"/>
  <c r="H664" i="7"/>
  <c r="H656" i="7"/>
  <c r="H648" i="7"/>
  <c r="H640" i="7"/>
  <c r="H632" i="7"/>
  <c r="H624" i="7"/>
  <c r="H616" i="7"/>
  <c r="H608" i="7"/>
  <c r="H600" i="7"/>
  <c r="H592" i="7"/>
  <c r="H584" i="7"/>
  <c r="H576" i="7"/>
  <c r="H568" i="7"/>
  <c r="H560" i="7"/>
  <c r="H552" i="7"/>
  <c r="H544" i="7"/>
  <c r="H536" i="7"/>
  <c r="H528" i="7"/>
  <c r="H520" i="7"/>
  <c r="H512" i="7"/>
  <c r="H504" i="7"/>
  <c r="H496" i="7"/>
  <c r="H488" i="7"/>
  <c r="H480" i="7"/>
  <c r="H472" i="7"/>
  <c r="H464" i="7"/>
  <c r="H456" i="7"/>
  <c r="H448" i="7"/>
  <c r="H440" i="7"/>
  <c r="H432" i="7"/>
  <c r="H424" i="7"/>
  <c r="H416" i="7"/>
  <c r="H408" i="7"/>
  <c r="H400" i="7"/>
  <c r="H392" i="7"/>
  <c r="H384" i="7"/>
  <c r="H376" i="7"/>
  <c r="H368" i="7"/>
  <c r="H360" i="7"/>
  <c r="H352" i="7"/>
  <c r="H344" i="7"/>
  <c r="H336" i="7"/>
  <c r="H328" i="7"/>
  <c r="H320" i="7"/>
  <c r="H312" i="7"/>
  <c r="H304" i="7"/>
  <c r="H296" i="7"/>
  <c r="H288" i="7"/>
  <c r="H280" i="7"/>
  <c r="H272" i="7"/>
  <c r="H264" i="7"/>
  <c r="H256" i="7"/>
  <c r="H248" i="7"/>
  <c r="H240" i="7"/>
  <c r="H232" i="7"/>
  <c r="H224" i="7"/>
  <c r="H216" i="7"/>
  <c r="H208" i="7"/>
  <c r="H200" i="7"/>
  <c r="H192" i="7"/>
  <c r="H184" i="7"/>
  <c r="H176" i="7"/>
  <c r="H168" i="7"/>
  <c r="G1526" i="7"/>
  <c r="G1515" i="7"/>
  <c r="G1505" i="7"/>
  <c r="G1494" i="7"/>
  <c r="G1483" i="7"/>
  <c r="G1473" i="7"/>
  <c r="G1462" i="7"/>
  <c r="G1451" i="7"/>
  <c r="G1441" i="7"/>
  <c r="G1430" i="7"/>
  <c r="G1419" i="7"/>
  <c r="G1409" i="7"/>
  <c r="G1398" i="7"/>
  <c r="G1387" i="7"/>
  <c r="G1377" i="7"/>
  <c r="G1366" i="7"/>
  <c r="G1355" i="7"/>
  <c r="G1345" i="7"/>
  <c r="G1334" i="7"/>
  <c r="G1323" i="7"/>
  <c r="G1313" i="7"/>
  <c r="G1302" i="7"/>
  <c r="G1291" i="7"/>
  <c r="G1281" i="7"/>
  <c r="G1270" i="7"/>
  <c r="G1259" i="7"/>
  <c r="G1249" i="7"/>
  <c r="G1238" i="7"/>
  <c r="G1227" i="7"/>
  <c r="G1217" i="7"/>
  <c r="G1206" i="7"/>
  <c r="G1195" i="7"/>
  <c r="G1185" i="7"/>
  <c r="G1174" i="7"/>
  <c r="G1162" i="7"/>
  <c r="G1150" i="7"/>
  <c r="G1137" i="7"/>
  <c r="G1125" i="7"/>
  <c r="G1111" i="7"/>
  <c r="G1098" i="7"/>
  <c r="G1086" i="7"/>
  <c r="G1073" i="7"/>
  <c r="G1061" i="7"/>
  <c r="G1047" i="7"/>
  <c r="G1034" i="7"/>
  <c r="G1022" i="7"/>
  <c r="G1009" i="7"/>
  <c r="G997" i="7"/>
  <c r="G983" i="7"/>
  <c r="G970" i="7"/>
  <c r="G958" i="7"/>
  <c r="G942" i="7"/>
  <c r="G926" i="7"/>
  <c r="G910" i="7"/>
  <c r="G894" i="7"/>
  <c r="G878" i="7"/>
  <c r="G846" i="7"/>
  <c r="G814" i="7"/>
  <c r="G782" i="7"/>
  <c r="G750" i="7"/>
  <c r="G718" i="7"/>
  <c r="G686" i="7"/>
  <c r="G654" i="7"/>
  <c r="G622" i="7"/>
  <c r="G590" i="7"/>
  <c r="G558" i="7"/>
  <c r="G526" i="7"/>
  <c r="G494" i="7"/>
  <c r="G462" i="7"/>
  <c r="G430" i="7"/>
  <c r="G398" i="7"/>
  <c r="G366" i="7"/>
  <c r="G334" i="7"/>
  <c r="G302" i="7"/>
  <c r="G270" i="7"/>
  <c r="G238" i="7"/>
  <c r="G206" i="7"/>
  <c r="G174" i="7"/>
  <c r="F1531" i="7"/>
  <c r="F1499" i="7"/>
  <c r="F1467" i="7"/>
  <c r="F1435" i="7"/>
  <c r="F1403" i="7"/>
  <c r="F1371" i="7"/>
  <c r="F1339" i="7"/>
  <c r="F1307" i="7"/>
  <c r="F1275" i="7"/>
  <c r="F1243" i="7"/>
  <c r="F1211" i="7"/>
  <c r="F1179" i="7"/>
  <c r="F1147" i="7"/>
  <c r="F1115" i="7"/>
  <c r="F1083" i="7"/>
  <c r="F1051" i="7"/>
  <c r="F1019" i="7"/>
  <c r="F981" i="7"/>
  <c r="F938" i="7"/>
  <c r="F895" i="7"/>
  <c r="F853" i="7"/>
  <c r="F810" i="7"/>
  <c r="F767" i="7"/>
  <c r="F725" i="7"/>
  <c r="F682" i="7"/>
  <c r="F639" i="7"/>
  <c r="F595" i="7"/>
  <c r="F543" i="7"/>
  <c r="F493" i="7"/>
  <c r="F442" i="7"/>
  <c r="F362" i="7"/>
  <c r="F277" i="7"/>
  <c r="E1442" i="7"/>
  <c r="E1314" i="7"/>
  <c r="E1168" i="7"/>
  <c r="E997" i="7"/>
  <c r="E775" i="7"/>
  <c r="E370" i="7"/>
  <c r="H1303" i="7"/>
  <c r="H1295" i="7"/>
  <c r="H1287" i="7"/>
  <c r="H1279" i="7"/>
  <c r="H1271" i="7"/>
  <c r="H1263" i="7"/>
  <c r="H1255" i="7"/>
  <c r="H1247" i="7"/>
  <c r="H1239" i="7"/>
  <c r="H1231" i="7"/>
  <c r="H1223" i="7"/>
  <c r="H1215" i="7"/>
  <c r="H1207" i="7"/>
  <c r="H1199" i="7"/>
  <c r="H1191" i="7"/>
  <c r="H1183" i="7"/>
  <c r="H1175" i="7"/>
  <c r="H1167" i="7"/>
  <c r="H1159" i="7"/>
  <c r="H1151" i="7"/>
  <c r="H1143" i="7"/>
  <c r="H1135" i="7"/>
  <c r="H1127" i="7"/>
  <c r="H1119" i="7"/>
  <c r="H1111" i="7"/>
  <c r="H1103" i="7"/>
  <c r="H1095" i="7"/>
  <c r="H1087" i="7"/>
  <c r="H1079" i="7"/>
  <c r="H1071" i="7"/>
  <c r="H1063" i="7"/>
  <c r="H1055" i="7"/>
  <c r="H1047" i="7"/>
  <c r="H1039" i="7"/>
  <c r="H1031" i="7"/>
  <c r="H1023" i="7"/>
  <c r="H1015" i="7"/>
  <c r="H1007" i="7"/>
  <c r="H999" i="7"/>
  <c r="H991" i="7"/>
  <c r="H983" i="7"/>
  <c r="H975" i="7"/>
  <c r="H967" i="7"/>
  <c r="H959" i="7"/>
  <c r="H951" i="7"/>
  <c r="H943" i="7"/>
  <c r="H935" i="7"/>
  <c r="H927" i="7"/>
  <c r="H919" i="7"/>
  <c r="H911" i="7"/>
  <c r="H903" i="7"/>
  <c r="H895" i="7"/>
  <c r="H887" i="7"/>
  <c r="H879" i="7"/>
  <c r="H871" i="7"/>
  <c r="H863" i="7"/>
  <c r="H855" i="7"/>
  <c r="H847" i="7"/>
  <c r="H839" i="7"/>
  <c r="H831" i="7"/>
  <c r="H823" i="7"/>
  <c r="H815" i="7"/>
  <c r="H807" i="7"/>
  <c r="H799" i="7"/>
  <c r="H791" i="7"/>
  <c r="H783" i="7"/>
  <c r="H775" i="7"/>
  <c r="H767" i="7"/>
  <c r="H759" i="7"/>
  <c r="H751" i="7"/>
  <c r="H743" i="7"/>
  <c r="H735" i="7"/>
  <c r="H727" i="7"/>
  <c r="H719" i="7"/>
  <c r="H711" i="7"/>
  <c r="H703" i="7"/>
  <c r="H695" i="7"/>
  <c r="H687" i="7"/>
  <c r="H679" i="7"/>
  <c r="H671" i="7"/>
  <c r="H663" i="7"/>
  <c r="H655" i="7"/>
  <c r="H647" i="7"/>
  <c r="H639" i="7"/>
  <c r="H631" i="7"/>
  <c r="H623" i="7"/>
  <c r="H615" i="7"/>
  <c r="H607" i="7"/>
  <c r="H599" i="7"/>
  <c r="H591" i="7"/>
  <c r="H583" i="7"/>
  <c r="H575" i="7"/>
  <c r="H567" i="7"/>
  <c r="H559" i="7"/>
  <c r="H551" i="7"/>
  <c r="H543" i="7"/>
  <c r="H535" i="7"/>
  <c r="H527" i="7"/>
  <c r="H519" i="7"/>
  <c r="H511" i="7"/>
  <c r="H503" i="7"/>
  <c r="H495" i="7"/>
  <c r="H487" i="7"/>
  <c r="H479" i="7"/>
  <c r="H471" i="7"/>
  <c r="H463" i="7"/>
  <c r="H455" i="7"/>
  <c r="H447" i="7"/>
  <c r="H439" i="7"/>
  <c r="H431" i="7"/>
  <c r="H423" i="7"/>
  <c r="H415" i="7"/>
  <c r="H407" i="7"/>
  <c r="H399" i="7"/>
  <c r="H391" i="7"/>
  <c r="H383" i="7"/>
  <c r="H375" i="7"/>
  <c r="H367" i="7"/>
  <c r="H359" i="7"/>
  <c r="H351" i="7"/>
  <c r="H343" i="7"/>
  <c r="H335" i="7"/>
  <c r="H327" i="7"/>
  <c r="H319" i="7"/>
  <c r="H311" i="7"/>
  <c r="H303" i="7"/>
  <c r="H295" i="7"/>
  <c r="H287" i="7"/>
  <c r="H279" i="7"/>
  <c r="H271" i="7"/>
  <c r="H263" i="7"/>
  <c r="H255" i="7"/>
  <c r="H247" i="7"/>
  <c r="H239" i="7"/>
  <c r="H231" i="7"/>
  <c r="H223" i="7"/>
  <c r="H215" i="7"/>
  <c r="H207" i="7"/>
  <c r="H199" i="7"/>
  <c r="H191" i="7"/>
  <c r="H183" i="7"/>
  <c r="H175" i="7"/>
  <c r="H167" i="7"/>
  <c r="G1525" i="7"/>
  <c r="G1514" i="7"/>
  <c r="G1503" i="7"/>
  <c r="G1493" i="7"/>
  <c r="G1482" i="7"/>
  <c r="G1471" i="7"/>
  <c r="G1461" i="7"/>
  <c r="G1450" i="7"/>
  <c r="G1439" i="7"/>
  <c r="G1429" i="7"/>
  <c r="G1418" i="7"/>
  <c r="G1407" i="7"/>
  <c r="G1397" i="7"/>
  <c r="G1386" i="7"/>
  <c r="G1375" i="7"/>
  <c r="G1365" i="7"/>
  <c r="G1354" i="7"/>
  <c r="G1343" i="7"/>
  <c r="G1333" i="7"/>
  <c r="G1322" i="7"/>
  <c r="G1311" i="7"/>
  <c r="G1301" i="7"/>
  <c r="G1290" i="7"/>
  <c r="G1279" i="7"/>
  <c r="G1269" i="7"/>
  <c r="G1258" i="7"/>
  <c r="G1247" i="7"/>
  <c r="G1237" i="7"/>
  <c r="G1226" i="7"/>
  <c r="G1215" i="7"/>
  <c r="G1205" i="7"/>
  <c r="G1194" i="7"/>
  <c r="G1183" i="7"/>
  <c r="G1173" i="7"/>
  <c r="G1161" i="7"/>
  <c r="G1149" i="7"/>
  <c r="G1135" i="7"/>
  <c r="G1122" i="7"/>
  <c r="G1110" i="7"/>
  <c r="G1097" i="7"/>
  <c r="G1085" i="7"/>
  <c r="G1071" i="7"/>
  <c r="G1058" i="7"/>
  <c r="G1046" i="7"/>
  <c r="G1033" i="7"/>
  <c r="G1021" i="7"/>
  <c r="G1007" i="7"/>
  <c r="G994" i="7"/>
  <c r="G982" i="7"/>
  <c r="G969" i="7"/>
  <c r="G954" i="7"/>
  <c r="G938" i="7"/>
  <c r="G922" i="7"/>
  <c r="G906" i="7"/>
  <c r="G890" i="7"/>
  <c r="G871" i="7"/>
  <c r="G839" i="7"/>
  <c r="G807" i="7"/>
  <c r="G775" i="7"/>
  <c r="G743" i="7"/>
  <c r="G711" i="7"/>
  <c r="G679" i="7"/>
  <c r="G647" i="7"/>
  <c r="G615" i="7"/>
  <c r="G583" i="7"/>
  <c r="G551" i="7"/>
  <c r="G519" i="7"/>
  <c r="G487" i="7"/>
  <c r="G455" i="7"/>
  <c r="G423" i="7"/>
  <c r="G391" i="7"/>
  <c r="G359" i="7"/>
  <c r="G327" i="7"/>
  <c r="G295" i="7"/>
  <c r="G263" i="7"/>
  <c r="G231" i="7"/>
  <c r="G199" i="7"/>
  <c r="G167" i="7"/>
  <c r="F1530" i="7"/>
  <c r="F1498" i="7"/>
  <c r="F1466" i="7"/>
  <c r="F1434" i="7"/>
  <c r="F1402" i="7"/>
  <c r="F1370" i="7"/>
  <c r="F1338" i="7"/>
  <c r="F1306" i="7"/>
  <c r="F1274" i="7"/>
  <c r="F1242" i="7"/>
  <c r="F1210" i="7"/>
  <c r="F1178" i="7"/>
  <c r="F1146" i="7"/>
  <c r="F1114" i="7"/>
  <c r="F1082" i="7"/>
  <c r="F1050" i="7"/>
  <c r="F1018" i="7"/>
  <c r="F979" i="7"/>
  <c r="F937" i="7"/>
  <c r="F894" i="7"/>
  <c r="F851" i="7"/>
  <c r="F809" i="7"/>
  <c r="F766" i="7"/>
  <c r="F723" i="7"/>
  <c r="F681" i="7"/>
  <c r="F638" i="7"/>
  <c r="F594" i="7"/>
  <c r="F542" i="7"/>
  <c r="F491" i="7"/>
  <c r="F439" i="7"/>
  <c r="F358" i="7"/>
  <c r="F270" i="7"/>
  <c r="E1417" i="7"/>
  <c r="E1289" i="7"/>
  <c r="E1135" i="7"/>
  <c r="E964" i="7"/>
  <c r="E725" i="7"/>
  <c r="E241" i="7"/>
  <c r="H1246" i="7"/>
  <c r="H1238" i="7"/>
  <c r="H1230" i="7"/>
  <c r="H1222" i="7"/>
  <c r="H1214" i="7"/>
  <c r="H1206" i="7"/>
  <c r="H1198" i="7"/>
  <c r="H1190" i="7"/>
  <c r="C599" i="7"/>
  <c r="B1420" i="7"/>
  <c r="B1115" i="7"/>
  <c r="C1509" i="7"/>
  <c r="C1469" i="7"/>
  <c r="C1405" i="7"/>
  <c r="C1357" i="7"/>
  <c r="C1325" i="7"/>
  <c r="C1277" i="7"/>
  <c r="C1037" i="7"/>
  <c r="C973" i="7"/>
  <c r="C877" i="7"/>
  <c r="C773" i="7"/>
  <c r="C749" i="7"/>
  <c r="C725" i="7"/>
  <c r="C660" i="7"/>
  <c r="C534" i="7"/>
  <c r="C336" i="7"/>
  <c r="C254" i="7"/>
  <c r="B1267" i="7"/>
  <c r="C669" i="7"/>
  <c r="C605" i="7"/>
  <c r="C549" i="7"/>
  <c r="B1524" i="7"/>
  <c r="B1419" i="7"/>
  <c r="B1291" i="7"/>
  <c r="B1140" i="7"/>
  <c r="B1035" i="7"/>
  <c r="B971" i="7"/>
  <c r="B393" i="7"/>
  <c r="C586" i="7"/>
  <c r="C455" i="7"/>
  <c r="B1516" i="7"/>
  <c r="B1388" i="7"/>
  <c r="B1283" i="7"/>
  <c r="B1178" i="7"/>
  <c r="B940" i="7"/>
  <c r="B819" i="7"/>
  <c r="B539" i="7"/>
  <c r="C641" i="7"/>
  <c r="C609" i="7"/>
  <c r="C545" i="7"/>
  <c r="C216" i="7"/>
  <c r="B697" i="7"/>
  <c r="B243" i="7"/>
  <c r="C680" i="7"/>
  <c r="C632" i="7"/>
  <c r="C568" i="7"/>
  <c r="B411" i="7"/>
  <c r="B1380" i="7"/>
  <c r="B1147" i="7"/>
  <c r="B1060" i="7"/>
  <c r="B891" i="7"/>
  <c r="B395" i="7"/>
  <c r="B1379" i="7"/>
  <c r="B1292" i="7"/>
  <c r="B1123" i="7"/>
  <c r="C501" i="7"/>
  <c r="C485" i="7"/>
  <c r="C429" i="7"/>
  <c r="C397" i="7"/>
  <c r="B1489" i="7"/>
  <c r="B1465" i="7"/>
  <c r="B1433" i="7"/>
  <c r="B1305" i="7"/>
  <c r="B1241" i="7"/>
  <c r="B1201" i="7"/>
  <c r="B1121" i="7"/>
  <c r="B985" i="7"/>
  <c r="B873" i="7"/>
  <c r="B849" i="7"/>
  <c r="B794" i="7"/>
  <c r="B602" i="7"/>
  <c r="C356" i="7"/>
  <c r="C324" i="7"/>
  <c r="C284" i="7"/>
  <c r="C204" i="7"/>
  <c r="B1504" i="7"/>
  <c r="B1296" i="7"/>
  <c r="B1248" i="7"/>
  <c r="B1176" i="7"/>
  <c r="B1096" i="7"/>
  <c r="B1040" i="7"/>
  <c r="B928" i="7"/>
  <c r="B896" i="7"/>
  <c r="B848" i="7"/>
  <c r="B729" i="7"/>
  <c r="B601" i="7"/>
  <c r="B409" i="7"/>
  <c r="B363" i="7"/>
  <c r="B299" i="7"/>
  <c r="B235" i="7"/>
  <c r="C427" i="7"/>
  <c r="C403" i="7"/>
  <c r="C379" i="7"/>
  <c r="C355" i="7"/>
  <c r="C283" i="7"/>
  <c r="C251" i="7"/>
  <c r="B1527" i="7"/>
  <c r="B1487" i="7"/>
  <c r="B1423" i="7"/>
  <c r="B1383" i="7"/>
  <c r="B1351" i="7"/>
  <c r="B1287" i="7"/>
  <c r="B1199" i="7"/>
  <c r="B1159" i="7"/>
  <c r="B1103" i="7"/>
  <c r="B1071" i="7"/>
  <c r="B1031" i="7"/>
  <c r="B951" i="7"/>
  <c r="B919" i="7"/>
  <c r="B879" i="7"/>
  <c r="B810" i="7"/>
  <c r="B659" i="7"/>
  <c r="B426" i="7"/>
  <c r="B275" i="7"/>
  <c r="B211" i="7"/>
  <c r="C474" i="7"/>
  <c r="C426" i="7"/>
  <c r="C394" i="7"/>
  <c r="C354" i="7"/>
  <c r="C322" i="7"/>
  <c r="C258" i="7"/>
  <c r="C226" i="7"/>
  <c r="C194" i="7"/>
  <c r="B1526" i="7"/>
  <c r="B1486" i="7"/>
  <c r="B1446" i="7"/>
  <c r="B1406" i="7"/>
  <c r="B1350" i="7"/>
  <c r="B1318" i="7"/>
  <c r="B1270" i="7"/>
  <c r="B1110" i="7"/>
  <c r="B1038" i="7"/>
  <c r="B982" i="7"/>
  <c r="B926" i="7"/>
  <c r="B886" i="7"/>
  <c r="B846" i="7"/>
  <c r="B763" i="7"/>
  <c r="B617" i="7"/>
  <c r="B553" i="7"/>
  <c r="B338" i="7"/>
  <c r="B233" i="7"/>
  <c r="C433" i="7"/>
  <c r="C369" i="7"/>
  <c r="C313" i="7"/>
  <c r="C217" i="7"/>
  <c r="C177" i="7"/>
  <c r="B1461" i="7"/>
  <c r="B1429" i="7"/>
  <c r="B1405" i="7"/>
  <c r="B1341" i="7"/>
  <c r="B1301" i="7"/>
  <c r="B1261" i="7"/>
  <c r="B1221" i="7"/>
  <c r="B1173" i="7"/>
  <c r="B1077" i="7"/>
  <c r="B1029" i="7"/>
  <c r="B933" i="7"/>
  <c r="B869" i="7"/>
  <c r="B803" i="7"/>
  <c r="B698" i="7"/>
  <c r="B408" i="7"/>
  <c r="B368" i="7"/>
  <c r="B344" i="7"/>
  <c r="B320" i="7"/>
  <c r="B288" i="7"/>
  <c r="B264" i="7"/>
  <c r="B176" i="7"/>
  <c r="B823" i="7"/>
  <c r="B791" i="7"/>
  <c r="B743" i="7"/>
  <c r="B671" i="7"/>
  <c r="B615" i="7"/>
  <c r="B575" i="7"/>
  <c r="B535" i="7"/>
  <c r="B471" i="7"/>
  <c r="B439" i="7"/>
  <c r="B415" i="7"/>
  <c r="B327" i="7"/>
  <c r="B303" i="7"/>
  <c r="B247" i="7"/>
  <c r="B207" i="7"/>
  <c r="B167" i="7"/>
  <c r="B806" i="7"/>
  <c r="B766" i="7"/>
  <c r="B702" i="7"/>
  <c r="B662" i="7"/>
  <c r="B630" i="7"/>
  <c r="B606" i="7"/>
  <c r="B566" i="7"/>
  <c r="B534" i="7"/>
  <c r="B502" i="7"/>
  <c r="B454" i="7"/>
  <c r="B422" i="7"/>
  <c r="B382" i="7"/>
  <c r="B350" i="7"/>
  <c r="B310" i="7"/>
  <c r="B294" i="7"/>
  <c r="B262" i="7"/>
  <c r="B230" i="7"/>
  <c r="B829" i="7"/>
  <c r="B797" i="7"/>
  <c r="B773" i="7"/>
  <c r="B733" i="7"/>
  <c r="B709" i="7"/>
  <c r="B677" i="7"/>
  <c r="B637" i="7"/>
  <c r="B589" i="7"/>
  <c r="B557" i="7"/>
  <c r="B509" i="7"/>
  <c r="B461" i="7"/>
  <c r="B421" i="7"/>
  <c r="B389" i="7"/>
  <c r="B357" i="7"/>
  <c r="B309" i="7"/>
  <c r="B269" i="7"/>
  <c r="B229" i="7"/>
  <c r="B820" i="7"/>
  <c r="B796" i="7"/>
  <c r="B756" i="7"/>
  <c r="B716" i="7"/>
  <c r="B676" i="7"/>
  <c r="B644" i="7"/>
  <c r="B612" i="7"/>
  <c r="B556" i="7"/>
  <c r="B516" i="7"/>
  <c r="B476" i="7"/>
  <c r="B436" i="7"/>
  <c r="B388" i="7"/>
  <c r="B348" i="7"/>
  <c r="B324" i="7"/>
  <c r="B292" i="7"/>
  <c r="B268" i="7"/>
  <c r="B236" i="7"/>
  <c r="B188" i="7"/>
  <c r="A1147" i="7"/>
  <c r="A1123" i="7"/>
  <c r="A1075" i="7"/>
  <c r="A1027" i="7"/>
  <c r="A987" i="7"/>
  <c r="A955" i="7"/>
  <c r="A907" i="7"/>
  <c r="A875" i="7"/>
  <c r="A835" i="7"/>
  <c r="A779" i="7"/>
  <c r="A739" i="7"/>
  <c r="A707" i="7"/>
  <c r="A667" i="7"/>
  <c r="A627" i="7"/>
  <c r="A587" i="7"/>
  <c r="A555" i="7"/>
  <c r="A515" i="7"/>
  <c r="A467" i="7"/>
  <c r="A395" i="7"/>
  <c r="A352" i="7"/>
  <c r="A278" i="7"/>
  <c r="A224" i="7"/>
  <c r="H1502" i="7"/>
  <c r="H1448" i="7"/>
  <c r="H1406" i="7"/>
  <c r="H1363" i="7"/>
  <c r="H1320" i="7"/>
  <c r="H1259" i="7"/>
  <c r="H1100" i="7"/>
  <c r="H908" i="7"/>
  <c r="H844" i="7"/>
  <c r="H554" i="7"/>
  <c r="H362" i="7"/>
  <c r="G1423" i="7"/>
  <c r="G1253" i="7"/>
  <c r="G791" i="7"/>
  <c r="F1315" i="7"/>
  <c r="A1522" i="7"/>
  <c r="A1418" i="7"/>
  <c r="A1370" i="7"/>
  <c r="A1314" i="7"/>
  <c r="A1274" i="7"/>
  <c r="A1202" i="7"/>
  <c r="A1162" i="7"/>
  <c r="A1106" i="7"/>
  <c r="A1058" i="7"/>
  <c r="A1034" i="7"/>
  <c r="A994" i="7"/>
  <c r="A930" i="7"/>
  <c r="A898" i="7"/>
  <c r="A826" i="7"/>
  <c r="A778" i="7"/>
  <c r="A738" i="7"/>
  <c r="A698" i="7"/>
  <c r="A642" i="7"/>
  <c r="A594" i="7"/>
  <c r="A554" i="7"/>
  <c r="A514" i="7"/>
  <c r="A490" i="7"/>
  <c r="A415" i="7"/>
  <c r="A319" i="7"/>
  <c r="A287" i="7"/>
  <c r="A255" i="7"/>
  <c r="A202" i="7"/>
  <c r="A180" i="7"/>
  <c r="H1522" i="7"/>
  <c r="H1500" i="7"/>
  <c r="H1490" i="7"/>
  <c r="H1479" i="7"/>
  <c r="H1458" i="7"/>
  <c r="H1436" i="7"/>
  <c r="H1415" i="7"/>
  <c r="H1394" i="7"/>
  <c r="H1372" i="7"/>
  <c r="H1351" i="7"/>
  <c r="H1330" i="7"/>
  <c r="H1308" i="7"/>
  <c r="H1270" i="7"/>
  <c r="H1243" i="7"/>
  <c r="H1211" i="7"/>
  <c r="H1179" i="7"/>
  <c r="H1147" i="7"/>
  <c r="H1115" i="7"/>
  <c r="H1083" i="7"/>
  <c r="H1051" i="7"/>
  <c r="H1019" i="7"/>
  <c r="H987" i="7"/>
  <c r="H955" i="7"/>
  <c r="H907" i="7"/>
  <c r="H875" i="7"/>
  <c r="H843" i="7"/>
  <c r="H827" i="7"/>
  <c r="H795" i="7"/>
  <c r="H707" i="7"/>
  <c r="H643" i="7"/>
  <c r="H579" i="7"/>
  <c r="H515" i="7"/>
  <c r="H419" i="7"/>
  <c r="H355" i="7"/>
  <c r="H291" i="7"/>
  <c r="H195" i="7"/>
  <c r="G1507" i="7"/>
  <c r="G1422" i="7"/>
  <c r="G1337" i="7"/>
  <c r="G1209" i="7"/>
  <c r="G1114" i="7"/>
  <c r="G1013" i="7"/>
  <c r="G897" i="7"/>
  <c r="G662" i="7"/>
  <c r="G278" i="7"/>
  <c r="F1290" i="7"/>
  <c r="F1034" i="7"/>
  <c r="F702" i="7"/>
  <c r="E1040" i="7"/>
  <c r="A1521" i="7"/>
  <c r="A1505" i="7"/>
  <c r="A1489" i="7"/>
  <c r="A1473" i="7"/>
  <c r="A1457" i="7"/>
  <c r="A1441" i="7"/>
  <c r="A1425" i="7"/>
  <c r="A1401" i="7"/>
  <c r="A1385" i="7"/>
  <c r="A1369" i="7"/>
  <c r="A1353" i="7"/>
  <c r="A1337" i="7"/>
  <c r="A1321" i="7"/>
  <c r="A1313" i="7"/>
  <c r="A1289" i="7"/>
  <c r="A1273" i="7"/>
  <c r="A1249" i="7"/>
  <c r="A1225" i="7"/>
  <c r="A1209" i="7"/>
  <c r="A1201" i="7"/>
  <c r="A1185" i="7"/>
  <c r="A1169" i="7"/>
  <c r="A1153" i="7"/>
  <c r="A1129" i="7"/>
  <c r="A1121" i="7"/>
  <c r="A1105" i="7"/>
  <c r="A1089" i="7"/>
  <c r="A1065" i="7"/>
  <c r="A1049" i="7"/>
  <c r="H1182" i="7"/>
  <c r="H1174" i="7"/>
  <c r="H1166" i="7"/>
  <c r="H1158" i="7"/>
  <c r="H1150" i="7"/>
  <c r="H1142" i="7"/>
  <c r="H1134" i="7"/>
  <c r="H1126" i="7"/>
  <c r="H1118" i="7"/>
  <c r="H1110" i="7"/>
  <c r="H1102" i="7"/>
  <c r="H1094" i="7"/>
  <c r="H1086" i="7"/>
  <c r="H1078" i="7"/>
  <c r="H1070" i="7"/>
  <c r="H1062" i="7"/>
  <c r="H1054" i="7"/>
  <c r="H1046" i="7"/>
  <c r="H1038" i="7"/>
  <c r="H1030" i="7"/>
  <c r="H1022" i="7"/>
  <c r="H1014" i="7"/>
  <c r="H1006" i="7"/>
  <c r="H998" i="7"/>
  <c r="H990" i="7"/>
  <c r="H982" i="7"/>
  <c r="H974" i="7"/>
  <c r="H966" i="7"/>
  <c r="H958" i="7"/>
  <c r="H950" i="7"/>
  <c r="H942" i="7"/>
  <c r="H934" i="7"/>
  <c r="H926" i="7"/>
  <c r="H918" i="7"/>
  <c r="H910" i="7"/>
  <c r="H902" i="7"/>
  <c r="H894" i="7"/>
  <c r="H886" i="7"/>
  <c r="H878" i="7"/>
  <c r="H870" i="7"/>
  <c r="H862" i="7"/>
  <c r="H854" i="7"/>
  <c r="H846" i="7"/>
  <c r="H838" i="7"/>
  <c r="H830" i="7"/>
  <c r="H822" i="7"/>
  <c r="H814" i="7"/>
  <c r="H806" i="7"/>
  <c r="H798" i="7"/>
  <c r="H790" i="7"/>
  <c r="H782" i="7"/>
  <c r="H774" i="7"/>
  <c r="H766" i="7"/>
  <c r="H758" i="7"/>
  <c r="H750" i="7"/>
  <c r="H742" i="7"/>
  <c r="H734" i="7"/>
  <c r="H726" i="7"/>
  <c r="H718" i="7"/>
  <c r="H710" i="7"/>
  <c r="H702" i="7"/>
  <c r="H694" i="7"/>
  <c r="H686" i="7"/>
  <c r="H678" i="7"/>
  <c r="H670" i="7"/>
  <c r="H662" i="7"/>
  <c r="H654" i="7"/>
  <c r="H646" i="7"/>
  <c r="H638" i="7"/>
  <c r="H630" i="7"/>
  <c r="H622" i="7"/>
  <c r="H614" i="7"/>
  <c r="H606" i="7"/>
  <c r="H598" i="7"/>
  <c r="H590" i="7"/>
  <c r="H582" i="7"/>
  <c r="H574" i="7"/>
  <c r="H566" i="7"/>
  <c r="H558" i="7"/>
  <c r="H550" i="7"/>
  <c r="H542" i="7"/>
  <c r="H534" i="7"/>
  <c r="H526" i="7"/>
  <c r="H518" i="7"/>
  <c r="H510" i="7"/>
  <c r="H502" i="7"/>
  <c r="H494" i="7"/>
  <c r="H486" i="7"/>
  <c r="H478" i="7"/>
  <c r="H470" i="7"/>
  <c r="H462" i="7"/>
  <c r="H454" i="7"/>
  <c r="H446" i="7"/>
  <c r="H438" i="7"/>
  <c r="H430" i="7"/>
  <c r="H422" i="7"/>
  <c r="H414" i="7"/>
  <c r="H406" i="7"/>
  <c r="H398" i="7"/>
  <c r="H390" i="7"/>
  <c r="H382" i="7"/>
  <c r="H374" i="7"/>
  <c r="H366" i="7"/>
  <c r="H358" i="7"/>
  <c r="H350" i="7"/>
  <c r="H342" i="7"/>
  <c r="H334" i="7"/>
  <c r="H326" i="7"/>
  <c r="H318" i="7"/>
  <c r="H310" i="7"/>
  <c r="H302" i="7"/>
  <c r="H294" i="7"/>
  <c r="H286" i="7"/>
  <c r="H278" i="7"/>
  <c r="H270" i="7"/>
  <c r="H262" i="7"/>
  <c r="H254" i="7"/>
  <c r="H246" i="7"/>
  <c r="H238" i="7"/>
  <c r="H230" i="7"/>
  <c r="H222" i="7"/>
  <c r="H214" i="7"/>
  <c r="H206" i="7"/>
  <c r="H198" i="7"/>
  <c r="H190" i="7"/>
  <c r="H182" i="7"/>
  <c r="H174" i="7"/>
  <c r="H166" i="7"/>
  <c r="G1523" i="7"/>
  <c r="G1513" i="7"/>
  <c r="G1502" i="7"/>
  <c r="G1491" i="7"/>
  <c r="G1481" i="7"/>
  <c r="G1470" i="7"/>
  <c r="G1459" i="7"/>
  <c r="G1449" i="7"/>
  <c r="G1438" i="7"/>
  <c r="G1427" i="7"/>
  <c r="G1417" i="7"/>
  <c r="G1406" i="7"/>
  <c r="G1395" i="7"/>
  <c r="G1385" i="7"/>
  <c r="G1374" i="7"/>
  <c r="G1363" i="7"/>
  <c r="G1353" i="7"/>
  <c r="G1342" i="7"/>
  <c r="G1331" i="7"/>
  <c r="G1321" i="7"/>
  <c r="G1310" i="7"/>
  <c r="G1299" i="7"/>
  <c r="G1289" i="7"/>
  <c r="G1278" i="7"/>
  <c r="G1267" i="7"/>
  <c r="G1257" i="7"/>
  <c r="G1246" i="7"/>
  <c r="G1235" i="7"/>
  <c r="G1225" i="7"/>
  <c r="G1214" i="7"/>
  <c r="G1203" i="7"/>
  <c r="G1193" i="7"/>
  <c r="G1182" i="7"/>
  <c r="G1171" i="7"/>
  <c r="G1159" i="7"/>
  <c r="G1146" i="7"/>
  <c r="G1134" i="7"/>
  <c r="G1121" i="7"/>
  <c r="G1109" i="7"/>
  <c r="G1095" i="7"/>
  <c r="G1082" i="7"/>
  <c r="G1070" i="7"/>
  <c r="G1057" i="7"/>
  <c r="G1045" i="7"/>
  <c r="G1031" i="7"/>
  <c r="G1018" i="7"/>
  <c r="G1006" i="7"/>
  <c r="G993" i="7"/>
  <c r="G981" i="7"/>
  <c r="G967" i="7"/>
  <c r="G953" i="7"/>
  <c r="G937" i="7"/>
  <c r="G921" i="7"/>
  <c r="G905" i="7"/>
  <c r="G889" i="7"/>
  <c r="G870" i="7"/>
  <c r="G838" i="7"/>
  <c r="G806" i="7"/>
  <c r="G774" i="7"/>
  <c r="G742" i="7"/>
  <c r="G710" i="7"/>
  <c r="G678" i="7"/>
  <c r="G646" i="7"/>
  <c r="G614" i="7"/>
  <c r="G582" i="7"/>
  <c r="G550" i="7"/>
  <c r="G518" i="7"/>
  <c r="G486" i="7"/>
  <c r="G454" i="7"/>
  <c r="G422" i="7"/>
  <c r="G390" i="7"/>
  <c r="G358" i="7"/>
  <c r="G326" i="7"/>
  <c r="G294" i="7"/>
  <c r="G262" i="7"/>
  <c r="G230" i="7"/>
  <c r="G198" i="7"/>
  <c r="G166" i="7"/>
  <c r="F1523" i="7"/>
  <c r="F1491" i="7"/>
  <c r="F1459" i="7"/>
  <c r="F1427" i="7"/>
  <c r="F1395" i="7"/>
  <c r="F1363" i="7"/>
  <c r="F1331" i="7"/>
  <c r="F1299" i="7"/>
  <c r="F1267" i="7"/>
  <c r="F1235" i="7"/>
  <c r="F1203" i="7"/>
  <c r="F1171" i="7"/>
  <c r="F1139" i="7"/>
  <c r="F1107" i="7"/>
  <c r="F1075" i="7"/>
  <c r="F1043" i="7"/>
  <c r="F1011" i="7"/>
  <c r="F970" i="7"/>
  <c r="F927" i="7"/>
  <c r="F885" i="7"/>
  <c r="F842" i="7"/>
  <c r="F799" i="7"/>
  <c r="F757" i="7"/>
  <c r="F714" i="7"/>
  <c r="F671" i="7"/>
  <c r="F629" i="7"/>
  <c r="F582" i="7"/>
  <c r="F531" i="7"/>
  <c r="F479" i="7"/>
  <c r="F426" i="7"/>
  <c r="F341" i="7"/>
  <c r="F245" i="7"/>
  <c r="E1410" i="7"/>
  <c r="E1282" i="7"/>
  <c r="E1125" i="7"/>
  <c r="E952" i="7"/>
  <c r="E711" i="7"/>
  <c r="E200" i="7"/>
  <c r="D1386" i="7"/>
  <c r="A457" i="7"/>
  <c r="A449" i="7"/>
  <c r="A441" i="7"/>
  <c r="A433" i="7"/>
  <c r="A425" i="7"/>
  <c r="A417" i="7"/>
  <c r="A409" i="7"/>
  <c r="A401" i="7"/>
  <c r="A393" i="7"/>
  <c r="A385" i="7"/>
  <c r="A377" i="7"/>
  <c r="A369" i="7"/>
  <c r="A361" i="7"/>
  <c r="A353" i="7"/>
  <c r="A345" i="7"/>
  <c r="A337" i="7"/>
  <c r="A329" i="7"/>
  <c r="A321" i="7"/>
  <c r="A313" i="7"/>
  <c r="A305" i="7"/>
  <c r="A297" i="7"/>
  <c r="A289" i="7"/>
  <c r="A281" i="7"/>
  <c r="A273" i="7"/>
  <c r="A265" i="7"/>
  <c r="A257" i="7"/>
  <c r="A249" i="7"/>
  <c r="A241" i="7"/>
  <c r="A233" i="7"/>
  <c r="A225" i="7"/>
  <c r="A217" i="7"/>
  <c r="A209" i="7"/>
  <c r="A201" i="7"/>
  <c r="A193" i="7"/>
  <c r="A185" i="7"/>
  <c r="A177" i="7"/>
  <c r="A169" i="7"/>
  <c r="H1525" i="7"/>
  <c r="H1517" i="7"/>
  <c r="H1509" i="7"/>
  <c r="H1501" i="7"/>
  <c r="H1493" i="7"/>
  <c r="H1485" i="7"/>
  <c r="H1477" i="7"/>
  <c r="H1469" i="7"/>
  <c r="H1461" i="7"/>
  <c r="H1453" i="7"/>
  <c r="H1445" i="7"/>
  <c r="H1437" i="7"/>
  <c r="H1429" i="7"/>
  <c r="H1421" i="7"/>
  <c r="H1413" i="7"/>
  <c r="H1405" i="7"/>
  <c r="H1397" i="7"/>
  <c r="H1389" i="7"/>
  <c r="H1381" i="7"/>
  <c r="H1373" i="7"/>
  <c r="H1365" i="7"/>
  <c r="H1357" i="7"/>
  <c r="H1349" i="7"/>
  <c r="H1341" i="7"/>
  <c r="H1333" i="7"/>
  <c r="H1325" i="7"/>
  <c r="H1317" i="7"/>
  <c r="H1309" i="7"/>
  <c r="H1301" i="7"/>
  <c r="H1293" i="7"/>
  <c r="H1285" i="7"/>
  <c r="H1277" i="7"/>
  <c r="H1269" i="7"/>
  <c r="H1261" i="7"/>
  <c r="H1253" i="7"/>
  <c r="H1245" i="7"/>
  <c r="H1237" i="7"/>
  <c r="H1229" i="7"/>
  <c r="H1221" i="7"/>
  <c r="H1213" i="7"/>
  <c r="H1205" i="7"/>
  <c r="H1197" i="7"/>
  <c r="H1189" i="7"/>
  <c r="H1181" i="7"/>
  <c r="H1173" i="7"/>
  <c r="H1165" i="7"/>
  <c r="H1157" i="7"/>
  <c r="H1149" i="7"/>
  <c r="H1141" i="7"/>
  <c r="H1133" i="7"/>
  <c r="H1125" i="7"/>
  <c r="H1117" i="7"/>
  <c r="H1109" i="7"/>
  <c r="H1101" i="7"/>
  <c r="H1093" i="7"/>
  <c r="H1085" i="7"/>
  <c r="H1077" i="7"/>
  <c r="H1069" i="7"/>
  <c r="H1061" i="7"/>
  <c r="H1053" i="7"/>
  <c r="H1045" i="7"/>
  <c r="H1037" i="7"/>
  <c r="H1029" i="7"/>
  <c r="H1021" i="7"/>
  <c r="H1013" i="7"/>
  <c r="H1005" i="7"/>
  <c r="H997" i="7"/>
  <c r="H989" i="7"/>
  <c r="H981" i="7"/>
  <c r="H973" i="7"/>
  <c r="H965" i="7"/>
  <c r="H957" i="7"/>
  <c r="H949" i="7"/>
  <c r="H941" i="7"/>
  <c r="H933" i="7"/>
  <c r="H925" i="7"/>
  <c r="H917" i="7"/>
  <c r="H909" i="7"/>
  <c r="H901" i="7"/>
  <c r="H893" i="7"/>
  <c r="H885" i="7"/>
  <c r="H877" i="7"/>
  <c r="H869" i="7"/>
  <c r="H861" i="7"/>
  <c r="H853" i="7"/>
  <c r="H845" i="7"/>
  <c r="H837" i="7"/>
  <c r="H829" i="7"/>
  <c r="H821" i="7"/>
  <c r="H813" i="7"/>
  <c r="H805" i="7"/>
  <c r="H797" i="7"/>
  <c r="H789" i="7"/>
  <c r="H781" i="7"/>
  <c r="H773" i="7"/>
  <c r="H765" i="7"/>
  <c r="H757" i="7"/>
  <c r="H749" i="7"/>
  <c r="H741" i="7"/>
  <c r="H733" i="7"/>
  <c r="H725" i="7"/>
  <c r="H717" i="7"/>
  <c r="H709" i="7"/>
  <c r="H701" i="7"/>
  <c r="H693" i="7"/>
  <c r="H685" i="7"/>
  <c r="H677" i="7"/>
  <c r="H669" i="7"/>
  <c r="H661" i="7"/>
  <c r="H653" i="7"/>
  <c r="H645" i="7"/>
  <c r="H637" i="7"/>
  <c r="H629" i="7"/>
  <c r="H621" i="7"/>
  <c r="H613" i="7"/>
  <c r="H605" i="7"/>
  <c r="H597" i="7"/>
  <c r="H589" i="7"/>
  <c r="H581" i="7"/>
  <c r="H573" i="7"/>
  <c r="H565" i="7"/>
  <c r="H557" i="7"/>
  <c r="H549" i="7"/>
  <c r="H541" i="7"/>
  <c r="H533" i="7"/>
  <c r="H525" i="7"/>
  <c r="H517" i="7"/>
  <c r="H509" i="7"/>
  <c r="H501" i="7"/>
  <c r="H493" i="7"/>
  <c r="H485" i="7"/>
  <c r="H477" i="7"/>
  <c r="H469" i="7"/>
  <c r="H461" i="7"/>
  <c r="H453" i="7"/>
  <c r="H445" i="7"/>
  <c r="H437" i="7"/>
  <c r="H429" i="7"/>
  <c r="H421" i="7"/>
  <c r="H413" i="7"/>
  <c r="H405" i="7"/>
  <c r="H397" i="7"/>
  <c r="H389" i="7"/>
  <c r="H381" i="7"/>
  <c r="H373" i="7"/>
  <c r="H365" i="7"/>
  <c r="H357" i="7"/>
  <c r="H349" i="7"/>
  <c r="H341" i="7"/>
  <c r="H333" i="7"/>
  <c r="H325" i="7"/>
  <c r="H317" i="7"/>
  <c r="H309" i="7"/>
  <c r="H301" i="7"/>
  <c r="H293" i="7"/>
  <c r="H285" i="7"/>
  <c r="H277" i="7"/>
  <c r="H269" i="7"/>
  <c r="H261" i="7"/>
  <c r="H253" i="7"/>
  <c r="H245" i="7"/>
  <c r="H237" i="7"/>
  <c r="H229" i="7"/>
  <c r="H221" i="7"/>
  <c r="H213" i="7"/>
  <c r="H205" i="7"/>
  <c r="H197" i="7"/>
  <c r="H189" i="7"/>
  <c r="H181" i="7"/>
  <c r="H173" i="7"/>
  <c r="H165" i="7"/>
  <c r="G1522" i="7"/>
  <c r="G1511" i="7"/>
  <c r="G1501" i="7"/>
  <c r="G1490" i="7"/>
  <c r="G1479" i="7"/>
  <c r="G1469" i="7"/>
  <c r="G1458" i="7"/>
  <c r="G1447" i="7"/>
  <c r="G1437" i="7"/>
  <c r="G1426" i="7"/>
  <c r="G1415" i="7"/>
  <c r="G1405" i="7"/>
  <c r="G1394" i="7"/>
  <c r="G1383" i="7"/>
  <c r="G1373" i="7"/>
  <c r="G1362" i="7"/>
  <c r="G1351" i="7"/>
  <c r="G1341" i="7"/>
  <c r="G1330" i="7"/>
  <c r="G1319" i="7"/>
  <c r="G1309" i="7"/>
  <c r="G1298" i="7"/>
  <c r="G1287" i="7"/>
  <c r="G1277" i="7"/>
  <c r="G1266" i="7"/>
  <c r="G1255" i="7"/>
  <c r="G1245" i="7"/>
  <c r="G1234" i="7"/>
  <c r="G1223" i="7"/>
  <c r="G1213" i="7"/>
  <c r="G1202" i="7"/>
  <c r="G1191" i="7"/>
  <c r="G1181" i="7"/>
  <c r="G1170" i="7"/>
  <c r="G1158" i="7"/>
  <c r="G1145" i="7"/>
  <c r="G1133" i="7"/>
  <c r="G1119" i="7"/>
  <c r="G1106" i="7"/>
  <c r="G1094" i="7"/>
  <c r="G1081" i="7"/>
  <c r="G1069" i="7"/>
  <c r="G1055" i="7"/>
  <c r="G1042" i="7"/>
  <c r="G1030" i="7"/>
  <c r="G1017" i="7"/>
  <c r="G1005" i="7"/>
  <c r="G991" i="7"/>
  <c r="G978" i="7"/>
  <c r="G966" i="7"/>
  <c r="G951" i="7"/>
  <c r="G935" i="7"/>
  <c r="G919" i="7"/>
  <c r="G903" i="7"/>
  <c r="G887" i="7"/>
  <c r="G863" i="7"/>
  <c r="G831" i="7"/>
  <c r="G799" i="7"/>
  <c r="G767" i="7"/>
  <c r="G735" i="7"/>
  <c r="G703" i="7"/>
  <c r="G671" i="7"/>
  <c r="G639" i="7"/>
  <c r="G607" i="7"/>
  <c r="G575" i="7"/>
  <c r="G543" i="7"/>
  <c r="G511" i="7"/>
  <c r="G479" i="7"/>
  <c r="G447" i="7"/>
  <c r="G415" i="7"/>
  <c r="G383" i="7"/>
  <c r="G351" i="7"/>
  <c r="G319" i="7"/>
  <c r="G287" i="7"/>
  <c r="G255" i="7"/>
  <c r="G223" i="7"/>
  <c r="G191" i="7"/>
  <c r="F1522" i="7"/>
  <c r="F1490" i="7"/>
  <c r="F1458" i="7"/>
  <c r="F1426" i="7"/>
  <c r="F1394" i="7"/>
  <c r="F1362" i="7"/>
  <c r="F1330" i="7"/>
  <c r="F1298" i="7"/>
  <c r="F1266" i="7"/>
  <c r="F1234" i="7"/>
  <c r="F1202" i="7"/>
  <c r="F1170" i="7"/>
  <c r="F1138" i="7"/>
  <c r="F1106" i="7"/>
  <c r="F1074" i="7"/>
  <c r="F1042" i="7"/>
  <c r="F1010" i="7"/>
  <c r="F969" i="7"/>
  <c r="F926" i="7"/>
  <c r="F883" i="7"/>
  <c r="F841" i="7"/>
  <c r="F798" i="7"/>
  <c r="F755" i="7"/>
  <c r="F713" i="7"/>
  <c r="F670" i="7"/>
  <c r="F627" i="7"/>
  <c r="F581" i="7"/>
  <c r="F530" i="7"/>
  <c r="F478" i="7"/>
  <c r="F422" i="7"/>
  <c r="F338" i="7"/>
  <c r="F238" i="7"/>
  <c r="E1513" i="7"/>
  <c r="E1385" i="7"/>
  <c r="E1257" i="7"/>
  <c r="E1092" i="7"/>
  <c r="E912" i="7"/>
  <c r="E661" i="7"/>
  <c r="D1372" i="7"/>
  <c r="H788" i="7"/>
  <c r="H780" i="7"/>
  <c r="H772" i="7"/>
  <c r="H764" i="7"/>
  <c r="H756" i="7"/>
  <c r="H748" i="7"/>
  <c r="H740" i="7"/>
  <c r="H732" i="7"/>
  <c r="H724" i="7"/>
  <c r="H716" i="7"/>
  <c r="H708" i="7"/>
  <c r="H700" i="7"/>
  <c r="H692" i="7"/>
  <c r="H684" i="7"/>
  <c r="H676" i="7"/>
  <c r="H668" i="7"/>
  <c r="H660" i="7"/>
  <c r="H652" i="7"/>
  <c r="H644" i="7"/>
  <c r="H636" i="7"/>
  <c r="H628" i="7"/>
  <c r="H620" i="7"/>
  <c r="H612" i="7"/>
  <c r="H604" i="7"/>
  <c r="H596" i="7"/>
  <c r="H588" i="7"/>
  <c r="H580" i="7"/>
  <c r="H572" i="7"/>
  <c r="H564" i="7"/>
  <c r="H556" i="7"/>
  <c r="H548" i="7"/>
  <c r="H540" i="7"/>
  <c r="H532" i="7"/>
  <c r="H524" i="7"/>
  <c r="H516" i="7"/>
  <c r="H508" i="7"/>
  <c r="H500" i="7"/>
  <c r="H492" i="7"/>
  <c r="H484" i="7"/>
  <c r="H476" i="7"/>
  <c r="H468" i="7"/>
  <c r="H460" i="7"/>
  <c r="H452" i="7"/>
  <c r="H444" i="7"/>
  <c r="H436" i="7"/>
  <c r="H428" i="7"/>
  <c r="H420" i="7"/>
  <c r="H412" i="7"/>
  <c r="H404" i="7"/>
  <c r="H396" i="7"/>
  <c r="H388" i="7"/>
  <c r="H380" i="7"/>
  <c r="H372" i="7"/>
  <c r="H364" i="7"/>
  <c r="H356" i="7"/>
  <c r="H348" i="7"/>
  <c r="H340" i="7"/>
  <c r="H332" i="7"/>
  <c r="H324" i="7"/>
  <c r="H316" i="7"/>
  <c r="H308" i="7"/>
  <c r="H300" i="7"/>
  <c r="H292" i="7"/>
  <c r="H284" i="7"/>
  <c r="H276" i="7"/>
  <c r="H268" i="7"/>
  <c r="H260" i="7"/>
  <c r="H252" i="7"/>
  <c r="H244" i="7"/>
  <c r="H236" i="7"/>
  <c r="H228" i="7"/>
  <c r="H220" i="7"/>
  <c r="H212" i="7"/>
  <c r="H204" i="7"/>
  <c r="H196" i="7"/>
  <c r="H188" i="7"/>
  <c r="H180" i="7"/>
  <c r="H172" i="7"/>
  <c r="G1531" i="7"/>
  <c r="G1521" i="7"/>
  <c r="G1510" i="7"/>
  <c r="G1499" i="7"/>
  <c r="G1489" i="7"/>
  <c r="G1478" i="7"/>
  <c r="G1467" i="7"/>
  <c r="G1457" i="7"/>
  <c r="G1446" i="7"/>
  <c r="G1435" i="7"/>
  <c r="G1425" i="7"/>
  <c r="G1414" i="7"/>
  <c r="G1403" i="7"/>
  <c r="G1393" i="7"/>
  <c r="G1382" i="7"/>
  <c r="G1371" i="7"/>
  <c r="G1361" i="7"/>
  <c r="G1350" i="7"/>
  <c r="G1339" i="7"/>
  <c r="G1329" i="7"/>
  <c r="G1318" i="7"/>
  <c r="G1307" i="7"/>
  <c r="G1297" i="7"/>
  <c r="G1286" i="7"/>
  <c r="G1275" i="7"/>
  <c r="G1265" i="7"/>
  <c r="G1254" i="7"/>
  <c r="G1243" i="7"/>
  <c r="G1233" i="7"/>
  <c r="G1222" i="7"/>
  <c r="G1211" i="7"/>
  <c r="G1201" i="7"/>
  <c r="G1190" i="7"/>
  <c r="G1179" i="7"/>
  <c r="G1169" i="7"/>
  <c r="G1157" i="7"/>
  <c r="G1143" i="7"/>
  <c r="G1130" i="7"/>
  <c r="G1118" i="7"/>
  <c r="G1105" i="7"/>
  <c r="G1093" i="7"/>
  <c r="G1079" i="7"/>
  <c r="G1066" i="7"/>
  <c r="G1054" i="7"/>
  <c r="G1041" i="7"/>
  <c r="G1029" i="7"/>
  <c r="G1015" i="7"/>
  <c r="G1002" i="7"/>
  <c r="G990" i="7"/>
  <c r="G977" i="7"/>
  <c r="G965" i="7"/>
  <c r="G950" i="7"/>
  <c r="G934" i="7"/>
  <c r="G918" i="7"/>
  <c r="G902" i="7"/>
  <c r="G886" i="7"/>
  <c r="G862" i="7"/>
  <c r="G830" i="7"/>
  <c r="G798" i="7"/>
  <c r="G766" i="7"/>
  <c r="G734" i="7"/>
  <c r="G702" i="7"/>
  <c r="G670" i="7"/>
  <c r="G638" i="7"/>
  <c r="G606" i="7"/>
  <c r="G574" i="7"/>
  <c r="G542" i="7"/>
  <c r="G510" i="7"/>
  <c r="G478" i="7"/>
  <c r="G446" i="7"/>
  <c r="G414" i="7"/>
  <c r="G382" i="7"/>
  <c r="G350" i="7"/>
  <c r="G318" i="7"/>
  <c r="G286" i="7"/>
  <c r="G254" i="7"/>
  <c r="G222" i="7"/>
  <c r="G190" i="7"/>
  <c r="F1515" i="7"/>
  <c r="F1483" i="7"/>
  <c r="F1451" i="7"/>
  <c r="F1419" i="7"/>
  <c r="F1387" i="7"/>
  <c r="F1355" i="7"/>
  <c r="F1323" i="7"/>
  <c r="F1291" i="7"/>
  <c r="F1259" i="7"/>
  <c r="F1227" i="7"/>
  <c r="F1195" i="7"/>
  <c r="F1163" i="7"/>
  <c r="F1131" i="7"/>
  <c r="F1099" i="7"/>
  <c r="F1067" i="7"/>
  <c r="F1035" i="7"/>
  <c r="F1002" i="7"/>
  <c r="F959" i="7"/>
  <c r="F917" i="7"/>
  <c r="F874" i="7"/>
  <c r="F831" i="7"/>
  <c r="F789" i="7"/>
  <c r="F746" i="7"/>
  <c r="F703" i="7"/>
  <c r="F661" i="7"/>
  <c r="F618" i="7"/>
  <c r="F570" i="7"/>
  <c r="F518" i="7"/>
  <c r="F467" i="7"/>
  <c r="F405" i="7"/>
  <c r="F318" i="7"/>
  <c r="F213" i="7"/>
  <c r="E1506" i="7"/>
  <c r="E1378" i="7"/>
  <c r="E1250" i="7"/>
  <c r="E1082" i="7"/>
  <c r="E901" i="7"/>
  <c r="E645" i="7"/>
  <c r="D1044" i="7"/>
  <c r="G1528" i="7"/>
  <c r="G1520" i="7"/>
  <c r="G1512" i="7"/>
  <c r="G1504" i="7"/>
  <c r="G1496" i="7"/>
  <c r="G1488" i="7"/>
  <c r="G1480" i="7"/>
  <c r="G1472" i="7"/>
  <c r="G1464" i="7"/>
  <c r="G1456" i="7"/>
  <c r="G1448" i="7"/>
  <c r="G1440" i="7"/>
  <c r="G1432" i="7"/>
  <c r="G1424" i="7"/>
  <c r="G1416" i="7"/>
  <c r="G1408" i="7"/>
  <c r="G1400" i="7"/>
  <c r="G1392" i="7"/>
  <c r="G1384" i="7"/>
  <c r="G1376" i="7"/>
  <c r="G1368" i="7"/>
  <c r="G1360" i="7"/>
  <c r="G1352" i="7"/>
  <c r="G1344" i="7"/>
  <c r="G1336" i="7"/>
  <c r="G1328" i="7"/>
  <c r="G1320" i="7"/>
  <c r="G1312" i="7"/>
  <c r="G1304" i="7"/>
  <c r="G1296" i="7"/>
  <c r="G1288" i="7"/>
  <c r="G1280" i="7"/>
  <c r="G1272" i="7"/>
  <c r="G1264" i="7"/>
  <c r="G1256" i="7"/>
  <c r="G1248" i="7"/>
  <c r="G1240" i="7"/>
  <c r="G1232" i="7"/>
  <c r="G1224" i="7"/>
  <c r="G1216" i="7"/>
  <c r="G1208" i="7"/>
  <c r="G1200" i="7"/>
  <c r="G1192" i="7"/>
  <c r="G1184" i="7"/>
  <c r="G1176" i="7"/>
  <c r="G1168" i="7"/>
  <c r="G1160" i="7"/>
  <c r="G1152" i="7"/>
  <c r="G1144" i="7"/>
  <c r="G1136" i="7"/>
  <c r="G1128" i="7"/>
  <c r="G1120" i="7"/>
  <c r="G1112" i="7"/>
  <c r="G1104" i="7"/>
  <c r="G1096" i="7"/>
  <c r="G1088" i="7"/>
  <c r="G1080" i="7"/>
  <c r="G1072" i="7"/>
  <c r="G1064" i="7"/>
  <c r="G1056" i="7"/>
  <c r="G1048" i="7"/>
  <c r="G1040" i="7"/>
  <c r="G1032" i="7"/>
  <c r="G1024" i="7"/>
  <c r="G1016" i="7"/>
  <c r="G1008" i="7"/>
  <c r="G1000" i="7"/>
  <c r="G992" i="7"/>
  <c r="G984" i="7"/>
  <c r="G976" i="7"/>
  <c r="G968" i="7"/>
  <c r="G960" i="7"/>
  <c r="G952" i="7"/>
  <c r="G944" i="7"/>
  <c r="G936" i="7"/>
  <c r="G928" i="7"/>
  <c r="G920" i="7"/>
  <c r="G912" i="7"/>
  <c r="G904" i="7"/>
  <c r="G896" i="7"/>
  <c r="G888" i="7"/>
  <c r="G880" i="7"/>
  <c r="G872" i="7"/>
  <c r="G864" i="7"/>
  <c r="G856" i="7"/>
  <c r="G848" i="7"/>
  <c r="G840" i="7"/>
  <c r="G832" i="7"/>
  <c r="G824" i="7"/>
  <c r="G816" i="7"/>
  <c r="G808" i="7"/>
  <c r="G800" i="7"/>
  <c r="G792" i="7"/>
  <c r="G784" i="7"/>
  <c r="G776" i="7"/>
  <c r="G768" i="7"/>
  <c r="G760" i="7"/>
  <c r="G752" i="7"/>
  <c r="G744" i="7"/>
  <c r="G736" i="7"/>
  <c r="G728" i="7"/>
  <c r="G720" i="7"/>
  <c r="G712" i="7"/>
  <c r="G704" i="7"/>
  <c r="G696" i="7"/>
  <c r="G688" i="7"/>
  <c r="G680" i="7"/>
  <c r="G672" i="7"/>
  <c r="G664" i="7"/>
  <c r="G656" i="7"/>
  <c r="G648" i="7"/>
  <c r="G640" i="7"/>
  <c r="G632" i="7"/>
  <c r="G624" i="7"/>
  <c r="G616" i="7"/>
  <c r="G608" i="7"/>
  <c r="G600" i="7"/>
  <c r="G592" i="7"/>
  <c r="G584" i="7"/>
  <c r="G576" i="7"/>
  <c r="G568" i="7"/>
  <c r="G560" i="7"/>
  <c r="G552" i="7"/>
  <c r="G544" i="7"/>
  <c r="G536" i="7"/>
  <c r="G528" i="7"/>
  <c r="G520" i="7"/>
  <c r="G512" i="7"/>
  <c r="G504" i="7"/>
  <c r="G496" i="7"/>
  <c r="G488" i="7"/>
  <c r="G480" i="7"/>
  <c r="G472" i="7"/>
  <c r="G464" i="7"/>
  <c r="G456" i="7"/>
  <c r="G448" i="7"/>
  <c r="G440" i="7"/>
  <c r="G432" i="7"/>
  <c r="G424" i="7"/>
  <c r="G416" i="7"/>
  <c r="G408" i="7"/>
  <c r="G400" i="7"/>
  <c r="G392" i="7"/>
  <c r="G384" i="7"/>
  <c r="G376" i="7"/>
  <c r="G368" i="7"/>
  <c r="G360" i="7"/>
  <c r="G352" i="7"/>
  <c r="G344" i="7"/>
  <c r="G336" i="7"/>
  <c r="G328" i="7"/>
  <c r="G320" i="7"/>
  <c r="G312" i="7"/>
  <c r="G304" i="7"/>
  <c r="G296" i="7"/>
  <c r="G288" i="7"/>
  <c r="G280" i="7"/>
  <c r="G272" i="7"/>
  <c r="G264" i="7"/>
  <c r="G256" i="7"/>
  <c r="G248" i="7"/>
  <c r="G240" i="7"/>
  <c r="G232" i="7"/>
  <c r="G224" i="7"/>
  <c r="G216" i="7"/>
  <c r="G208" i="7"/>
  <c r="G200" i="7"/>
  <c r="G192" i="7"/>
  <c r="G184" i="7"/>
  <c r="G176" i="7"/>
  <c r="G168" i="7"/>
  <c r="F1524" i="7"/>
  <c r="F1516" i="7"/>
  <c r="F1508" i="7"/>
  <c r="F1500" i="7"/>
  <c r="F1492" i="7"/>
  <c r="F1484" i="7"/>
  <c r="F1476" i="7"/>
  <c r="F1468" i="7"/>
  <c r="F1460" i="7"/>
  <c r="F1452" i="7"/>
  <c r="F1444" i="7"/>
  <c r="F1436" i="7"/>
  <c r="F1428" i="7"/>
  <c r="F1420" i="7"/>
  <c r="F1412" i="7"/>
  <c r="F1404" i="7"/>
  <c r="F1396" i="7"/>
  <c r="F1388" i="7"/>
  <c r="F1380" i="7"/>
  <c r="F1372" i="7"/>
  <c r="F1364" i="7"/>
  <c r="F1356" i="7"/>
  <c r="F1348" i="7"/>
  <c r="F1340" i="7"/>
  <c r="F1332" i="7"/>
  <c r="F1324" i="7"/>
  <c r="F1316" i="7"/>
  <c r="F1308" i="7"/>
  <c r="F1300" i="7"/>
  <c r="F1292" i="7"/>
  <c r="F1284" i="7"/>
  <c r="F1276" i="7"/>
  <c r="F1268" i="7"/>
  <c r="F1260" i="7"/>
  <c r="F1252" i="7"/>
  <c r="F1244" i="7"/>
  <c r="F1236" i="7"/>
  <c r="F1228" i="7"/>
  <c r="F1220" i="7"/>
  <c r="F1212" i="7"/>
  <c r="F1204" i="7"/>
  <c r="F1196" i="7"/>
  <c r="F1188" i="7"/>
  <c r="F1180" i="7"/>
  <c r="F1172" i="7"/>
  <c r="F1164" i="7"/>
  <c r="F1156" i="7"/>
  <c r="F1148" i="7"/>
  <c r="F1140" i="7"/>
  <c r="F1132" i="7"/>
  <c r="F1124" i="7"/>
  <c r="F1116" i="7"/>
  <c r="F1108" i="7"/>
  <c r="F1100" i="7"/>
  <c r="F1092" i="7"/>
  <c r="F1084" i="7"/>
  <c r="F1076" i="7"/>
  <c r="F1068" i="7"/>
  <c r="F1060" i="7"/>
  <c r="F1052" i="7"/>
  <c r="F1044" i="7"/>
  <c r="F1036" i="7"/>
  <c r="F1028" i="7"/>
  <c r="F1020" i="7"/>
  <c r="F1012" i="7"/>
  <c r="F1003" i="7"/>
  <c r="F993" i="7"/>
  <c r="F982" i="7"/>
  <c r="F971" i="7"/>
  <c r="F961" i="7"/>
  <c r="F950" i="7"/>
  <c r="F939" i="7"/>
  <c r="F929" i="7"/>
  <c r="F918" i="7"/>
  <c r="F907" i="7"/>
  <c r="F897" i="7"/>
  <c r="F886" i="7"/>
  <c r="F875" i="7"/>
  <c r="F865" i="7"/>
  <c r="F854" i="7"/>
  <c r="F843" i="7"/>
  <c r="F833" i="7"/>
  <c r="F822" i="7"/>
  <c r="F811" i="7"/>
  <c r="F801" i="7"/>
  <c r="F790" i="7"/>
  <c r="F779" i="7"/>
  <c r="F769" i="7"/>
  <c r="F758" i="7"/>
  <c r="F747" i="7"/>
  <c r="F737" i="7"/>
  <c r="F726" i="7"/>
  <c r="F715" i="7"/>
  <c r="F705" i="7"/>
  <c r="F694" i="7"/>
  <c r="F683" i="7"/>
  <c r="F673" i="7"/>
  <c r="F662" i="7"/>
  <c r="F651" i="7"/>
  <c r="F641" i="7"/>
  <c r="C551" i="7"/>
  <c r="C498" i="7"/>
  <c r="B1466" i="7"/>
  <c r="B946" i="7"/>
  <c r="D329" i="7"/>
  <c r="D297" i="7"/>
  <c r="D265" i="7"/>
  <c r="D209" i="7"/>
  <c r="C1525" i="7"/>
  <c r="C1477" i="7"/>
  <c r="C1453" i="7"/>
  <c r="C1413" i="7"/>
  <c r="C1381" i="7"/>
  <c r="C1309" i="7"/>
  <c r="C1213" i="7"/>
  <c r="C1181" i="7"/>
  <c r="C1061" i="7"/>
  <c r="C1021" i="7"/>
  <c r="C989" i="7"/>
  <c r="C949" i="7"/>
  <c r="C861" i="7"/>
  <c r="C765" i="7"/>
  <c r="C733" i="7"/>
  <c r="C709" i="7"/>
  <c r="C673" i="7"/>
  <c r="C566" i="7"/>
  <c r="C497" i="7"/>
  <c r="C295" i="7"/>
  <c r="B1500" i="7"/>
  <c r="B1011" i="7"/>
  <c r="B609" i="7"/>
  <c r="C629" i="7"/>
  <c r="C573" i="7"/>
  <c r="C541" i="7"/>
  <c r="C506" i="7"/>
  <c r="C422" i="7"/>
  <c r="C312" i="7"/>
  <c r="C207" i="7"/>
  <c r="B1442" i="7"/>
  <c r="B1378" i="7"/>
  <c r="B1099" i="7"/>
  <c r="B994" i="7"/>
  <c r="B930" i="7"/>
  <c r="B610" i="7"/>
  <c r="B441" i="7"/>
  <c r="B267" i="7"/>
  <c r="C570" i="7"/>
  <c r="C522" i="7"/>
  <c r="C391" i="7"/>
  <c r="C327" i="7"/>
  <c r="C263" i="7"/>
  <c r="B1475" i="7"/>
  <c r="B1324" i="7"/>
  <c r="B1242" i="7"/>
  <c r="B713" i="7"/>
  <c r="B481" i="7"/>
  <c r="C569" i="7"/>
  <c r="C529" i="7"/>
  <c r="C262" i="7"/>
  <c r="C175" i="7"/>
  <c r="B1410" i="7"/>
  <c r="B1346" i="7"/>
  <c r="B1236" i="7"/>
  <c r="B980" i="7"/>
  <c r="B898" i="7"/>
  <c r="B586" i="7"/>
  <c r="B354" i="7"/>
  <c r="C648" i="7"/>
  <c r="C624" i="7"/>
  <c r="C592" i="7"/>
  <c r="C560" i="7"/>
  <c r="C528" i="7"/>
  <c r="C499" i="7"/>
  <c r="C384" i="7"/>
  <c r="C320" i="7"/>
  <c r="C238" i="7"/>
  <c r="C192" i="7"/>
  <c r="B1491" i="7"/>
  <c r="B1404" i="7"/>
  <c r="B1340" i="7"/>
  <c r="B1258" i="7"/>
  <c r="B1107" i="7"/>
  <c r="B1020" i="7"/>
  <c r="B938" i="7"/>
  <c r="B691" i="7"/>
  <c r="B179" i="7"/>
  <c r="B1316" i="7"/>
  <c r="B1234" i="7"/>
  <c r="B1170" i="7"/>
  <c r="B1042" i="7"/>
  <c r="B868" i="7"/>
  <c r="B569" i="7"/>
  <c r="B1251" i="7"/>
  <c r="B1164" i="7"/>
  <c r="C469" i="7"/>
  <c r="C437" i="7"/>
  <c r="C405" i="7"/>
  <c r="B1521" i="7"/>
  <c r="B1473" i="7"/>
  <c r="B1441" i="7"/>
  <c r="B1353" i="7"/>
  <c r="B1329" i="7"/>
  <c r="B1281" i="7"/>
  <c r="B1249" i="7"/>
  <c r="B1217" i="7"/>
  <c r="B1145" i="7"/>
  <c r="B1057" i="7"/>
  <c r="B1025" i="7"/>
  <c r="B945" i="7"/>
  <c r="B905" i="7"/>
  <c r="B835" i="7"/>
  <c r="B753" i="7"/>
  <c r="B643" i="7"/>
  <c r="B538" i="7"/>
  <c r="B282" i="7"/>
  <c r="C492" i="7"/>
  <c r="C316" i="7"/>
  <c r="B1520" i="7"/>
  <c r="B1472" i="7"/>
  <c r="B1424" i="7"/>
  <c r="B1328" i="7"/>
  <c r="B1224" i="7"/>
  <c r="B1168" i="7"/>
  <c r="B1136" i="7"/>
  <c r="B1056" i="7"/>
  <c r="B1024" i="7"/>
  <c r="B992" i="7"/>
  <c r="B912" i="7"/>
  <c r="B811" i="7"/>
  <c r="B706" i="7"/>
  <c r="B578" i="7"/>
  <c r="B491" i="7"/>
  <c r="B386" i="7"/>
  <c r="B281" i="7"/>
  <c r="C443" i="7"/>
  <c r="C395" i="7"/>
  <c r="C371" i="7"/>
  <c r="C339" i="7"/>
  <c r="C291" i="7"/>
  <c r="C259" i="7"/>
  <c r="C235" i="7"/>
  <c r="C179" i="7"/>
  <c r="B1439" i="7"/>
  <c r="B1399" i="7"/>
  <c r="B1319" i="7"/>
  <c r="B1207" i="7"/>
  <c r="B1175" i="7"/>
  <c r="B1111" i="7"/>
  <c r="B1079" i="7"/>
  <c r="B1047" i="7"/>
  <c r="B991" i="7"/>
  <c r="B927" i="7"/>
  <c r="B895" i="7"/>
  <c r="B863" i="7"/>
  <c r="B618" i="7"/>
  <c r="B490" i="7"/>
  <c r="B403" i="7"/>
  <c r="B321" i="7"/>
  <c r="B234" i="7"/>
  <c r="B170" i="7"/>
  <c r="C450" i="7"/>
  <c r="C410" i="7"/>
  <c r="C330" i="7"/>
  <c r="C290" i="7"/>
  <c r="C250" i="7"/>
  <c r="C210" i="7"/>
  <c r="C170" i="7"/>
  <c r="B1502" i="7"/>
  <c r="B1462" i="7"/>
  <c r="B1422" i="7"/>
  <c r="B1390" i="7"/>
  <c r="B1286" i="7"/>
  <c r="B1254" i="7"/>
  <c r="B1142" i="7"/>
  <c r="B1102" i="7"/>
  <c r="B1022" i="7"/>
  <c r="B990" i="7"/>
  <c r="B950" i="7"/>
  <c r="B918" i="7"/>
  <c r="B894" i="7"/>
  <c r="B862" i="7"/>
  <c r="B809" i="7"/>
  <c r="B571" i="7"/>
  <c r="B507" i="7"/>
  <c r="B379" i="7"/>
  <c r="B274" i="7"/>
  <c r="C473" i="7"/>
  <c r="C425" i="7"/>
  <c r="C393" i="7"/>
  <c r="C361" i="7"/>
  <c r="C329" i="7"/>
  <c r="C297" i="7"/>
  <c r="C257" i="7"/>
  <c r="C201" i="7"/>
  <c r="B1525" i="7"/>
  <c r="B1493" i="7"/>
  <c r="B1453" i="7"/>
  <c r="B1421" i="7"/>
  <c r="B1389" i="7"/>
  <c r="B1349" i="7"/>
  <c r="B1317" i="7"/>
  <c r="B1277" i="7"/>
  <c r="B1205" i="7"/>
  <c r="B1157" i="7"/>
  <c r="B1101" i="7"/>
  <c r="B1021" i="7"/>
  <c r="B941" i="7"/>
  <c r="B917" i="7"/>
  <c r="B893" i="7"/>
  <c r="B861" i="7"/>
  <c r="B762" i="7"/>
  <c r="B675" i="7"/>
  <c r="B529" i="7"/>
  <c r="B419" i="7"/>
  <c r="B337" i="7"/>
  <c r="B227" i="7"/>
  <c r="B832" i="7"/>
  <c r="B800" i="7"/>
  <c r="B752" i="7"/>
  <c r="B712" i="7"/>
  <c r="B680" i="7"/>
  <c r="B648" i="7"/>
  <c r="B608" i="7"/>
  <c r="B576" i="7"/>
  <c r="B536" i="7"/>
  <c r="B480" i="7"/>
  <c r="B440" i="7"/>
  <c r="B392" i="7"/>
  <c r="B352" i="7"/>
  <c r="B312" i="7"/>
  <c r="B280" i="7"/>
  <c r="B248" i="7"/>
  <c r="B839" i="7"/>
  <c r="B807" i="7"/>
  <c r="B775" i="7"/>
  <c r="B727" i="7"/>
  <c r="B607" i="7"/>
  <c r="B551" i="7"/>
  <c r="B503" i="7"/>
  <c r="B463" i="7"/>
  <c r="B423" i="7"/>
  <c r="B383" i="7"/>
  <c r="B351" i="7"/>
  <c r="B295" i="7"/>
  <c r="B263" i="7"/>
  <c r="B215" i="7"/>
  <c r="B175" i="7"/>
  <c r="B814" i="7"/>
  <c r="B774" i="7"/>
  <c r="B726" i="7"/>
  <c r="B678" i="7"/>
  <c r="B638" i="7"/>
  <c r="B590" i="7"/>
  <c r="B550" i="7"/>
  <c r="B518" i="7"/>
  <c r="B478" i="7"/>
  <c r="B438" i="7"/>
  <c r="B398" i="7"/>
  <c r="B342" i="7"/>
  <c r="B198" i="7"/>
  <c r="A1099" i="7"/>
  <c r="A1067" i="7"/>
  <c r="A1011" i="7"/>
  <c r="A971" i="7"/>
  <c r="A931" i="7"/>
  <c r="A899" i="7"/>
  <c r="A867" i="7"/>
  <c r="A819" i="7"/>
  <c r="A763" i="7"/>
  <c r="A723" i="7"/>
  <c r="A691" i="7"/>
  <c r="A651" i="7"/>
  <c r="A611" i="7"/>
  <c r="A571" i="7"/>
  <c r="A539" i="7"/>
  <c r="A483" i="7"/>
  <c r="A438" i="7"/>
  <c r="A384" i="7"/>
  <c r="A331" i="7"/>
  <c r="A288" i="7"/>
  <c r="A246" i="7"/>
  <c r="A182" i="7"/>
  <c r="H1480" i="7"/>
  <c r="H1438" i="7"/>
  <c r="H1384" i="7"/>
  <c r="H1331" i="7"/>
  <c r="H1272" i="7"/>
  <c r="H1180" i="7"/>
  <c r="H1052" i="7"/>
  <c r="H988" i="7"/>
  <c r="H924" i="7"/>
  <c r="H812" i="7"/>
  <c r="H714" i="7"/>
  <c r="H490" i="7"/>
  <c r="H234" i="7"/>
  <c r="G1295" i="7"/>
  <c r="G407" i="7"/>
  <c r="F1059" i="7"/>
  <c r="A1514" i="7"/>
  <c r="A1458" i="7"/>
  <c r="A1394" i="7"/>
  <c r="A1346" i="7"/>
  <c r="A1306" i="7"/>
  <c r="A1242" i="7"/>
  <c r="A1186" i="7"/>
  <c r="A1146" i="7"/>
  <c r="A1082" i="7"/>
  <c r="A1042" i="7"/>
  <c r="A1002" i="7"/>
  <c r="A962" i="7"/>
  <c r="A914" i="7"/>
  <c r="A874" i="7"/>
  <c r="A794" i="7"/>
  <c r="A746" i="7"/>
  <c r="A714" i="7"/>
  <c r="A666" i="7"/>
  <c r="A634" i="7"/>
  <c r="A546" i="7"/>
  <c r="A474" i="7"/>
  <c r="A426" i="7"/>
  <c r="A340" i="7"/>
  <c r="F597" i="7"/>
  <c r="F558" i="7"/>
  <c r="F507" i="7"/>
  <c r="F443" i="7"/>
  <c r="F342" i="7"/>
  <c r="F278" i="7"/>
  <c r="E1514" i="7"/>
  <c r="E1386" i="7"/>
  <c r="E1178" i="7"/>
  <c r="E1008" i="7"/>
  <c r="E549" i="7"/>
  <c r="D1141" i="7"/>
  <c r="G941" i="7"/>
  <c r="G917" i="7"/>
  <c r="G885" i="7"/>
  <c r="G853" i="7"/>
  <c r="G821" i="7"/>
  <c r="G789" i="7"/>
  <c r="G757" i="7"/>
  <c r="G741" i="7"/>
  <c r="G725" i="7"/>
  <c r="G717" i="7"/>
  <c r="G693" i="7"/>
  <c r="G669" i="7"/>
  <c r="G645" i="7"/>
  <c r="G637" i="7"/>
  <c r="G629" i="7"/>
  <c r="G621" i="7"/>
  <c r="G613" i="7"/>
  <c r="G605" i="7"/>
  <c r="G597" i="7"/>
  <c r="G589" i="7"/>
  <c r="G581" i="7"/>
  <c r="G573" i="7"/>
  <c r="G565" i="7"/>
  <c r="G557" i="7"/>
  <c r="G549" i="7"/>
  <c r="G541" i="7"/>
  <c r="G533" i="7"/>
  <c r="G525" i="7"/>
  <c r="G517" i="7"/>
  <c r="G509" i="7"/>
  <c r="G501" i="7"/>
  <c r="G493" i="7"/>
  <c r="G485" i="7"/>
  <c r="G477" i="7"/>
  <c r="G469" i="7"/>
  <c r="G461" i="7"/>
  <c r="G453" i="7"/>
  <c r="G445" i="7"/>
  <c r="G437" i="7"/>
  <c r="G429" i="7"/>
  <c r="G421" i="7"/>
  <c r="G413" i="7"/>
  <c r="G405" i="7"/>
  <c r="G397" i="7"/>
  <c r="G389" i="7"/>
  <c r="G381" i="7"/>
  <c r="G373" i="7"/>
  <c r="G365" i="7"/>
  <c r="G357" i="7"/>
  <c r="G349" i="7"/>
  <c r="G341" i="7"/>
  <c r="G333" i="7"/>
  <c r="G325" i="7"/>
  <c r="G317" i="7"/>
  <c r="G309" i="7"/>
  <c r="G301" i="7"/>
  <c r="G293" i="7"/>
  <c r="G285" i="7"/>
  <c r="G277" i="7"/>
  <c r="G269" i="7"/>
  <c r="G261" i="7"/>
  <c r="G253" i="7"/>
  <c r="G245" i="7"/>
  <c r="G237" i="7"/>
  <c r="G229" i="7"/>
  <c r="G221" i="7"/>
  <c r="G213" i="7"/>
  <c r="G205" i="7"/>
  <c r="G197" i="7"/>
  <c r="G189" i="7"/>
  <c r="G181" i="7"/>
  <c r="G173" i="7"/>
  <c r="G165" i="7"/>
  <c r="F1529" i="7"/>
  <c r="F1521" i="7"/>
  <c r="F1513" i="7"/>
  <c r="F1505" i="7"/>
  <c r="F1497" i="7"/>
  <c r="F1489" i="7"/>
  <c r="F1481" i="7"/>
  <c r="F1473" i="7"/>
  <c r="F1465" i="7"/>
  <c r="F1457" i="7"/>
  <c r="F1449" i="7"/>
  <c r="F1441" i="7"/>
  <c r="F1433" i="7"/>
  <c r="F1425" i="7"/>
  <c r="F1417" i="7"/>
  <c r="F1409" i="7"/>
  <c r="F1401" i="7"/>
  <c r="F1393" i="7"/>
  <c r="F1385" i="7"/>
  <c r="F1377" i="7"/>
  <c r="F1369" i="7"/>
  <c r="F1361" i="7"/>
  <c r="F1353" i="7"/>
  <c r="F1345" i="7"/>
  <c r="F1337" i="7"/>
  <c r="F1329" i="7"/>
  <c r="F1321" i="7"/>
  <c r="F1313" i="7"/>
  <c r="F1305" i="7"/>
  <c r="F1297" i="7"/>
  <c r="F1289" i="7"/>
  <c r="F1281" i="7"/>
  <c r="F1273" i="7"/>
  <c r="F1265" i="7"/>
  <c r="F1257" i="7"/>
  <c r="F1249" i="7"/>
  <c r="F1241" i="7"/>
  <c r="F1233" i="7"/>
  <c r="F1225" i="7"/>
  <c r="F1217" i="7"/>
  <c r="F1209" i="7"/>
  <c r="F1201" i="7"/>
  <c r="F1193" i="7"/>
  <c r="F1185" i="7"/>
  <c r="F1177" i="7"/>
  <c r="F1169" i="7"/>
  <c r="F1161" i="7"/>
  <c r="F1153" i="7"/>
  <c r="F1145" i="7"/>
  <c r="F1137" i="7"/>
  <c r="F1129" i="7"/>
  <c r="F1121" i="7"/>
  <c r="F1113" i="7"/>
  <c r="F1105" i="7"/>
  <c r="F1097" i="7"/>
  <c r="F1089" i="7"/>
  <c r="F1081" i="7"/>
  <c r="F1073" i="7"/>
  <c r="F1065" i="7"/>
  <c r="F1057" i="7"/>
  <c r="F1049" i="7"/>
  <c r="F1041" i="7"/>
  <c r="F1033" i="7"/>
  <c r="F1025" i="7"/>
  <c r="F1017" i="7"/>
  <c r="F1009" i="7"/>
  <c r="F999" i="7"/>
  <c r="F989" i="7"/>
  <c r="F978" i="7"/>
  <c r="F967" i="7"/>
  <c r="F957" i="7"/>
  <c r="F946" i="7"/>
  <c r="F935" i="7"/>
  <c r="F925" i="7"/>
  <c r="F914" i="7"/>
  <c r="F903" i="7"/>
  <c r="F893" i="7"/>
  <c r="F882" i="7"/>
  <c r="F871" i="7"/>
  <c r="F861" i="7"/>
  <c r="F850" i="7"/>
  <c r="F839" i="7"/>
  <c r="F829" i="7"/>
  <c r="F818" i="7"/>
  <c r="F807" i="7"/>
  <c r="F797" i="7"/>
  <c r="F786" i="7"/>
  <c r="F775" i="7"/>
  <c r="F765" i="7"/>
  <c r="F754" i="7"/>
  <c r="F743" i="7"/>
  <c r="F733" i="7"/>
  <c r="F722" i="7"/>
  <c r="F711" i="7"/>
  <c r="F701" i="7"/>
  <c r="F690" i="7"/>
  <c r="F679" i="7"/>
  <c r="F669" i="7"/>
  <c r="F658" i="7"/>
  <c r="F647" i="7"/>
  <c r="F637" i="7"/>
  <c r="F626" i="7"/>
  <c r="F615" i="7"/>
  <c r="F605" i="7"/>
  <c r="F591" i="7"/>
  <c r="F579" i="7"/>
  <c r="F566" i="7"/>
  <c r="F554" i="7"/>
  <c r="F541" i="7"/>
  <c r="F527" i="7"/>
  <c r="F515" i="7"/>
  <c r="F502" i="7"/>
  <c r="F490" i="7"/>
  <c r="F477" i="7"/>
  <c r="F463" i="7"/>
  <c r="F451" i="7"/>
  <c r="F438" i="7"/>
  <c r="F421" i="7"/>
  <c r="F398" i="7"/>
  <c r="F378" i="7"/>
  <c r="F357" i="7"/>
  <c r="F334" i="7"/>
  <c r="F314" i="7"/>
  <c r="F293" i="7"/>
  <c r="F269" i="7"/>
  <c r="F237" i="7"/>
  <c r="F205" i="7"/>
  <c r="F173" i="7"/>
  <c r="E1505" i="7"/>
  <c r="E1473" i="7"/>
  <c r="E1441" i="7"/>
  <c r="E1409" i="7"/>
  <c r="E1377" i="7"/>
  <c r="E1345" i="7"/>
  <c r="E1313" i="7"/>
  <c r="E1281" i="7"/>
  <c r="E1249" i="7"/>
  <c r="E1209" i="7"/>
  <c r="E1167" i="7"/>
  <c r="E1124" i="7"/>
  <c r="E1081" i="7"/>
  <c r="E1039" i="7"/>
  <c r="E996" i="7"/>
  <c r="E951" i="7"/>
  <c r="E900" i="7"/>
  <c r="E837" i="7"/>
  <c r="E773" i="7"/>
  <c r="E709" i="7"/>
  <c r="E644" i="7"/>
  <c r="E516" i="7"/>
  <c r="E369" i="7"/>
  <c r="E198" i="7"/>
  <c r="D1322" i="7"/>
  <c r="D916" i="7"/>
  <c r="G1524" i="7"/>
  <c r="G1516" i="7"/>
  <c r="G1508" i="7"/>
  <c r="G1500" i="7"/>
  <c r="G1492" i="7"/>
  <c r="G1484" i="7"/>
  <c r="G1476" i="7"/>
  <c r="G1468" i="7"/>
  <c r="G1460" i="7"/>
  <c r="G1452" i="7"/>
  <c r="G1444" i="7"/>
  <c r="G1436" i="7"/>
  <c r="G1428" i="7"/>
  <c r="G1420" i="7"/>
  <c r="G1412" i="7"/>
  <c r="G1404" i="7"/>
  <c r="G1396" i="7"/>
  <c r="G1388" i="7"/>
  <c r="G1380" i="7"/>
  <c r="G1372" i="7"/>
  <c r="G1364" i="7"/>
  <c r="G1356" i="7"/>
  <c r="G1348" i="7"/>
  <c r="G1340" i="7"/>
  <c r="G1332" i="7"/>
  <c r="G1324" i="7"/>
  <c r="G1316" i="7"/>
  <c r="G1308" i="7"/>
  <c r="G1300" i="7"/>
  <c r="G1292" i="7"/>
  <c r="G1284" i="7"/>
  <c r="G1276" i="7"/>
  <c r="G1268" i="7"/>
  <c r="G1260" i="7"/>
  <c r="G1252" i="7"/>
  <c r="G1244" i="7"/>
  <c r="G1236" i="7"/>
  <c r="G1228" i="7"/>
  <c r="G1220" i="7"/>
  <c r="G1212" i="7"/>
  <c r="G1204" i="7"/>
  <c r="G1196" i="7"/>
  <c r="G1188" i="7"/>
  <c r="G1180" i="7"/>
  <c r="G1172" i="7"/>
  <c r="G1164" i="7"/>
  <c r="G1156" i="7"/>
  <c r="G1148" i="7"/>
  <c r="G1140" i="7"/>
  <c r="G1132" i="7"/>
  <c r="G1124" i="7"/>
  <c r="G1116" i="7"/>
  <c r="G1108" i="7"/>
  <c r="G1100" i="7"/>
  <c r="G1092" i="7"/>
  <c r="G1084" i="7"/>
  <c r="G1076" i="7"/>
  <c r="G1068" i="7"/>
  <c r="G1060" i="7"/>
  <c r="G1052" i="7"/>
  <c r="G1044" i="7"/>
  <c r="G1036" i="7"/>
  <c r="G1028" i="7"/>
  <c r="G1020" i="7"/>
  <c r="G1012" i="7"/>
  <c r="G1004" i="7"/>
  <c r="G996" i="7"/>
  <c r="G988" i="7"/>
  <c r="G980" i="7"/>
  <c r="G972" i="7"/>
  <c r="G964" i="7"/>
  <c r="G956" i="7"/>
  <c r="G948" i="7"/>
  <c r="G940" i="7"/>
  <c r="G932" i="7"/>
  <c r="G924" i="7"/>
  <c r="G916" i="7"/>
  <c r="G908" i="7"/>
  <c r="G900" i="7"/>
  <c r="G892" i="7"/>
  <c r="G884" i="7"/>
  <c r="G876" i="7"/>
  <c r="G868" i="7"/>
  <c r="G860" i="7"/>
  <c r="G852" i="7"/>
  <c r="G844" i="7"/>
  <c r="G836" i="7"/>
  <c r="G828" i="7"/>
  <c r="G820" i="7"/>
  <c r="G812" i="7"/>
  <c r="G804" i="7"/>
  <c r="G796" i="7"/>
  <c r="G788" i="7"/>
  <c r="G780" i="7"/>
  <c r="G772" i="7"/>
  <c r="G764" i="7"/>
  <c r="G756" i="7"/>
  <c r="G748" i="7"/>
  <c r="G740" i="7"/>
  <c r="G732" i="7"/>
  <c r="G724" i="7"/>
  <c r="G716" i="7"/>
  <c r="G708" i="7"/>
  <c r="G700" i="7"/>
  <c r="G692" i="7"/>
  <c r="G684" i="7"/>
  <c r="G676" i="7"/>
  <c r="G668" i="7"/>
  <c r="G660" i="7"/>
  <c r="G652" i="7"/>
  <c r="G644" i="7"/>
  <c r="G636" i="7"/>
  <c r="G628" i="7"/>
  <c r="G620" i="7"/>
  <c r="G612" i="7"/>
  <c r="G604" i="7"/>
  <c r="G596" i="7"/>
  <c r="G588" i="7"/>
  <c r="G580" i="7"/>
  <c r="G572" i="7"/>
  <c r="G564" i="7"/>
  <c r="G556" i="7"/>
  <c r="G548" i="7"/>
  <c r="G540" i="7"/>
  <c r="G532" i="7"/>
  <c r="G524" i="7"/>
  <c r="G516" i="7"/>
  <c r="G508" i="7"/>
  <c r="G500" i="7"/>
  <c r="G492" i="7"/>
  <c r="G484" i="7"/>
  <c r="G476" i="7"/>
  <c r="G468" i="7"/>
  <c r="G460" i="7"/>
  <c r="G452" i="7"/>
  <c r="G444" i="7"/>
  <c r="G436" i="7"/>
  <c r="G428" i="7"/>
  <c r="G420" i="7"/>
  <c r="G412" i="7"/>
  <c r="G404" i="7"/>
  <c r="G396" i="7"/>
  <c r="G388" i="7"/>
  <c r="G380" i="7"/>
  <c r="G372" i="7"/>
  <c r="G364" i="7"/>
  <c r="G356" i="7"/>
  <c r="G348" i="7"/>
  <c r="G340" i="7"/>
  <c r="G332" i="7"/>
  <c r="G324" i="7"/>
  <c r="G316" i="7"/>
  <c r="G308" i="7"/>
  <c r="G300" i="7"/>
  <c r="G292" i="7"/>
  <c r="G284" i="7"/>
  <c r="G276" i="7"/>
  <c r="G268" i="7"/>
  <c r="G260" i="7"/>
  <c r="G252" i="7"/>
  <c r="G244" i="7"/>
  <c r="G236" i="7"/>
  <c r="G228" i="7"/>
  <c r="G220" i="7"/>
  <c r="G212" i="7"/>
  <c r="G204" i="7"/>
  <c r="G196" i="7"/>
  <c r="G188" i="7"/>
  <c r="G180" i="7"/>
  <c r="G172" i="7"/>
  <c r="F1528" i="7"/>
  <c r="F1520" i="7"/>
  <c r="F1512" i="7"/>
  <c r="F1504" i="7"/>
  <c r="F1496" i="7"/>
  <c r="F1488" i="7"/>
  <c r="F1480" i="7"/>
  <c r="F1472" i="7"/>
  <c r="F1464" i="7"/>
  <c r="F1456" i="7"/>
  <c r="F1448" i="7"/>
  <c r="F1440" i="7"/>
  <c r="F1432" i="7"/>
  <c r="F1424" i="7"/>
  <c r="F1416" i="7"/>
  <c r="F1408" i="7"/>
  <c r="F1400" i="7"/>
  <c r="F1392" i="7"/>
  <c r="F1384" i="7"/>
  <c r="F1376" i="7"/>
  <c r="F1368" i="7"/>
  <c r="F1360" i="7"/>
  <c r="F1352" i="7"/>
  <c r="F1344" i="7"/>
  <c r="F1336" i="7"/>
  <c r="F1328" i="7"/>
  <c r="F1320" i="7"/>
  <c r="F1312" i="7"/>
  <c r="F1304" i="7"/>
  <c r="F1296" i="7"/>
  <c r="F1288" i="7"/>
  <c r="F1280" i="7"/>
  <c r="F1272" i="7"/>
  <c r="F1264" i="7"/>
  <c r="F1256" i="7"/>
  <c r="F1248" i="7"/>
  <c r="F1240" i="7"/>
  <c r="F1232" i="7"/>
  <c r="F1224" i="7"/>
  <c r="F1216" i="7"/>
  <c r="F1208" i="7"/>
  <c r="F1200" i="7"/>
  <c r="F1192" i="7"/>
  <c r="F1184" i="7"/>
  <c r="F1176" i="7"/>
  <c r="F1168" i="7"/>
  <c r="F1160" i="7"/>
  <c r="F1152" i="7"/>
  <c r="F1144" i="7"/>
  <c r="F1136" i="7"/>
  <c r="F1128" i="7"/>
  <c r="F1120" i="7"/>
  <c r="F1112" i="7"/>
  <c r="F1104" i="7"/>
  <c r="F1096" i="7"/>
  <c r="F1088" i="7"/>
  <c r="F1080" i="7"/>
  <c r="F1072" i="7"/>
  <c r="F1064" i="7"/>
  <c r="F1056" i="7"/>
  <c r="F1048" i="7"/>
  <c r="F1040" i="7"/>
  <c r="F1032" i="7"/>
  <c r="F1024" i="7"/>
  <c r="F1016" i="7"/>
  <c r="F1008" i="7"/>
  <c r="F998" i="7"/>
  <c r="F987" i="7"/>
  <c r="F977" i="7"/>
  <c r="F966" i="7"/>
  <c r="F955" i="7"/>
  <c r="F945" i="7"/>
  <c r="F934" i="7"/>
  <c r="F923" i="7"/>
  <c r="F913" i="7"/>
  <c r="F902" i="7"/>
  <c r="F891" i="7"/>
  <c r="F881" i="7"/>
  <c r="F870" i="7"/>
  <c r="F859" i="7"/>
  <c r="F849" i="7"/>
  <c r="F838" i="7"/>
  <c r="F827" i="7"/>
  <c r="F817" i="7"/>
  <c r="F806" i="7"/>
  <c r="F795" i="7"/>
  <c r="F785" i="7"/>
  <c r="F774" i="7"/>
  <c r="F763" i="7"/>
  <c r="F753" i="7"/>
  <c r="F742" i="7"/>
  <c r="F731" i="7"/>
  <c r="F721" i="7"/>
  <c r="F710" i="7"/>
  <c r="F699" i="7"/>
  <c r="F689" i="7"/>
  <c r="F678" i="7"/>
  <c r="F667" i="7"/>
  <c r="F657" i="7"/>
  <c r="F646" i="7"/>
  <c r="F635" i="7"/>
  <c r="F625" i="7"/>
  <c r="F614" i="7"/>
  <c r="F603" i="7"/>
  <c r="F590" i="7"/>
  <c r="F578" i="7"/>
  <c r="F565" i="7"/>
  <c r="F551" i="7"/>
  <c r="F539" i="7"/>
  <c r="F526" i="7"/>
  <c r="F514" i="7"/>
  <c r="F501" i="7"/>
  <c r="F487" i="7"/>
  <c r="F475" i="7"/>
  <c r="F462" i="7"/>
  <c r="F450" i="7"/>
  <c r="F437" i="7"/>
  <c r="F418" i="7"/>
  <c r="F397" i="7"/>
  <c r="F374" i="7"/>
  <c r="F354" i="7"/>
  <c r="F333" i="7"/>
  <c r="F310" i="7"/>
  <c r="F290" i="7"/>
  <c r="F262" i="7"/>
  <c r="F230" i="7"/>
  <c r="F198" i="7"/>
  <c r="F166" i="7"/>
  <c r="E1530" i="7"/>
  <c r="E1498" i="7"/>
  <c r="E1466" i="7"/>
  <c r="E1434" i="7"/>
  <c r="E1402" i="7"/>
  <c r="E1370" i="7"/>
  <c r="E1338" i="7"/>
  <c r="E1306" i="7"/>
  <c r="E1274" i="7"/>
  <c r="E1241" i="7"/>
  <c r="E1200" i="7"/>
  <c r="E1157" i="7"/>
  <c r="E1114" i="7"/>
  <c r="E1072" i="7"/>
  <c r="E1029" i="7"/>
  <c r="E986" i="7"/>
  <c r="E940" i="7"/>
  <c r="E887" i="7"/>
  <c r="E823" i="7"/>
  <c r="E759" i="7"/>
  <c r="E695" i="7"/>
  <c r="E613" i="7"/>
  <c r="E485" i="7"/>
  <c r="E328" i="7"/>
  <c r="D1308" i="7"/>
  <c r="D885" i="7"/>
  <c r="G1163" i="7"/>
  <c r="G1155" i="7"/>
  <c r="G1147" i="7"/>
  <c r="G1139" i="7"/>
  <c r="G1131" i="7"/>
  <c r="G1123" i="7"/>
  <c r="G1115" i="7"/>
  <c r="G1107" i="7"/>
  <c r="G1099" i="7"/>
  <c r="G1091" i="7"/>
  <c r="G1083" i="7"/>
  <c r="G1075" i="7"/>
  <c r="G1067" i="7"/>
  <c r="G1059" i="7"/>
  <c r="G1051" i="7"/>
  <c r="G1043" i="7"/>
  <c r="G1035" i="7"/>
  <c r="G1027" i="7"/>
  <c r="G1019" i="7"/>
  <c r="G1011" i="7"/>
  <c r="G1003" i="7"/>
  <c r="G995" i="7"/>
  <c r="G987" i="7"/>
  <c r="G979" i="7"/>
  <c r="G971" i="7"/>
  <c r="G963" i="7"/>
  <c r="G955" i="7"/>
  <c r="G947" i="7"/>
  <c r="G939" i="7"/>
  <c r="G931" i="7"/>
  <c r="G923" i="7"/>
  <c r="G915" i="7"/>
  <c r="G907" i="7"/>
  <c r="G899" i="7"/>
  <c r="G891" i="7"/>
  <c r="G883" i="7"/>
  <c r="G875" i="7"/>
  <c r="G867" i="7"/>
  <c r="G859" i="7"/>
  <c r="G851" i="7"/>
  <c r="G843" i="7"/>
  <c r="G835" i="7"/>
  <c r="G827" i="7"/>
  <c r="G819" i="7"/>
  <c r="G811" i="7"/>
  <c r="G803" i="7"/>
  <c r="G795" i="7"/>
  <c r="G787" i="7"/>
  <c r="G779" i="7"/>
  <c r="G771" i="7"/>
  <c r="G763" i="7"/>
  <c r="G755" i="7"/>
  <c r="G747" i="7"/>
  <c r="G739" i="7"/>
  <c r="G731" i="7"/>
  <c r="G723" i="7"/>
  <c r="G715" i="7"/>
  <c r="G707" i="7"/>
  <c r="G699" i="7"/>
  <c r="G691" i="7"/>
  <c r="G683" i="7"/>
  <c r="G675" i="7"/>
  <c r="G667" i="7"/>
  <c r="G659" i="7"/>
  <c r="G651" i="7"/>
  <c r="G643" i="7"/>
  <c r="G635" i="7"/>
  <c r="G627" i="7"/>
  <c r="G619" i="7"/>
  <c r="G611" i="7"/>
  <c r="G603" i="7"/>
  <c r="G595" i="7"/>
  <c r="G587" i="7"/>
  <c r="G579" i="7"/>
  <c r="G571" i="7"/>
  <c r="G563" i="7"/>
  <c r="G555" i="7"/>
  <c r="G547" i="7"/>
  <c r="G539" i="7"/>
  <c r="G531" i="7"/>
  <c r="G523" i="7"/>
  <c r="G515" i="7"/>
  <c r="G507" i="7"/>
  <c r="G499" i="7"/>
  <c r="G491" i="7"/>
  <c r="G483" i="7"/>
  <c r="G475" i="7"/>
  <c r="G467" i="7"/>
  <c r="G459" i="7"/>
  <c r="G451" i="7"/>
  <c r="G443" i="7"/>
  <c r="G435" i="7"/>
  <c r="G427" i="7"/>
  <c r="G419" i="7"/>
  <c r="G411" i="7"/>
  <c r="G403" i="7"/>
  <c r="G395" i="7"/>
  <c r="G387" i="7"/>
  <c r="G379" i="7"/>
  <c r="G371" i="7"/>
  <c r="G363" i="7"/>
  <c r="G355" i="7"/>
  <c r="G347" i="7"/>
  <c r="G339" i="7"/>
  <c r="G331" i="7"/>
  <c r="G323" i="7"/>
  <c r="G315" i="7"/>
  <c r="G307" i="7"/>
  <c r="G299" i="7"/>
  <c r="G291" i="7"/>
  <c r="G283" i="7"/>
  <c r="G275" i="7"/>
  <c r="G267" i="7"/>
  <c r="G259" i="7"/>
  <c r="G251" i="7"/>
  <c r="G243" i="7"/>
  <c r="G235" i="7"/>
  <c r="G227" i="7"/>
  <c r="G219" i="7"/>
  <c r="G211" i="7"/>
  <c r="G203" i="7"/>
  <c r="G195" i="7"/>
  <c r="G187" i="7"/>
  <c r="G179" i="7"/>
  <c r="G171" i="7"/>
  <c r="F1527" i="7"/>
  <c r="F1519" i="7"/>
  <c r="F1511" i="7"/>
  <c r="F1503" i="7"/>
  <c r="F1495" i="7"/>
  <c r="F1487" i="7"/>
  <c r="F1479" i="7"/>
  <c r="F1471" i="7"/>
  <c r="F1463" i="7"/>
  <c r="F1455" i="7"/>
  <c r="F1447" i="7"/>
  <c r="F1439" i="7"/>
  <c r="F1431" i="7"/>
  <c r="F1423" i="7"/>
  <c r="F1415" i="7"/>
  <c r="F1407" i="7"/>
  <c r="F1399" i="7"/>
  <c r="F1391" i="7"/>
  <c r="F1383" i="7"/>
  <c r="F1375" i="7"/>
  <c r="F1367" i="7"/>
  <c r="F1359" i="7"/>
  <c r="F1351" i="7"/>
  <c r="F1343" i="7"/>
  <c r="F1335" i="7"/>
  <c r="F1327" i="7"/>
  <c r="F1319" i="7"/>
  <c r="F1311" i="7"/>
  <c r="F1303" i="7"/>
  <c r="F1295" i="7"/>
  <c r="F1287" i="7"/>
  <c r="F1279" i="7"/>
  <c r="F1271" i="7"/>
  <c r="F1263" i="7"/>
  <c r="F1255" i="7"/>
  <c r="F1247" i="7"/>
  <c r="F1239" i="7"/>
  <c r="F1231" i="7"/>
  <c r="F1223" i="7"/>
  <c r="F1215" i="7"/>
  <c r="F1207" i="7"/>
  <c r="F1199" i="7"/>
  <c r="F1191" i="7"/>
  <c r="F1183" i="7"/>
  <c r="F1175" i="7"/>
  <c r="F1167" i="7"/>
  <c r="F1159" i="7"/>
  <c r="F1151" i="7"/>
  <c r="F1143" i="7"/>
  <c r="F1135" i="7"/>
  <c r="F1127" i="7"/>
  <c r="F1119" i="7"/>
  <c r="F1111" i="7"/>
  <c r="F1103" i="7"/>
  <c r="F1095" i="7"/>
  <c r="F1087" i="7"/>
  <c r="F1079" i="7"/>
  <c r="F1071" i="7"/>
  <c r="F1063" i="7"/>
  <c r="F1055" i="7"/>
  <c r="F1047" i="7"/>
  <c r="F1039" i="7"/>
  <c r="F1031" i="7"/>
  <c r="F1023" i="7"/>
  <c r="F1015" i="7"/>
  <c r="F1007" i="7"/>
  <c r="F997" i="7"/>
  <c r="F986" i="7"/>
  <c r="F975" i="7"/>
  <c r="F965" i="7"/>
  <c r="F954" i="7"/>
  <c r="F943" i="7"/>
  <c r="F933" i="7"/>
  <c r="F922" i="7"/>
  <c r="F911" i="7"/>
  <c r="F901" i="7"/>
  <c r="F890" i="7"/>
  <c r="F879" i="7"/>
  <c r="F869" i="7"/>
  <c r="F858" i="7"/>
  <c r="F847" i="7"/>
  <c r="F837" i="7"/>
  <c r="F826" i="7"/>
  <c r="F815" i="7"/>
  <c r="F805" i="7"/>
  <c r="F794" i="7"/>
  <c r="F783" i="7"/>
  <c r="F773" i="7"/>
  <c r="F762" i="7"/>
  <c r="F751" i="7"/>
  <c r="F741" i="7"/>
  <c r="F730" i="7"/>
  <c r="F719" i="7"/>
  <c r="F709" i="7"/>
  <c r="F698" i="7"/>
  <c r="F687" i="7"/>
  <c r="F677" i="7"/>
  <c r="F666" i="7"/>
  <c r="F655" i="7"/>
  <c r="F645" i="7"/>
  <c r="F634" i="7"/>
  <c r="F623" i="7"/>
  <c r="F613" i="7"/>
  <c r="F602" i="7"/>
  <c r="F589" i="7"/>
  <c r="F575" i="7"/>
  <c r="F563" i="7"/>
  <c r="F550" i="7"/>
  <c r="F538" i="7"/>
  <c r="F525" i="7"/>
  <c r="F511" i="7"/>
  <c r="F499" i="7"/>
  <c r="F486" i="7"/>
  <c r="F474" i="7"/>
  <c r="F461" i="7"/>
  <c r="F447" i="7"/>
  <c r="F435" i="7"/>
  <c r="F414" i="7"/>
  <c r="F394" i="7"/>
  <c r="F373" i="7"/>
  <c r="F350" i="7"/>
  <c r="F330" i="7"/>
  <c r="F309" i="7"/>
  <c r="F286" i="7"/>
  <c r="F261" i="7"/>
  <c r="F229" i="7"/>
  <c r="F197" i="7"/>
  <c r="F165" i="7"/>
  <c r="E1529" i="7"/>
  <c r="E1497" i="7"/>
  <c r="E1465" i="7"/>
  <c r="E1433" i="7"/>
  <c r="E1401" i="7"/>
  <c r="E1369" i="7"/>
  <c r="E1337" i="7"/>
  <c r="E1305" i="7"/>
  <c r="E1273" i="7"/>
  <c r="E1240" i="7"/>
  <c r="E1199" i="7"/>
  <c r="E1156" i="7"/>
  <c r="E1113" i="7"/>
  <c r="E1071" i="7"/>
  <c r="E1028" i="7"/>
  <c r="E985" i="7"/>
  <c r="E938" i="7"/>
  <c r="E885" i="7"/>
  <c r="E821" i="7"/>
  <c r="E757" i="7"/>
  <c r="E693" i="7"/>
  <c r="E612" i="7"/>
  <c r="E484" i="7"/>
  <c r="E326" i="7"/>
  <c r="D1514" i="7"/>
  <c r="D1258" i="7"/>
  <c r="D760" i="7"/>
  <c r="G874" i="7"/>
  <c r="G866" i="7"/>
  <c r="G858" i="7"/>
  <c r="G850" i="7"/>
  <c r="G842" i="7"/>
  <c r="G834" i="7"/>
  <c r="G826" i="7"/>
  <c r="G818" i="7"/>
  <c r="G810" i="7"/>
  <c r="G802" i="7"/>
  <c r="G794" i="7"/>
  <c r="G786" i="7"/>
  <c r="G778" i="7"/>
  <c r="G770" i="7"/>
  <c r="G762" i="7"/>
  <c r="G754" i="7"/>
  <c r="G746" i="7"/>
  <c r="G738" i="7"/>
  <c r="G730" i="7"/>
  <c r="G722" i="7"/>
  <c r="G714" i="7"/>
  <c r="G706" i="7"/>
  <c r="G698" i="7"/>
  <c r="G690" i="7"/>
  <c r="G682" i="7"/>
  <c r="G674" i="7"/>
  <c r="G666" i="7"/>
  <c r="G658" i="7"/>
  <c r="G650" i="7"/>
  <c r="G642" i="7"/>
  <c r="G634" i="7"/>
  <c r="G626" i="7"/>
  <c r="G618" i="7"/>
  <c r="G610" i="7"/>
  <c r="G602" i="7"/>
  <c r="G594" i="7"/>
  <c r="G586" i="7"/>
  <c r="G578" i="7"/>
  <c r="G570" i="7"/>
  <c r="G562" i="7"/>
  <c r="G554" i="7"/>
  <c r="G546" i="7"/>
  <c r="G538" i="7"/>
  <c r="G530" i="7"/>
  <c r="G522" i="7"/>
  <c r="G514" i="7"/>
  <c r="G506" i="7"/>
  <c r="G498" i="7"/>
  <c r="G490" i="7"/>
  <c r="G482" i="7"/>
  <c r="G474" i="7"/>
  <c r="G466" i="7"/>
  <c r="G458" i="7"/>
  <c r="G450" i="7"/>
  <c r="G442" i="7"/>
  <c r="G434" i="7"/>
  <c r="G426" i="7"/>
  <c r="G418" i="7"/>
  <c r="G410" i="7"/>
  <c r="G402" i="7"/>
  <c r="G394" i="7"/>
  <c r="G386" i="7"/>
  <c r="G378" i="7"/>
  <c r="G370" i="7"/>
  <c r="G362" i="7"/>
  <c r="G354" i="7"/>
  <c r="G346" i="7"/>
  <c r="G338" i="7"/>
  <c r="G330" i="7"/>
  <c r="G322" i="7"/>
  <c r="G314" i="7"/>
  <c r="G306" i="7"/>
  <c r="G298" i="7"/>
  <c r="G290" i="7"/>
  <c r="G282" i="7"/>
  <c r="G274" i="7"/>
  <c r="G266" i="7"/>
  <c r="G258" i="7"/>
  <c r="G250" i="7"/>
  <c r="G242" i="7"/>
  <c r="G234" i="7"/>
  <c r="G226" i="7"/>
  <c r="G218" i="7"/>
  <c r="G210" i="7"/>
  <c r="G202" i="7"/>
  <c r="G194" i="7"/>
  <c r="G186" i="7"/>
  <c r="G178" i="7"/>
  <c r="G170" i="7"/>
  <c r="F1526" i="7"/>
  <c r="F1518" i="7"/>
  <c r="F1510" i="7"/>
  <c r="F1502" i="7"/>
  <c r="F1494" i="7"/>
  <c r="F1486" i="7"/>
  <c r="F1478" i="7"/>
  <c r="F1470" i="7"/>
  <c r="F1462" i="7"/>
  <c r="F1454" i="7"/>
  <c r="F1446" i="7"/>
  <c r="F1438" i="7"/>
  <c r="F1430" i="7"/>
  <c r="F1422" i="7"/>
  <c r="F1414" i="7"/>
  <c r="F1406" i="7"/>
  <c r="F1398" i="7"/>
  <c r="F1390" i="7"/>
  <c r="F1382" i="7"/>
  <c r="F1374" i="7"/>
  <c r="F1366" i="7"/>
  <c r="F1358" i="7"/>
  <c r="F1350" i="7"/>
  <c r="F1342" i="7"/>
  <c r="F1334" i="7"/>
  <c r="F1326" i="7"/>
  <c r="F1318" i="7"/>
  <c r="F1310" i="7"/>
  <c r="F1302" i="7"/>
  <c r="F1294" i="7"/>
  <c r="F1286" i="7"/>
  <c r="F1278" i="7"/>
  <c r="F1270" i="7"/>
  <c r="C567" i="7"/>
  <c r="B1507" i="7"/>
  <c r="B1202" i="7"/>
  <c r="B651" i="7"/>
  <c r="D257" i="7"/>
  <c r="C1461" i="7"/>
  <c r="C1429" i="7"/>
  <c r="C1389" i="7"/>
  <c r="C1341" i="7"/>
  <c r="C1293" i="7"/>
  <c r="C1229" i="7"/>
  <c r="C1101" i="7"/>
  <c r="C1045" i="7"/>
  <c r="C1005" i="7"/>
  <c r="C933" i="7"/>
  <c r="C853" i="7"/>
  <c r="C781" i="7"/>
  <c r="C741" i="7"/>
  <c r="C717" i="7"/>
  <c r="C683" i="7"/>
  <c r="C382" i="7"/>
  <c r="C167" i="7"/>
  <c r="B1354" i="7"/>
  <c r="B924" i="7"/>
  <c r="B377" i="7"/>
  <c r="C645" i="7"/>
  <c r="C597" i="7"/>
  <c r="C533" i="7"/>
  <c r="C496" i="7"/>
  <c r="C399" i="7"/>
  <c r="B1483" i="7"/>
  <c r="B1332" i="7"/>
  <c r="B1204" i="7"/>
  <c r="B1058" i="7"/>
  <c r="B948" i="7"/>
  <c r="B499" i="7"/>
  <c r="C610" i="7"/>
  <c r="C578" i="7"/>
  <c r="C503" i="7"/>
  <c r="C350" i="7"/>
  <c r="C286" i="7"/>
  <c r="B1196" i="7"/>
  <c r="B1027" i="7"/>
  <c r="B899" i="7"/>
  <c r="B650" i="7"/>
  <c r="B418" i="7"/>
  <c r="C577" i="7"/>
  <c r="C553" i="7"/>
  <c r="C502" i="7"/>
  <c r="C280" i="7"/>
  <c r="B1451" i="7"/>
  <c r="B1364" i="7"/>
  <c r="B1282" i="7"/>
  <c r="B1026" i="7"/>
  <c r="B916" i="7"/>
  <c r="B475" i="7"/>
  <c r="B185" i="7"/>
  <c r="C656" i="7"/>
  <c r="C608" i="7"/>
  <c r="C576" i="7"/>
  <c r="C544" i="7"/>
  <c r="C448" i="7"/>
  <c r="C279" i="7"/>
  <c r="C215" i="7"/>
  <c r="B1514" i="7"/>
  <c r="B1427" i="7"/>
  <c r="B1363" i="7"/>
  <c r="B1299" i="7"/>
  <c r="B1148" i="7"/>
  <c r="B1084" i="7"/>
  <c r="B979" i="7"/>
  <c r="B892" i="7"/>
  <c r="B754" i="7"/>
  <c r="B522" i="7"/>
  <c r="B1362" i="7"/>
  <c r="B1188" i="7"/>
  <c r="B996" i="7"/>
  <c r="B801" i="7"/>
  <c r="B226" i="7"/>
  <c r="B1356" i="7"/>
  <c r="B1187" i="7"/>
  <c r="B954" i="7"/>
  <c r="C493" i="7"/>
  <c r="C453" i="7"/>
  <c r="C413" i="7"/>
  <c r="C381" i="7"/>
  <c r="C269" i="7"/>
  <c r="B1505" i="7"/>
  <c r="B1481" i="7"/>
  <c r="B1449" i="7"/>
  <c r="B1369" i="7"/>
  <c r="B1289" i="7"/>
  <c r="B1233" i="7"/>
  <c r="B1033" i="7"/>
  <c r="B929" i="7"/>
  <c r="B817" i="7"/>
  <c r="B561" i="7"/>
  <c r="B387" i="7"/>
  <c r="B241" i="7"/>
  <c r="C476" i="7"/>
  <c r="C380" i="7"/>
  <c r="C340" i="7"/>
  <c r="C300" i="7"/>
  <c r="C220" i="7"/>
  <c r="C188" i="7"/>
  <c r="B1512" i="7"/>
  <c r="B1456" i="7"/>
  <c r="B1192" i="7"/>
  <c r="A8" i="7"/>
  <c r="S4" i="11"/>
  <c r="S3" i="11"/>
  <c r="R4" i="11"/>
  <c r="R5" i="11"/>
  <c r="M3" i="11" a="1"/>
  <c r="S2" i="11" s="1"/>
  <c r="C4" i="10" s="1" a="1"/>
  <c r="V2" i="11" a="1"/>
  <c r="R3" i="11"/>
  <c r="W4" i="11" a="1"/>
  <c r="X4" i="11" s="1"/>
  <c r="R2" i="11"/>
  <c r="W3" i="11" a="1"/>
  <c r="X3" i="11" s="1"/>
  <c r="W2" i="11" l="1" a="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<sst xmlns="http://schemas.openxmlformats.org/spreadsheetml/2006/main" count="12169" uniqueCount="2860">
  <si>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</si>
  <si>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</si>
  <si>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</si>
  <si>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</si>
  <si>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</si>
  <si>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</si>
  <si>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</si>
  <si>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</si>
  <si>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</si>
  <si>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</si>
  <si>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</si>
  <si>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</si>
  <si>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</si>
  <si>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</si>
  <si>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</si>
  <si>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</si>
  <si>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</si>
  <si>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</si>
  <si>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</si>
  <si>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</si>
  <si>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</si>
  <si>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</si>
  <si>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</si>
  <si>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</si>
  <si>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</si>
  <si>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</si>
  <si>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</si>
  <si>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</si>
  <si>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</si>
  <si>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</si>
  <si>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</si>
  <si>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</si>
  <si>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</si>
  <si>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</si>
  <si>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</si>
  <si>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</si>
  <si>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</si>
  <si>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</si>
  <si>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</si>
  <si>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</si>
  <si>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</si>
  <si>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</si>
  <si>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</si>
  <si>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</si>
  <si>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</si>
  <si>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</si>
  <si>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</si>
  <si>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</si>
  <si>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</si>
  <si>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</si>
  <si>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</si>
  <si>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</si>
  <si>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</si>
  <si>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</si>
  <si>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</si>
  <si>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</si>
  <si>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</si>
  <si>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</si>
  <si>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</si>
  <si>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</si>
  <si>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</si>
  <si>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</si>
  <si>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</si>
  <si>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</si>
  <si>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</si>
  <si>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</si>
  <si>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</si>
  <si>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</si>
  <si>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</si>
  <si>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</si>
  <si>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</si>
  <si>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</si>
  <si>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</si>
  <si>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</si>
  <si>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</si>
  <si>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</si>
  <si>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</si>
  <si>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</si>
  <si>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</si>
  <si>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</si>
  <si>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</si>
  <si>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</si>
  <si>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</si>
  <si>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</si>
  <si>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</si>
  <si>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</si>
  <si>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</si>
  <si>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</si>
  <si>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</si>
  <si>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</si>
  <si>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</si>
  <si>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</si>
  <si>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</si>
  <si>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</si>
  <si>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</si>
  <si>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</si>
  <si>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</si>
  <si>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</si>
  <si>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</si>
  <si>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</si>
  <si>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</si>
  <si>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</si>
  <si>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</si>
  <si>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</si>
  <si>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</si>
  <si>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</si>
  <si>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</si>
  <si>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</si>
  <si>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</si>
  <si>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</si>
  <si>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</si>
  <si>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</si>
  <si>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</si>
  <si>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</si>
  <si>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</si>
  <si>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</si>
  <si>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</si>
  <si>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</si>
  <si>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</si>
  <si>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</si>
  <si>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</si>
  <si>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</si>
  <si>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</si>
  <si>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</si>
  <si>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</si>
  <si>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</si>
  <si>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</si>
  <si>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</si>
  <si>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</si>
  <si>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</si>
  <si>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</si>
  <si>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</si>
  <si>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</si>
  <si>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</si>
  <si>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</si>
  <si>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</si>
  <si>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</si>
  <si>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</si>
  <si>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</si>
  <si>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</si>
  <si>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</si>
  <si>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</si>
  <si>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</si>
  <si>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</si>
  <si>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</si>
  <si>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</si>
  <si>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</si>
  <si>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</si>
  <si>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</si>
  <si>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</si>
  <si>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</si>
  <si>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</si>
  <si>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</si>
  <si>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</si>
  <si>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</si>
  <si>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</si>
  <si>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</si>
  <si>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</si>
  <si>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</si>
  <si>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</si>
  <si>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</si>
  <si>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</si>
  <si>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</si>
  <si>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</si>
  <si>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</si>
  <si>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</si>
  <si>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</si>
  <si>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</si>
  <si>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</si>
  <si>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</si>
  <si>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</si>
  <si>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</si>
  <si>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</si>
  <si>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</si>
  <si>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</si>
  <si>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</si>
  <si>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</si>
  <si>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</si>
  <si>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</si>
  <si>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</si>
  <si>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</si>
  <si>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</si>
  <si>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</si>
  <si>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</si>
  <si>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</si>
  <si>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</si>
  <si>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</si>
  <si>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</si>
  <si>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</si>
  <si>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</si>
  <si>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</si>
  <si>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</si>
  <si>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</si>
  <si>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</si>
  <si>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</si>
  <si>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</si>
  <si>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</si>
  <si>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</si>
  <si>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</si>
  <si>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</si>
  <si>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</si>
  <si>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</si>
  <si>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</si>
  <si>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</si>
  <si>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</si>
  <si>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</si>
  <si>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</si>
  <si>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</si>
  <si>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</si>
  <si>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</si>
  <si>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</si>
  <si>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</si>
  <si>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</si>
  <si>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</si>
  <si>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</si>
  <si>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</si>
  <si>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</si>
  <si>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</si>
  <si>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</si>
  <si>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</si>
  <si>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</si>
  <si>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</si>
  <si>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</si>
  <si>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</si>
  <si>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</si>
  <si>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</si>
  <si>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</si>
  <si>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</si>
  <si>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</si>
  <si>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</si>
  <si>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</si>
  <si>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</si>
  <si>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</si>
  <si>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</si>
  <si>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</si>
  <si>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</si>
  <si>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</si>
  <si>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</si>
  <si>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</si>
  <si>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</si>
  <si>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</si>
  <si>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</si>
  <si>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</si>
  <si>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</si>
  <si>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</si>
  <si>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</si>
  <si>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</si>
  <si>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</si>
  <si>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</si>
  <si>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</si>
  <si>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</si>
  <si>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</si>
  <si>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</si>
  <si>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</si>
  <si>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</si>
  <si>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</si>
  <si>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</si>
  <si>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</si>
  <si>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</si>
  <si>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</si>
  <si>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</si>
  <si>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</si>
  <si>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</si>
  <si>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</si>
  <si>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</si>
  <si>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</si>
  <si>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</si>
  <si>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</si>
  <si>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</si>
  <si>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</si>
  <si>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</si>
  <si>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</si>
  <si>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</si>
  <si>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</si>
  <si>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</si>
  <si>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</si>
  <si>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</si>
  <si>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</si>
  <si>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</si>
  <si>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</si>
  <si>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</si>
  <si>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</si>
  <si>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</si>
  <si>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</si>
  <si>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</si>
  <si>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</si>
  <si>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</si>
  <si>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</si>
  <si>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</si>
  <si>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</si>
  <si>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</si>
  <si>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</si>
  <si>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</si>
  <si>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</si>
  <si>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</si>
  <si>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</si>
  <si>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</si>
  <si>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</si>
  <si>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</si>
  <si>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</si>
  <si>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</si>
  <si>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</si>
  <si>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</si>
  <si>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</si>
  <si>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</si>
  <si>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</si>
  <si>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</si>
  <si>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</si>
  <si>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</si>
  <si>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</si>
  <si>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</si>
  <si>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</si>
  <si>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</si>
  <si>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</si>
  <si>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</si>
  <si>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</si>
  <si>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</si>
  <si>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</si>
  <si>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</si>
  <si>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</si>
  <si>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</si>
  <si>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</si>
  <si>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</si>
  <si>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</si>
  <si>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</si>
  <si>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</si>
  <si>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</si>
  <si>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</si>
  <si>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</si>
  <si>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</si>
  <si>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</si>
  <si>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</si>
  <si>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</si>
  <si>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</si>
  <si>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</si>
  <si>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</si>
  <si>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</si>
  <si>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</si>
  <si>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</si>
  <si>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</si>
  <si>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</si>
  <si>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</si>
  <si>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</si>
  <si>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</si>
  <si>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</si>
  <si>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</si>
  <si>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</si>
  <si>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</si>
  <si>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</si>
  <si>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</si>
  <si>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</si>
  <si>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</si>
  <si>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</si>
  <si>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</si>
  <si>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</si>
  <si>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</si>
  <si>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</si>
  <si>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</si>
  <si>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</si>
  <si>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</si>
  <si>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</si>
  <si>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</si>
  <si>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</si>
  <si>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</si>
  <si>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</si>
  <si>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</si>
  <si>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</si>
  <si>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</si>
  <si>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</si>
  <si>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</si>
  <si>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</si>
  <si>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</si>
  <si>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</si>
  <si>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</si>
  <si>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</si>
  <si>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</si>
  <si>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</si>
  <si>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</si>
  <si>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</si>
  <si>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</si>
  <si>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</si>
  <si>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</si>
  <si>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</si>
  <si>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</si>
  <si>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</si>
  <si>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</si>
  <si>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</si>
  <si>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</si>
  <si>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</si>
  <si>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</si>
  <si>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</si>
  <si>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</si>
  <si>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</si>
  <si>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</si>
  <si>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</si>
  <si>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</si>
  <si>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</si>
  <si>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</si>
  <si>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</si>
  <si>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</si>
  <si>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</si>
  <si>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</si>
  <si>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</si>
  <si>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</si>
  <si>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</si>
  <si>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</si>
  <si>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</si>
  <si>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</si>
  <si>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</si>
  <si>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</si>
  <si>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</si>
  <si>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</si>
  <si>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</si>
  <si>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</si>
  <si>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</si>
  <si>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</si>
  <si>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</si>
  <si>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</si>
  <si>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</si>
  <si>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</si>
  <si>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</si>
  <si>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</si>
  <si>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</si>
  <si>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</si>
  <si>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</si>
  <si>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</si>
  <si>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</si>
  <si>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</si>
  <si>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</si>
  <si>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</si>
  <si>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</si>
  <si>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</si>
  <si>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</si>
  <si>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</si>
  <si>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</si>
  <si>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</si>
  <si>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</si>
  <si>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</si>
  <si>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</si>
  <si>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</si>
  <si>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</si>
  <si>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</si>
  <si>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</si>
  <si>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</si>
  <si>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</si>
  <si>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</si>
  <si>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</si>
  <si>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</si>
  <si>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</si>
  <si>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</si>
  <si>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</si>
  <si>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</si>
  <si>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</si>
  <si>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</si>
  <si>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</si>
  <si>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</si>
  <si>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</si>
  <si>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</si>
  <si>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</si>
  <si>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</si>
  <si>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</si>
  <si>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</si>
  <si>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</si>
  <si>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</si>
  <si>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</si>
  <si>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</si>
  <si>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</si>
  <si>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</si>
  <si>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</si>
  <si>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</si>
  <si>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</si>
  <si>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</si>
  <si>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</si>
  <si>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</si>
  <si>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</si>
  <si>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</si>
  <si>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</si>
  <si>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</si>
  <si>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</si>
  <si>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</si>
  <si>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</si>
  <si>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</si>
  <si>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</si>
  <si>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</si>
  <si>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</si>
  <si>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</si>
  <si>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</si>
  <si>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</si>
  <si>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</si>
  <si>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</si>
  <si>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</si>
  <si>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</si>
  <si>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</si>
  <si>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</si>
  <si>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</si>
  <si>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</si>
  <si>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</si>
  <si>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</si>
  <si>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</si>
  <si>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</si>
  <si>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</si>
  <si>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</si>
  <si>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</si>
  <si>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</si>
  <si>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</si>
  <si>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</si>
  <si>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</si>
  <si>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</si>
  <si>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</si>
  <si>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</si>
  <si>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</si>
  <si>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</si>
  <si>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</si>
  <si>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</si>
  <si>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</si>
  <si>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</si>
  <si>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</si>
  <si>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</si>
  <si>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</si>
  <si>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</si>
  <si>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</si>
  <si>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</si>
  <si>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</si>
  <si>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</si>
  <si>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</si>
  <si>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</si>
  <si>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</si>
  <si>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</si>
  <si>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</si>
  <si>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</si>
  <si>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</si>
  <si>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</si>
  <si>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</si>
  <si>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</si>
  <si>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</si>
  <si>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</si>
  <si>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</si>
  <si>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</si>
  <si>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</si>
  <si>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</si>
  <si>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</si>
  <si>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</si>
  <si>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</si>
  <si>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</si>
  <si>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</si>
  <si>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</si>
  <si>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</si>
  <si>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</si>
  <si>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</si>
  <si>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</si>
  <si>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</si>
  <si>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</si>
  <si>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</si>
  <si>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</si>
  <si>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</si>
  <si>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</si>
  <si>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</si>
  <si>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</si>
  <si>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</si>
  <si>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</si>
  <si>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</si>
  <si>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</si>
  <si>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</si>
  <si>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</si>
  <si>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</si>
  <si>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</si>
  <si>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</si>
  <si>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</si>
  <si>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</si>
  <si>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</si>
  <si>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</si>
  <si>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</si>
  <si>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</si>
  <si>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</si>
  <si>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</si>
  <si>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</si>
  <si>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</si>
  <si>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</si>
  <si>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</si>
  <si>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</si>
  <si>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</si>
  <si>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</si>
  <si>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</si>
  <si>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</si>
  <si>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</si>
  <si>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</si>
  <si>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</si>
  <si>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</si>
  <si>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</si>
  <si>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</si>
  <si>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</si>
  <si>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</si>
  <si>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</si>
  <si>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</si>
  <si>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</si>
  <si>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</si>
  <si>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</si>
  <si>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</si>
  <si>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</si>
  <si>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</si>
  <si>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</si>
  <si>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</si>
  <si>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</si>
  <si>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</si>
  <si>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</si>
  <si>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</si>
  <si>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</si>
  <si>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</si>
  <si>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</si>
  <si>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</si>
  <si>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</si>
  <si>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</si>
  <si>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</si>
  <si>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</si>
  <si>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</si>
  <si>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</si>
  <si>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</si>
  <si>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</si>
  <si>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</si>
  <si>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</si>
  <si>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</si>
  <si>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</si>
  <si>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</si>
  <si>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</si>
  <si>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</si>
  <si>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</si>
  <si>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</si>
  <si>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</si>
  <si>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</si>
  <si>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</si>
  <si>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</si>
  <si>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</si>
  <si>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</si>
  <si>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</si>
  <si>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</si>
  <si>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</si>
  <si>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</si>
  <si>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</si>
  <si>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</si>
  <si>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</si>
  <si>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</si>
  <si>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</si>
  <si>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</si>
  <si>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</si>
  <si>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</si>
  <si>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</si>
  <si>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</si>
  <si>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</si>
  <si>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</si>
  <si>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</si>
  <si>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</si>
  <si>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</si>
  <si>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</si>
  <si>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</si>
  <si>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</si>
  <si>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</si>
  <si>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</si>
  <si>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</si>
  <si>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</si>
  <si>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</si>
  <si>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</si>
  <si>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</si>
  <si>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</si>
  <si>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</si>
  <si>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</si>
  <si>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</si>
  <si>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</si>
  <si>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</si>
  <si>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</si>
  <si>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</si>
  <si>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</si>
  <si>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</si>
  <si>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</si>
  <si>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</si>
  <si>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</si>
  <si>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</si>
  <si>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</si>
  <si>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</si>
  <si>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</si>
  <si>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</si>
  <si>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</si>
  <si>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</si>
  <si>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</si>
  <si>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</si>
  <si>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</si>
  <si>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</si>
  <si>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</si>
  <si>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</si>
  <si>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</si>
  <si>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</si>
  <si>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</si>
  <si>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</si>
  <si>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</si>
  <si>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</si>
  <si>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</si>
  <si>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</si>
  <si>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</si>
  <si>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</si>
  <si>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</si>
  <si>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</si>
  <si>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</si>
  <si>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</si>
  <si>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</si>
  <si>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</si>
  <si>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</si>
  <si>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</si>
  <si>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</si>
  <si>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</si>
  <si>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</si>
  <si>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</si>
  <si>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</si>
  <si>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</si>
  <si>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</si>
  <si>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</si>
  <si>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</si>
  <si>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</si>
  <si>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</si>
  <si>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</si>
  <si>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</si>
  <si>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</si>
  <si>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</si>
  <si>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</si>
  <si>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</si>
  <si>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</si>
  <si>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</si>
  <si>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</si>
  <si>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</si>
  <si>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</si>
  <si>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</si>
  <si>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</si>
  <si>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</si>
  <si>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</si>
  <si>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</si>
  <si>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</si>
  <si>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</si>
  <si>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</si>
  <si>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</si>
  <si>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</si>
  <si>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</si>
  <si>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</si>
  <si>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</si>
  <si>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</si>
  <si>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</si>
  <si>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</si>
  <si>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</si>
  <si>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</si>
  <si>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</si>
  <si>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</si>
  <si>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</si>
  <si>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</si>
  <si>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</si>
  <si>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</si>
  <si>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</si>
  <si>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</si>
  <si>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</si>
  <si>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</si>
  <si>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</si>
  <si>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</si>
  <si>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</si>
  <si>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</si>
  <si>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</si>
  <si>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</si>
  <si>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</si>
  <si>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</si>
  <si>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</si>
  <si>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</si>
  <si>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</si>
  <si>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</si>
  <si>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</si>
  <si>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</si>
  <si>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</si>
  <si>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</si>
  <si>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</si>
  <si>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</si>
  <si>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</si>
  <si>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</si>
  <si>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</si>
  <si>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</si>
  <si>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</si>
  <si>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</si>
  <si>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</si>
  <si>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</si>
  <si>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</si>
  <si>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</si>
  <si>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</si>
  <si>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</si>
  <si>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</si>
  <si>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</si>
  <si>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</si>
  <si>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</si>
  <si>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</si>
  <si>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</si>
  <si>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</si>
  <si>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</si>
  <si>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</si>
  <si>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</si>
  <si>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</si>
  <si>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</si>
  <si>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</si>
  <si>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</si>
  <si>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</si>
  <si>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</si>
  <si>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</si>
  <si>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</si>
  <si>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</si>
  <si>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</si>
  <si>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</si>
  <si>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</si>
  <si>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</si>
  <si>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</si>
  <si>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</si>
  <si>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</si>
  <si>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</si>
  <si>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</si>
  <si>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</si>
  <si>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</si>
  <si>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</si>
  <si>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</si>
  <si>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</si>
  <si>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</si>
  <si>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</si>
  <si>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</si>
  <si>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</si>
  <si>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</si>
  <si>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</si>
  <si>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</si>
  <si>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</si>
  <si>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</si>
  <si>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</si>
  <si>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</si>
  <si>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</si>
  <si>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</si>
  <si>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</si>
  <si>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</si>
  <si>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</si>
  <si>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</si>
  <si>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</si>
  <si>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</si>
  <si>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</si>
  <si>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</si>
  <si>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</si>
  <si>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</si>
  <si>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</si>
  <si>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</si>
  <si>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</si>
  <si>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</si>
  <si>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</si>
  <si>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</si>
  <si>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</si>
  <si>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</si>
  <si>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</si>
  <si>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</si>
  <si>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</si>
  <si>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</si>
  <si>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</si>
  <si>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</si>
  <si>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</si>
  <si>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</si>
  <si>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</si>
  <si>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</si>
  <si>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</si>
  <si>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</si>
  <si>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</si>
  <si>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</si>
  <si>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</si>
  <si>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</si>
  <si>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</si>
  <si>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</si>
  <si>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</si>
  <si>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</si>
  <si>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</si>
  <si>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</si>
  <si>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</si>
  <si>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</si>
  <si>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</si>
  <si>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</si>
  <si>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</si>
  <si>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</si>
  <si>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</si>
  <si>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</si>
  <si>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</si>
  <si>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</si>
  <si>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</si>
  <si>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</si>
  <si>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</si>
  <si>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</si>
  <si>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</si>
  <si>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</si>
  <si>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</si>
  <si>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</si>
  <si>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</si>
  <si>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</si>
  <si>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</si>
  <si>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</si>
  <si>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</si>
  <si>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</si>
  <si>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</si>
  <si>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</si>
  <si>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</si>
  <si>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</si>
  <si>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</si>
  <si>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</si>
  <si>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</si>
  <si>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</si>
  <si>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</si>
  <si>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</si>
  <si>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</si>
  <si>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</si>
  <si>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</si>
  <si>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</si>
  <si>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</si>
  <si>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</si>
  <si>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</si>
  <si>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</si>
  <si>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</si>
  <si>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</si>
  <si>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</si>
  <si>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</si>
  <si>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</si>
  <si>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</si>
  <si>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</si>
  <si>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</si>
  <si>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</si>
  <si>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</si>
  <si>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</si>
  <si>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</si>
  <si>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</si>
  <si>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</si>
  <si>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</si>
  <si>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</si>
  <si>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</si>
  <si>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</si>
  <si>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</si>
  <si>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</si>
  <si>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</si>
  <si>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</si>
  <si>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</si>
  <si>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</si>
  <si>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</si>
  <si>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</si>
  <si>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</si>
  <si>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</si>
  <si>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</si>
  <si>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</si>
  <si>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</si>
  <si>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</si>
  <si>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</si>
  <si>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</si>
  <si>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</si>
  <si>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</si>
  <si>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</si>
  <si>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</si>
  <si>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</si>
  <si>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</si>
  <si>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</si>
  <si>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</si>
  <si>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</si>
  <si>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</si>
  <si>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</si>
  <si>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</si>
  <si>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</si>
  <si>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</si>
  <si>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</si>
  <si>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</si>
  <si>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</si>
  <si>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</si>
  <si>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</si>
  <si>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</si>
  <si>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</si>
  <si>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</si>
  <si>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</si>
  <si>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</si>
  <si>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</si>
  <si>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</si>
  <si>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</si>
  <si>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</si>
  <si>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</si>
  <si>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</si>
  <si>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</si>
  <si>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</si>
  <si>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</si>
  <si>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</si>
  <si>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</si>
  <si>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</si>
  <si>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</si>
  <si>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</si>
  <si>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</si>
  <si>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</si>
  <si>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</si>
  <si>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</si>
  <si>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</si>
  <si>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</si>
  <si>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</si>
  <si>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</si>
  <si>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</si>
  <si>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</si>
  <si>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</si>
  <si>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</si>
  <si>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</si>
  <si>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</si>
  <si>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</si>
  <si>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</si>
  <si>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</si>
  <si>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</si>
  <si>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</si>
  <si>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</si>
  <si>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</si>
  <si>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</si>
  <si>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</si>
  <si>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</si>
  <si>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</si>
  <si>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</si>
  <si>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</si>
  <si>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</si>
  <si>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</si>
  <si>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</si>
  <si>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</si>
  <si>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</si>
  <si>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</si>
  <si>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</si>
  <si>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</si>
  <si>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</si>
  <si>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</si>
  <si>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</si>
  <si>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</si>
  <si>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</si>
  <si>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</si>
  <si>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</si>
  <si>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</si>
  <si>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</si>
  <si>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</si>
  <si>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</si>
  <si>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</si>
  <si>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</si>
  <si>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</si>
  <si>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</si>
  <si>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</si>
  <si>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</si>
  <si>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</si>
  <si>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</si>
  <si>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</si>
  <si>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</si>
  <si>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</si>
  <si>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</si>
  <si>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</si>
  <si>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</si>
  <si>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</si>
  <si>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</si>
  <si>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</si>
  <si>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</si>
  <si>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</si>
  <si>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</si>
  <si>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</si>
  <si>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</si>
  <si>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</si>
  <si>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</si>
  <si>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</si>
  <si>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</si>
  <si>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</si>
  <si>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</si>
  <si>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</si>
  <si>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</si>
  <si>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</si>
  <si>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</si>
  <si>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</si>
  <si>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</si>
  <si>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</si>
  <si>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</si>
  <si>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</si>
  <si>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</si>
  <si>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</si>
  <si>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</si>
  <si>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</si>
  <si>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</si>
  <si>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</si>
  <si>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</si>
  <si>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</si>
  <si>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</si>
  <si>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</si>
  <si>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</si>
  <si>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</si>
  <si>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</si>
  <si>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</si>
  <si>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</si>
  <si>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</si>
  <si>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</si>
  <si>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</si>
  <si>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</si>
  <si>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</si>
  <si>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</si>
  <si>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</si>
  <si>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</si>
  <si>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</si>
  <si>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</si>
  <si>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</si>
  <si>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</si>
  <si>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</si>
  <si>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</si>
  <si>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</si>
  <si>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</si>
  <si>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</si>
  <si>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</si>
  <si>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</si>
  <si>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</si>
  <si>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</si>
  <si>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</si>
  <si>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</si>
  <si>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</si>
  <si>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</si>
  <si>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</si>
  <si>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</si>
  <si>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</si>
  <si>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</si>
  <si>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</si>
  <si>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</si>
  <si>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</si>
  <si>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</si>
  <si>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</si>
  <si>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</si>
  <si>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</si>
  <si>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</si>
  <si>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</si>
  <si>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</si>
  <si>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</si>
  <si>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</si>
  <si>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</si>
  <si>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</si>
  <si>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</si>
  <si>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</si>
  <si>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</si>
  <si>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</si>
  <si>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</si>
  <si>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</si>
  <si>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</si>
  <si>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</si>
  <si>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</si>
  <si>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</si>
  <si>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</si>
  <si>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</si>
  <si>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</si>
  <si>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</si>
  <si>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</si>
  <si>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</si>
  <si>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</si>
  <si>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</si>
  <si>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</si>
  <si>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</si>
  <si>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</si>
  <si>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</si>
  <si>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</si>
  <si>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</si>
  <si>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</si>
  <si>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</si>
  <si>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</si>
  <si>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</si>
  <si>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</si>
  <si>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</si>
  <si>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</si>
  <si>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</si>
  <si>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</si>
  <si>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</si>
  <si>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</si>
  <si>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</si>
  <si>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</si>
  <si>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</si>
  <si>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</si>
  <si>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</si>
  <si>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</si>
  <si>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</si>
  <si>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</si>
  <si>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</si>
  <si>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</si>
  <si>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</si>
  <si>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</si>
  <si>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</si>
  <si>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</si>
  <si>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</si>
  <si>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</si>
  <si>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</si>
  <si>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</si>
  <si>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</si>
  <si>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</si>
  <si>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</si>
  <si>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</si>
  <si>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</si>
  <si>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</si>
  <si>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</si>
  <si>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</si>
  <si>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</si>
  <si>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</si>
  <si>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</si>
  <si>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</si>
  <si>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</si>
  <si>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</si>
  <si>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</si>
  <si>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</si>
  <si>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</si>
  <si>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</si>
  <si>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</si>
  <si>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</si>
  <si>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</si>
  <si>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</si>
  <si>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</si>
  <si>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</si>
  <si>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</si>
  <si>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</si>
  <si>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</si>
  <si>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</si>
  <si>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</si>
  <si>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</si>
  <si>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</si>
  <si>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</si>
  <si>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</si>
  <si>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</si>
  <si>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</si>
  <si>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</si>
  <si>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</si>
  <si>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</si>
  <si>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</si>
  <si>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</si>
  <si>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</si>
  <si>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</si>
  <si>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</si>
  <si>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</si>
  <si>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</si>
  <si>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</si>
  <si>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</si>
  <si>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</si>
  <si>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</si>
  <si>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</si>
  <si>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</si>
  <si>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</si>
  <si>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</si>
  <si>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</si>
  <si>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</si>
  <si>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</si>
  <si>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</si>
  <si>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</si>
  <si>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</si>
  <si>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</si>
  <si>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</si>
  <si>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</si>
  <si>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</si>
  <si>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</si>
  <si>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</si>
  <si>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</si>
  <si>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</si>
  <si>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</si>
  <si>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</si>
  <si>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</si>
  <si>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</si>
  <si>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</si>
  <si>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</si>
  <si>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</si>
  <si>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</si>
  <si>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</si>
  <si>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</si>
  <si>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</si>
  <si>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</si>
  <si>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</si>
  <si>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</si>
  <si>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</si>
  <si>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</si>
  <si>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</si>
  <si>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</si>
  <si>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</si>
  <si>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</si>
  <si>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</si>
  <si>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</si>
  <si>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</si>
  <si>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</si>
  <si>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</si>
  <si>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</si>
  <si>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</si>
  <si>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</si>
  <si>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</si>
  <si>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</si>
  <si>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</si>
  <si>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</si>
  <si>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</si>
  <si>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</si>
  <si>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</si>
  <si>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</si>
  <si>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</si>
  <si>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</si>
  <si>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</si>
  <si>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</si>
  <si>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</si>
  <si>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</si>
  <si>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</si>
  <si>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</si>
  <si>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</si>
  <si>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</si>
  <si>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</si>
  <si>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</si>
  <si>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</si>
  <si>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</si>
  <si>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</si>
  <si>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</si>
  <si>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</si>
  <si>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</si>
  <si>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</si>
  <si>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</si>
  <si>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</si>
  <si>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</si>
  <si>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</si>
  <si>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</si>
  <si>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</si>
  <si>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</si>
  <si>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</si>
  <si>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</si>
  <si>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</si>
  <si>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</si>
  <si>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</si>
  <si>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</si>
  <si>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</si>
  <si>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</si>
  <si>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</si>
  <si>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</si>
  <si>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</si>
  <si>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</si>
  <si>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</si>
  <si>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</si>
  <si>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</si>
  <si>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</si>
  <si>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</si>
  <si>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</si>
  <si>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</si>
  <si>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</si>
  <si>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</si>
  <si>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</si>
  <si>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</si>
  <si>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</si>
  <si>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</si>
  <si>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</si>
  <si>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</si>
  <si>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</si>
  <si>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</si>
  <si>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</si>
  <si>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</si>
  <si>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</si>
  <si>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</si>
  <si>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</si>
  <si>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</si>
  <si>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</si>
  <si>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</si>
  <si>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</si>
  <si>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</si>
  <si>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</si>
  <si>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</si>
  <si>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</si>
  <si>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</si>
  <si>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</si>
  <si>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</si>
  <si>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</si>
  <si>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</si>
  <si>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</si>
  <si>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</si>
  <si>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</si>
  <si>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</si>
  <si>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</si>
  <si>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</si>
  <si>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</si>
  <si>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</si>
  <si>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</si>
  <si>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</si>
  <si>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</si>
  <si>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</si>
  <si>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</si>
  <si>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</si>
  <si>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</si>
  <si>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</si>
  <si>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</si>
  <si>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</si>
  <si>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</si>
  <si>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</si>
  <si>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</si>
  <si>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</si>
  <si>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</si>
  <si>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</si>
  <si>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</si>
  <si>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</si>
  <si>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</si>
  <si>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</si>
  <si>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</si>
  <si>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</si>
  <si>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</si>
  <si>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</si>
  <si>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</si>
  <si>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</si>
  <si>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</si>
  <si>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</si>
  <si>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</si>
  <si>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</si>
  <si>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</si>
  <si>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</si>
  <si>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</si>
  <si>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</si>
  <si>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</si>
  <si>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</si>
  <si>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</si>
  <si>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</si>
  <si>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</si>
  <si>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</si>
  <si>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</si>
  <si>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</si>
  <si>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</si>
  <si>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</si>
  <si>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</si>
  <si>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</si>
  <si>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</si>
  <si>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</si>
  <si>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</si>
  <si>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</si>
  <si>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</si>
  <si>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</si>
  <si>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</si>
  <si>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</si>
  <si>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</si>
  <si>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</si>
  <si>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</si>
  <si>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</si>
  <si>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</si>
  <si>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</si>
  <si>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</si>
  <si>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</si>
  <si>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</si>
  <si>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</si>
  <si>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</si>
  <si>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</si>
  <si>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</si>
  <si>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</si>
  <si>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</si>
  <si>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</si>
  <si>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</si>
  <si>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</si>
  <si>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</si>
  <si>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</si>
  <si>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</si>
  <si>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</si>
  <si>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</si>
  <si>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</si>
  <si>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</si>
  <si>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</si>
  <si>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</si>
  <si>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</si>
  <si>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</si>
  <si>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</si>
  <si>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</si>
  <si>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</si>
  <si>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</si>
  <si>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</si>
  <si>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</si>
  <si>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</si>
  <si>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</si>
  <si>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</si>
  <si>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</si>
  <si>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</si>
  <si>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</si>
  <si>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</si>
  <si>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</si>
  <si>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</si>
  <si>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</si>
  <si>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</si>
  <si>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</si>
  <si>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</si>
  <si>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</si>
  <si>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</si>
  <si>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</si>
  <si>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</si>
  <si>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</si>
  <si>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</si>
  <si>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</si>
  <si>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</si>
  <si>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</si>
  <si>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</si>
  <si>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</si>
  <si>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</si>
  <si>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</si>
  <si>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</si>
  <si>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</si>
  <si>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</si>
  <si>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</si>
  <si>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</si>
  <si>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</si>
  <si>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</si>
  <si>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</si>
  <si>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</si>
  <si>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</si>
  <si>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</si>
  <si>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</si>
  <si>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</si>
  <si>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</si>
  <si>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</si>
  <si>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</si>
  <si>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</si>
  <si>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</si>
  <si>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</si>
  <si>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</si>
  <si>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</si>
  <si>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</si>
  <si>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</si>
  <si>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</si>
  <si>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</si>
  <si>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</si>
  <si>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</si>
  <si>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</si>
  <si>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</si>
  <si>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</si>
  <si>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</si>
  <si>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</si>
  <si>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</si>
  <si>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</si>
  <si>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</si>
  <si>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</si>
  <si>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</si>
  <si>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</si>
  <si>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</si>
  <si>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</si>
  <si>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</si>
  <si>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</si>
  <si>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</si>
  <si>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</si>
  <si>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</si>
  <si>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</si>
  <si>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</si>
  <si>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</si>
  <si>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</si>
  <si>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</si>
  <si>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</si>
  <si>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</si>
  <si>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</si>
  <si>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</si>
  <si>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</si>
  <si>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</si>
  <si>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</si>
  <si>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</si>
  <si>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</si>
  <si>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</si>
  <si>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</si>
  <si>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</si>
  <si>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</si>
  <si>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</si>
  <si>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</si>
  <si>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</si>
  <si>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</si>
  <si>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</si>
  <si>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</si>
  <si>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</si>
  <si>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</si>
  <si>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</si>
  <si>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</si>
  <si>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</si>
  <si>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</si>
  <si>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</si>
  <si>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</si>
  <si>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</si>
  <si>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</si>
  <si>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</si>
  <si>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</si>
  <si>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</si>
  <si>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</si>
  <si>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</si>
  <si>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</si>
  <si>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</si>
  <si>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</si>
  <si>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</si>
  <si>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</si>
  <si>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</si>
  <si>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</si>
  <si>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</si>
  <si>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</si>
  <si>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</si>
  <si>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</si>
  <si>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</si>
  <si>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</si>
  <si>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</si>
  <si>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</si>
  <si>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</si>
  <si>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</si>
  <si>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</si>
  <si>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</si>
  <si>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</si>
  <si>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</si>
  <si>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</si>
  <si>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</si>
  <si>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</si>
  <si>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</si>
  <si>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</si>
  <si>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</si>
  <si>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</si>
  <si>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</si>
  <si>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</si>
  <si>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</si>
  <si>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</si>
  <si>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</si>
  <si>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</si>
  <si>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</si>
  <si>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</si>
  <si>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</si>
  <si>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</si>
  <si>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</si>
  <si>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</si>
  <si>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</si>
  <si>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</si>
  <si>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</si>
  <si>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</si>
  <si>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</si>
  <si>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</si>
  <si>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</si>
  <si>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</si>
  <si>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</si>
  <si>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</si>
  <si>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</si>
  <si>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</si>
  <si>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</si>
  <si>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</si>
  <si>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</si>
  <si>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</si>
  <si>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</si>
  <si>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</si>
  <si>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</si>
  <si>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</si>
  <si>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</si>
  <si>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</si>
  <si>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</si>
  <si>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</si>
  <si>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</si>
  <si>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</si>
  <si>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</si>
  <si>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</si>
  <si>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</si>
  <si>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</si>
  <si>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</si>
  <si>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</si>
  <si>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</si>
  <si>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</si>
  <si>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</si>
  <si>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</si>
  <si>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</si>
  <si>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</si>
  <si>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</si>
  <si>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</si>
  <si>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</si>
  <si>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</si>
  <si>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</si>
  <si>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</si>
  <si>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</si>
  <si>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</si>
  <si>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</si>
  <si>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</si>
  <si>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</si>
  <si>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</si>
  <si>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</si>
  <si>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</si>
  <si>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</si>
  <si>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</si>
  <si>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</si>
  <si>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</si>
  <si>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</si>
  <si>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</si>
  <si>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</si>
  <si>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</si>
  <si>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</si>
  <si>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</si>
  <si>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</si>
  <si>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</si>
  <si>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</si>
  <si>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</si>
  <si>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</si>
  <si>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</si>
  <si>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</si>
  <si>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</si>
  <si>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</si>
  <si>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</si>
  <si>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</si>
  <si>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</si>
  <si>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</si>
  <si>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</si>
  <si>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</si>
  <si>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</si>
  <si>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</si>
  <si>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</si>
  <si>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</si>
  <si>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</si>
  <si>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</si>
  <si>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</si>
  <si>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</si>
  <si>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</si>
  <si>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</si>
  <si>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</si>
  <si>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</si>
  <si>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</si>
  <si>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</si>
  <si>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</si>
  <si>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</si>
  <si>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</si>
  <si>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</si>
  <si>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</si>
  <si>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</si>
  <si>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</si>
  <si>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</si>
  <si>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</si>
  <si>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</si>
  <si>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</si>
  <si>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</si>
  <si>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</si>
  <si>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</si>
  <si>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</si>
  <si>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</si>
  <si>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</si>
  <si>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</si>
  <si>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</si>
  <si>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</si>
  <si>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</si>
  <si>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</si>
  <si>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</si>
  <si>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</si>
  <si>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</si>
  <si>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</si>
  <si>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</si>
  <si>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</si>
  <si>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</si>
  <si>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</si>
  <si>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</si>
  <si>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</si>
  <si>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</si>
  <si>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</si>
  <si>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</si>
  <si>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</si>
  <si>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</si>
  <si>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</si>
  <si>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</si>
  <si>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</si>
  <si>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</si>
  <si>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</si>
  <si>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</si>
  <si>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</si>
  <si>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</si>
  <si>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</si>
  <si>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</si>
  <si>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</si>
  <si>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</si>
  <si>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</si>
  <si>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</si>
  <si>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</si>
  <si>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</si>
  <si>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</si>
  <si>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</si>
  <si>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</si>
  <si>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</si>
  <si>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</si>
  <si>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</si>
  <si>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</si>
  <si>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</si>
  <si>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</si>
  <si>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</si>
  <si>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</si>
  <si>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</si>
  <si>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</si>
  <si>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</si>
  <si>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</si>
  <si>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</si>
  <si>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</si>
  <si>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</si>
  <si>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</si>
  <si>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</si>
  <si>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</si>
  <si>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</si>
  <si>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</si>
  <si>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</si>
  <si>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</si>
  <si>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</si>
  <si>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</si>
  <si>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</si>
  <si>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</si>
  <si>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</si>
  <si>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</si>
  <si>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</si>
  <si>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</si>
  <si>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</si>
  <si>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</si>
  <si>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</si>
  <si>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</si>
  <si>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</si>
  <si>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</si>
  <si>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</si>
  <si>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</si>
  <si>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</si>
  <si>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</si>
  <si>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</si>
  <si>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</si>
  <si>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</si>
  <si>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</si>
  <si>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</si>
  <si>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</si>
  <si>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</si>
  <si>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</si>
  <si>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</si>
  <si>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</si>
  <si>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</si>
  <si>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</si>
  <si>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</si>
  <si>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</si>
  <si>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</si>
  <si>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</si>
  <si>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</si>
  <si>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</si>
  <si>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</si>
  <si>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</si>
  <si>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</si>
  <si>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</si>
  <si>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</si>
  <si>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</si>
  <si>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</si>
  <si>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</si>
  <si>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</si>
  <si>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</si>
  <si>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</si>
  <si>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</si>
  <si>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</si>
  <si>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</si>
  <si>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</si>
  <si>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</si>
  <si>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</si>
  <si>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</si>
  <si>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</si>
  <si>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</si>
  <si>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</si>
  <si>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</si>
  <si>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</si>
  <si>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</si>
  <si>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</si>
  <si>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</si>
  <si>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</si>
  <si>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</si>
  <si>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</si>
  <si>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</si>
  <si>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</si>
  <si>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</si>
  <si>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</si>
  <si>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</si>
  <si>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</si>
  <si>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</si>
  <si>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</si>
  <si>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</si>
  <si>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</si>
  <si>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</si>
  <si>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</si>
  <si>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</si>
  <si>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</si>
  <si>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</si>
  <si>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</si>
  <si>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</si>
  <si>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</si>
  <si>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</si>
  <si>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</si>
  <si>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</si>
  <si>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</si>
  <si>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</si>
  <si>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</si>
  <si>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</si>
  <si>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</si>
  <si>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</si>
  <si>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</si>
  <si>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</si>
  <si>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</si>
  <si>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</si>
  <si>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</si>
  <si>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</si>
  <si>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</si>
  <si>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</si>
  <si>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</si>
  <si>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</si>
  <si>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</si>
  <si>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</si>
  <si>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</si>
  <si>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</si>
  <si>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</si>
  <si>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</si>
  <si>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</si>
  <si>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</si>
  <si>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</si>
  <si>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</si>
  <si>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</si>
  <si>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</si>
  <si>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</si>
  <si>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</si>
  <si>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</si>
  <si>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</si>
  <si>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</si>
  <si>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</si>
  <si>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</si>
  <si>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</si>
  <si>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</si>
  <si>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</si>
  <si>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</si>
  <si>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</si>
  <si>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</si>
  <si>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</si>
  <si>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</si>
  <si>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</si>
  <si>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</si>
  <si>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</si>
  <si>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</si>
  <si>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</si>
  <si>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</si>
  <si>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</si>
  <si>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</si>
  <si>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</si>
  <si>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</si>
  <si>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</si>
  <si>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</si>
  <si>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</si>
  <si>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</si>
  <si>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</si>
  <si>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</si>
  <si>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</si>
  <si>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</si>
  <si>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</si>
  <si>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</si>
  <si>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</si>
  <si>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</si>
  <si>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</si>
  <si>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</si>
  <si>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</si>
  <si>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</si>
  <si>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</si>
  <si>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</si>
  <si>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</si>
  <si>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</si>
  <si>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</si>
  <si>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</si>
  <si>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</si>
  <si>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</si>
  <si>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</si>
  <si>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</si>
  <si>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</si>
  <si>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</si>
  <si>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</si>
  <si>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</si>
  <si>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</si>
  <si>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</si>
  <si>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</si>
  <si>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</si>
  <si>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</si>
  <si>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</si>
  <si>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</si>
  <si>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</si>
  <si>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</si>
  <si>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</si>
  <si>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</si>
  <si>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</si>
  <si>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</si>
  <si>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</si>
  <si>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</si>
  <si>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</si>
  <si>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</si>
  <si>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</si>
  <si>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</si>
  <si>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</si>
  <si>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</si>
  <si>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</si>
  <si>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</si>
  <si>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</si>
  <si>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</si>
  <si>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</si>
  <si>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</si>
  <si>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</si>
  <si>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</si>
  <si>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</si>
  <si>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</si>
  <si>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</si>
  <si>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</si>
  <si>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</si>
  <si>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</si>
  <si>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</si>
  <si>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</si>
  <si>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</si>
  <si>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</si>
  <si>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</si>
  <si>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</si>
  <si>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</si>
  <si>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</si>
  <si>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</si>
  <si>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</si>
  <si>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</si>
  <si>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</si>
  <si>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</si>
  <si>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</si>
  <si>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</si>
  <si>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</si>
  <si>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</si>
  <si>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</si>
  <si>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</si>
  <si>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</si>
  <si>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</si>
  <si>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</si>
  <si>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</si>
  <si>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</si>
  <si>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</si>
  <si>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</si>
  <si>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</si>
  <si>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</si>
  <si>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</si>
  <si>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</si>
  <si>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</si>
  <si>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</si>
  <si>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</si>
  <si>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</si>
  <si>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</si>
  <si>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</si>
  <si>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</si>
  <si>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</si>
  <si>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</si>
  <si>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</si>
  <si>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</si>
  <si>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</si>
  <si>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</si>
  <si>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</si>
  <si>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</si>
  <si>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</si>
  <si>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</si>
  <si>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</si>
  <si>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</si>
  <si>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</si>
  <si>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</si>
  <si>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</si>
  <si>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</si>
  <si>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</si>
  <si>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</si>
  <si>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</si>
  <si>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</si>
  <si>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</si>
  <si>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</si>
  <si>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</si>
  <si>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</si>
  <si>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</si>
  <si>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</si>
  <si>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</si>
  <si>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</si>
  <si>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</si>
  <si>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</si>
  <si>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</si>
  <si>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</si>
  <si>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</si>
  <si>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</si>
  <si>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</si>
  <si>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</si>
  <si>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</si>
  <si>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</si>
  <si>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</si>
  <si>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</si>
  <si>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</si>
  <si>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</si>
  <si>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</si>
  <si>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</si>
  <si>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</si>
  <si>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</si>
  <si>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</si>
  <si>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</si>
  <si>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</si>
  <si>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</si>
  <si>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</si>
  <si>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</si>
  <si>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</si>
  <si>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</si>
  <si>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</si>
  <si>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</si>
  <si>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</si>
  <si>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</si>
  <si>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</si>
  <si>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</si>
  <si>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</si>
  <si>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</si>
  <si>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</si>
  <si>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</si>
  <si>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</si>
  <si>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</si>
  <si>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</si>
  <si>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</si>
  <si>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</si>
  <si>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</si>
  <si>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</si>
  <si>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</si>
  <si>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</si>
  <si>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</si>
  <si>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</si>
  <si>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</si>
  <si>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</si>
  <si>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</si>
  <si>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</si>
  <si>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</si>
  <si>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</si>
  <si>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</si>
  <si>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</si>
  <si>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</si>
  <si>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</si>
  <si>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</si>
  <si>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</si>
  <si>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</si>
  <si>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</si>
  <si>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</si>
  <si>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</si>
  <si>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</si>
  <si>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</si>
  <si>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</si>
  <si>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</si>
  <si>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</si>
  <si>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</si>
  <si>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</si>
  <si>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</si>
  <si>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</si>
  <si>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</si>
  <si>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</si>
  <si>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</si>
  <si>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</si>
  <si>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</si>
  <si>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</si>
  <si>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</si>
  <si>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</si>
  <si>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</si>
  <si>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</si>
  <si>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</si>
  <si>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</si>
  <si>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</si>
  <si>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</si>
  <si>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</si>
  <si>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</si>
  <si>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</si>
  <si>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</si>
  <si>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</si>
  <si>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</si>
  <si>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</si>
  <si>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</si>
  <si>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</si>
  <si>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</si>
  <si>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</si>
  <si>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</si>
  <si>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</si>
  <si>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</si>
  <si>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</si>
  <si>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</si>
  <si>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</si>
  <si>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</si>
  <si>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</si>
  <si>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</si>
  <si>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</si>
  <si>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</si>
  <si>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</si>
  <si>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</si>
  <si>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</si>
  <si>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</si>
  <si>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</si>
  <si>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</si>
  <si>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</si>
  <si>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</si>
  <si>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</si>
  <si>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</si>
  <si>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</si>
  <si>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</si>
  <si>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</si>
  <si>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</si>
  <si>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</si>
  <si>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</si>
  <si>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</si>
  <si>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</si>
  <si>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</si>
  <si>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</si>
  <si>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</si>
  <si>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</si>
  <si>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</si>
  <si>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</si>
  <si>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</si>
  <si>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</si>
  <si>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</si>
  <si>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</si>
  <si>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</si>
  <si>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</si>
  <si>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</si>
  <si>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</si>
  <si>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</si>
  <si>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</si>
  <si>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</si>
  <si>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</si>
  <si>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</si>
  <si>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</si>
  <si>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</si>
  <si>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</si>
  <si>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</si>
  <si>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</si>
  <si>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</si>
  <si>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</si>
  <si>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</si>
  <si>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</si>
  <si>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</si>
  <si>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</si>
  <si>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</si>
  <si>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</si>
  <si>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</si>
  <si>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</si>
  <si>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</si>
  <si>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</si>
  <si>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</si>
  <si>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</si>
  <si>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</si>
  <si>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</si>
  <si>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</si>
  <si>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</si>
  <si>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</si>
  <si>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</si>
  <si>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</si>
  <si>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</si>
  <si>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</si>
  <si>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</si>
  <si>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</si>
  <si>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</si>
  <si>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</si>
  <si>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</si>
  <si>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</si>
  <si>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</si>
  <si>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</si>
  <si>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</si>
  <si>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</si>
  <si>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</si>
  <si>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</si>
  <si>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</si>
  <si>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</si>
  <si>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</si>
  <si>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</si>
  <si>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</si>
  <si>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</si>
  <si>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</si>
  <si>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</si>
  <si>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</si>
  <si>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</si>
  <si>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</si>
  <si>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</si>
  <si>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</si>
  <si>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</si>
  <si>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</si>
  <si>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</si>
  <si>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</si>
  <si>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</si>
  <si>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</si>
  <si>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</si>
  <si>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</si>
  <si>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</si>
  <si>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</si>
  <si>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</si>
  <si>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</si>
  <si>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</si>
  <si>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</si>
  <si>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</si>
  <si>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</si>
  <si>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</si>
  <si>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</si>
  <si>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</si>
  <si>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</si>
  <si>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</si>
  <si>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</si>
  <si>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</si>
  <si>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</si>
  <si>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</si>
  <si>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</si>
  <si>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</si>
  <si>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</si>
  <si>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</si>
  <si>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</si>
  <si>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</si>
  <si>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</si>
  <si>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</si>
  <si>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</si>
  <si>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</si>
  <si>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</si>
  <si>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</si>
  <si>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</si>
  <si>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</si>
  <si>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</si>
  <si>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</si>
  <si>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</si>
  <si>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</si>
  <si>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</si>
  <si>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</si>
  <si>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</si>
  <si>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</si>
  <si>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</si>
  <si>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</si>
  <si>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</si>
  <si>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</si>
  <si>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</si>
  <si>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</si>
  <si>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</si>
  <si>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</si>
  <si>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</si>
  <si>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</si>
  <si>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</si>
  <si>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</si>
  <si>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</si>
  <si>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</si>
  <si>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</si>
  <si>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</si>
  <si>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</si>
  <si>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</si>
  <si>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</si>
  <si>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</si>
  <si>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</si>
  <si>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</si>
  <si>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</si>
  <si>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</si>
  <si>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</si>
  <si>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</si>
  <si>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</si>
  <si>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</si>
  <si>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</si>
  <si>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</si>
  <si>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</si>
  <si>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</si>
  <si>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</si>
  <si>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</si>
  <si>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</si>
  <si>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</si>
  <si>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</si>
  <si>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</si>
  <si>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</si>
  <si>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</si>
  <si>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</si>
  <si>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</si>
  <si>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</si>
  <si>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</si>
  <si>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</si>
  <si>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</si>
  <si>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</si>
  <si>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</si>
  <si>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</si>
  <si>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</si>
  <si>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</si>
  <si>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</si>
  <si>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</si>
  <si>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</si>
  <si>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</si>
  <si>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</si>
  <si>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</si>
  <si>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</si>
  <si>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</si>
  <si>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</si>
  <si>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</si>
  <si>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</si>
  <si>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</si>
  <si>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</si>
  <si>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</si>
  <si>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</si>
  <si>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</si>
  <si>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</si>
  <si>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</si>
  <si>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</si>
  <si>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</si>
  <si>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</si>
  <si>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</si>
  <si>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</si>
  <si>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</si>
  <si>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</si>
  <si>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</si>
  <si>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</si>
  <si>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</si>
  <si>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</si>
  <si>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</si>
  <si>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</si>
  <si>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</si>
  <si>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</si>
  <si>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</si>
  <si>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</si>
  <si>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</si>
  <si>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</si>
  <si>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</si>
  <si>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</si>
  <si>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</si>
  <si>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</si>
  <si>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</si>
  <si>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</si>
  <si>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</si>
  <si>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</si>
  <si>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</si>
  <si>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</si>
  <si>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</si>
  <si>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</si>
  <si>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</si>
  <si>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</si>
  <si>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</si>
  <si>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</si>
  <si>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</si>
  <si>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</si>
  <si>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</si>
  <si>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</si>
  <si>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</si>
  <si>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</si>
  <si>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</si>
  <si>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</si>
  <si>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</si>
  <si>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</si>
  <si>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</si>
  <si>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</si>
  <si>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</si>
  <si>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</si>
  <si>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</si>
  <si>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</si>
  <si>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</si>
  <si>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</si>
  <si>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</si>
  <si>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</si>
  <si>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</si>
  <si>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</si>
  <si>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</si>
  <si>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</si>
  <si>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</si>
  <si>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</si>
  <si>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</si>
  <si>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</si>
  <si>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</si>
  <si>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</si>
  <si>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</si>
  <si>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</si>
  <si>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</si>
  <si>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</si>
  <si>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</si>
  <si>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</si>
  <si>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</si>
  <si>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</si>
  <si>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</si>
  <si>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</si>
  <si>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</si>
  <si>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</si>
  <si>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</si>
  <si>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</si>
  <si>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</si>
  <si>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</si>
  <si>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</si>
  <si>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</si>
  <si>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</si>
  <si>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</si>
  <si>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</si>
  <si>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</si>
  <si>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</si>
  <si>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</si>
  <si>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</si>
  <si>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</si>
  <si>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</si>
  <si>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</si>
  <si>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</si>
  <si>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</si>
  <si>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</si>
  <si>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</si>
  <si>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</si>
  <si>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</si>
  <si>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</si>
  <si>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</si>
  <si>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</si>
  <si>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</si>
  <si>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</si>
  <si>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</si>
  <si>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</si>
  <si>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</si>
  <si>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</si>
  <si>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</si>
  <si>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</si>
  <si>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</si>
  <si>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</si>
  <si>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</si>
  <si>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</si>
  <si>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</si>
  <si>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</si>
  <si>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</si>
  <si>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</si>
  <si>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</si>
  <si>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</si>
  <si>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</si>
  <si>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</si>
  <si>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</si>
  <si>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</si>
  <si>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</si>
  <si>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</si>
  <si>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</si>
  <si>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</si>
  <si>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</si>
  <si>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</si>
  <si>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</si>
  <si>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</si>
  <si>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</si>
  <si>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</si>
  <si>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</si>
  <si>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</si>
  <si>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</si>
  <si>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</si>
  <si>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</si>
  <si>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</si>
  <si>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</si>
  <si>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</si>
  <si>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</si>
  <si>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</si>
  <si>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</si>
  <si>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</si>
  <si>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</si>
  <si>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</si>
  <si>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</si>
  <si>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</si>
  <si>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</si>
  <si>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</si>
  <si>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</si>
  <si>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</si>
  <si>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</si>
  <si>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</si>
  <si>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</si>
  <si>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</si>
  <si>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</si>
  <si>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</si>
  <si>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</si>
  <si>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</si>
  <si>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</si>
  <si>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</si>
  <si>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</si>
  <si>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</si>
  <si>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</si>
  <si>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</si>
  <si>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</si>
  <si>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</si>
  <si>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</si>
  <si>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</si>
  <si>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</si>
  <si>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</si>
  <si>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</si>
  <si>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</si>
  <si>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</si>
  <si>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</si>
  <si>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</si>
  <si>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</si>
  <si>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</si>
  <si>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</si>
  <si>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</si>
  <si>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</si>
  <si>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</si>
  <si>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</si>
  <si>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</si>
  <si>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</si>
  <si>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</si>
  <si>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</si>
  <si>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</si>
  <si>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</si>
  <si>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</si>
  <si>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</si>
  <si>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</si>
  <si>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</si>
  <si>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</si>
  <si>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</si>
  <si>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</si>
  <si>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</si>
  <si>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</si>
  <si>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</si>
  <si>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</si>
  <si>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</si>
  <si>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</si>
  <si>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</si>
  <si>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</si>
  <si>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</si>
  <si>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</si>
  <si>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</si>
  <si>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</si>
  <si>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</si>
  <si>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</si>
  <si>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</si>
  <si>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</si>
  <si>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</si>
  <si>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</si>
  <si>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</si>
  <si>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</si>
  <si>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</si>
  <si>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</si>
  <si>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</si>
  <si>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</si>
  <si>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</si>
  <si>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</si>
  <si>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</si>
  <si>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</si>
  <si>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</si>
  <si>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</si>
  <si>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</si>
  <si>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</si>
  <si>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</si>
  <si>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</si>
  <si>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</si>
  <si>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</si>
  <si>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</si>
  <si>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</si>
  <si>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</si>
  <si>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</si>
  <si>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</si>
  <si>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</si>
  <si>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</si>
  <si>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</si>
  <si>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</si>
  <si>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</si>
  <si>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</si>
  <si>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</si>
  <si>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</si>
  <si>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</si>
  <si>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</si>
  <si>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</si>
  <si>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</si>
  <si>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</si>
  <si>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</si>
  <si>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</si>
  <si>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</si>
  <si>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</si>
  <si>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</si>
  <si>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</si>
  <si>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</si>
  <si>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</si>
  <si>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</si>
  <si>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</si>
  <si>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</si>
  <si>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</si>
  <si>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</si>
  <si>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</si>
  <si>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</si>
  <si>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</si>
  <si>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</si>
  <si>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</si>
  <si>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</si>
  <si>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</si>
  <si>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</si>
  <si>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</si>
  <si>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</si>
  <si>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</si>
  <si>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</si>
  <si>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</si>
  <si>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</si>
  <si>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</si>
  <si>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</si>
  <si>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</si>
  <si>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</si>
  <si>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</si>
  <si>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</si>
  <si>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</si>
  <si>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</si>
  <si>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</si>
  <si>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</si>
  <si>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</si>
  <si>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</si>
  <si>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</si>
  <si>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</si>
  <si>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</si>
  <si>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</si>
  <si>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</si>
  <si>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</si>
  <si>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</si>
  <si>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</si>
  <si>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</si>
  <si>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</si>
  <si>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</si>
  <si>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</si>
  <si>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</si>
  <si>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</si>
  <si>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</si>
  <si>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</si>
  <si>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</si>
  <si>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</si>
  <si>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</si>
  <si>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</si>
  <si>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</si>
  <si>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</si>
  <si>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</si>
  <si>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</si>
  <si>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</si>
  <si>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</si>
  <si>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</si>
  <si>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</si>
  <si>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</si>
  <si>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</si>
  <si>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</si>
  <si>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</si>
  <si>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</si>
  <si>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</si>
  <si>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</si>
  <si>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</si>
  <si>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</si>
  <si>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</si>
  <si>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</si>
  <si>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</si>
  <si>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</si>
  <si>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</si>
  <si>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</si>
  <si>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</si>
  <si>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</si>
  <si>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</si>
  <si>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</si>
  <si>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</si>
  <si>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</si>
  <si>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</si>
  <si>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</si>
  <si>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</si>
  <si>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</si>
  <si>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</si>
  <si>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</si>
  <si>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</si>
  <si>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</si>
  <si>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</si>
  <si>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</si>
  <si>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</si>
  <si>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</si>
  <si>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</si>
  <si>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</si>
  <si>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</si>
  <si>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</si>
  <si>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</si>
  <si>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</si>
  <si>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</si>
  <si>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</si>
  <si>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</si>
  <si>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</si>
  <si>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</si>
  <si>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</si>
  <si>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</si>
  <si>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</si>
  <si>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</si>
  <si>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</si>
  <si>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</si>
  <si>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</si>
  <si>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</si>
  <si>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</si>
  <si>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</si>
  <si>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</si>
  <si>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</si>
  <si>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</si>
  <si>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</si>
  <si>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</si>
  <si>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</si>
  <si>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</si>
  <si>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</si>
  <si>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</si>
  <si>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</si>
  <si>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</si>
  <si>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</si>
  <si>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</si>
  <si>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</si>
  <si>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</si>
  <si>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</si>
  <si>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</si>
  <si>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</si>
  <si>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</si>
  <si>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</si>
  <si>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</si>
  <si>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</si>
  <si>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</si>
  <si>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</si>
  <si>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</si>
  <si>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</si>
  <si>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</si>
  <si>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</si>
  <si>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</si>
  <si>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</si>
  <si>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</si>
  <si>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</si>
  <si>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</si>
  <si>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</si>
  <si>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</si>
  <si>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</si>
  <si>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</si>
  <si>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</si>
  <si>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</si>
  <si>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</si>
  <si>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</si>
  <si>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</si>
  <si>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</si>
  <si>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</si>
  <si>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</si>
  <si>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</si>
  <si>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</si>
  <si>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</si>
  <si>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</si>
  <si>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</si>
  <si>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</si>
  <si>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</si>
  <si>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</si>
  <si>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</si>
  <si>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</si>
  <si>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</si>
  <si>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</si>
  <si>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</si>
  <si>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</si>
  <si>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</si>
  <si>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</si>
  <si>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</si>
  <si>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</si>
  <si>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</si>
  <si>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</si>
  <si>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</si>
  <si>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</si>
  <si>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</si>
  <si>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</si>
  <si>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</si>
  <si>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</si>
  <si>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</si>
  <si>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</si>
  <si>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</si>
  <si>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</si>
  <si>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</si>
  <si>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</si>
  <si>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</si>
  <si>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</si>
  <si>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</si>
  <si>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</si>
  <si>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</si>
  <si>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</si>
  <si>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</si>
  <si>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</si>
  <si>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</si>
  <si>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</si>
  <si>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</si>
  <si>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</si>
  <si>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</si>
  <si>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</si>
  <si>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</si>
  <si>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</si>
  <si>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</si>
  <si>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</si>
  <si>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</si>
  <si>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</si>
  <si>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</si>
  <si>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</si>
  <si>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</si>
  <si>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</si>
  <si>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</si>
  <si>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</si>
  <si>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</si>
  <si>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</si>
  <si>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</si>
  <si>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</si>
  <si>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</si>
  <si>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</si>
  <si>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</si>
  <si>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</si>
  <si>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</si>
  <si>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</si>
  <si>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</si>
  <si>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</si>
  <si>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</si>
  <si>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</si>
  <si>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</si>
  <si>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</si>
  <si>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</si>
  <si>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</si>
  <si>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</si>
  <si>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usd/ton/mi</t>
  </si>
  <si>
    <t>Should be the location of the downloaded FTOT common_data folder.</t>
  </si>
  <si>
    <t>Should be in default currency units per unit of commodity mass and distance (e.g., usd/ton/mi).</t>
  </si>
  <si>
    <t>Should be in default currency units per unit of mass and distance (e.g., usd/ton/mi).</t>
  </si>
  <si>
    <t>Should be in default currency units per unit of mass (e.g., usd/ton).</t>
  </si>
  <si>
    <t>HEFA scenario from FOG in PNW</t>
  </si>
  <si>
    <t>HEFA supply chain in Pacific Northwest with existing refineries</t>
  </si>
  <si>
    <t>Commodities CSV</t>
  </si>
  <si>
    <t>C:\FTOT\scenarios\common_data\networks\FTOT_Public_US_Contiguous_Network_v2026.gdb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</si>
</sst>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11975</xdr:colOff>
      <xdr:row>5</xdr:row>
      <xdr:rowOff>126729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521453</xdr:colOff>
      <xdr:row>22</xdr:row>
      <xdr:rowOff>101308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445770</xdr:colOff>
      <xdr:row>22</xdr:row>
      <xdr:rowOff>103004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87294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674732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393427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331405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127070</xdr:rowOff>
    </xdr:from>
    <xdr:to>
      <xdr:col>3</xdr:col>
      <xdr:colOff>704850</xdr:colOff>
      <xdr:row>64</xdr:row>
      <xdr:rowOff>49391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127070</xdr:rowOff>
    </xdr:from>
    <xdr:to>
      <xdr:col>6</xdr:col>
      <xdr:colOff>330499</xdr:colOff>
      <xdr:row>64</xdr:row>
      <xdr:rowOff>88970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520999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560966</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artItem="33"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Mature-market high"/>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daho"/>
        <filter val="Oregon"/>
        <filter val="Washingto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FOG"/>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filterColumn colId="2">
      <filters>
        <filter val="Montana"/>
        <filter val="Oregon"/>
      </filters>
    </filterColumn>
  </autoFilter>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filterColumn colId="0">
      <filters>
        <filter val="Idaho"/>
        <filter val="Oregon"/>
        <filter val="Washington"/>
      </filters>
    </filterColumn>
  </autoFilter>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Washington"/>
      </filters>
    </filterColumn>
    <filterColumn colId="3">
      <filters>
        <filter val="Larg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316</v>
      </c>
      <c r="B1" s="17"/>
      <c r="C1" s="17"/>
      <c r="D1" s="17"/>
      <c r="E1" s="17"/>
      <c r="F1" s="17"/>
      <c r="G1" s="17"/>
      <c r="H1" s="17"/>
      <c r="I1" s="17"/>
      <c r="J1" s="17"/>
    </row>
    <row r="2" spans="1:10" ht="57" customHeight="1" x14ac:dyDescent="0.3">
      <c r="A2" s="13" t="s">
        <v>215</v>
      </c>
      <c r="B2" s="7"/>
      <c r="C2" s="137"/>
      <c r="D2" s="7"/>
      <c r="E2" s="7"/>
      <c r="F2" s="7"/>
      <c r="G2" s="7"/>
      <c r="H2" s="7"/>
      <c r="I2" s="7"/>
      <c r="J2" s="7"/>
    </row>
    <row r="3" spans="1:10" ht="60" customHeight="1" x14ac:dyDescent="0.3">
      <c r="A3" s="13" t="s">
        <v>1645</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1701</v>
      </c>
      <c r="B5" s="7"/>
      <c r="C5" s="7"/>
      <c r="D5" s="7"/>
      <c r="E5" s="7"/>
      <c r="F5" s="7"/>
      <c r="G5" s="7"/>
      <c r="H5" s="7"/>
      <c r="I5" s="7"/>
      <c r="J5" s="7"/>
    </row>
    <row r="6" spans="1:10" ht="60" customHeight="1" x14ac:dyDescent="0.3">
      <c r="A6" s="14" t="s">
        <v>1634</v>
      </c>
      <c r="B6" s="7"/>
      <c r="C6" s="7"/>
      <c r="D6" s="7"/>
      <c r="E6" s="7"/>
      <c r="F6" s="7"/>
      <c r="G6" s="7"/>
      <c r="H6" s="7"/>
      <c r="I6" s="7"/>
      <c r="J6" s="7"/>
    </row>
    <row r="7" spans="1:10" x14ac:dyDescent="0.3">
      <c r="A7" s="10"/>
      <c r="B7" s="7"/>
      <c r="C7" s="7"/>
      <c r="D7" s="7"/>
      <c r="E7" s="7"/>
      <c r="F7" s="7"/>
      <c r="G7" s="7"/>
      <c r="H7" s="7"/>
      <c r="I7" s="7"/>
      <c r="J7" s="7"/>
    </row>
    <row r="8" spans="1:10" ht="25.8" x14ac:dyDescent="0.5">
      <c r="A8" s="19" t="s">
        <v>1640</v>
      </c>
      <c r="B8" s="7"/>
      <c r="C8" s="7"/>
      <c r="D8" s="7"/>
      <c r="E8" s="7"/>
      <c r="F8" s="7"/>
      <c r="G8" s="7"/>
      <c r="H8" s="7"/>
      <c r="I8" s="7"/>
      <c r="J8" s="7"/>
    </row>
    <row r="9" spans="1:10" ht="21" x14ac:dyDescent="0.4">
      <c r="A9" s="8"/>
      <c r="B9" s="7"/>
      <c r="C9" s="7"/>
      <c r="D9" s="7"/>
      <c r="E9" s="7"/>
      <c r="F9" s="7"/>
      <c r="G9" s="7"/>
      <c r="H9" s="7"/>
      <c r="I9" s="7"/>
      <c r="J9" s="7"/>
    </row>
    <row r="10" spans="1:10" ht="15.6" x14ac:dyDescent="0.3">
      <c r="A10" s="56" t="s">
        <v>195</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1635</v>
      </c>
      <c r="B12" s="7"/>
      <c r="C12" s="7"/>
      <c r="D12" s="7"/>
      <c r="E12" s="7"/>
      <c r="F12" s="7"/>
      <c r="G12" s="7"/>
      <c r="H12" s="7"/>
      <c r="I12" s="7"/>
      <c r="J12" s="7"/>
    </row>
    <row r="13" spans="1:10" ht="62.1" customHeight="1" x14ac:dyDescent="0.3">
      <c r="A13" s="32" t="s">
        <v>2850</v>
      </c>
      <c r="B13" s="7"/>
      <c r="C13" s="7"/>
      <c r="D13" s="7"/>
      <c r="E13" s="7"/>
      <c r="F13" s="7"/>
      <c r="G13" s="7"/>
      <c r="H13" s="7"/>
      <c r="I13" s="7"/>
      <c r="J13" s="7"/>
    </row>
    <row r="14" spans="1:10" ht="48.6" customHeight="1" x14ac:dyDescent="0.3">
      <c r="A14" s="32" t="s">
        <v>1636</v>
      </c>
      <c r="B14" s="7"/>
      <c r="C14" s="7"/>
      <c r="D14" s="7"/>
      <c r="E14" s="7"/>
      <c r="F14" s="7"/>
      <c r="G14" s="7"/>
      <c r="H14" s="7"/>
      <c r="I14" s="7"/>
      <c r="J14" s="7"/>
    </row>
    <row r="15" spans="1:10" ht="30" customHeight="1" x14ac:dyDescent="0.3">
      <c r="A15" s="32" t="s">
        <v>1637</v>
      </c>
      <c r="B15" s="7"/>
      <c r="C15" s="7"/>
      <c r="D15" s="7"/>
      <c r="E15" s="7"/>
      <c r="F15" s="7"/>
      <c r="G15" s="7"/>
      <c r="H15" s="7"/>
      <c r="I15" s="7"/>
      <c r="J15" s="7"/>
    </row>
    <row r="16" spans="1:10" ht="30" customHeight="1" x14ac:dyDescent="0.3">
      <c r="A16" s="32" t="s">
        <v>1638</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2846</v>
      </c>
      <c r="B18" s="7"/>
      <c r="C18" s="7"/>
      <c r="D18" s="7"/>
      <c r="E18" s="7"/>
      <c r="F18" s="7"/>
      <c r="G18" s="7"/>
      <c r="H18" s="7"/>
      <c r="I18" s="7"/>
      <c r="J18" s="7"/>
    </row>
    <row r="19" spans="1:10" ht="39.6" customHeight="1" x14ac:dyDescent="0.3">
      <c r="A19" s="32" t="s">
        <v>1639</v>
      </c>
      <c r="B19" s="7"/>
      <c r="C19" s="7"/>
      <c r="D19" s="7"/>
      <c r="E19" s="7"/>
      <c r="F19" s="7"/>
      <c r="G19" s="7"/>
      <c r="H19" s="7"/>
      <c r="I19" s="7"/>
      <c r="J19" s="7"/>
    </row>
    <row r="20" spans="1:10" ht="39" customHeight="1" x14ac:dyDescent="0.3">
      <c r="A20" s="32" t="s">
        <v>233</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2847</v>
      </c>
      <c r="B22" s="7"/>
      <c r="C22" s="7"/>
      <c r="D22" s="7"/>
      <c r="E22" s="7"/>
      <c r="F22" s="7"/>
      <c r="G22" s="7"/>
      <c r="H22" s="7"/>
      <c r="I22" s="7"/>
      <c r="J22" s="7"/>
    </row>
    <row r="23" spans="1:10" ht="43.2" x14ac:dyDescent="0.3">
      <c r="A23" s="152" t="s">
        <v>2845</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2848</v>
      </c>
      <c r="B25" s="7"/>
      <c r="C25" s="7"/>
      <c r="D25" s="7"/>
      <c r="E25" s="7"/>
      <c r="F25" s="7"/>
      <c r="G25" s="7"/>
      <c r="H25" s="7"/>
      <c r="I25" s="7"/>
      <c r="J25" s="7"/>
    </row>
    <row r="26" spans="1:10" x14ac:dyDescent="0.3">
      <c r="A26" s="10" t="s">
        <v>249</v>
      </c>
      <c r="B26" s="7"/>
      <c r="C26" s="7"/>
      <c r="D26" s="7"/>
      <c r="E26" s="7"/>
      <c r="F26" s="7"/>
      <c r="G26" s="7"/>
      <c r="H26" s="7"/>
      <c r="I26" s="7"/>
      <c r="J26" s="7"/>
    </row>
    <row r="27" spans="1:10" x14ac:dyDescent="0.3">
      <c r="A27" s="10" t="s">
        <v>235</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2849</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1646</v>
      </c>
      <c r="B31" s="7"/>
      <c r="C31" s="7"/>
      <c r="D31" s="7"/>
      <c r="E31" s="7"/>
      <c r="F31" s="7"/>
      <c r="G31" s="7"/>
      <c r="H31" s="7"/>
      <c r="I31" s="7"/>
      <c r="J31" s="7"/>
    </row>
    <row r="32" spans="1:10" x14ac:dyDescent="0.3">
      <c r="A32" s="10" t="s">
        <v>1657</v>
      </c>
      <c r="B32" s="7"/>
      <c r="C32" s="7"/>
      <c r="D32" s="7"/>
      <c r="E32" s="7"/>
      <c r="F32" s="7"/>
      <c r="G32" s="7"/>
      <c r="H32" s="7"/>
      <c r="I32" s="7"/>
      <c r="J32" s="7"/>
    </row>
    <row r="33" spans="1:10" x14ac:dyDescent="0.3">
      <c r="B33" s="7"/>
      <c r="C33" s="7"/>
      <c r="D33" s="7"/>
      <c r="E33" s="7"/>
      <c r="F33" s="7"/>
      <c r="G33" s="7"/>
      <c r="H33" s="7"/>
      <c r="I33" s="7"/>
      <c r="J33" s="7"/>
    </row>
    <row r="34" spans="1:10" x14ac:dyDescent="0.3">
      <c r="A34" s="9" t="s">
        <v>1647</v>
      </c>
      <c r="B34" s="7"/>
      <c r="C34" s="7"/>
      <c r="D34" s="7"/>
      <c r="E34" s="7"/>
      <c r="F34" s="7"/>
      <c r="G34" s="7"/>
      <c r="H34" s="7"/>
      <c r="I34" s="7"/>
      <c r="J34" s="7"/>
    </row>
    <row r="35" spans="1:10" x14ac:dyDescent="0.3">
      <c r="A35" s="138" t="s">
        <v>1648</v>
      </c>
      <c r="B35" s="7"/>
      <c r="C35" s="7"/>
      <c r="D35" s="7"/>
      <c r="E35" s="7"/>
      <c r="F35" s="7"/>
      <c r="G35" s="7"/>
      <c r="H35" s="7"/>
      <c r="I35" s="7"/>
      <c r="J35" s="7"/>
    </row>
    <row r="36" spans="1:10" x14ac:dyDescent="0.3">
      <c r="A36" s="138" t="s">
        <v>1654</v>
      </c>
      <c r="B36" s="7"/>
      <c r="C36" s="7"/>
      <c r="D36" s="7"/>
      <c r="E36" s="7"/>
      <c r="F36" s="7"/>
      <c r="G36" s="7"/>
      <c r="H36" s="7"/>
      <c r="I36" s="7"/>
      <c r="J36" s="7"/>
    </row>
    <row r="37" spans="1:10" x14ac:dyDescent="0.3">
      <c r="A37" s="150" t="s">
        <v>1696</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1649</v>
      </c>
      <c r="B39" s="7"/>
      <c r="C39" s="7"/>
      <c r="D39" s="7"/>
      <c r="E39" s="7"/>
      <c r="F39" s="7"/>
      <c r="G39" s="7"/>
      <c r="H39" s="7"/>
      <c r="I39" s="7"/>
      <c r="J39" s="7"/>
    </row>
    <row r="40" spans="1:10" x14ac:dyDescent="0.3">
      <c r="A40" s="138" t="s">
        <v>1650</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1603</v>
      </c>
      <c r="B42" s="7"/>
      <c r="C42" s="7"/>
      <c r="D42" s="7"/>
      <c r="E42" s="7"/>
      <c r="F42" s="7"/>
      <c r="G42" s="7"/>
      <c r="H42" s="7"/>
      <c r="I42" s="7"/>
      <c r="J42" s="7"/>
    </row>
    <row r="43" spans="1:10" x14ac:dyDescent="0.3">
      <c r="A43" s="138" t="s">
        <v>1651</v>
      </c>
      <c r="B43" s="7"/>
      <c r="C43" s="7"/>
      <c r="D43" s="7"/>
      <c r="E43" s="7"/>
      <c r="F43" s="7"/>
      <c r="G43" s="7"/>
      <c r="H43" s="7"/>
      <c r="I43" s="7"/>
      <c r="J43" s="7"/>
    </row>
    <row r="44" spans="1:10" x14ac:dyDescent="0.3">
      <c r="A44" s="138" t="s">
        <v>1655</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1607</v>
      </c>
      <c r="B46" s="7"/>
      <c r="C46" s="7"/>
      <c r="D46" s="7"/>
      <c r="E46" s="7"/>
      <c r="F46" s="7"/>
      <c r="G46" s="7"/>
      <c r="H46" s="7"/>
      <c r="I46" s="7"/>
      <c r="J46" s="7"/>
    </row>
    <row r="47" spans="1:10" x14ac:dyDescent="0.3">
      <c r="A47" s="138" t="s">
        <v>1652</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1653</v>
      </c>
      <c r="B49" s="7"/>
      <c r="C49" s="7"/>
      <c r="D49" s="7"/>
      <c r="E49" s="7"/>
      <c r="F49" s="7"/>
      <c r="G49" s="7"/>
      <c r="H49" s="7"/>
      <c r="I49" s="7"/>
      <c r="J49" s="7"/>
    </row>
    <row r="50" spans="1:10" x14ac:dyDescent="0.3">
      <c r="A50" s="138" t="s">
        <v>1656</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250</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212</v>
      </c>
      <c r="B54" s="7"/>
      <c r="C54" s="7"/>
      <c r="D54" s="7"/>
      <c r="E54" s="7"/>
      <c r="F54" s="7"/>
      <c r="G54" s="7"/>
      <c r="H54" s="7"/>
      <c r="I54" s="7"/>
      <c r="J54" s="7"/>
    </row>
    <row r="55" spans="1:10" x14ac:dyDescent="0.3">
      <c r="A55" s="15" t="s">
        <v>214</v>
      </c>
      <c r="B55" s="7"/>
      <c r="C55" s="7"/>
      <c r="D55" s="7"/>
      <c r="E55" s="7"/>
      <c r="F55" s="7"/>
      <c r="G55" s="7"/>
      <c r="H55" s="7"/>
      <c r="I55" s="7"/>
      <c r="J55" s="7"/>
    </row>
    <row r="56" spans="1:10" x14ac:dyDescent="0.3">
      <c r="A56" s="15" t="s">
        <v>213</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1585</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1610</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1631</v>
      </c>
      <c r="C4" s="85"/>
      <c r="D4" s="86"/>
      <c r="F4" s="84" t="s">
        <v>1578</v>
      </c>
      <c r="G4" s="85"/>
      <c r="H4" s="86"/>
      <c r="J4" s="84" t="s">
        <v>1579</v>
      </c>
      <c r="K4" s="85"/>
      <c r="L4" s="86"/>
      <c r="N4" s="84" t="s">
        <v>1580</v>
      </c>
      <c r="O4" s="87"/>
      <c r="P4" s="87"/>
      <c r="Q4" s="88"/>
      <c r="S4" s="84" t="s">
        <v>1581</v>
      </c>
      <c r="T4" s="87"/>
      <c r="U4" s="88"/>
      <c r="V4" s="21"/>
      <c r="W4" s="21"/>
      <c r="X4" s="21"/>
      <c r="Y4" s="21"/>
      <c r="Z4" s="7"/>
      <c r="AA4"/>
      <c r="AB4"/>
      <c r="AC4"/>
      <c r="AD4"/>
    </row>
    <row r="5" spans="1:30" x14ac:dyDescent="0.3">
      <c r="A5" s="7"/>
      <c r="B5" s="93" t="s">
        <v>315</v>
      </c>
      <c r="C5" s="7"/>
      <c r="D5" s="7"/>
      <c r="E5" s="7"/>
      <c r="F5" s="93" t="s">
        <v>1702</v>
      </c>
      <c r="G5" s="7"/>
      <c r="H5" s="7"/>
      <c r="I5" s="7"/>
      <c r="J5" s="93" t="s">
        <v>315</v>
      </c>
      <c r="K5" s="7"/>
      <c r="L5" s="7"/>
      <c r="M5" s="7"/>
      <c r="N5" s="93" t="s">
        <v>1702</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1582</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1622</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1</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1661</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1628</v>
      </c>
      <c r="T15" s="7"/>
      <c r="U15" s="7"/>
      <c r="V15" s="7"/>
      <c r="W15" s="7"/>
      <c r="X15" s="7"/>
      <c r="Y15" s="7"/>
      <c r="Z15" s="7"/>
    </row>
    <row r="16" spans="1:30" ht="29.1" customHeight="1" thickBot="1" x14ac:dyDescent="0.35">
      <c r="A16" s="7"/>
      <c r="B16" s="154" t="s">
        <v>1633</v>
      </c>
      <c r="C16" s="154"/>
      <c r="D16" s="154"/>
      <c r="E16" s="7"/>
      <c r="F16" s="7"/>
      <c r="G16" s="7"/>
      <c r="H16" s="7"/>
      <c r="I16" s="7"/>
      <c r="J16" s="7"/>
      <c r="K16" s="7"/>
      <c r="L16" s="7"/>
      <c r="M16" s="7"/>
      <c r="N16" s="7"/>
      <c r="O16" s="7"/>
      <c r="P16" s="7"/>
      <c r="Q16" s="7"/>
      <c r="R16" s="7"/>
      <c r="S16" s="141" t="s">
        <v>1629</v>
      </c>
      <c r="T16" s="7"/>
      <c r="U16" s="7"/>
      <c r="V16" s="7"/>
      <c r="W16" s="7"/>
      <c r="X16" s="7"/>
      <c r="Y16" s="7"/>
      <c r="Z16" s="7"/>
    </row>
    <row r="17" spans="1:26" ht="15" customHeight="1" thickBot="1" x14ac:dyDescent="0.35">
      <c r="A17" s="7"/>
      <c r="B17" s="153" t="s">
        <v>1632</v>
      </c>
      <c r="C17" s="153"/>
      <c r="D17" s="153"/>
      <c r="E17" s="7"/>
      <c r="F17" s="7"/>
      <c r="G17" s="7"/>
      <c r="H17" s="7"/>
      <c r="I17" s="7"/>
      <c r="J17" s="7"/>
      <c r="K17" s="7"/>
      <c r="L17" s="7"/>
      <c r="M17" s="7"/>
      <c r="N17" s="7"/>
      <c r="O17" s="7"/>
      <c r="P17" s="7"/>
      <c r="Q17" s="7"/>
      <c r="R17" s="7"/>
      <c r="S17" s="134">
        <v>500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1600</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1588</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1668</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1630</v>
      </c>
      <c r="C30" s="85"/>
      <c r="D30" s="86"/>
      <c r="F30" s="84" t="s">
        <v>1583</v>
      </c>
      <c r="G30" s="87"/>
      <c r="H30" s="88"/>
      <c r="J30" s="84" t="s">
        <v>1659</v>
      </c>
      <c r="K30" s="87"/>
      <c r="L30" s="87"/>
      <c r="M30" s="87"/>
      <c r="N30" s="87"/>
      <c r="O30" s="88"/>
      <c r="Q30" s="84" t="s">
        <v>1667</v>
      </c>
      <c r="R30" s="139"/>
      <c r="S30" s="139"/>
      <c r="T30" s="140"/>
      <c r="V30" s="21"/>
      <c r="W30" s="21"/>
      <c r="X30" s="21"/>
      <c r="Y30" s="21"/>
      <c r="Z30" s="21"/>
    </row>
    <row r="31" spans="1:26" x14ac:dyDescent="0.3">
      <c r="A31" s="7"/>
      <c r="B31" s="93" t="s">
        <v>315</v>
      </c>
      <c r="C31" s="7"/>
      <c r="D31" s="7"/>
      <c r="E31" s="7"/>
      <c r="F31" s="93" t="s">
        <v>315</v>
      </c>
      <c r="G31" s="7"/>
      <c r="H31" s="7"/>
      <c r="I31" s="7"/>
      <c r="J31" s="7"/>
      <c r="K31" s="7"/>
      <c r="L31" s="7"/>
      <c r="M31" s="7"/>
      <c r="N31" s="7"/>
      <c r="O31" s="7"/>
      <c r="P31" s="7"/>
      <c r="Q31" s="93" t="s">
        <v>1703</v>
      </c>
      <c r="R31" s="93"/>
      <c r="S31" s="7"/>
      <c r="T31" s="7"/>
      <c r="U31" s="7"/>
      <c r="V31" s="7"/>
      <c r="W31" s="7"/>
      <c r="X31" s="7"/>
      <c r="Y31" s="7"/>
      <c r="Z31" s="7"/>
    </row>
    <row r="32" spans="1:26" x14ac:dyDescent="0.3">
      <c r="A32" s="7"/>
      <c r="B32" s="7"/>
      <c r="C32" s="7"/>
      <c r="D32" s="7"/>
      <c r="E32" s="7"/>
      <c r="F32" s="7"/>
      <c r="G32" s="7"/>
      <c r="H32" s="7"/>
      <c r="I32" s="7"/>
      <c r="J32" s="7" t="s">
        <v>1584</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1665</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1666</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1660</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1599</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1590</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1591</v>
      </c>
      <c r="C47" s="89"/>
      <c r="D47" s="89"/>
      <c r="E47" s="89"/>
      <c r="F47" s="89"/>
      <c r="G47" s="89"/>
      <c r="H47" s="89"/>
      <c r="I47" s="89"/>
      <c r="J47" s="89"/>
      <c r="K47" s="90"/>
      <c r="L47" s="21"/>
      <c r="M47" s="84" t="s">
        <v>1594</v>
      </c>
      <c r="N47" s="89"/>
      <c r="O47" s="89"/>
      <c r="P47" s="89"/>
      <c r="Q47" s="85"/>
      <c r="R47" s="90"/>
      <c r="S47" s="7"/>
      <c r="T47" s="84" t="s">
        <v>1601</v>
      </c>
      <c r="U47" s="90"/>
      <c r="V47" s="7"/>
      <c r="W47" s="7"/>
      <c r="X47" s="7"/>
      <c r="Y47" s="7"/>
      <c r="Z47" s="7"/>
    </row>
    <row r="48" spans="1:26" x14ac:dyDescent="0.3">
      <c r="A48" s="7"/>
      <c r="B48" s="93" t="s">
        <v>1702</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1595</v>
      </c>
      <c r="N49" s="7"/>
      <c r="O49" s="7"/>
      <c r="P49" s="7"/>
      <c r="Q49" s="7"/>
      <c r="R49" s="7"/>
      <c r="S49" s="7"/>
      <c r="T49" s="7" t="s">
        <v>1597</v>
      </c>
      <c r="U49" s="7"/>
      <c r="V49" s="7"/>
      <c r="W49" s="7"/>
      <c r="X49" s="7"/>
      <c r="Y49" s="7"/>
      <c r="Z49" s="7"/>
    </row>
    <row r="50" spans="1:26" x14ac:dyDescent="0.3">
      <c r="A50" s="7"/>
      <c r="B50" s="7"/>
      <c r="C50" s="7"/>
      <c r="D50" s="7"/>
      <c r="E50" s="7"/>
      <c r="F50" s="7"/>
      <c r="G50" s="7"/>
      <c r="H50" s="7"/>
      <c r="I50" s="7"/>
      <c r="J50" s="7"/>
      <c r="K50" s="7"/>
      <c r="L50" s="7"/>
      <c r="M50" s="7" t="s">
        <v>1623</v>
      </c>
      <c r="N50" s="7"/>
      <c r="O50" s="7"/>
      <c r="P50" s="7"/>
      <c r="Q50" s="7"/>
      <c r="R50" s="7"/>
      <c r="S50" s="7"/>
      <c r="T50" s="7" t="s">
        <v>1624</v>
      </c>
      <c r="U50" s="7"/>
      <c r="V50" s="7"/>
      <c r="W50" s="7"/>
      <c r="X50" s="7"/>
      <c r="Y50" s="7"/>
      <c r="Z50" s="7"/>
    </row>
    <row r="51" spans="1:26" ht="15" thickBot="1" x14ac:dyDescent="0.35">
      <c r="A51" s="7"/>
      <c r="B51" s="7"/>
      <c r="C51" s="7"/>
      <c r="D51" s="7"/>
      <c r="E51" s="7"/>
      <c r="F51" s="7"/>
      <c r="G51" s="7"/>
      <c r="H51" s="7"/>
      <c r="I51" s="7"/>
      <c r="J51" s="7"/>
      <c r="K51" s="7"/>
      <c r="L51" s="7"/>
      <c r="M51" s="7" t="s">
        <v>1593</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1669</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44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1598</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1589</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1626</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1586</v>
      </c>
      <c r="C69" s="89"/>
      <c r="D69" s="89"/>
      <c r="E69" s="89"/>
      <c r="F69" s="89"/>
      <c r="G69" s="89"/>
      <c r="H69" s="89"/>
      <c r="I69" s="89"/>
      <c r="J69" s="89"/>
      <c r="K69" s="89"/>
      <c r="L69" s="89"/>
      <c r="M69" s="89"/>
      <c r="N69" s="90"/>
      <c r="O69" s="21"/>
      <c r="P69" s="84" t="s">
        <v>1592</v>
      </c>
      <c r="Q69" s="89"/>
      <c r="R69" s="89"/>
      <c r="S69" s="89"/>
      <c r="T69" s="90"/>
      <c r="U69" s="21"/>
      <c r="V69" s="21"/>
      <c r="W69" s="21"/>
      <c r="X69" s="21"/>
      <c r="Y69" s="21"/>
      <c r="Z69" s="21"/>
    </row>
    <row r="70" spans="1:26" x14ac:dyDescent="0.3">
      <c r="A70" s="7"/>
      <c r="B70" s="93" t="s">
        <v>1702</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1596</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1625</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1627</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1593</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1670</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1602</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7"/>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196</v>
      </c>
      <c r="B1" s="10"/>
      <c r="C1" s="7"/>
      <c r="D1" s="36"/>
      <c r="E1" s="7"/>
      <c r="F1" s="7"/>
      <c r="G1" s="7"/>
      <c r="H1" s="7"/>
      <c r="I1" s="7"/>
      <c r="J1" s="7"/>
      <c r="K1" s="7"/>
      <c r="L1" s="7"/>
      <c r="M1" s="7"/>
      <c r="N1" s="7"/>
    </row>
    <row r="2" spans="1:14" ht="27" customHeight="1" x14ac:dyDescent="0.3">
      <c r="A2" s="155" t="s">
        <v>1641</v>
      </c>
      <c r="B2" s="155"/>
      <c r="C2" s="155"/>
      <c r="D2" s="155"/>
      <c r="E2" s="155"/>
      <c r="F2" s="155"/>
      <c r="G2" s="7"/>
      <c r="H2" s="7"/>
      <c r="I2" s="7"/>
      <c r="J2" s="7"/>
      <c r="K2" s="40"/>
      <c r="L2" s="7"/>
      <c r="M2" s="7"/>
      <c r="N2" s="7"/>
    </row>
    <row r="3" spans="1:14" s="30" customFormat="1" ht="33" customHeight="1" x14ac:dyDescent="0.3">
      <c r="A3" s="155" t="s">
        <v>231</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217</v>
      </c>
      <c r="C7" s="26"/>
      <c r="D7" s="37"/>
      <c r="E7" s="21"/>
      <c r="F7" s="7"/>
      <c r="G7" s="7"/>
      <c r="H7" s="7"/>
      <c r="I7" s="7"/>
      <c r="J7" s="7"/>
      <c r="K7" s="7"/>
      <c r="L7" s="7"/>
      <c r="M7" s="7"/>
      <c r="N7" s="7"/>
    </row>
    <row r="8" spans="1:14" ht="20.100000000000001" customHeight="1" x14ac:dyDescent="0.3">
      <c r="A8" s="22" t="s">
        <v>0</v>
      </c>
      <c r="B8" s="44" t="s">
        <v>2856</v>
      </c>
      <c r="C8" s="41"/>
      <c r="D8" s="37"/>
      <c r="E8" s="21"/>
      <c r="F8" s="7"/>
      <c r="G8" s="7"/>
      <c r="H8" s="7"/>
      <c r="I8" s="7"/>
      <c r="J8" s="7"/>
      <c r="K8" s="7"/>
      <c r="L8" s="7"/>
      <c r="M8" s="7"/>
      <c r="N8" s="7"/>
    </row>
    <row r="9" spans="1:14" ht="20.100000000000001" customHeight="1" x14ac:dyDescent="0.3">
      <c r="A9" s="22" t="s">
        <v>1</v>
      </c>
      <c r="B9" s="44" t="s">
        <v>2857</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216</v>
      </c>
      <c r="C11" s="21"/>
      <c r="D11" s="37"/>
      <c r="E11" s="21"/>
      <c r="F11" s="7"/>
      <c r="G11" s="7"/>
      <c r="H11" s="7"/>
      <c r="I11" s="7"/>
      <c r="J11" s="7"/>
      <c r="K11" s="7"/>
      <c r="L11" s="7"/>
      <c r="M11" s="7"/>
      <c r="N11" s="7"/>
    </row>
    <row r="12" spans="1:14" ht="20.100000000000001" customHeight="1" x14ac:dyDescent="0.3">
      <c r="A12" s="22" t="s">
        <v>197</v>
      </c>
      <c r="B12" s="44" t="s">
        <v>14</v>
      </c>
      <c r="C12" s="21"/>
      <c r="D12" s="37"/>
      <c r="E12" s="21"/>
      <c r="F12" s="7"/>
      <c r="G12" s="7"/>
      <c r="H12" s="7"/>
      <c r="I12" s="7"/>
      <c r="J12" s="7"/>
      <c r="K12" s="7"/>
      <c r="L12" s="7"/>
      <c r="M12" s="7"/>
      <c r="N12" s="7"/>
    </row>
    <row r="13" spans="1:14" ht="20.100000000000001" customHeight="1" x14ac:dyDescent="0.3">
      <c r="A13" s="22" t="s">
        <v>198</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1617</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218</v>
      </c>
      <c r="C17" s="28"/>
      <c r="D17" s="37"/>
      <c r="E17" s="21"/>
      <c r="G17" s="7"/>
      <c r="H17" s="7"/>
      <c r="I17" s="7"/>
      <c r="J17" s="7"/>
      <c r="K17" s="7"/>
      <c r="L17" s="7"/>
      <c r="M17" s="7"/>
      <c r="N17" s="7"/>
    </row>
    <row r="18" spans="1:14" ht="20.100000000000001" customHeight="1" x14ac:dyDescent="0.3">
      <c r="A18" s="22" t="s">
        <v>205</v>
      </c>
      <c r="B18" s="147" t="s">
        <v>100</v>
      </c>
      <c r="C18" s="78" t="s">
        <v>320</v>
      </c>
      <c r="D18" s="37"/>
      <c r="E18" s="21"/>
      <c r="F18" s="7"/>
      <c r="G18" s="7"/>
      <c r="H18" s="7"/>
      <c r="I18" s="7"/>
      <c r="J18" s="7"/>
      <c r="K18" s="7"/>
      <c r="L18" s="7"/>
      <c r="M18" s="7"/>
      <c r="N18" s="7"/>
    </row>
    <row r="19" spans="1:14" ht="20.100000000000001" customHeight="1" x14ac:dyDescent="0.3">
      <c r="A19" s="22" t="s">
        <v>211</v>
      </c>
      <c r="B19" s="147" t="s">
        <v>100</v>
      </c>
      <c r="C19" s="78" t="s">
        <v>320</v>
      </c>
      <c r="D19" s="37"/>
      <c r="E19" s="21"/>
      <c r="F19" s="7"/>
      <c r="G19" s="7"/>
      <c r="H19" s="7"/>
      <c r="I19" s="7"/>
      <c r="J19" s="7"/>
      <c r="K19" s="7"/>
      <c r="L19" s="7"/>
      <c r="M19" s="7"/>
      <c r="N19" s="7"/>
    </row>
    <row r="20" spans="1:14" ht="20.100000000000001" customHeight="1" x14ac:dyDescent="0.3">
      <c r="A20" s="22" t="s">
        <v>207</v>
      </c>
      <c r="B20" s="147" t="s">
        <v>100</v>
      </c>
      <c r="C20" s="78" t="s">
        <v>320</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224</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1620</v>
      </c>
      <c r="D26" s="37"/>
      <c r="E26" s="21"/>
      <c r="F26" s="7"/>
      <c r="G26" s="7"/>
      <c r="H26" s="7"/>
      <c r="I26" s="7"/>
      <c r="J26" s="7"/>
      <c r="K26" s="7"/>
      <c r="L26" s="7"/>
      <c r="M26" s="7"/>
      <c r="N26" s="7"/>
    </row>
    <row r="27" spans="1:14" ht="20.100000000000001" customHeight="1" x14ac:dyDescent="0.3">
      <c r="A27" s="22" t="s">
        <v>234</v>
      </c>
      <c r="B27" s="44" t="b">
        <v>1</v>
      </c>
      <c r="C27" s="78" t="s">
        <v>1621</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226</v>
      </c>
      <c r="B31" s="34" t="s">
        <v>218</v>
      </c>
      <c r="C31" s="26"/>
      <c r="D31" s="28"/>
      <c r="E31" s="21"/>
      <c r="F31" s="7"/>
      <c r="G31" s="7"/>
      <c r="H31" s="7"/>
      <c r="I31" s="7"/>
      <c r="J31" s="7"/>
      <c r="K31" s="7"/>
      <c r="L31" s="7"/>
      <c r="M31" s="7"/>
      <c r="N31" s="7"/>
    </row>
    <row r="32" spans="1:14" ht="20.100000000000001" customHeight="1" x14ac:dyDescent="0.3">
      <c r="A32" s="22" t="s">
        <v>2</v>
      </c>
      <c r="B32" s="44" t="s">
        <v>208</v>
      </c>
      <c r="C32" s="29" t="s">
        <v>2852</v>
      </c>
      <c r="D32" s="39"/>
      <c r="E32" s="21"/>
      <c r="F32" s="7"/>
      <c r="G32" s="7"/>
      <c r="H32" s="7"/>
      <c r="I32" s="7"/>
      <c r="J32" s="7"/>
      <c r="K32" s="7"/>
      <c r="L32" s="7"/>
      <c r="M32" s="7"/>
      <c r="N32" s="7"/>
    </row>
    <row r="33" spans="1:14" ht="43.2" x14ac:dyDescent="0.3">
      <c r="A33" s="22" t="s">
        <v>3</v>
      </c>
      <c r="B33" s="44" t="s">
        <v>2859</v>
      </c>
      <c r="C33" s="29"/>
      <c r="D33" s="39"/>
      <c r="E33" s="21"/>
      <c r="F33" s="7"/>
      <c r="G33" s="7"/>
      <c r="H33" s="7"/>
      <c r="I33" s="7"/>
      <c r="J33" s="7"/>
      <c r="K33" s="7"/>
      <c r="L33" s="7"/>
      <c r="M33" s="7"/>
      <c r="N33" s="7"/>
    </row>
    <row r="34" spans="1:14" s="4" customFormat="1" ht="28.8" x14ac:dyDescent="0.3">
      <c r="A34" s="31" t="s">
        <v>82</v>
      </c>
      <c r="B34" s="44" t="s">
        <v>101</v>
      </c>
      <c r="C34" s="29" t="s">
        <v>227</v>
      </c>
      <c r="D34" s="39"/>
      <c r="E34" s="32"/>
      <c r="F34" s="10"/>
      <c r="G34" s="10"/>
      <c r="H34" s="10"/>
      <c r="I34" s="10"/>
      <c r="J34" s="10"/>
      <c r="K34" s="10"/>
      <c r="L34" s="10"/>
      <c r="M34" s="10"/>
      <c r="N34" s="10"/>
    </row>
    <row r="35" spans="1:14" ht="20.100000000000001" customHeight="1" x14ac:dyDescent="0.3">
      <c r="A35" s="22" t="s">
        <v>2858</v>
      </c>
      <c r="B35" s="147" t="s">
        <v>100</v>
      </c>
      <c r="C35" s="78" t="s">
        <v>320</v>
      </c>
      <c r="D35" s="39"/>
      <c r="E35" s="21"/>
      <c r="F35" s="7"/>
      <c r="G35" s="7"/>
      <c r="H35" s="7"/>
      <c r="I35" s="7"/>
      <c r="J35" s="7"/>
      <c r="K35" s="7"/>
      <c r="L35" s="7"/>
      <c r="M35" s="7"/>
      <c r="N35" s="7"/>
    </row>
    <row r="36" spans="1:14" ht="20.100000000000001" customHeight="1" x14ac:dyDescent="0.3">
      <c r="A36" s="22" t="s">
        <v>37</v>
      </c>
      <c r="B36" s="44" t="s">
        <v>100</v>
      </c>
      <c r="C36" s="29" t="s">
        <v>227</v>
      </c>
      <c r="D36" s="39"/>
      <c r="E36" s="21"/>
      <c r="F36" s="7"/>
      <c r="G36" s="7"/>
      <c r="H36" s="7"/>
      <c r="I36" s="7"/>
      <c r="J36" s="7"/>
      <c r="K36" s="7"/>
      <c r="L36" s="7"/>
      <c r="M36" s="7"/>
      <c r="N36" s="7"/>
    </row>
    <row r="37" spans="1:14" ht="20.100000000000001" customHeight="1" x14ac:dyDescent="0.3">
      <c r="A37" s="22" t="s">
        <v>38</v>
      </c>
      <c r="B37" s="44" t="s">
        <v>100</v>
      </c>
      <c r="C37" s="29" t="s">
        <v>227</v>
      </c>
      <c r="D37" s="39"/>
      <c r="E37" s="21"/>
      <c r="F37" s="7"/>
      <c r="G37" s="7"/>
      <c r="H37" s="7"/>
      <c r="I37" s="7"/>
      <c r="J37" s="7"/>
      <c r="K37" s="7"/>
      <c r="L37" s="7"/>
      <c r="M37" s="7"/>
      <c r="N37" s="7"/>
    </row>
    <row r="38" spans="1:14" ht="19.95" customHeight="1" x14ac:dyDescent="0.3">
      <c r="A38" s="22" t="s">
        <v>69</v>
      </c>
      <c r="B38" s="44" t="s">
        <v>100</v>
      </c>
      <c r="C38" s="29" t="s">
        <v>227</v>
      </c>
      <c r="D38" s="39"/>
      <c r="E38" s="21"/>
      <c r="F38" s="7"/>
      <c r="G38" s="7"/>
      <c r="H38" s="7"/>
      <c r="I38" s="7"/>
      <c r="J38" s="7"/>
      <c r="K38" s="7"/>
      <c r="L38" s="7"/>
      <c r="M38" s="7"/>
      <c r="N38" s="7"/>
    </row>
    <row r="39" spans="1:14" ht="19.95" customHeight="1" x14ac:dyDescent="0.3">
      <c r="A39" s="22" t="s">
        <v>1715</v>
      </c>
      <c r="B39" s="44" t="s">
        <v>100</v>
      </c>
      <c r="C39" s="29" t="s">
        <v>227</v>
      </c>
      <c r="D39" s="39"/>
      <c r="E39" s="21"/>
      <c r="F39" s="7"/>
      <c r="G39" s="7"/>
      <c r="H39" s="7"/>
      <c r="I39" s="7"/>
      <c r="J39" s="7"/>
      <c r="K39" s="7"/>
      <c r="L39" s="7"/>
      <c r="M39" s="7"/>
      <c r="N39" s="7"/>
    </row>
    <row r="40" spans="1:14" ht="20.100000000000001" customHeight="1" x14ac:dyDescent="0.3">
      <c r="A40" s="21"/>
      <c r="B40" s="32"/>
      <c r="C40" s="21"/>
      <c r="D40" s="28"/>
      <c r="E40" s="21"/>
      <c r="F40" s="7"/>
      <c r="G40" s="7"/>
      <c r="H40" s="7"/>
      <c r="I40" s="7"/>
      <c r="J40" s="7"/>
      <c r="K40" s="7"/>
      <c r="L40" s="7"/>
      <c r="M40" s="7"/>
      <c r="N40" s="7"/>
    </row>
    <row r="41" spans="1:14" ht="20.100000000000001" customHeight="1" x14ac:dyDescent="0.3">
      <c r="A41" s="23" t="s">
        <v>9</v>
      </c>
      <c r="B41" s="34" t="s">
        <v>219</v>
      </c>
      <c r="C41" s="27" t="s">
        <v>220</v>
      </c>
      <c r="D41" s="28"/>
      <c r="E41" s="21"/>
      <c r="F41" s="7"/>
      <c r="G41" s="7"/>
      <c r="H41" s="7"/>
      <c r="I41" s="7"/>
      <c r="J41" s="7"/>
      <c r="K41" s="7"/>
      <c r="L41" s="7"/>
      <c r="M41" s="7"/>
      <c r="N41" s="7"/>
    </row>
    <row r="42" spans="1:14" ht="20.100000000000001" customHeight="1" x14ac:dyDescent="0.3">
      <c r="A42" s="22" t="s">
        <v>1705</v>
      </c>
      <c r="B42" s="45">
        <v>0.27</v>
      </c>
      <c r="C42" s="46" t="s">
        <v>2851</v>
      </c>
      <c r="D42" s="29" t="s">
        <v>2853</v>
      </c>
      <c r="E42" s="21"/>
      <c r="F42" s="7"/>
      <c r="G42" s="7"/>
      <c r="H42" s="7"/>
      <c r="I42" s="7"/>
      <c r="J42" s="7"/>
      <c r="K42" s="7"/>
      <c r="L42" s="7"/>
      <c r="M42" s="7"/>
      <c r="N42" s="7"/>
    </row>
    <row r="43" spans="1:14" ht="20.100000000000001" customHeight="1" x14ac:dyDescent="0.3">
      <c r="A43" s="22" t="s">
        <v>1706</v>
      </c>
      <c r="B43" s="45">
        <v>5.1999999999999998E-2</v>
      </c>
      <c r="C43" s="46" t="s">
        <v>2851</v>
      </c>
      <c r="D43" s="29" t="s">
        <v>2853</v>
      </c>
      <c r="E43" s="21"/>
      <c r="F43" s="7"/>
      <c r="G43" s="7"/>
      <c r="H43" s="7"/>
      <c r="I43" s="7"/>
      <c r="J43" s="7"/>
      <c r="K43" s="7"/>
      <c r="L43" s="7"/>
      <c r="M43" s="7"/>
      <c r="N43" s="7"/>
    </row>
    <row r="44" spans="1:14" ht="20.100000000000001" customHeight="1" x14ac:dyDescent="0.3">
      <c r="A44" s="22" t="s">
        <v>1707</v>
      </c>
      <c r="B44" s="45">
        <v>3.7999999999999999E-2</v>
      </c>
      <c r="C44" s="46" t="s">
        <v>2851</v>
      </c>
      <c r="D44" s="29" t="s">
        <v>2853</v>
      </c>
      <c r="E44" s="21"/>
      <c r="F44" s="7"/>
      <c r="G44" s="7"/>
      <c r="H44" s="7"/>
      <c r="I44" s="7"/>
      <c r="J44" s="7"/>
      <c r="K44" s="7"/>
      <c r="L44" s="7"/>
      <c r="M44" s="7"/>
      <c r="N44" s="7"/>
    </row>
    <row r="45" spans="1:14" ht="20.100000000000001" customHeight="1" x14ac:dyDescent="0.3">
      <c r="A45" s="22" t="s">
        <v>1708</v>
      </c>
      <c r="B45" s="45">
        <v>0.27</v>
      </c>
      <c r="C45" s="46" t="s">
        <v>2851</v>
      </c>
      <c r="D45" s="29" t="s">
        <v>2854</v>
      </c>
      <c r="E45" s="21"/>
      <c r="F45" s="7"/>
      <c r="G45" s="7"/>
      <c r="H45" s="7"/>
      <c r="I45" s="7"/>
      <c r="J45" s="7"/>
      <c r="K45" s="7"/>
      <c r="L45" s="7"/>
      <c r="M45" s="7"/>
      <c r="N45" s="7"/>
    </row>
    <row r="46" spans="1:14" ht="20.100000000000001" customHeight="1" x14ac:dyDescent="0.3">
      <c r="A46" s="22" t="s">
        <v>1709</v>
      </c>
      <c r="B46" s="45">
        <v>13.91</v>
      </c>
      <c r="C46" s="46" t="s">
        <v>204</v>
      </c>
      <c r="D46" s="29" t="s">
        <v>2855</v>
      </c>
      <c r="E46" s="21"/>
      <c r="F46" s="7"/>
      <c r="G46" s="7"/>
      <c r="H46" s="7"/>
      <c r="I46" s="7"/>
      <c r="J46" s="7"/>
      <c r="K46" s="7"/>
      <c r="L46" s="7"/>
      <c r="M46" s="7"/>
      <c r="N46" s="7"/>
    </row>
    <row r="47" spans="1:14" ht="20.100000000000001" customHeight="1" x14ac:dyDescent="0.3">
      <c r="A47" s="21"/>
      <c r="B47" s="32"/>
      <c r="C47" s="21"/>
      <c r="D47" s="37"/>
      <c r="E47" s="21"/>
      <c r="F47" s="7"/>
      <c r="G47" s="7"/>
      <c r="H47" s="7"/>
      <c r="I47" s="7"/>
      <c r="J47" s="7"/>
      <c r="K47" s="7"/>
      <c r="L47" s="7"/>
      <c r="M47" s="7"/>
      <c r="N47" s="7"/>
    </row>
    <row r="48" spans="1:14" ht="28.8" x14ac:dyDescent="0.3">
      <c r="A48" s="23" t="s">
        <v>1720</v>
      </c>
      <c r="B48" s="34" t="s">
        <v>225</v>
      </c>
      <c r="C48" s="42" t="s">
        <v>247</v>
      </c>
      <c r="D48" s="37"/>
      <c r="E48" s="21"/>
      <c r="F48" s="7"/>
      <c r="G48" s="7"/>
      <c r="H48" s="7"/>
      <c r="I48" s="7"/>
      <c r="J48" s="7"/>
      <c r="K48" s="7"/>
      <c r="L48" s="7"/>
      <c r="M48" s="7"/>
      <c r="N48" s="7"/>
    </row>
    <row r="49" spans="1:14" ht="20.100000000000001" customHeight="1" x14ac:dyDescent="0.3">
      <c r="A49" s="22" t="s">
        <v>10</v>
      </c>
      <c r="B49" s="45">
        <v>26</v>
      </c>
      <c r="C49" s="46" t="s">
        <v>14</v>
      </c>
      <c r="D49" s="37"/>
      <c r="E49" s="21"/>
      <c r="F49" s="7"/>
      <c r="G49" s="7"/>
      <c r="H49" s="7"/>
      <c r="I49" s="7"/>
      <c r="J49" s="7"/>
      <c r="K49" s="7"/>
      <c r="L49" s="7"/>
      <c r="M49" s="7"/>
      <c r="N49" s="7"/>
    </row>
    <row r="50" spans="1:14" ht="20.100000000000001" customHeight="1" x14ac:dyDescent="0.3">
      <c r="A50" s="22" t="s">
        <v>11</v>
      </c>
      <c r="B50" s="45">
        <v>8</v>
      </c>
      <c r="C50" s="46" t="s">
        <v>43</v>
      </c>
      <c r="D50" s="37"/>
      <c r="E50" s="21"/>
      <c r="F50" s="7"/>
      <c r="G50" s="7"/>
      <c r="H50" s="7"/>
      <c r="I50" s="7"/>
      <c r="J50" s="7"/>
      <c r="K50" s="7"/>
      <c r="L50" s="7"/>
      <c r="M50" s="7"/>
      <c r="N50" s="7"/>
    </row>
    <row r="51" spans="1:14" ht="20.100000000000001" customHeight="1" x14ac:dyDescent="0.3">
      <c r="A51" s="22" t="s">
        <v>59</v>
      </c>
      <c r="B51" s="45">
        <v>195.2</v>
      </c>
      <c r="C51" s="46" t="s">
        <v>1710</v>
      </c>
      <c r="D51" s="29" t="s">
        <v>1711</v>
      </c>
      <c r="E51" s="21"/>
      <c r="F51" s="7"/>
      <c r="G51" s="7"/>
      <c r="H51" s="7"/>
      <c r="I51" s="7"/>
      <c r="J51" s="7"/>
      <c r="K51" s="7"/>
      <c r="L51" s="7"/>
      <c r="M51" s="7"/>
      <c r="N51" s="7"/>
    </row>
    <row r="52" spans="1:14" ht="20.100000000000001" customHeight="1" x14ac:dyDescent="0.3">
      <c r="A52" s="22" t="s">
        <v>53</v>
      </c>
      <c r="B52" s="45">
        <v>100</v>
      </c>
      <c r="C52" s="46" t="s">
        <v>14</v>
      </c>
      <c r="D52" s="37"/>
      <c r="E52" s="21"/>
      <c r="F52" s="7"/>
      <c r="G52" s="7"/>
      <c r="H52" s="7"/>
      <c r="I52" s="7"/>
      <c r="J52" s="7"/>
      <c r="K52" s="7"/>
      <c r="L52" s="7"/>
      <c r="M52" s="7"/>
      <c r="N52" s="7"/>
    </row>
    <row r="53" spans="1:14" ht="20.100000000000001" customHeight="1" x14ac:dyDescent="0.3">
      <c r="A53" s="22" t="s">
        <v>54</v>
      </c>
      <c r="B53" s="45">
        <v>30</v>
      </c>
      <c r="C53" s="46" t="s">
        <v>43</v>
      </c>
      <c r="D53" s="37"/>
      <c r="E53" s="21"/>
      <c r="F53" s="7"/>
      <c r="G53" s="7"/>
      <c r="H53" s="7"/>
      <c r="I53" s="7"/>
      <c r="J53" s="7"/>
      <c r="K53" s="7"/>
      <c r="L53" s="7"/>
      <c r="M53" s="7"/>
      <c r="N53" s="7"/>
    </row>
    <row r="54" spans="1:14" ht="20.100000000000001" customHeight="1" x14ac:dyDescent="0.3">
      <c r="A54" s="22" t="s">
        <v>1712</v>
      </c>
      <c r="B54" s="45">
        <v>471</v>
      </c>
      <c r="C54" s="46" t="s">
        <v>1710</v>
      </c>
      <c r="D54" s="29" t="s">
        <v>1711</v>
      </c>
      <c r="E54" s="21"/>
      <c r="F54" s="7"/>
      <c r="G54" s="7"/>
      <c r="H54" s="7"/>
      <c r="I54" s="7"/>
      <c r="J54" s="7"/>
      <c r="K54" s="7"/>
      <c r="L54" s="7"/>
      <c r="M54" s="7"/>
      <c r="N54" s="7"/>
    </row>
    <row r="55" spans="1:14" ht="20.100000000000001" customHeight="1" x14ac:dyDescent="0.3">
      <c r="A55" s="22" t="s">
        <v>55</v>
      </c>
      <c r="B55" s="45">
        <v>1500</v>
      </c>
      <c r="C55" s="46" t="s">
        <v>14</v>
      </c>
      <c r="D55" s="37"/>
      <c r="E55" s="21"/>
      <c r="F55" s="7"/>
      <c r="G55" s="7"/>
      <c r="H55" s="7"/>
      <c r="I55" s="7"/>
      <c r="J55" s="7"/>
      <c r="K55" s="7"/>
      <c r="L55" s="7"/>
      <c r="M55" s="7"/>
      <c r="N55" s="7"/>
    </row>
    <row r="56" spans="1:14" ht="20.100000000000001" customHeight="1" x14ac:dyDescent="0.3">
      <c r="A56" s="22" t="s">
        <v>56</v>
      </c>
      <c r="B56" s="45">
        <v>454</v>
      </c>
      <c r="C56" s="46" t="s">
        <v>43</v>
      </c>
      <c r="D56" s="37"/>
      <c r="E56" s="21"/>
      <c r="F56" s="7"/>
      <c r="G56" s="7"/>
      <c r="H56" s="7"/>
      <c r="I56" s="7"/>
      <c r="J56" s="7"/>
      <c r="K56" s="7"/>
      <c r="L56" s="7"/>
      <c r="M56" s="7"/>
      <c r="N56" s="7"/>
    </row>
    <row r="57" spans="1:14" ht="20.100000000000001" customHeight="1" x14ac:dyDescent="0.3">
      <c r="A57" s="22" t="s">
        <v>61</v>
      </c>
      <c r="B57" s="45">
        <v>618.29999999999995</v>
      </c>
      <c r="C57" s="46" t="s">
        <v>1710</v>
      </c>
      <c r="D57" s="29" t="s">
        <v>1711</v>
      </c>
      <c r="E57" s="21"/>
      <c r="F57" s="7"/>
      <c r="G57" s="7"/>
      <c r="H57" s="7"/>
      <c r="I57" s="7"/>
      <c r="J57" s="7"/>
      <c r="K57" s="7"/>
      <c r="L57" s="7"/>
      <c r="M57" s="7"/>
      <c r="N57" s="7"/>
    </row>
    <row r="58" spans="1:14" ht="20.100000000000001" customHeight="1" x14ac:dyDescent="0.3">
      <c r="A58" s="22" t="s">
        <v>57</v>
      </c>
      <c r="B58" s="45">
        <v>3150</v>
      </c>
      <c r="C58" s="46" t="s">
        <v>43</v>
      </c>
      <c r="D58" s="37"/>
      <c r="E58" s="21"/>
      <c r="F58" s="7"/>
      <c r="G58" s="7"/>
      <c r="H58" s="7"/>
      <c r="I58" s="7"/>
      <c r="J58" s="7"/>
      <c r="K58" s="7"/>
      <c r="L58" s="7"/>
      <c r="M58" s="7"/>
      <c r="N58" s="7"/>
    </row>
    <row r="59" spans="1:14" ht="20.100000000000001" customHeight="1" x14ac:dyDescent="0.3">
      <c r="A59" s="22" t="s">
        <v>58</v>
      </c>
      <c r="B59" s="45">
        <v>3150</v>
      </c>
      <c r="C59" s="46" t="s">
        <v>43</v>
      </c>
      <c r="D59" s="37"/>
      <c r="E59" s="21"/>
      <c r="F59" s="7"/>
      <c r="G59" s="7"/>
      <c r="H59" s="7"/>
      <c r="I59" s="7"/>
      <c r="J59" s="7"/>
      <c r="K59" s="7"/>
      <c r="L59" s="7"/>
      <c r="M59" s="7"/>
      <c r="N59" s="7"/>
    </row>
    <row r="60" spans="1:14" ht="20.100000000000001" customHeight="1" x14ac:dyDescent="0.3">
      <c r="A60" s="21"/>
      <c r="B60" s="32"/>
      <c r="C60" s="21"/>
      <c r="D60" s="37"/>
      <c r="E60" s="21"/>
      <c r="F60" s="7"/>
      <c r="G60" s="7"/>
      <c r="H60" s="7"/>
      <c r="I60" s="7"/>
      <c r="J60" s="7"/>
      <c r="K60" s="7"/>
      <c r="L60" s="7"/>
      <c r="M60" s="7"/>
      <c r="N60" s="7"/>
    </row>
    <row r="61" spans="1:14" ht="20.100000000000001" customHeight="1" x14ac:dyDescent="0.3">
      <c r="A61" s="23" t="s">
        <v>70</v>
      </c>
      <c r="B61" s="34" t="s">
        <v>219</v>
      </c>
      <c r="C61" s="27" t="s">
        <v>220</v>
      </c>
      <c r="D61" s="28"/>
      <c r="E61" s="21"/>
      <c r="F61" s="7"/>
      <c r="G61" s="7"/>
      <c r="H61" s="7"/>
      <c r="I61" s="7"/>
      <c r="J61" s="7"/>
      <c r="K61" s="7"/>
      <c r="L61" s="7"/>
      <c r="M61" s="7"/>
      <c r="N61" s="7"/>
    </row>
    <row r="62" spans="1:14" ht="20.100000000000001" customHeight="1" x14ac:dyDescent="0.3">
      <c r="A62" s="22" t="s">
        <v>1713</v>
      </c>
      <c r="B62" s="45">
        <v>1384.06</v>
      </c>
      <c r="C62" s="46" t="s">
        <v>119</v>
      </c>
      <c r="D62" s="29" t="s">
        <v>222</v>
      </c>
      <c r="E62" s="21"/>
      <c r="F62" s="7"/>
      <c r="G62" s="7"/>
      <c r="H62" s="7"/>
      <c r="I62" s="7"/>
      <c r="J62" s="7"/>
      <c r="K62" s="7"/>
      <c r="L62" s="7"/>
      <c r="M62" s="7"/>
      <c r="N62" s="7"/>
    </row>
    <row r="63" spans="1:14" ht="20.100000000000001" customHeight="1" x14ac:dyDescent="0.3">
      <c r="A63" s="22" t="s">
        <v>1714</v>
      </c>
      <c r="B63" s="45">
        <v>21.54</v>
      </c>
      <c r="C63" s="46" t="s">
        <v>120</v>
      </c>
      <c r="D63" s="29" t="s">
        <v>223</v>
      </c>
      <c r="E63" s="21"/>
      <c r="F63" s="7"/>
      <c r="G63" s="7"/>
      <c r="H63" s="7"/>
      <c r="I63" s="7"/>
      <c r="J63" s="7"/>
      <c r="K63" s="7"/>
      <c r="L63" s="7"/>
      <c r="M63" s="7"/>
      <c r="N63" s="7"/>
    </row>
    <row r="64" spans="1:14" ht="20.100000000000001" customHeight="1" x14ac:dyDescent="0.3">
      <c r="A64" s="22" t="s">
        <v>73</v>
      </c>
      <c r="B64" s="45">
        <v>34.72</v>
      </c>
      <c r="C64" s="46" t="s">
        <v>120</v>
      </c>
      <c r="D64" s="29" t="s">
        <v>223</v>
      </c>
      <c r="E64" s="21"/>
      <c r="F64" s="7"/>
      <c r="G64" s="7"/>
      <c r="H64" s="7"/>
      <c r="I64" s="7"/>
      <c r="J64" s="7"/>
      <c r="K64" s="7"/>
      <c r="L64" s="7"/>
      <c r="M64" s="7"/>
      <c r="N64" s="7"/>
    </row>
    <row r="65" spans="1:14" ht="20.100000000000001" customHeight="1" x14ac:dyDescent="0.3">
      <c r="A65" s="22" t="s">
        <v>74</v>
      </c>
      <c r="B65" s="45">
        <v>0</v>
      </c>
      <c r="C65" s="46" t="s">
        <v>120</v>
      </c>
      <c r="D65" s="29" t="s">
        <v>223</v>
      </c>
      <c r="E65" s="21"/>
      <c r="F65" s="7"/>
      <c r="G65" s="7"/>
      <c r="H65" s="7"/>
      <c r="I65" s="7"/>
      <c r="J65" s="7"/>
      <c r="K65" s="7"/>
      <c r="L65" s="7"/>
      <c r="M65" s="7"/>
      <c r="N65" s="7"/>
    </row>
    <row r="66" spans="1:14" ht="20.100000000000001" customHeight="1" x14ac:dyDescent="0.3">
      <c r="A66" s="22" t="s">
        <v>75</v>
      </c>
      <c r="B66" s="45">
        <v>0.8</v>
      </c>
      <c r="C66" s="46" t="s">
        <v>1671</v>
      </c>
      <c r="D66" s="78" t="s">
        <v>1672</v>
      </c>
      <c r="E66" s="21"/>
      <c r="F66" s="7"/>
      <c r="G66" s="7"/>
      <c r="H66" s="7"/>
      <c r="I66" s="7"/>
      <c r="J66" s="7"/>
      <c r="K66" s="7"/>
      <c r="L66" s="7"/>
      <c r="M66" s="7"/>
      <c r="N66" s="7"/>
    </row>
    <row r="67" spans="1:14" ht="20.100000000000001" customHeight="1" x14ac:dyDescent="0.3">
      <c r="A67" s="21"/>
      <c r="B67" s="32"/>
      <c r="C67" s="21"/>
      <c r="D67" s="37"/>
      <c r="E67" s="21"/>
      <c r="F67" s="7"/>
      <c r="G67" s="7"/>
      <c r="H67" s="7"/>
      <c r="I67" s="7"/>
      <c r="J67" s="7"/>
      <c r="K67" s="7"/>
      <c r="L67" s="7"/>
      <c r="M67" s="7"/>
      <c r="N67" s="7"/>
    </row>
    <row r="68" spans="1:14" ht="30" customHeight="1" x14ac:dyDescent="0.3">
      <c r="A68" s="23" t="s">
        <v>121</v>
      </c>
      <c r="B68" s="34" t="s">
        <v>225</v>
      </c>
      <c r="C68" s="27" t="s">
        <v>221</v>
      </c>
      <c r="D68" s="28"/>
      <c r="E68" s="21"/>
      <c r="F68" s="7"/>
      <c r="G68" s="7"/>
      <c r="H68" s="7"/>
      <c r="I68" s="7"/>
      <c r="J68" s="7"/>
      <c r="K68" s="7"/>
      <c r="L68" s="7"/>
      <c r="M68" s="7"/>
      <c r="N68" s="7"/>
    </row>
    <row r="69" spans="1:14" ht="20.100000000000001" customHeight="1" x14ac:dyDescent="0.3">
      <c r="A69" s="22" t="s">
        <v>91</v>
      </c>
      <c r="B69" s="44" t="b">
        <v>0</v>
      </c>
      <c r="C69" s="30"/>
      <c r="D69" s="29"/>
      <c r="E69" s="21"/>
      <c r="F69" s="7"/>
      <c r="G69" s="7"/>
      <c r="H69" s="7"/>
      <c r="I69" s="7"/>
      <c r="J69" s="7"/>
      <c r="K69" s="7"/>
      <c r="L69" s="7"/>
      <c r="M69" s="7"/>
      <c r="N69" s="7"/>
    </row>
    <row r="70" spans="1:14" ht="20.100000000000001" customHeight="1" x14ac:dyDescent="0.3">
      <c r="A70" s="22" t="s">
        <v>84</v>
      </c>
      <c r="B70" s="45">
        <v>5</v>
      </c>
      <c r="C70" s="46" t="s">
        <v>65</v>
      </c>
      <c r="D70" s="37"/>
      <c r="E70" s="21"/>
      <c r="F70" s="7"/>
      <c r="G70" s="7"/>
      <c r="H70" s="7"/>
      <c r="I70" s="7"/>
      <c r="J70" s="7"/>
      <c r="K70" s="7"/>
      <c r="L70" s="7"/>
      <c r="M70" s="7"/>
      <c r="N70" s="7"/>
    </row>
    <row r="71" spans="1:14" ht="20.100000000000001" customHeight="1" x14ac:dyDescent="0.3">
      <c r="A71" s="22" t="s">
        <v>85</v>
      </c>
      <c r="B71" s="45">
        <v>5</v>
      </c>
      <c r="C71" s="46" t="s">
        <v>65</v>
      </c>
      <c r="D71" s="37"/>
      <c r="E71" s="21"/>
      <c r="F71" s="7"/>
      <c r="G71" s="7"/>
      <c r="H71" s="7"/>
      <c r="I71" s="7"/>
      <c r="J71" s="7"/>
      <c r="K71" s="7"/>
      <c r="L71" s="7"/>
      <c r="M71" s="7"/>
      <c r="N71" s="7"/>
    </row>
    <row r="72" spans="1:14" ht="20.100000000000001" customHeight="1" x14ac:dyDescent="0.3">
      <c r="A72" s="22" t="s">
        <v>86</v>
      </c>
      <c r="B72" s="45">
        <v>5</v>
      </c>
      <c r="C72" s="46" t="s">
        <v>65</v>
      </c>
      <c r="D72" s="37"/>
      <c r="E72" s="21"/>
      <c r="F72" s="7"/>
      <c r="G72" s="7"/>
      <c r="H72" s="7"/>
      <c r="I72" s="7"/>
      <c r="J72" s="7"/>
      <c r="K72" s="7"/>
      <c r="L72" s="7"/>
      <c r="M72" s="7"/>
      <c r="N72" s="7"/>
    </row>
    <row r="73" spans="1:14" ht="20.100000000000001" customHeight="1" x14ac:dyDescent="0.3">
      <c r="A73" s="22" t="s">
        <v>87</v>
      </c>
      <c r="B73" s="45">
        <v>5</v>
      </c>
      <c r="C73" s="46" t="s">
        <v>65</v>
      </c>
      <c r="D73" s="37"/>
      <c r="E73" s="21"/>
      <c r="F73" s="7"/>
      <c r="G73" s="7"/>
      <c r="H73" s="7"/>
      <c r="I73" s="7"/>
      <c r="J73" s="7"/>
      <c r="K73" s="7"/>
      <c r="L73" s="7"/>
      <c r="M73" s="7"/>
      <c r="N73" s="7"/>
    </row>
    <row r="74" spans="1:14" ht="20.100000000000001" customHeight="1" x14ac:dyDescent="0.3">
      <c r="A74" s="22" t="s">
        <v>88</v>
      </c>
      <c r="B74" s="45">
        <v>5</v>
      </c>
      <c r="C74" s="46" t="s">
        <v>65</v>
      </c>
      <c r="D74" s="37"/>
      <c r="E74" s="21"/>
      <c r="F74" s="7"/>
      <c r="G74" s="7"/>
      <c r="H74" s="7"/>
      <c r="I74" s="7"/>
      <c r="J74" s="7"/>
      <c r="K74" s="7"/>
      <c r="L74" s="7"/>
      <c r="M74" s="7"/>
      <c r="N74" s="7"/>
    </row>
    <row r="75" spans="1:14" ht="20.100000000000001" customHeight="1" x14ac:dyDescent="0.3">
      <c r="A75" s="21"/>
      <c r="B75" s="32"/>
      <c r="C75" s="21"/>
      <c r="D75" s="37"/>
      <c r="E75" s="21"/>
      <c r="F75" s="7"/>
      <c r="G75" s="7"/>
      <c r="H75" s="7"/>
      <c r="I75" s="7"/>
      <c r="J75" s="7"/>
      <c r="K75" s="7"/>
      <c r="L75" s="7"/>
      <c r="M75" s="7"/>
      <c r="N75" s="7"/>
    </row>
    <row r="76" spans="1:14" ht="28.8" x14ac:dyDescent="0.3">
      <c r="A76" s="23" t="s">
        <v>122</v>
      </c>
      <c r="B76" s="34" t="s">
        <v>225</v>
      </c>
      <c r="C76" s="42" t="s">
        <v>247</v>
      </c>
      <c r="D76" s="28"/>
      <c r="E76" s="21"/>
      <c r="F76" s="7"/>
      <c r="G76" s="7"/>
      <c r="H76" s="7"/>
      <c r="I76" s="7"/>
      <c r="J76" s="7"/>
      <c r="K76" s="7"/>
      <c r="L76" s="7"/>
      <c r="M76" s="7"/>
      <c r="N76" s="7"/>
    </row>
    <row r="77" spans="1:14" ht="20.100000000000001" customHeight="1" x14ac:dyDescent="0.3">
      <c r="A77" s="22" t="s">
        <v>109</v>
      </c>
      <c r="B77" s="45">
        <v>10000</v>
      </c>
      <c r="C77" s="21"/>
      <c r="D77" s="37"/>
      <c r="E77" s="21"/>
      <c r="F77" s="7"/>
      <c r="G77" s="7"/>
      <c r="H77" s="7"/>
      <c r="I77" s="7"/>
      <c r="J77" s="7"/>
      <c r="K77" s="7"/>
      <c r="L77" s="7"/>
      <c r="M77" s="7"/>
      <c r="N77" s="7"/>
    </row>
    <row r="78" spans="1:14" ht="20.100000000000001" customHeight="1" x14ac:dyDescent="0.3">
      <c r="A78" s="22" t="s">
        <v>83</v>
      </c>
      <c r="B78" s="45" t="b">
        <v>1</v>
      </c>
      <c r="C78" s="21"/>
      <c r="D78" s="37"/>
      <c r="E78" s="21"/>
      <c r="F78" s="7"/>
      <c r="G78" s="7"/>
      <c r="H78" s="7"/>
      <c r="I78" s="7"/>
      <c r="J78" s="7"/>
      <c r="K78" s="7"/>
      <c r="L78" s="7"/>
      <c r="M78" s="7"/>
      <c r="N78" s="7"/>
    </row>
    <row r="79" spans="1:14" ht="20.100000000000001" customHeight="1" x14ac:dyDescent="0.3">
      <c r="A79" s="22" t="s">
        <v>92</v>
      </c>
      <c r="B79" s="45">
        <v>100</v>
      </c>
      <c r="C79" s="46" t="s">
        <v>65</v>
      </c>
      <c r="D79" s="37"/>
      <c r="E79" s="21"/>
      <c r="F79" s="7"/>
      <c r="G79" s="7"/>
      <c r="H79" s="7"/>
      <c r="I79" s="7"/>
      <c r="J79" s="7"/>
      <c r="K79" s="7"/>
      <c r="L79" s="7"/>
      <c r="M79" s="7"/>
      <c r="N79" s="7"/>
    </row>
    <row r="80" spans="1:14" ht="20.100000000000001" customHeight="1" x14ac:dyDescent="0.3">
      <c r="A80" s="22" t="s">
        <v>93</v>
      </c>
      <c r="B80" s="45">
        <v>100</v>
      </c>
      <c r="C80" s="46" t="s">
        <v>65</v>
      </c>
      <c r="D80" s="37"/>
      <c r="E80" s="21"/>
      <c r="F80" s="7"/>
      <c r="G80" s="7"/>
      <c r="H80" s="7"/>
      <c r="I80" s="7"/>
      <c r="J80" s="7"/>
      <c r="K80" s="7"/>
      <c r="L80" s="7"/>
      <c r="M80" s="7"/>
      <c r="N80" s="7"/>
    </row>
    <row r="81" spans="1:14" ht="20.100000000000001" customHeight="1" x14ac:dyDescent="0.3">
      <c r="A81" s="22" t="s">
        <v>102</v>
      </c>
      <c r="B81" s="45" t="b">
        <v>0</v>
      </c>
      <c r="C81" s="21"/>
      <c r="D81" s="37"/>
      <c r="E81" s="21"/>
      <c r="F81" s="7"/>
      <c r="G81" s="7"/>
      <c r="H81" s="7"/>
      <c r="I81" s="7"/>
      <c r="J81" s="7"/>
      <c r="K81" s="7"/>
      <c r="L81" s="7"/>
      <c r="M81" s="7"/>
      <c r="N81" s="7"/>
    </row>
    <row r="82" spans="1:14" ht="20.100000000000001" customHeight="1" x14ac:dyDescent="0.3">
      <c r="A82" s="22" t="s">
        <v>103</v>
      </c>
      <c r="B82" s="45" t="b">
        <v>0</v>
      </c>
      <c r="C82" s="21"/>
      <c r="D82" s="37"/>
      <c r="E82" s="21"/>
      <c r="F82" s="7"/>
      <c r="G82" s="7"/>
      <c r="H82" s="7"/>
      <c r="I82" s="7"/>
      <c r="J82" s="7"/>
      <c r="K82" s="7"/>
      <c r="L82" s="7"/>
      <c r="M82" s="7"/>
      <c r="N82" s="7"/>
    </row>
    <row r="83" spans="1:14" ht="20.100000000000001" customHeight="1" x14ac:dyDescent="0.3">
      <c r="A83" s="22" t="s">
        <v>104</v>
      </c>
      <c r="B83" s="45" t="b">
        <v>0</v>
      </c>
      <c r="C83" s="21"/>
      <c r="D83" s="37"/>
      <c r="E83" s="21"/>
      <c r="F83" s="7"/>
      <c r="G83" s="7"/>
      <c r="H83" s="7"/>
      <c r="I83" s="7"/>
      <c r="J83" s="7"/>
      <c r="K83" s="7"/>
      <c r="L83" s="7"/>
      <c r="M83" s="7"/>
      <c r="N83" s="7"/>
    </row>
    <row r="84" spans="1:14" ht="20.100000000000001" customHeight="1" x14ac:dyDescent="0.3">
      <c r="A84" s="22" t="s">
        <v>105</v>
      </c>
      <c r="B84" s="45" t="b">
        <v>0</v>
      </c>
      <c r="C84" s="21"/>
      <c r="D84" s="37"/>
      <c r="E84" s="21"/>
      <c r="F84" s="7"/>
      <c r="G84" s="7"/>
      <c r="H84" s="7"/>
      <c r="I84" s="7"/>
      <c r="J84" s="7"/>
      <c r="K84" s="7"/>
      <c r="L84" s="7"/>
      <c r="M84" s="7"/>
      <c r="N84" s="7"/>
    </row>
    <row r="85" spans="1:14" ht="20.100000000000001" customHeight="1" x14ac:dyDescent="0.3">
      <c r="A85" s="22" t="s">
        <v>106</v>
      </c>
      <c r="B85" s="45" t="b">
        <v>0</v>
      </c>
      <c r="C85" s="21"/>
      <c r="D85" s="37"/>
      <c r="E85" s="21"/>
      <c r="F85" s="7"/>
      <c r="G85" s="7"/>
      <c r="H85" s="7"/>
      <c r="I85" s="7"/>
      <c r="J85" s="7"/>
      <c r="K85" s="7"/>
      <c r="L85" s="7"/>
      <c r="M85" s="7"/>
      <c r="N85" s="7"/>
    </row>
    <row r="86" spans="1:14" ht="20.100000000000001" customHeight="1" x14ac:dyDescent="0.3">
      <c r="A86" s="22" t="s">
        <v>107</v>
      </c>
      <c r="B86" s="45" t="b">
        <v>0</v>
      </c>
      <c r="C86" s="21"/>
      <c r="D86" s="37"/>
      <c r="E86" s="21"/>
      <c r="F86" s="7"/>
      <c r="G86" s="7"/>
      <c r="H86" s="7"/>
      <c r="I86" s="7"/>
      <c r="J86" s="7"/>
      <c r="K86" s="7"/>
      <c r="L86" s="7"/>
      <c r="M86" s="7"/>
      <c r="N86" s="7"/>
    </row>
    <row r="87" spans="1:14" ht="20.100000000000001" customHeight="1" x14ac:dyDescent="0.3">
      <c r="A87" s="22" t="s">
        <v>108</v>
      </c>
      <c r="B87" s="45">
        <v>0</v>
      </c>
      <c r="C87" s="21"/>
      <c r="D87" s="37"/>
      <c r="E87" s="21"/>
      <c r="F87" s="7"/>
      <c r="G87" s="7"/>
      <c r="H87" s="7"/>
      <c r="I87" s="7"/>
      <c r="J87" s="7"/>
      <c r="K87" s="7"/>
      <c r="L87" s="7"/>
      <c r="M87" s="7"/>
      <c r="N87" s="7"/>
    </row>
    <row r="88" spans="1:14" ht="20.100000000000001" customHeight="1" x14ac:dyDescent="0.3">
      <c r="A88" s="22" t="s">
        <v>209</v>
      </c>
      <c r="B88" s="45">
        <v>1</v>
      </c>
      <c r="C88" s="21"/>
      <c r="D88" s="37"/>
      <c r="E88" s="21"/>
      <c r="F88" s="7"/>
      <c r="G88" s="7"/>
      <c r="H88" s="7"/>
      <c r="I88" s="7"/>
      <c r="J88" s="7"/>
      <c r="K88" s="7"/>
      <c r="L88" s="7"/>
      <c r="M88" s="7"/>
      <c r="N88" s="7"/>
    </row>
    <row r="89" spans="1:14" ht="20.100000000000001" customHeight="1" x14ac:dyDescent="0.3">
      <c r="A89" s="22" t="s">
        <v>210</v>
      </c>
      <c r="B89" s="45">
        <v>0</v>
      </c>
      <c r="C89" s="21"/>
      <c r="D89" s="37"/>
      <c r="E89" s="21"/>
      <c r="F89" s="7"/>
      <c r="G89" s="7"/>
      <c r="H89" s="7"/>
      <c r="I89" s="7"/>
      <c r="J89" s="7"/>
      <c r="K89" s="7"/>
      <c r="L89" s="7"/>
      <c r="M89" s="7"/>
      <c r="N89" s="7"/>
    </row>
    <row r="90" spans="1:14" ht="20.100000000000001" customHeight="1" x14ac:dyDescent="0.3">
      <c r="A90" s="22" t="s">
        <v>203</v>
      </c>
      <c r="B90" s="45">
        <v>191</v>
      </c>
      <c r="C90" s="46" t="s">
        <v>204</v>
      </c>
      <c r="D90" s="29" t="s">
        <v>1722</v>
      </c>
      <c r="E90" s="21"/>
      <c r="F90" s="7"/>
      <c r="G90" s="7"/>
      <c r="H90" s="7"/>
      <c r="I90" s="7"/>
      <c r="J90" s="7"/>
      <c r="K90" s="7"/>
      <c r="L90" s="7"/>
      <c r="M90" s="7"/>
      <c r="N90" s="7"/>
    </row>
    <row r="91" spans="1:14" ht="20.25" customHeight="1" x14ac:dyDescent="0.3">
      <c r="A91" s="22" t="s">
        <v>1716</v>
      </c>
      <c r="B91" s="45" t="s">
        <v>1717</v>
      </c>
      <c r="C91" s="29" t="s">
        <v>1721</v>
      </c>
      <c r="D91" s="37"/>
      <c r="E91" s="21"/>
      <c r="F91" s="7"/>
      <c r="G91" s="7"/>
      <c r="H91" s="7"/>
      <c r="I91" s="7"/>
      <c r="J91" s="7"/>
      <c r="K91" s="7"/>
      <c r="L91" s="7"/>
      <c r="M91" s="7"/>
      <c r="N91" s="7"/>
    </row>
    <row r="92" spans="1:14" ht="20.25" customHeight="1" x14ac:dyDescent="0.3">
      <c r="A92" s="22" t="s">
        <v>1718</v>
      </c>
      <c r="B92" s="45" t="s">
        <v>100</v>
      </c>
      <c r="C92" s="29" t="s">
        <v>1719</v>
      </c>
      <c r="D92" s="29"/>
      <c r="E92" s="7"/>
      <c r="F92" s="7"/>
      <c r="G92" s="7"/>
      <c r="H92" s="7"/>
      <c r="I92" s="7"/>
      <c r="J92" s="7"/>
      <c r="K92" s="7"/>
      <c r="L92" s="7"/>
      <c r="M92" s="7"/>
      <c r="N92" s="7"/>
    </row>
    <row r="93" spans="1:14" x14ac:dyDescent="0.3">
      <c r="A93" s="7"/>
      <c r="B93" s="10"/>
      <c r="C93" s="7"/>
      <c r="D93" s="36"/>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sheetData>
  <mergeCells count="2">
    <mergeCell ref="A2:F2"/>
    <mergeCell ref="A3:F3"/>
  </mergeCells>
  <dataValidations count="4">
    <dataValidation type="decimal" operator="greaterThanOrEqual" allowBlank="1" showInputMessage="1" showErrorMessage="1" sqref="B42:B46 B51 B54 B57 B62:B66 B79:B80 B88:B90" xr:uid="{E2D9F016-4A83-4135-BBE5-4B87F2D58717}">
      <formula1>0</formula1>
    </dataValidation>
    <dataValidation type="decimal" operator="greaterThan" allowBlank="1" showInputMessage="1" showErrorMessage="1" sqref="B49:B50 B52:B53 B55:B56 B70:B74 B77 B58:B59" xr:uid="{FBAC233A-2E4B-45A4-A82C-4ACC7664650D}">
      <formula1>0</formula1>
    </dataValidation>
    <dataValidation type="decimal" allowBlank="1" showInputMessage="1" showErrorMessage="1" sqref="B87" xr:uid="{FACA4E7A-C65B-4780-B8F2-D8B483CE08E0}">
      <formula1>0</formula1>
      <formula2>1</formula2>
    </dataValidation>
    <dataValidation type="list" operator="greaterThanOrEqual" allowBlank="1" showInputMessage="1" showErrorMessage="1" sqref="B91"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C49 C52 C55 B12</xm:sqref>
        </x14:dataValidation>
        <x14:dataValidation type="list" allowBlank="1" showInputMessage="1" showErrorMessage="1" xr:uid="{39AE4407-D644-4DAC-9593-538A3F267722}">
          <x14:formula1>
            <xm:f>Notes!$G$3:$G$5</xm:f>
          </x14:formula1>
          <xm:sqref>C50 C53 C56 B13 C58:C59</xm:sqref>
        </x14:dataValidation>
        <x14:dataValidation type="list" allowBlank="1" showInputMessage="1" showErrorMessage="1" xr:uid="{099B2F90-2DC8-44CA-ADEA-EA345CD23559}">
          <x14:formula1>
            <xm:f>Notes!$I$3:$I$6</xm:f>
          </x14:formula1>
          <xm:sqref>B14 C79:C80 C70:C74</xm:sqref>
        </x14:dataValidation>
        <x14:dataValidation type="list" allowBlank="1" showInputMessage="1" showErrorMessage="1" xr:uid="{EF14BB93-88DA-4FBF-912E-7D82A8E1ADF3}">
          <x14:formula1>
            <xm:f>Notes!$E$3:$E$4</xm:f>
          </x14:formula1>
          <xm:sqref>B69 B81:B86 B78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1642</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1643</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1658</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232</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243</v>
      </c>
      <c r="L7" s="65"/>
      <c r="M7" s="65"/>
      <c r="N7" s="65"/>
      <c r="O7" s="65"/>
      <c r="P7" s="65"/>
      <c r="Q7" s="65"/>
      <c r="R7" s="65"/>
      <c r="S7" s="65"/>
      <c r="T7" s="65"/>
      <c r="U7" s="65"/>
      <c r="V7" s="65"/>
    </row>
    <row r="8" spans="1:22" x14ac:dyDescent="0.3">
      <c r="A8" s="65" t="str">
        <f>Notes!AC4</f>
        <v>SAF</v>
      </c>
      <c r="B8" s="65" t="str">
        <f>Notes!AD4</f>
        <v>liquid</v>
      </c>
      <c r="C8" s="65"/>
      <c r="D8" s="65"/>
      <c r="E8" s="73" t="s">
        <v>20</v>
      </c>
      <c r="F8" s="73" t="s">
        <v>237</v>
      </c>
      <c r="G8" s="73" t="s">
        <v>240</v>
      </c>
      <c r="H8" s="73" t="s">
        <v>21</v>
      </c>
      <c r="I8" s="73" t="s">
        <v>239</v>
      </c>
      <c r="J8" s="73" t="s">
        <v>238</v>
      </c>
      <c r="K8" s="73" t="s">
        <v>200</v>
      </c>
      <c r="L8" s="73" t="s">
        <v>242</v>
      </c>
      <c r="M8" s="71"/>
      <c r="N8" s="65"/>
      <c r="O8" s="65"/>
      <c r="P8" s="65"/>
      <c r="Q8" s="65"/>
      <c r="R8" s="65"/>
      <c r="S8" s="65"/>
      <c r="T8" s="65"/>
      <c r="U8" s="65"/>
      <c r="V8" s="65"/>
    </row>
    <row r="9" spans="1:22" x14ac:dyDescent="0.3">
      <c r="A9" s="65" t="str">
        <f>Notes!AC5</f>
        <v>fuel_blend</v>
      </c>
      <c r="B9" s="65" t="str">
        <f>Notes!AD5</f>
        <v>liquid</v>
      </c>
      <c r="C9" s="65"/>
      <c r="D9" s="65"/>
      <c r="E9" s="65" t="str">
        <f>Notes!AG6</f>
        <v>FOG</v>
      </c>
      <c r="F9" s="65">
        <f>Notes!AH6</f>
        <v>1</v>
      </c>
      <c r="G9" s="65" t="str">
        <f>Notes!AI6</f>
        <v>tons</v>
      </c>
      <c r="H9" s="65" t="str">
        <f>Notes!AJ6</f>
        <v>SAF</v>
      </c>
      <c r="I9" s="65">
        <f>Notes!AK6</f>
        <v>127.21129047148131</v>
      </c>
      <c r="J9" s="65" t="str">
        <f>Notes!AL6</f>
        <v>gallon</v>
      </c>
      <c r="K9" s="76" t="str">
        <f>F6</f>
        <v>makeSAF</v>
      </c>
      <c r="L9" s="76" t="str">
        <f>F7</f>
        <v>N</v>
      </c>
      <c r="M9" s="65"/>
      <c r="N9" s="65"/>
      <c r="O9" s="65"/>
      <c r="P9" s="65"/>
      <c r="Q9" s="65"/>
      <c r="R9" s="65"/>
      <c r="S9" s="65"/>
      <c r="T9" s="65"/>
      <c r="U9" s="65"/>
      <c r="V9" s="65"/>
    </row>
    <row r="10" spans="1:22" x14ac:dyDescent="0.3">
      <c r="A10" s="65" t="str">
        <f>Notes!AC6</f>
        <v>FOG</v>
      </c>
      <c r="B10" s="65" t="str">
        <f>Notes!AD6</f>
        <v>solid</v>
      </c>
      <c r="C10" s="65">
        <f>Notes!AE6</f>
        <v>500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243</v>
      </c>
      <c r="L12" s="65"/>
      <c r="M12" s="65"/>
      <c r="N12" s="65"/>
      <c r="O12" s="65"/>
      <c r="P12" s="65"/>
      <c r="Q12" s="65"/>
      <c r="R12" s="65"/>
      <c r="S12" s="65"/>
      <c r="T12" s="65"/>
      <c r="U12" s="65"/>
      <c r="V12" s="65"/>
    </row>
    <row r="13" spans="1:22" x14ac:dyDescent="0.3">
      <c r="A13" s="65"/>
      <c r="B13" s="65"/>
      <c r="C13" s="65"/>
      <c r="D13" s="65"/>
      <c r="E13" s="73" t="s">
        <v>20</v>
      </c>
      <c r="F13" s="73" t="s">
        <v>237</v>
      </c>
      <c r="G13" s="73" t="s">
        <v>240</v>
      </c>
      <c r="H13" s="73" t="s">
        <v>21</v>
      </c>
      <c r="I13" s="73" t="s">
        <v>239</v>
      </c>
      <c r="J13" s="73" t="s">
        <v>238</v>
      </c>
      <c r="K13" s="73" t="s">
        <v>200</v>
      </c>
      <c r="L13" s="73" t="s">
        <v>242</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243</v>
      </c>
      <c r="L17" s="65"/>
      <c r="M17" s="65"/>
      <c r="N17" s="65"/>
      <c r="O17" s="65"/>
      <c r="P17" s="65"/>
      <c r="Q17" s="65"/>
      <c r="R17" s="65"/>
      <c r="S17" s="65"/>
      <c r="T17" s="65"/>
      <c r="U17" s="65"/>
      <c r="V17" s="65"/>
    </row>
    <row r="18" spans="1:22" x14ac:dyDescent="0.3">
      <c r="A18" s="65"/>
      <c r="B18" s="65"/>
      <c r="C18" s="65"/>
      <c r="D18" s="65"/>
      <c r="E18" s="73" t="s">
        <v>20</v>
      </c>
      <c r="F18" s="73" t="s">
        <v>237</v>
      </c>
      <c r="G18" s="73" t="s">
        <v>240</v>
      </c>
      <c r="H18" s="73" t="s">
        <v>21</v>
      </c>
      <c r="I18" s="73" t="s">
        <v>239</v>
      </c>
      <c r="J18" s="73" t="s">
        <v>238</v>
      </c>
      <c r="K18" s="73" t="s">
        <v>200</v>
      </c>
      <c r="L18" s="73" t="s">
        <v>242</v>
      </c>
      <c r="M18" s="65"/>
      <c r="N18" s="65"/>
      <c r="O18" s="65"/>
      <c r="P18" s="65"/>
      <c r="Q18" s="65"/>
      <c r="R18" s="65"/>
      <c r="S18" s="65"/>
      <c r="T18" s="65"/>
      <c r="U18" s="65"/>
      <c r="V18" s="65"/>
    </row>
    <row r="19" spans="1:22" x14ac:dyDescent="0.3">
      <c r="A19" s="65"/>
      <c r="B19" s="65"/>
      <c r="C19" s="65"/>
      <c r="D19" s="65"/>
      <c r="E19" s="65" t="str">
        <f>IF('SAF Filters'!$J$37="Y",Notes!AG16,"")</f>
        <v>FOG</v>
      </c>
      <c r="F19" s="65">
        <f>IF('SAF Filters'!$J$37="Y",Notes!AH16,"")</f>
        <v>1</v>
      </c>
      <c r="G19" s="65" t="str">
        <f>IF('SAF Filters'!$J$37="Y",Notes!AI16,"")</f>
        <v>tons</v>
      </c>
      <c r="H19" s="65" t="str">
        <f>IF('SAF Filters'!$J$37="Y",Notes!AJ16,"")</f>
        <v>SAF</v>
      </c>
      <c r="I19" s="65">
        <f>IF('SAF Filters'!$J$37="Y",Notes!AK16,"")</f>
        <v>127.21129047148131</v>
      </c>
      <c r="J19" s="65" t="str">
        <f>IF('SAF Filters'!$J$37="Y",Notes!AL16,"")</f>
        <v>gallon</v>
      </c>
      <c r="K19" s="76">
        <f>IF('SAF Filters'!$J$37="Y",Notes!AM16,"")</f>
        <v>0</v>
      </c>
      <c r="L19" s="76">
        <f>IF('SAF Filters'!$J$37="Y",Notes!AN16,"")</f>
        <v>0</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1642</v>
      </c>
      <c r="B1" s="64"/>
      <c r="C1" s="64"/>
      <c r="D1" s="65"/>
      <c r="E1" s="65"/>
      <c r="F1" s="65"/>
      <c r="G1" s="65"/>
      <c r="H1" s="65"/>
      <c r="I1" s="65"/>
      <c r="J1" s="65"/>
      <c r="K1" s="21"/>
      <c r="L1" s="21"/>
      <c r="M1" s="21"/>
      <c r="N1" s="21"/>
      <c r="O1" s="21"/>
      <c r="P1" s="21"/>
      <c r="Q1" s="21"/>
    </row>
    <row r="2" spans="1:17" x14ac:dyDescent="0.3">
      <c r="A2" s="156" t="s">
        <v>1644</v>
      </c>
      <c r="B2" s="156"/>
      <c r="C2" s="156"/>
      <c r="D2" s="156"/>
      <c r="E2" s="156"/>
      <c r="F2" s="156"/>
      <c r="G2" s="156"/>
      <c r="H2" s="156"/>
      <c r="I2" s="156"/>
      <c r="J2" s="156"/>
      <c r="K2" s="7"/>
      <c r="L2" s="7"/>
      <c r="M2" s="7"/>
      <c r="N2" s="7"/>
      <c r="O2" s="7"/>
      <c r="P2" s="7"/>
      <c r="Q2" s="7"/>
    </row>
    <row r="3" spans="1:17" x14ac:dyDescent="0.3">
      <c r="A3" s="157" t="s">
        <v>1658</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228</v>
      </c>
      <c r="B5" s="158"/>
      <c r="C5" s="158"/>
      <c r="D5" s="158"/>
      <c r="E5" s="158"/>
      <c r="F5" s="158"/>
      <c r="G5" s="158"/>
      <c r="H5" s="158"/>
      <c r="I5" s="158"/>
      <c r="J5" s="7"/>
      <c r="K5" s="7"/>
      <c r="L5" s="7"/>
      <c r="M5" s="7"/>
      <c r="N5" s="7"/>
      <c r="O5" s="7"/>
      <c r="P5" s="7"/>
      <c r="Q5" s="7"/>
    </row>
    <row r="6" spans="1:17" ht="29.1" customHeight="1" x14ac:dyDescent="0.4">
      <c r="A6" s="51" t="s">
        <v>230</v>
      </c>
      <c r="B6" s="52"/>
      <c r="C6" s="49"/>
      <c r="D6" s="54" t="s">
        <v>229</v>
      </c>
      <c r="E6" s="49"/>
      <c r="F6" s="49"/>
      <c r="G6" s="49"/>
      <c r="H6" s="49"/>
      <c r="I6" s="55" t="s">
        <v>1663</v>
      </c>
      <c r="J6" s="7"/>
      <c r="K6" s="7"/>
      <c r="L6" s="7"/>
      <c r="M6" s="7"/>
      <c r="N6" s="7"/>
      <c r="O6" s="7"/>
      <c r="P6" s="7"/>
      <c r="Q6" s="7"/>
    </row>
    <row r="7" spans="1:17" x14ac:dyDescent="0.3">
      <c r="A7" s="48" t="s">
        <v>25</v>
      </c>
      <c r="B7" s="48" t="s">
        <v>35</v>
      </c>
      <c r="C7" s="48" t="s">
        <v>31</v>
      </c>
      <c r="D7" s="53" t="s">
        <v>24</v>
      </c>
      <c r="E7" s="53" t="s">
        <v>36</v>
      </c>
      <c r="F7" s="53" t="s">
        <v>44</v>
      </c>
      <c r="G7" s="53" t="s">
        <v>194</v>
      </c>
      <c r="H7" s="53" t="s">
        <v>45</v>
      </c>
      <c r="I7" s="50" t="s">
        <v>46</v>
      </c>
      <c r="J7" s="50" t="s">
        <v>1664</v>
      </c>
      <c r="K7" s="50" t="s">
        <v>109</v>
      </c>
      <c r="L7" s="7"/>
      <c r="M7" s="7"/>
      <c r="N7" s="7"/>
      <c r="O7" s="7"/>
      <c r="P7" s="7"/>
      <c r="Q7" s="7"/>
    </row>
    <row r="8" spans="1:17" x14ac:dyDescent="0.3">
      <c r="A8" s="7" t="str">
        <f>IF(Notes!BY4="","",Notes!BY4)</f>
        <v>processor</v>
      </c>
      <c r="B8" s="7" t="str">
        <f>IF(Notes!BZ4="","",Notes!BZ4)</f>
        <v>cand_HEFA_FOG</v>
      </c>
      <c r="C8" s="7" t="str">
        <f>IF(Notes!CA4="","",Notes!CA4)</f>
        <v>makeSAF</v>
      </c>
      <c r="D8" s="7">
        <f>IF(Notes!CB4="","",Notes!CB4)</f>
        <v>1142151.7654722061</v>
      </c>
      <c r="E8" s="7" t="str">
        <f>IF(Notes!CC4="","",Notes!CC4)</f>
        <v>tons</v>
      </c>
      <c r="F8" s="7">
        <f>IF(Notes!CD4="","",Notes!CD4)</f>
        <v>571075.88273610303</v>
      </c>
      <c r="G8" s="7">
        <f>IF(Notes!CE4="","",Notes!CE4)</f>
        <v>114215.17654722062</v>
      </c>
      <c r="H8" s="7">
        <f>IF(Notes!CF4="","",Notes!CF4)</f>
        <v>32231836.200000003</v>
      </c>
      <c r="I8" s="7"/>
      <c r="J8" s="7"/>
      <c r="K8" s="7"/>
      <c r="L8" s="7"/>
      <c r="M8" s="7"/>
      <c r="N8" s="7"/>
      <c r="O8" s="7"/>
      <c r="P8" s="7"/>
      <c r="Q8" s="7"/>
    </row>
    <row r="9" spans="1:17" x14ac:dyDescent="0.3">
      <c r="A9" s="7" t="str">
        <f>IF(Notes!BY5="","",Notes!BY5)</f>
        <v>processor</v>
      </c>
      <c r="B9" s="7" t="str">
        <f>IF(Notes!BZ5="","",Notes!BZ5)</f>
        <v>Ergon Asphalt &amp; Emulsions Inc 2</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Sinclair Oil Corp 1</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Sinclair Oil Corp 3</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Sinclair Oil Corp 2</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Andeavor Logistics Lp 7</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Andeavor Logistics Lp 6</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Andeavor Logistics Lp 18</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Christensen Inc</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Chevron Usa Inc Willbridge</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Tlp Management Services Llc 3</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Phillips 66 Company 16</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Phillips 66 3</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Global Co Llc 4</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Pacific Terminal Services Inc</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Sfpp Lp 4</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Kinder Morgan Portland Liquids Termi</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Mccall Oil &amp; Chemical</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Nustar Energy Lp 33</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Equilon Enterprises Llc 3</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Tidewater Terminal Co 2</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Owens Corning 11</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Zenith Energy Terminals Holdings Llc</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Reg Grays Harbor Llc</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Ergon Asphalt &amp; Emulsions Inc 11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Ergon Asphalt 7 Emulsions Inc</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Ergon Asphalt &amp; Emulsions Inc 14</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Tlp Management Services Llc 4</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Seaport Sound Terminal Llc</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Phillips 66 Company 23</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Phillips 66 Company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Phillips 66 Company 17</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Holly Energy Partners Oper Lp 6</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Kinder Morgan Energy Partner Lp</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Tesoro Refining &amp; Marketing 8</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Andeavor Logistics Lp 23</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Andeavor Logistics Lp 16</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Nustar Energy Lp 43</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Nustar Energy Lp 44</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Par Montana Llc 9</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Par Montana Llc 10</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Petrogas West Llc</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Equilon Enterprises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Tidewater Terminal Co 1</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Tidewater Terminal Co 3</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ultimate_destination</v>
      </c>
      <c r="B53" s="7" t="str">
        <f>IF(Notes!BZ49="","",Notes!BZ49)</f>
        <v>SEA</v>
      </c>
      <c r="C53" s="7" t="str">
        <f>IF(Notes!CA49="","",Notes!CA49)</f>
        <v>fuel_blend</v>
      </c>
      <c r="D53" s="7">
        <f>IF(Notes!CB49="","",Notes!CB49)</f>
        <v>692000000</v>
      </c>
      <c r="E53" s="7" t="str">
        <f>IF(Notes!CC49="","",Notes!CC49)</f>
        <v>gallons</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Montana Renewables (Calumet)</v>
      </c>
      <c r="C54" s="7" t="str">
        <f>IF(Notes!CA50="","",Notes!CA50)</f>
        <v>makeSAF_Existing</v>
      </c>
      <c r="D54" s="7">
        <f>IF(Notes!CB50="","",Notes!CB50)</f>
        <v>1808015.6183272291</v>
      </c>
      <c r="E54" s="7" t="str">
        <f>IF(Notes!CC50="","",Notes!CC50)</f>
        <v>tons</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Next Renewable Fuels Inc.</v>
      </c>
      <c r="C55" s="7" t="str">
        <f>IF(Notes!CA51="","",Notes!CA51)</f>
        <v>makeSAF_Existing</v>
      </c>
      <c r="D55" s="7">
        <f>IF(Notes!CB51="","",Notes!CB51)</f>
        <v>4700840.607650795</v>
      </c>
      <c r="E55" s="7" t="str">
        <f>IF(Notes!CC51="","",Notes!CC51)</f>
        <v>tons</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
      </c>
      <c r="B56" s="7" t="str">
        <f>IF(Notes!BZ52="","",Notes!BZ52)</f>
        <v/>
      </c>
      <c r="C56" s="7" t="str">
        <f>IF(Notes!CA52="","",Notes!CA52)</f>
        <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
      </c>
      <c r="B57" s="7" t="str">
        <f>IF(Notes!BZ53="","",Notes!BZ53)</f>
        <v/>
      </c>
      <c r="C57" s="7" t="str">
        <f>IF(Notes!CA53="","",Notes!CA53)</f>
        <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
      </c>
      <c r="B58" s="7" t="str">
        <f>IF(Notes!BZ54="","",Notes!BZ54)</f>
        <v/>
      </c>
      <c r="C58" s="7" t="str">
        <f>IF(Notes!CA54="","",Notes!CA54)</f>
        <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
      </c>
      <c r="B59" s="7" t="str">
        <f>IF(Notes!BZ55="","",Notes!BZ55)</f>
        <v/>
      </c>
      <c r="C59" s="7" t="str">
        <f>IF(Notes!CA55="","",Notes!CA55)</f>
        <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
      </c>
      <c r="B60" s="7" t="str">
        <f>IF(Notes!BZ56="","",Notes!BZ56)</f>
        <v/>
      </c>
      <c r="C60" s="7" t="str">
        <f>IF(Notes!CA56="","",Notes!CA56)</f>
        <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
      </c>
      <c r="B61" s="7" t="str">
        <f>IF(Notes!BZ57="","",Notes!BZ57)</f>
        <v/>
      </c>
      <c r="C61" s="7" t="str">
        <f>IF(Notes!CA57="","",Notes!CA57)</f>
        <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
      </c>
      <c r="B62" s="7" t="str">
        <f>IF(Notes!BZ58="","",Notes!BZ58)</f>
        <v/>
      </c>
      <c r="C62" s="7" t="str">
        <f>IF(Notes!CA58="","",Notes!CA58)</f>
        <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
      </c>
      <c r="B63" s="7" t="str">
        <f>IF(Notes!BZ59="","",Notes!BZ59)</f>
        <v/>
      </c>
      <c r="C63" s="7" t="str">
        <f>IF(Notes!CA59="","",Notes!CA59)</f>
        <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
      </c>
      <c r="B64" s="7" t="str">
        <f>IF(Notes!BZ60="","",Notes!BZ60)</f>
        <v/>
      </c>
      <c r="C64" s="7" t="str">
        <f>IF(Notes!CA60="","",Notes!CA60)</f>
        <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
      </c>
      <c r="B65" s="7" t="str">
        <f>IF(Notes!BZ61="","",Notes!BZ61)</f>
        <v/>
      </c>
      <c r="C65" s="7" t="str">
        <f>IF(Notes!CA61="","",Notes!CA61)</f>
        <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
      </c>
      <c r="B66" s="7" t="str">
        <f>IF(Notes!BZ62="","",Notes!BZ62)</f>
        <v/>
      </c>
      <c r="C66" s="7" t="str">
        <f>IF(Notes!CA62="","",Notes!CA62)</f>
        <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
      </c>
      <c r="B67" s="7" t="str">
        <f>IF(Notes!BZ63="","",Notes!BZ63)</f>
        <v/>
      </c>
      <c r="C67" s="7" t="str">
        <f>IF(Notes!CA63="","",Notes!CA63)</f>
        <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
      </c>
      <c r="B68" s="7" t="str">
        <f>IF(Notes!BZ64="","",Notes!BZ64)</f>
        <v/>
      </c>
      <c r="C68" s="7" t="str">
        <f>IF(Notes!CA64="","",Notes!CA64)</f>
        <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302</v>
      </c>
      <c r="B1" s="128" t="s">
        <v>317</v>
      </c>
    </row>
    <row r="2" spans="1:77" hidden="1" x14ac:dyDescent="0.3">
      <c r="A2" t="s">
        <v>312</v>
      </c>
      <c r="B2">
        <f t="shared" ref="B2:B6" si="0">SIGN(SUBTOTAL(3,A2))</f>
        <v>0</v>
      </c>
      <c r="AD2" t="s">
        <v>1616</v>
      </c>
      <c r="AG2" t="s">
        <v>1615</v>
      </c>
      <c r="BY2" t="s">
        <v>1614</v>
      </c>
    </row>
    <row r="3" spans="1:77" hidden="1" x14ac:dyDescent="0.3">
      <c r="A3" t="s">
        <v>310</v>
      </c>
      <c r="B3">
        <f t="shared" si="0"/>
        <v>0</v>
      </c>
    </row>
    <row r="4" spans="1:77" hidden="1" x14ac:dyDescent="0.3">
      <c r="A4" t="s">
        <v>311</v>
      </c>
      <c r="B4">
        <f t="shared" si="0"/>
        <v>0</v>
      </c>
    </row>
    <row r="5" spans="1:77" x14ac:dyDescent="0.3">
      <c r="A5" t="s">
        <v>313</v>
      </c>
      <c r="B5">
        <f t="shared" si="0"/>
        <v>1</v>
      </c>
    </row>
    <row r="6" spans="1:77" hidden="1" x14ac:dyDescent="0.3">
      <c r="A6" t="s">
        <v>303</v>
      </c>
      <c r="B6">
        <f t="shared" si="0"/>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143</v>
      </c>
      <c r="B1" s="128" t="s">
        <v>317</v>
      </c>
    </row>
    <row r="2" spans="1:75" ht="16.8" hidden="1" x14ac:dyDescent="0.4">
      <c r="A2" t="s">
        <v>144</v>
      </c>
      <c r="B2">
        <f t="shared" ref="B2:B31" si="0">SIGN(SUBTOTAL(3,A2))</f>
        <v>0</v>
      </c>
      <c r="D2" s="129"/>
      <c r="AB2" t="s">
        <v>1616</v>
      </c>
      <c r="AE2" t="s">
        <v>1615</v>
      </c>
      <c r="BW2" t="s">
        <v>1614</v>
      </c>
    </row>
    <row r="3" spans="1:75" ht="16.8" hidden="1" x14ac:dyDescent="0.4">
      <c r="A3" t="s">
        <v>145</v>
      </c>
      <c r="B3">
        <f t="shared" si="0"/>
        <v>0</v>
      </c>
      <c r="D3" s="129"/>
    </row>
    <row r="4" spans="1:75" ht="16.8" hidden="1" x14ac:dyDescent="0.4">
      <c r="A4" t="s">
        <v>146</v>
      </c>
      <c r="B4">
        <f t="shared" si="0"/>
        <v>0</v>
      </c>
      <c r="D4" s="129"/>
    </row>
    <row r="5" spans="1:75" ht="16.8" hidden="1" x14ac:dyDescent="0.4">
      <c r="A5" t="s">
        <v>147</v>
      </c>
      <c r="B5">
        <f t="shared" si="0"/>
        <v>0</v>
      </c>
      <c r="D5" s="129"/>
    </row>
    <row r="6" spans="1:75" ht="16.8" hidden="1" x14ac:dyDescent="0.4">
      <c r="A6" t="s">
        <v>148</v>
      </c>
      <c r="B6">
        <f t="shared" si="0"/>
        <v>0</v>
      </c>
      <c r="D6" s="129"/>
    </row>
    <row r="7" spans="1:75" ht="16.8" hidden="1" x14ac:dyDescent="0.4">
      <c r="A7" t="s">
        <v>149</v>
      </c>
      <c r="B7">
        <f t="shared" si="0"/>
        <v>0</v>
      </c>
      <c r="D7" s="129"/>
    </row>
    <row r="8" spans="1:75" ht="16.8" hidden="1" x14ac:dyDescent="0.4">
      <c r="A8" t="s">
        <v>150</v>
      </c>
      <c r="B8">
        <f t="shared" si="0"/>
        <v>0</v>
      </c>
      <c r="D8" s="129"/>
    </row>
    <row r="9" spans="1:75" ht="16.8" hidden="1" x14ac:dyDescent="0.4">
      <c r="A9" t="s">
        <v>142</v>
      </c>
      <c r="B9">
        <f t="shared" si="0"/>
        <v>0</v>
      </c>
      <c r="D9" s="129"/>
    </row>
    <row r="10" spans="1:75" ht="16.8" hidden="1" x14ac:dyDescent="0.4">
      <c r="A10" t="s">
        <v>151</v>
      </c>
      <c r="B10">
        <f t="shared" si="0"/>
        <v>0</v>
      </c>
      <c r="D10" s="129"/>
    </row>
    <row r="11" spans="1:75" ht="16.8" hidden="1" x14ac:dyDescent="0.4">
      <c r="A11" t="s">
        <v>152</v>
      </c>
      <c r="B11">
        <f t="shared" si="0"/>
        <v>0</v>
      </c>
      <c r="D11" s="129"/>
    </row>
    <row r="12" spans="1:75" ht="16.8" x14ac:dyDescent="0.4">
      <c r="A12" t="s">
        <v>153</v>
      </c>
      <c r="B12">
        <f t="shared" si="0"/>
        <v>1</v>
      </c>
      <c r="D12" s="129"/>
    </row>
    <row r="13" spans="1:75" ht="16.8" hidden="1" x14ac:dyDescent="0.4">
      <c r="A13" t="s">
        <v>154</v>
      </c>
      <c r="B13">
        <f t="shared" si="0"/>
        <v>0</v>
      </c>
      <c r="D13" s="129"/>
    </row>
    <row r="14" spans="1:75" ht="16.8" hidden="1" x14ac:dyDescent="0.4">
      <c r="A14" t="s">
        <v>155</v>
      </c>
      <c r="B14">
        <f t="shared" si="0"/>
        <v>0</v>
      </c>
      <c r="D14" s="129"/>
    </row>
    <row r="15" spans="1:75" ht="16.8" hidden="1" x14ac:dyDescent="0.4">
      <c r="A15" t="s">
        <v>156</v>
      </c>
      <c r="B15">
        <f t="shared" si="0"/>
        <v>0</v>
      </c>
      <c r="D15" s="129"/>
    </row>
    <row r="16" spans="1:75" ht="16.8" hidden="1" x14ac:dyDescent="0.4">
      <c r="A16" t="s">
        <v>157</v>
      </c>
      <c r="B16">
        <f t="shared" si="0"/>
        <v>0</v>
      </c>
      <c r="D16" s="129"/>
    </row>
    <row r="17" spans="1:4" ht="16.8" hidden="1" x14ac:dyDescent="0.4">
      <c r="A17" t="s">
        <v>158</v>
      </c>
      <c r="B17">
        <f t="shared" si="0"/>
        <v>0</v>
      </c>
      <c r="D17" s="129"/>
    </row>
    <row r="18" spans="1:4" ht="16.8" hidden="1" x14ac:dyDescent="0.4">
      <c r="A18" t="s">
        <v>159</v>
      </c>
      <c r="B18">
        <f t="shared" si="0"/>
        <v>0</v>
      </c>
      <c r="D18" s="129"/>
    </row>
    <row r="19" spans="1:4" ht="16.8" hidden="1" x14ac:dyDescent="0.4">
      <c r="A19" t="s">
        <v>160</v>
      </c>
      <c r="B19">
        <f t="shared" si="0"/>
        <v>0</v>
      </c>
      <c r="D19" s="129"/>
    </row>
    <row r="20" spans="1:4" ht="16.8" hidden="1" x14ac:dyDescent="0.4">
      <c r="A20" t="s">
        <v>161</v>
      </c>
      <c r="B20">
        <f t="shared" si="0"/>
        <v>0</v>
      </c>
      <c r="D20" s="129"/>
    </row>
    <row r="21" spans="1:4" ht="16.8" hidden="1" x14ac:dyDescent="0.4">
      <c r="A21" t="s">
        <v>162</v>
      </c>
      <c r="B21">
        <f t="shared" si="0"/>
        <v>0</v>
      </c>
      <c r="D21" s="129"/>
    </row>
    <row r="22" spans="1:4" ht="16.8" hidden="1" x14ac:dyDescent="0.4">
      <c r="A22" t="s">
        <v>163</v>
      </c>
      <c r="B22">
        <f t="shared" si="0"/>
        <v>0</v>
      </c>
      <c r="D22" s="129"/>
    </row>
    <row r="23" spans="1:4" ht="16.8" hidden="1" x14ac:dyDescent="0.4">
      <c r="A23" t="s">
        <v>164</v>
      </c>
      <c r="B23">
        <f t="shared" si="0"/>
        <v>0</v>
      </c>
      <c r="D23" s="129"/>
    </row>
    <row r="24" spans="1:4" ht="16.8" hidden="1" x14ac:dyDescent="0.4">
      <c r="A24" t="s">
        <v>165</v>
      </c>
      <c r="B24">
        <f t="shared" si="0"/>
        <v>0</v>
      </c>
      <c r="D24" s="129"/>
    </row>
    <row r="25" spans="1:4" ht="16.8" hidden="1" x14ac:dyDescent="0.4">
      <c r="A25" t="s">
        <v>166</v>
      </c>
      <c r="B25">
        <f t="shared" si="0"/>
        <v>0</v>
      </c>
      <c r="D25" s="129"/>
    </row>
    <row r="26" spans="1:4" ht="16.8" hidden="1" x14ac:dyDescent="0.4">
      <c r="A26" t="s">
        <v>167</v>
      </c>
      <c r="B26">
        <f t="shared" si="0"/>
        <v>0</v>
      </c>
      <c r="D26" s="129"/>
    </row>
    <row r="27" spans="1:4" ht="16.8" hidden="1" x14ac:dyDescent="0.4">
      <c r="A27" t="s">
        <v>168</v>
      </c>
      <c r="B27">
        <f t="shared" si="0"/>
        <v>0</v>
      </c>
      <c r="D27" s="129"/>
    </row>
    <row r="28" spans="1:4" ht="16.8" hidden="1" x14ac:dyDescent="0.4">
      <c r="A28" t="s">
        <v>169</v>
      </c>
      <c r="B28">
        <f t="shared" si="0"/>
        <v>0</v>
      </c>
      <c r="D28" s="129"/>
    </row>
    <row r="29" spans="1:4" ht="16.8" hidden="1" x14ac:dyDescent="0.4">
      <c r="A29" t="s">
        <v>170</v>
      </c>
      <c r="B29">
        <f t="shared" si="0"/>
        <v>0</v>
      </c>
      <c r="D29" s="129"/>
    </row>
    <row r="30" spans="1:4" ht="16.8" hidden="1" x14ac:dyDescent="0.4">
      <c r="A30" t="s">
        <v>171</v>
      </c>
      <c r="B30">
        <f t="shared" si="0"/>
        <v>0</v>
      </c>
      <c r="D30" s="129"/>
    </row>
    <row r="31" spans="1:4" ht="16.8" hidden="1" x14ac:dyDescent="0.4">
      <c r="A31" t="s">
        <v>172</v>
      </c>
      <c r="B31">
        <f t="shared" si="0"/>
        <v>0</v>
      </c>
      <c r="D31" s="129"/>
    </row>
    <row r="32" spans="1:4" ht="16.8" hidden="1" x14ac:dyDescent="0.4">
      <c r="A32" t="s">
        <v>173</v>
      </c>
      <c r="B32">
        <f t="shared" ref="B32:B50" si="1">SIGN(SUBTOTAL(3,A32))</f>
        <v>0</v>
      </c>
      <c r="D32" s="129"/>
    </row>
    <row r="33" spans="1:4" ht="16.8" hidden="1" x14ac:dyDescent="0.4">
      <c r="A33" t="s">
        <v>174</v>
      </c>
      <c r="B33">
        <f t="shared" si="1"/>
        <v>0</v>
      </c>
      <c r="D33" s="129"/>
    </row>
    <row r="34" spans="1:4" ht="16.8" hidden="1" x14ac:dyDescent="0.4">
      <c r="A34" t="s">
        <v>175</v>
      </c>
      <c r="B34">
        <f t="shared" si="1"/>
        <v>0</v>
      </c>
      <c r="D34" s="129"/>
    </row>
    <row r="35" spans="1:4" ht="16.8" hidden="1" x14ac:dyDescent="0.4">
      <c r="A35" t="s">
        <v>176</v>
      </c>
      <c r="B35">
        <f t="shared" si="1"/>
        <v>0</v>
      </c>
      <c r="D35" s="129"/>
    </row>
    <row r="36" spans="1:4" ht="16.8" hidden="1" x14ac:dyDescent="0.4">
      <c r="A36" t="s">
        <v>177</v>
      </c>
      <c r="B36">
        <f t="shared" si="1"/>
        <v>0</v>
      </c>
      <c r="D36" s="129"/>
    </row>
    <row r="37" spans="1:4" ht="16.8" x14ac:dyDescent="0.4">
      <c r="A37" t="s">
        <v>178</v>
      </c>
      <c r="B37">
        <f t="shared" si="1"/>
        <v>1</v>
      </c>
      <c r="D37" s="129"/>
    </row>
    <row r="38" spans="1:4" ht="16.8" hidden="1" x14ac:dyDescent="0.4">
      <c r="A38" t="s">
        <v>179</v>
      </c>
      <c r="B38">
        <f t="shared" si="1"/>
        <v>0</v>
      </c>
      <c r="D38" s="129"/>
    </row>
    <row r="39" spans="1:4" ht="16.8" hidden="1" x14ac:dyDescent="0.4">
      <c r="A39" t="s">
        <v>180</v>
      </c>
      <c r="B39">
        <f t="shared" si="1"/>
        <v>0</v>
      </c>
      <c r="D39" s="129"/>
    </row>
    <row r="40" spans="1:4" ht="16.8" hidden="1" x14ac:dyDescent="0.4">
      <c r="A40" t="s">
        <v>181</v>
      </c>
      <c r="B40">
        <f t="shared" si="1"/>
        <v>0</v>
      </c>
      <c r="D40" s="129"/>
    </row>
    <row r="41" spans="1:4" ht="16.8" hidden="1" x14ac:dyDescent="0.4">
      <c r="A41" t="s">
        <v>182</v>
      </c>
      <c r="B41">
        <f t="shared" si="1"/>
        <v>0</v>
      </c>
      <c r="D41" s="129"/>
    </row>
    <row r="42" spans="1:4" ht="16.8" hidden="1" x14ac:dyDescent="0.4">
      <c r="A42" t="s">
        <v>183</v>
      </c>
      <c r="B42">
        <f t="shared" si="1"/>
        <v>0</v>
      </c>
      <c r="D42" s="129"/>
    </row>
    <row r="43" spans="1:4" ht="16.8" hidden="1" x14ac:dyDescent="0.4">
      <c r="A43" t="s">
        <v>184</v>
      </c>
      <c r="B43">
        <f t="shared" si="1"/>
        <v>0</v>
      </c>
      <c r="D43" s="129"/>
    </row>
    <row r="44" spans="1:4" ht="16.8" hidden="1" x14ac:dyDescent="0.4">
      <c r="A44" t="s">
        <v>185</v>
      </c>
      <c r="B44">
        <f t="shared" si="1"/>
        <v>0</v>
      </c>
      <c r="D44" s="129"/>
    </row>
    <row r="45" spans="1:4" ht="16.8" hidden="1" x14ac:dyDescent="0.4">
      <c r="A45" t="s">
        <v>186</v>
      </c>
      <c r="B45">
        <f t="shared" si="1"/>
        <v>0</v>
      </c>
      <c r="D45" s="129"/>
    </row>
    <row r="46" spans="1:4" ht="16.8" hidden="1" x14ac:dyDescent="0.4">
      <c r="A46" t="s">
        <v>187</v>
      </c>
      <c r="B46">
        <f t="shared" si="1"/>
        <v>0</v>
      </c>
      <c r="D46" s="129"/>
    </row>
    <row r="47" spans="1:4" ht="16.8" x14ac:dyDescent="0.4">
      <c r="A47" t="s">
        <v>188</v>
      </c>
      <c r="B47">
        <f t="shared" si="1"/>
        <v>1</v>
      </c>
      <c r="D47" s="129"/>
    </row>
    <row r="48" spans="1:4" ht="16.8" hidden="1" x14ac:dyDescent="0.4">
      <c r="A48" t="s">
        <v>189</v>
      </c>
      <c r="B48">
        <f t="shared" si="1"/>
        <v>0</v>
      </c>
      <c r="D48" s="129"/>
    </row>
    <row r="49" spans="1:4" ht="16.8" hidden="1" x14ac:dyDescent="0.4">
      <c r="A49" t="s">
        <v>190</v>
      </c>
      <c r="B49">
        <f t="shared" si="1"/>
        <v>0</v>
      </c>
      <c r="D49" s="129"/>
    </row>
    <row r="50" spans="1:4" ht="16.8" hidden="1" x14ac:dyDescent="0.4">
      <c r="A50" t="s">
        <v>191</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58"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309</v>
      </c>
      <c r="B1" s="97" t="s">
        <v>251</v>
      </c>
      <c r="C1" s="97" t="s">
        <v>28</v>
      </c>
      <c r="D1" s="97" t="s">
        <v>304</v>
      </c>
      <c r="E1" s="97" t="s">
        <v>308</v>
      </c>
      <c r="F1" s="98" t="s">
        <v>317</v>
      </c>
      <c r="G1" s="99" t="s">
        <v>237</v>
      </c>
      <c r="H1" s="99" t="s">
        <v>240</v>
      </c>
      <c r="I1" s="99" t="s">
        <v>1587</v>
      </c>
      <c r="J1" s="99" t="s">
        <v>239</v>
      </c>
      <c r="K1" s="99" t="s">
        <v>238</v>
      </c>
      <c r="L1" s="100" t="s">
        <v>25</v>
      </c>
      <c r="M1" s="100" t="s">
        <v>35</v>
      </c>
      <c r="N1" s="100" t="s">
        <v>31</v>
      </c>
      <c r="O1" s="101" t="s">
        <v>24</v>
      </c>
      <c r="P1" s="100" t="s">
        <v>36</v>
      </c>
      <c r="Q1" s="101" t="s">
        <v>44</v>
      </c>
      <c r="R1" s="101" t="s">
        <v>194</v>
      </c>
      <c r="S1" s="101" t="s">
        <v>45</v>
      </c>
    </row>
    <row r="2" spans="1:76" hidden="1" x14ac:dyDescent="0.3">
      <c r="A2" t="s">
        <v>284</v>
      </c>
      <c r="B2" t="s">
        <v>285</v>
      </c>
      <c r="C2" t="s">
        <v>5</v>
      </c>
      <c r="D2" s="80" t="s">
        <v>305</v>
      </c>
      <c r="E2" t="s">
        <v>1569</v>
      </c>
      <c r="F2" s="82">
        <f t="shared" ref="F2:F33" si="0">SIGN(SUBTOTAL(3,A2))</f>
        <v>0</v>
      </c>
      <c r="G2">
        <v>1</v>
      </c>
      <c r="H2" t="s">
        <v>14</v>
      </c>
      <c r="I2" t="s">
        <v>318</v>
      </c>
      <c r="J2">
        <v>15.60532807536244</v>
      </c>
      <c r="K2" t="s">
        <v>1570</v>
      </c>
      <c r="L2" t="s">
        <v>19</v>
      </c>
      <c r="M2" t="s">
        <v>1573</v>
      </c>
      <c r="N2" t="s">
        <v>319</v>
      </c>
      <c r="O2" s="81">
        <v>2031398.4971612808</v>
      </c>
      <c r="P2" t="s">
        <v>14</v>
      </c>
      <c r="Q2" s="81">
        <f>SAF_Cand_Refinery[[#This Row],[Max Amount]]*0.5</f>
        <v>1015699.2485806404</v>
      </c>
      <c r="R2" s="81">
        <f>SAF_Cand_Refinery[[#This Row],[Max Amount]]*0.1</f>
        <v>203139.84971612808</v>
      </c>
      <c r="S2" s="81">
        <v>108566609.03999999</v>
      </c>
      <c r="BX2" t="s">
        <v>1614</v>
      </c>
    </row>
    <row r="3" spans="1:76" hidden="1" x14ac:dyDescent="0.3">
      <c r="A3" t="s">
        <v>284</v>
      </c>
      <c r="B3" t="s">
        <v>285</v>
      </c>
      <c r="C3" t="s">
        <v>5</v>
      </c>
      <c r="D3" s="80" t="s">
        <v>305</v>
      </c>
      <c r="E3" t="s">
        <v>314</v>
      </c>
      <c r="F3" s="82">
        <f t="shared" si="0"/>
        <v>0</v>
      </c>
      <c r="G3">
        <v>1</v>
      </c>
      <c r="H3" t="s">
        <v>14</v>
      </c>
      <c r="I3" t="s">
        <v>318</v>
      </c>
      <c r="J3">
        <v>15.60532807536244</v>
      </c>
      <c r="K3" t="s">
        <v>1570</v>
      </c>
      <c r="L3" t="s">
        <v>19</v>
      </c>
      <c r="M3" t="s">
        <v>1573</v>
      </c>
      <c r="N3" t="s">
        <v>319</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284</v>
      </c>
      <c r="B4" t="s">
        <v>285</v>
      </c>
      <c r="C4" t="s">
        <v>5</v>
      </c>
      <c r="D4" s="80" t="s">
        <v>307</v>
      </c>
      <c r="E4" t="s">
        <v>1569</v>
      </c>
      <c r="F4" s="82">
        <f t="shared" si="0"/>
        <v>0</v>
      </c>
      <c r="G4">
        <v>1</v>
      </c>
      <c r="H4" t="s">
        <v>14</v>
      </c>
      <c r="I4" t="s">
        <v>318</v>
      </c>
      <c r="J4">
        <v>26.333991127174112</v>
      </c>
      <c r="K4" t="s">
        <v>1570</v>
      </c>
      <c r="L4" t="s">
        <v>19</v>
      </c>
      <c r="M4" t="s">
        <v>1577</v>
      </c>
      <c r="N4" t="s">
        <v>319</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284</v>
      </c>
      <c r="B5" t="s">
        <v>285</v>
      </c>
      <c r="C5" t="s">
        <v>5</v>
      </c>
      <c r="D5" s="80" t="s">
        <v>307</v>
      </c>
      <c r="E5" t="s">
        <v>314</v>
      </c>
      <c r="F5" s="82">
        <f t="shared" si="0"/>
        <v>0</v>
      </c>
      <c r="G5">
        <v>1</v>
      </c>
      <c r="H5" t="s">
        <v>14</v>
      </c>
      <c r="I5" t="s">
        <v>318</v>
      </c>
      <c r="J5">
        <v>23.407992113043658</v>
      </c>
      <c r="K5" t="s">
        <v>1570</v>
      </c>
      <c r="L5" t="s">
        <v>19</v>
      </c>
      <c r="M5" t="s">
        <v>1577</v>
      </c>
      <c r="N5" t="s">
        <v>319</v>
      </c>
      <c r="O5" s="81">
        <v>451421.88825806242</v>
      </c>
      <c r="P5" t="s">
        <v>14</v>
      </c>
      <c r="Q5" s="81">
        <f>SAF_Cand_Refinery[[#This Row],[Max Amount]]*0.5</f>
        <v>225710.94412903121</v>
      </c>
      <c r="R5" s="81">
        <f>SAF_Cand_Refinery[[#This Row],[Max Amount]]*0.1</f>
        <v>45142.188825806246</v>
      </c>
      <c r="S5" s="81">
        <v>44534613</v>
      </c>
    </row>
    <row r="6" spans="1:76" hidden="1" x14ac:dyDescent="0.3">
      <c r="A6" t="s">
        <v>284</v>
      </c>
      <c r="B6" t="s">
        <v>288</v>
      </c>
      <c r="C6" t="s">
        <v>5</v>
      </c>
      <c r="D6" s="80" t="s">
        <v>305</v>
      </c>
      <c r="E6" t="s">
        <v>1569</v>
      </c>
      <c r="F6" s="82">
        <f t="shared" si="0"/>
        <v>0</v>
      </c>
      <c r="G6">
        <v>1</v>
      </c>
      <c r="H6" t="s">
        <v>14</v>
      </c>
      <c r="I6" t="s">
        <v>318</v>
      </c>
      <c r="J6">
        <v>15.60532807536244</v>
      </c>
      <c r="K6" t="s">
        <v>1570</v>
      </c>
      <c r="L6" t="s">
        <v>19</v>
      </c>
      <c r="M6" t="s">
        <v>1573</v>
      </c>
      <c r="N6" t="s">
        <v>319</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284</v>
      </c>
      <c r="B7" t="s">
        <v>288</v>
      </c>
      <c r="C7" t="s">
        <v>5</v>
      </c>
      <c r="D7" s="80" t="s">
        <v>305</v>
      </c>
      <c r="E7" t="s">
        <v>314</v>
      </c>
      <c r="F7" s="82">
        <f t="shared" si="0"/>
        <v>0</v>
      </c>
      <c r="G7">
        <v>1</v>
      </c>
      <c r="H7" t="s">
        <v>14</v>
      </c>
      <c r="I7" t="s">
        <v>318</v>
      </c>
      <c r="J7">
        <v>15.60532807536244</v>
      </c>
      <c r="K7" t="s">
        <v>1570</v>
      </c>
      <c r="L7" t="s">
        <v>19</v>
      </c>
      <c r="M7" t="s">
        <v>1573</v>
      </c>
      <c r="N7" t="s">
        <v>319</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284</v>
      </c>
      <c r="B8" t="s">
        <v>288</v>
      </c>
      <c r="C8" t="s">
        <v>5</v>
      </c>
      <c r="D8" s="80" t="s">
        <v>307</v>
      </c>
      <c r="E8" t="s">
        <v>1569</v>
      </c>
      <c r="F8" s="82">
        <f t="shared" si="0"/>
        <v>0</v>
      </c>
      <c r="G8">
        <v>1</v>
      </c>
      <c r="H8" t="s">
        <v>14</v>
      </c>
      <c r="I8" t="s">
        <v>318</v>
      </c>
      <c r="J8">
        <v>26.333991127174112</v>
      </c>
      <c r="K8" t="s">
        <v>1570</v>
      </c>
      <c r="L8" t="s">
        <v>19</v>
      </c>
      <c r="M8" t="s">
        <v>1577</v>
      </c>
      <c r="N8" t="s">
        <v>319</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284</v>
      </c>
      <c r="B9" t="s">
        <v>288</v>
      </c>
      <c r="C9" t="s">
        <v>5</v>
      </c>
      <c r="D9" s="80" t="s">
        <v>307</v>
      </c>
      <c r="E9" t="s">
        <v>314</v>
      </c>
      <c r="F9" s="82">
        <f t="shared" si="0"/>
        <v>0</v>
      </c>
      <c r="G9">
        <v>1</v>
      </c>
      <c r="H9" t="s">
        <v>14</v>
      </c>
      <c r="I9" t="s">
        <v>318</v>
      </c>
      <c r="J9">
        <v>23.407992113043658</v>
      </c>
      <c r="K9" t="s">
        <v>1570</v>
      </c>
      <c r="L9" t="s">
        <v>19</v>
      </c>
      <c r="M9" t="s">
        <v>1577</v>
      </c>
      <c r="N9" t="s">
        <v>319</v>
      </c>
      <c r="O9" s="81">
        <v>451421.88825806242</v>
      </c>
      <c r="P9" t="s">
        <v>14</v>
      </c>
      <c r="Q9" s="81">
        <f>SAF_Cand_Refinery[[#This Row],[Max Amount]]*0.5</f>
        <v>225710.94412903121</v>
      </c>
      <c r="R9" s="81">
        <f>SAF_Cand_Refinery[[#This Row],[Max Amount]]*0.1</f>
        <v>45142.188825806246</v>
      </c>
      <c r="S9" s="81">
        <v>44534613</v>
      </c>
    </row>
    <row r="10" spans="1:76" hidden="1" x14ac:dyDescent="0.3">
      <c r="A10" t="s">
        <v>271</v>
      </c>
      <c r="B10" t="s">
        <v>273</v>
      </c>
      <c r="C10" t="s">
        <v>5</v>
      </c>
      <c r="D10" s="80" t="s">
        <v>305</v>
      </c>
      <c r="E10" t="s">
        <v>1569</v>
      </c>
      <c r="F10" s="82">
        <f t="shared" si="0"/>
        <v>0</v>
      </c>
      <c r="G10">
        <v>1</v>
      </c>
      <c r="H10" t="s">
        <v>14</v>
      </c>
      <c r="I10" t="s">
        <v>318</v>
      </c>
      <c r="J10">
        <v>15.60532807536244</v>
      </c>
      <c r="K10" t="s">
        <v>1570</v>
      </c>
      <c r="L10" t="s">
        <v>19</v>
      </c>
      <c r="M10" t="s">
        <v>1573</v>
      </c>
      <c r="N10" t="s">
        <v>319</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271</v>
      </c>
      <c r="B11" t="s">
        <v>273</v>
      </c>
      <c r="C11" t="s">
        <v>5</v>
      </c>
      <c r="D11" s="80" t="s">
        <v>305</v>
      </c>
      <c r="E11" t="s">
        <v>314</v>
      </c>
      <c r="F11" s="82">
        <f t="shared" si="0"/>
        <v>0</v>
      </c>
      <c r="G11">
        <v>1</v>
      </c>
      <c r="H11" t="s">
        <v>14</v>
      </c>
      <c r="I11" t="s">
        <v>318</v>
      </c>
      <c r="J11">
        <v>15.60532807536244</v>
      </c>
      <c r="K11" t="s">
        <v>1570</v>
      </c>
      <c r="L11" t="s">
        <v>19</v>
      </c>
      <c r="M11" t="s">
        <v>1573</v>
      </c>
      <c r="N11" t="s">
        <v>319</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271</v>
      </c>
      <c r="B12" t="s">
        <v>273</v>
      </c>
      <c r="C12" t="s">
        <v>5</v>
      </c>
      <c r="D12" s="80" t="s">
        <v>307</v>
      </c>
      <c r="E12" t="s">
        <v>1569</v>
      </c>
      <c r="F12" s="82">
        <f t="shared" si="0"/>
        <v>0</v>
      </c>
      <c r="G12">
        <v>1</v>
      </c>
      <c r="H12" t="s">
        <v>14</v>
      </c>
      <c r="I12" t="s">
        <v>318</v>
      </c>
      <c r="J12">
        <v>26.333991127174112</v>
      </c>
      <c r="K12" t="s">
        <v>1570</v>
      </c>
      <c r="L12" t="s">
        <v>19</v>
      </c>
      <c r="M12" t="s">
        <v>1577</v>
      </c>
      <c r="N12" t="s">
        <v>319</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271</v>
      </c>
      <c r="B13" t="s">
        <v>273</v>
      </c>
      <c r="C13" t="s">
        <v>5</v>
      </c>
      <c r="D13" s="80" t="s">
        <v>307</v>
      </c>
      <c r="E13" t="s">
        <v>314</v>
      </c>
      <c r="F13" s="82">
        <f t="shared" si="0"/>
        <v>0</v>
      </c>
      <c r="G13">
        <v>1</v>
      </c>
      <c r="H13" t="s">
        <v>14</v>
      </c>
      <c r="I13" t="s">
        <v>318</v>
      </c>
      <c r="J13">
        <v>23.407992113043658</v>
      </c>
      <c r="K13" t="s">
        <v>1570</v>
      </c>
      <c r="L13" t="s">
        <v>19</v>
      </c>
      <c r="M13" t="s">
        <v>1577</v>
      </c>
      <c r="N13" t="s">
        <v>319</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271</v>
      </c>
      <c r="B14" t="s">
        <v>272</v>
      </c>
      <c r="C14" t="s">
        <v>5</v>
      </c>
      <c r="D14" s="80" t="s">
        <v>305</v>
      </c>
      <c r="E14" t="s">
        <v>1569</v>
      </c>
      <c r="F14" s="82">
        <f t="shared" si="0"/>
        <v>0</v>
      </c>
      <c r="G14">
        <v>1</v>
      </c>
      <c r="H14" t="s">
        <v>14</v>
      </c>
      <c r="I14" t="s">
        <v>318</v>
      </c>
      <c r="J14">
        <v>15.60532807536244</v>
      </c>
      <c r="K14" t="s">
        <v>1570</v>
      </c>
      <c r="L14" t="s">
        <v>19</v>
      </c>
      <c r="M14" t="s">
        <v>1573</v>
      </c>
      <c r="N14" t="s">
        <v>319</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271</v>
      </c>
      <c r="B15" t="s">
        <v>272</v>
      </c>
      <c r="C15" t="s">
        <v>5</v>
      </c>
      <c r="D15" s="80" t="s">
        <v>305</v>
      </c>
      <c r="E15" t="s">
        <v>314</v>
      </c>
      <c r="F15" s="82">
        <f t="shared" si="0"/>
        <v>0</v>
      </c>
      <c r="G15">
        <v>1</v>
      </c>
      <c r="H15" t="s">
        <v>14</v>
      </c>
      <c r="I15" t="s">
        <v>318</v>
      </c>
      <c r="J15">
        <v>15.60532807536244</v>
      </c>
      <c r="K15" t="s">
        <v>1570</v>
      </c>
      <c r="L15" t="s">
        <v>19</v>
      </c>
      <c r="M15" t="s">
        <v>1573</v>
      </c>
      <c r="N15" t="s">
        <v>319</v>
      </c>
      <c r="O15" s="81">
        <v>677132.83238709357</v>
      </c>
      <c r="P15" t="s">
        <v>14</v>
      </c>
      <c r="Q15" s="81">
        <f>SAF_Cand_Refinery[[#This Row],[Max Amount]]*0.5</f>
        <v>338566.41619354679</v>
      </c>
      <c r="R15" s="81">
        <f>SAF_Cand_Refinery[[#This Row],[Max Amount]]*0.1</f>
        <v>67713.283238709366</v>
      </c>
      <c r="S15" s="81">
        <v>91155661.800000012</v>
      </c>
    </row>
    <row r="16" spans="1:76" hidden="1" x14ac:dyDescent="0.3">
      <c r="A16" t="s">
        <v>271</v>
      </c>
      <c r="B16" t="s">
        <v>272</v>
      </c>
      <c r="C16" t="s">
        <v>5</v>
      </c>
      <c r="D16" s="80" t="s">
        <v>307</v>
      </c>
      <c r="E16" t="s">
        <v>1569</v>
      </c>
      <c r="F16" s="82">
        <f t="shared" si="0"/>
        <v>0</v>
      </c>
      <c r="G16">
        <v>1</v>
      </c>
      <c r="H16" t="s">
        <v>14</v>
      </c>
      <c r="I16" t="s">
        <v>318</v>
      </c>
      <c r="J16">
        <v>26.333991127174112</v>
      </c>
      <c r="K16" t="s">
        <v>1570</v>
      </c>
      <c r="L16" t="s">
        <v>19</v>
      </c>
      <c r="M16" t="s">
        <v>1577</v>
      </c>
      <c r="N16" t="s">
        <v>319</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271</v>
      </c>
      <c r="B17" t="s">
        <v>272</v>
      </c>
      <c r="C17" t="s">
        <v>5</v>
      </c>
      <c r="D17" s="80" t="s">
        <v>307</v>
      </c>
      <c r="E17" t="s">
        <v>314</v>
      </c>
      <c r="F17" s="82">
        <f t="shared" si="0"/>
        <v>0</v>
      </c>
      <c r="G17">
        <v>1</v>
      </c>
      <c r="H17" t="s">
        <v>14</v>
      </c>
      <c r="I17" t="s">
        <v>318</v>
      </c>
      <c r="J17">
        <v>23.407992113043658</v>
      </c>
      <c r="K17" t="s">
        <v>1570</v>
      </c>
      <c r="L17" t="s">
        <v>19</v>
      </c>
      <c r="M17" t="s">
        <v>1577</v>
      </c>
      <c r="N17" t="s">
        <v>319</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271</v>
      </c>
      <c r="B18" t="s">
        <v>283</v>
      </c>
      <c r="C18" t="s">
        <v>5</v>
      </c>
      <c r="D18" s="80" t="s">
        <v>305</v>
      </c>
      <c r="E18" t="s">
        <v>1569</v>
      </c>
      <c r="F18" s="82">
        <f t="shared" si="0"/>
        <v>0</v>
      </c>
      <c r="G18">
        <v>1</v>
      </c>
      <c r="H18" t="s">
        <v>14</v>
      </c>
      <c r="I18" t="s">
        <v>318</v>
      </c>
      <c r="J18">
        <v>15.60532807536244</v>
      </c>
      <c r="K18" t="s">
        <v>1570</v>
      </c>
      <c r="L18" t="s">
        <v>19</v>
      </c>
      <c r="M18" t="s">
        <v>1573</v>
      </c>
      <c r="N18" t="s">
        <v>319</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271</v>
      </c>
      <c r="B19" t="s">
        <v>283</v>
      </c>
      <c r="C19" t="s">
        <v>5</v>
      </c>
      <c r="D19" s="80" t="s">
        <v>305</v>
      </c>
      <c r="E19" t="s">
        <v>314</v>
      </c>
      <c r="F19" s="82">
        <f t="shared" si="0"/>
        <v>0</v>
      </c>
      <c r="G19">
        <v>1</v>
      </c>
      <c r="H19" t="s">
        <v>14</v>
      </c>
      <c r="I19" t="s">
        <v>318</v>
      </c>
      <c r="J19">
        <v>15.60532807536244</v>
      </c>
      <c r="K19" t="s">
        <v>1570</v>
      </c>
      <c r="L19" t="s">
        <v>19</v>
      </c>
      <c r="M19" t="s">
        <v>1573</v>
      </c>
      <c r="N19" t="s">
        <v>319</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271</v>
      </c>
      <c r="B20" t="s">
        <v>283</v>
      </c>
      <c r="C20" t="s">
        <v>5</v>
      </c>
      <c r="D20" s="80" t="s">
        <v>307</v>
      </c>
      <c r="E20" t="s">
        <v>1569</v>
      </c>
      <c r="F20" s="82">
        <f t="shared" si="0"/>
        <v>0</v>
      </c>
      <c r="G20">
        <v>1</v>
      </c>
      <c r="H20" t="s">
        <v>14</v>
      </c>
      <c r="I20" t="s">
        <v>318</v>
      </c>
      <c r="J20">
        <v>26.333991127174112</v>
      </c>
      <c r="K20" t="s">
        <v>1570</v>
      </c>
      <c r="L20" t="s">
        <v>19</v>
      </c>
      <c r="M20" t="s">
        <v>1577</v>
      </c>
      <c r="N20" t="s">
        <v>319</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271</v>
      </c>
      <c r="B21" t="s">
        <v>283</v>
      </c>
      <c r="C21" t="s">
        <v>5</v>
      </c>
      <c r="D21" s="80" t="s">
        <v>307</v>
      </c>
      <c r="E21" t="s">
        <v>314</v>
      </c>
      <c r="F21" s="82">
        <f t="shared" si="0"/>
        <v>0</v>
      </c>
      <c r="G21">
        <v>1</v>
      </c>
      <c r="H21" t="s">
        <v>14</v>
      </c>
      <c r="I21" t="s">
        <v>318</v>
      </c>
      <c r="J21">
        <v>23.407992113043658</v>
      </c>
      <c r="K21" t="s">
        <v>1570</v>
      </c>
      <c r="L21" t="s">
        <v>19</v>
      </c>
      <c r="M21" t="s">
        <v>1577</v>
      </c>
      <c r="N21" t="s">
        <v>319</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271</v>
      </c>
      <c r="B22" t="s">
        <v>274</v>
      </c>
      <c r="C22" t="s">
        <v>5</v>
      </c>
      <c r="D22" s="80" t="s">
        <v>305</v>
      </c>
      <c r="E22" t="s">
        <v>1569</v>
      </c>
      <c r="F22" s="82">
        <f t="shared" si="0"/>
        <v>0</v>
      </c>
      <c r="G22">
        <v>1</v>
      </c>
      <c r="H22" t="s">
        <v>14</v>
      </c>
      <c r="I22" t="s">
        <v>318</v>
      </c>
      <c r="J22">
        <v>15.60532807536244</v>
      </c>
      <c r="K22" t="s">
        <v>1570</v>
      </c>
      <c r="L22" t="s">
        <v>19</v>
      </c>
      <c r="M22" t="s">
        <v>1573</v>
      </c>
      <c r="N22" t="s">
        <v>319</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271</v>
      </c>
      <c r="B23" t="s">
        <v>274</v>
      </c>
      <c r="C23" t="s">
        <v>5</v>
      </c>
      <c r="D23" s="80" t="s">
        <v>305</v>
      </c>
      <c r="E23" t="s">
        <v>314</v>
      </c>
      <c r="F23" s="82">
        <f t="shared" si="0"/>
        <v>0</v>
      </c>
      <c r="G23">
        <v>1</v>
      </c>
      <c r="H23" t="s">
        <v>14</v>
      </c>
      <c r="I23" t="s">
        <v>318</v>
      </c>
      <c r="J23">
        <v>15.60532807536244</v>
      </c>
      <c r="K23" t="s">
        <v>1570</v>
      </c>
      <c r="L23" t="s">
        <v>19</v>
      </c>
      <c r="M23" t="s">
        <v>1573</v>
      </c>
      <c r="N23" t="s">
        <v>319</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271</v>
      </c>
      <c r="B24" t="s">
        <v>274</v>
      </c>
      <c r="C24" t="s">
        <v>5</v>
      </c>
      <c r="D24" s="80" t="s">
        <v>307</v>
      </c>
      <c r="E24" t="s">
        <v>1569</v>
      </c>
      <c r="F24" s="82">
        <f t="shared" si="0"/>
        <v>0</v>
      </c>
      <c r="G24">
        <v>1</v>
      </c>
      <c r="H24" t="s">
        <v>14</v>
      </c>
      <c r="I24" t="s">
        <v>318</v>
      </c>
      <c r="J24">
        <v>26.333991127174112</v>
      </c>
      <c r="K24" t="s">
        <v>1570</v>
      </c>
      <c r="L24" t="s">
        <v>19</v>
      </c>
      <c r="M24" t="s">
        <v>1577</v>
      </c>
      <c r="N24" t="s">
        <v>319</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271</v>
      </c>
      <c r="B25" t="s">
        <v>274</v>
      </c>
      <c r="C25" t="s">
        <v>5</v>
      </c>
      <c r="D25" s="80" t="s">
        <v>307</v>
      </c>
      <c r="E25" t="s">
        <v>314</v>
      </c>
      <c r="F25" s="82">
        <f t="shared" si="0"/>
        <v>0</v>
      </c>
      <c r="G25">
        <v>1</v>
      </c>
      <c r="H25" t="s">
        <v>14</v>
      </c>
      <c r="I25" t="s">
        <v>318</v>
      </c>
      <c r="J25">
        <v>23.407992113043658</v>
      </c>
      <c r="K25" t="s">
        <v>1570</v>
      </c>
      <c r="L25" t="s">
        <v>19</v>
      </c>
      <c r="M25" t="s">
        <v>1577</v>
      </c>
      <c r="N25" t="s">
        <v>319</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271</v>
      </c>
      <c r="B26" t="s">
        <v>287</v>
      </c>
      <c r="C26" t="s">
        <v>5</v>
      </c>
      <c r="D26" s="80" t="s">
        <v>305</v>
      </c>
      <c r="E26" t="s">
        <v>1569</v>
      </c>
      <c r="F26" s="82">
        <f t="shared" si="0"/>
        <v>0</v>
      </c>
      <c r="G26">
        <v>1</v>
      </c>
      <c r="H26" t="s">
        <v>14</v>
      </c>
      <c r="I26" t="s">
        <v>318</v>
      </c>
      <c r="J26">
        <v>15.60532807536244</v>
      </c>
      <c r="K26" t="s">
        <v>1570</v>
      </c>
      <c r="L26" t="s">
        <v>19</v>
      </c>
      <c r="M26" t="s">
        <v>1573</v>
      </c>
      <c r="N26" t="s">
        <v>319</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271</v>
      </c>
      <c r="B27" t="s">
        <v>287</v>
      </c>
      <c r="C27" t="s">
        <v>5</v>
      </c>
      <c r="D27" s="80" t="s">
        <v>305</v>
      </c>
      <c r="E27" t="s">
        <v>314</v>
      </c>
      <c r="F27" s="82">
        <f t="shared" si="0"/>
        <v>0</v>
      </c>
      <c r="G27">
        <v>1</v>
      </c>
      <c r="H27" t="s">
        <v>14</v>
      </c>
      <c r="I27" t="s">
        <v>318</v>
      </c>
      <c r="J27">
        <v>15.60532807536244</v>
      </c>
      <c r="K27" t="s">
        <v>1570</v>
      </c>
      <c r="L27" t="s">
        <v>19</v>
      </c>
      <c r="M27" t="s">
        <v>1573</v>
      </c>
      <c r="N27" t="s">
        <v>319</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271</v>
      </c>
      <c r="B28" t="s">
        <v>287</v>
      </c>
      <c r="C28" t="s">
        <v>5</v>
      </c>
      <c r="D28" s="80" t="s">
        <v>307</v>
      </c>
      <c r="E28" t="s">
        <v>1569</v>
      </c>
      <c r="F28" s="82">
        <f t="shared" si="0"/>
        <v>0</v>
      </c>
      <c r="G28">
        <v>1</v>
      </c>
      <c r="H28" t="s">
        <v>14</v>
      </c>
      <c r="I28" t="s">
        <v>318</v>
      </c>
      <c r="J28">
        <v>26.333991127174112</v>
      </c>
      <c r="K28" t="s">
        <v>1570</v>
      </c>
      <c r="L28" t="s">
        <v>19</v>
      </c>
      <c r="M28" t="s">
        <v>1577</v>
      </c>
      <c r="N28" t="s">
        <v>319</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271</v>
      </c>
      <c r="B29" t="s">
        <v>287</v>
      </c>
      <c r="C29" t="s">
        <v>5</v>
      </c>
      <c r="D29" s="80" t="s">
        <v>307</v>
      </c>
      <c r="E29" t="s">
        <v>314</v>
      </c>
      <c r="F29" s="82">
        <f t="shared" si="0"/>
        <v>0</v>
      </c>
      <c r="G29">
        <v>1</v>
      </c>
      <c r="H29" t="s">
        <v>14</v>
      </c>
      <c r="I29" t="s">
        <v>318</v>
      </c>
      <c r="J29">
        <v>23.407992113043658</v>
      </c>
      <c r="K29" t="s">
        <v>1570</v>
      </c>
      <c r="L29" t="s">
        <v>19</v>
      </c>
      <c r="M29" t="s">
        <v>1577</v>
      </c>
      <c r="N29" t="s">
        <v>319</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271</v>
      </c>
      <c r="B30" t="s">
        <v>282</v>
      </c>
      <c r="C30" t="s">
        <v>5</v>
      </c>
      <c r="D30" s="80" t="s">
        <v>305</v>
      </c>
      <c r="E30" t="s">
        <v>1569</v>
      </c>
      <c r="F30" s="82">
        <f t="shared" si="0"/>
        <v>0</v>
      </c>
      <c r="G30">
        <v>1</v>
      </c>
      <c r="H30" t="s">
        <v>14</v>
      </c>
      <c r="I30" t="s">
        <v>318</v>
      </c>
      <c r="J30">
        <v>15.60532807536244</v>
      </c>
      <c r="K30" t="s">
        <v>1570</v>
      </c>
      <c r="L30" t="s">
        <v>19</v>
      </c>
      <c r="M30" t="s">
        <v>1573</v>
      </c>
      <c r="N30" t="s">
        <v>319</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271</v>
      </c>
      <c r="B31" t="s">
        <v>282</v>
      </c>
      <c r="C31" t="s">
        <v>5</v>
      </c>
      <c r="D31" s="80" t="s">
        <v>305</v>
      </c>
      <c r="E31" t="s">
        <v>314</v>
      </c>
      <c r="F31" s="82">
        <f t="shared" si="0"/>
        <v>0</v>
      </c>
      <c r="G31">
        <v>1</v>
      </c>
      <c r="H31" t="s">
        <v>14</v>
      </c>
      <c r="I31" t="s">
        <v>318</v>
      </c>
      <c r="J31">
        <v>15.60532807536244</v>
      </c>
      <c r="K31" t="s">
        <v>1570</v>
      </c>
      <c r="L31" t="s">
        <v>19</v>
      </c>
      <c r="M31" t="s">
        <v>1573</v>
      </c>
      <c r="N31" t="s">
        <v>319</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271</v>
      </c>
      <c r="B32" t="s">
        <v>282</v>
      </c>
      <c r="C32" t="s">
        <v>5</v>
      </c>
      <c r="D32" s="80" t="s">
        <v>307</v>
      </c>
      <c r="E32" t="s">
        <v>1569</v>
      </c>
      <c r="F32" s="82">
        <f t="shared" si="0"/>
        <v>0</v>
      </c>
      <c r="G32">
        <v>1</v>
      </c>
      <c r="H32" t="s">
        <v>14</v>
      </c>
      <c r="I32" t="s">
        <v>318</v>
      </c>
      <c r="J32">
        <v>26.333991127174112</v>
      </c>
      <c r="K32" t="s">
        <v>1570</v>
      </c>
      <c r="L32" t="s">
        <v>19</v>
      </c>
      <c r="M32" t="s">
        <v>1577</v>
      </c>
      <c r="N32" t="s">
        <v>319</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271</v>
      </c>
      <c r="B33" t="s">
        <v>282</v>
      </c>
      <c r="C33" t="s">
        <v>5</v>
      </c>
      <c r="D33" s="80" t="s">
        <v>307</v>
      </c>
      <c r="E33" t="s">
        <v>314</v>
      </c>
      <c r="F33" s="82">
        <f t="shared" si="0"/>
        <v>0</v>
      </c>
      <c r="G33">
        <v>1</v>
      </c>
      <c r="H33" t="s">
        <v>14</v>
      </c>
      <c r="I33" t="s">
        <v>318</v>
      </c>
      <c r="J33">
        <v>23.407992113043658</v>
      </c>
      <c r="K33" t="s">
        <v>1570</v>
      </c>
      <c r="L33" t="s">
        <v>19</v>
      </c>
      <c r="M33" t="s">
        <v>1577</v>
      </c>
      <c r="N33" t="s">
        <v>319</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271</v>
      </c>
      <c r="B34" t="s">
        <v>286</v>
      </c>
      <c r="C34" t="s">
        <v>5</v>
      </c>
      <c r="D34" s="80" t="s">
        <v>305</v>
      </c>
      <c r="E34" t="s">
        <v>1569</v>
      </c>
      <c r="F34" s="82">
        <f t="shared" ref="F34:F65" si="1">SIGN(SUBTOTAL(3,A34))</f>
        <v>0</v>
      </c>
      <c r="G34">
        <v>1</v>
      </c>
      <c r="H34" t="s">
        <v>14</v>
      </c>
      <c r="I34" t="s">
        <v>318</v>
      </c>
      <c r="J34">
        <v>15.60532807536244</v>
      </c>
      <c r="K34" t="s">
        <v>1570</v>
      </c>
      <c r="L34" t="s">
        <v>19</v>
      </c>
      <c r="M34" t="s">
        <v>1573</v>
      </c>
      <c r="N34" t="s">
        <v>319</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271</v>
      </c>
      <c r="B35" t="s">
        <v>286</v>
      </c>
      <c r="C35" t="s">
        <v>5</v>
      </c>
      <c r="D35" s="80" t="s">
        <v>305</v>
      </c>
      <c r="E35" t="s">
        <v>314</v>
      </c>
      <c r="F35" s="82">
        <f t="shared" si="1"/>
        <v>0</v>
      </c>
      <c r="G35">
        <v>1</v>
      </c>
      <c r="H35" t="s">
        <v>14</v>
      </c>
      <c r="I35" t="s">
        <v>318</v>
      </c>
      <c r="J35">
        <v>15.60532807536244</v>
      </c>
      <c r="K35" t="s">
        <v>1570</v>
      </c>
      <c r="L35" t="s">
        <v>19</v>
      </c>
      <c r="M35" t="s">
        <v>1573</v>
      </c>
      <c r="N35" t="s">
        <v>319</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271</v>
      </c>
      <c r="B36" t="s">
        <v>286</v>
      </c>
      <c r="C36" t="s">
        <v>5</v>
      </c>
      <c r="D36" s="80" t="s">
        <v>307</v>
      </c>
      <c r="E36" t="s">
        <v>1569</v>
      </c>
      <c r="F36" s="82">
        <f t="shared" si="1"/>
        <v>0</v>
      </c>
      <c r="G36">
        <v>1</v>
      </c>
      <c r="H36" t="s">
        <v>14</v>
      </c>
      <c r="I36" t="s">
        <v>318</v>
      </c>
      <c r="J36">
        <v>26.333991127174112</v>
      </c>
      <c r="K36" t="s">
        <v>1570</v>
      </c>
      <c r="L36" t="s">
        <v>19</v>
      </c>
      <c r="M36" t="s">
        <v>1577</v>
      </c>
      <c r="N36" t="s">
        <v>319</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271</v>
      </c>
      <c r="B37" t="s">
        <v>286</v>
      </c>
      <c r="C37" t="s">
        <v>5</v>
      </c>
      <c r="D37" s="80" t="s">
        <v>307</v>
      </c>
      <c r="E37" t="s">
        <v>314</v>
      </c>
      <c r="F37" s="82">
        <f t="shared" si="1"/>
        <v>0</v>
      </c>
      <c r="G37">
        <v>1</v>
      </c>
      <c r="H37" t="s">
        <v>14</v>
      </c>
      <c r="I37" t="s">
        <v>318</v>
      </c>
      <c r="J37">
        <v>23.407992113043658</v>
      </c>
      <c r="K37" t="s">
        <v>1570</v>
      </c>
      <c r="L37" t="s">
        <v>19</v>
      </c>
      <c r="M37" t="s">
        <v>1577</v>
      </c>
      <c r="N37" t="s">
        <v>319</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271</v>
      </c>
      <c r="B38" t="s">
        <v>281</v>
      </c>
      <c r="C38" t="s">
        <v>5</v>
      </c>
      <c r="D38" s="80" t="s">
        <v>305</v>
      </c>
      <c r="E38" t="s">
        <v>1569</v>
      </c>
      <c r="F38" s="82">
        <f t="shared" si="1"/>
        <v>0</v>
      </c>
      <c r="G38">
        <v>1</v>
      </c>
      <c r="H38" t="s">
        <v>14</v>
      </c>
      <c r="I38" t="s">
        <v>318</v>
      </c>
      <c r="J38">
        <v>15.60532807536244</v>
      </c>
      <c r="K38" t="s">
        <v>1570</v>
      </c>
      <c r="L38" t="s">
        <v>19</v>
      </c>
      <c r="M38" t="s">
        <v>1573</v>
      </c>
      <c r="N38" t="s">
        <v>319</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271</v>
      </c>
      <c r="B39" t="s">
        <v>281</v>
      </c>
      <c r="C39" t="s">
        <v>5</v>
      </c>
      <c r="D39" s="80" t="s">
        <v>305</v>
      </c>
      <c r="E39" t="s">
        <v>314</v>
      </c>
      <c r="F39" s="82">
        <f t="shared" si="1"/>
        <v>0</v>
      </c>
      <c r="G39">
        <v>1</v>
      </c>
      <c r="H39" t="s">
        <v>14</v>
      </c>
      <c r="I39" t="s">
        <v>318</v>
      </c>
      <c r="J39">
        <v>15.60532807536244</v>
      </c>
      <c r="K39" t="s">
        <v>1570</v>
      </c>
      <c r="L39" t="s">
        <v>19</v>
      </c>
      <c r="M39" t="s">
        <v>1573</v>
      </c>
      <c r="N39" t="s">
        <v>319</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271</v>
      </c>
      <c r="B40" t="s">
        <v>281</v>
      </c>
      <c r="C40" t="s">
        <v>5</v>
      </c>
      <c r="D40" s="80" t="s">
        <v>307</v>
      </c>
      <c r="E40" t="s">
        <v>1569</v>
      </c>
      <c r="F40" s="82">
        <f t="shared" si="1"/>
        <v>0</v>
      </c>
      <c r="G40">
        <v>1</v>
      </c>
      <c r="H40" t="s">
        <v>14</v>
      </c>
      <c r="I40" t="s">
        <v>318</v>
      </c>
      <c r="J40">
        <v>26.333991127174112</v>
      </c>
      <c r="K40" t="s">
        <v>1570</v>
      </c>
      <c r="L40" t="s">
        <v>19</v>
      </c>
      <c r="M40" t="s">
        <v>1577</v>
      </c>
      <c r="N40" t="s">
        <v>319</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271</v>
      </c>
      <c r="B41" t="s">
        <v>281</v>
      </c>
      <c r="C41" t="s">
        <v>5</v>
      </c>
      <c r="D41" s="80" t="s">
        <v>307</v>
      </c>
      <c r="E41" t="s">
        <v>314</v>
      </c>
      <c r="F41" s="82">
        <f t="shared" si="1"/>
        <v>0</v>
      </c>
      <c r="G41">
        <v>1</v>
      </c>
      <c r="H41" t="s">
        <v>14</v>
      </c>
      <c r="I41" t="s">
        <v>318</v>
      </c>
      <c r="J41">
        <v>23.407992113043658</v>
      </c>
      <c r="K41" t="s">
        <v>1570</v>
      </c>
      <c r="L41" t="s">
        <v>19</v>
      </c>
      <c r="M41" t="s">
        <v>1577</v>
      </c>
      <c r="N41" t="s">
        <v>319</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271</v>
      </c>
      <c r="B42" t="s">
        <v>276</v>
      </c>
      <c r="C42" t="s">
        <v>5</v>
      </c>
      <c r="D42" s="80" t="s">
        <v>305</v>
      </c>
      <c r="E42" t="s">
        <v>1569</v>
      </c>
      <c r="F42" s="82">
        <f t="shared" si="1"/>
        <v>0</v>
      </c>
      <c r="G42">
        <v>1</v>
      </c>
      <c r="H42" t="s">
        <v>14</v>
      </c>
      <c r="I42" t="s">
        <v>318</v>
      </c>
      <c r="J42">
        <v>15.60532807536244</v>
      </c>
      <c r="K42" t="s">
        <v>1570</v>
      </c>
      <c r="L42" t="s">
        <v>19</v>
      </c>
      <c r="M42" t="s">
        <v>1573</v>
      </c>
      <c r="N42" t="s">
        <v>319</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271</v>
      </c>
      <c r="B43" t="s">
        <v>276</v>
      </c>
      <c r="C43" t="s">
        <v>5</v>
      </c>
      <c r="D43" s="80" t="s">
        <v>305</v>
      </c>
      <c r="E43" t="s">
        <v>314</v>
      </c>
      <c r="F43" s="82">
        <f t="shared" si="1"/>
        <v>0</v>
      </c>
      <c r="G43">
        <v>1</v>
      </c>
      <c r="H43" t="s">
        <v>14</v>
      </c>
      <c r="I43" t="s">
        <v>318</v>
      </c>
      <c r="J43">
        <v>15.60532807536244</v>
      </c>
      <c r="K43" t="s">
        <v>1570</v>
      </c>
      <c r="L43" t="s">
        <v>19</v>
      </c>
      <c r="M43" t="s">
        <v>1573</v>
      </c>
      <c r="N43" t="s">
        <v>319</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271</v>
      </c>
      <c r="B44" t="s">
        <v>276</v>
      </c>
      <c r="C44" t="s">
        <v>5</v>
      </c>
      <c r="D44" s="80" t="s">
        <v>307</v>
      </c>
      <c r="E44" t="s">
        <v>1569</v>
      </c>
      <c r="F44" s="82">
        <f t="shared" si="1"/>
        <v>0</v>
      </c>
      <c r="G44">
        <v>1</v>
      </c>
      <c r="H44" t="s">
        <v>14</v>
      </c>
      <c r="I44" t="s">
        <v>318</v>
      </c>
      <c r="J44">
        <v>26.333991127174112</v>
      </c>
      <c r="K44" t="s">
        <v>1570</v>
      </c>
      <c r="L44" t="s">
        <v>19</v>
      </c>
      <c r="M44" t="s">
        <v>1577</v>
      </c>
      <c r="N44" t="s">
        <v>319</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271</v>
      </c>
      <c r="B45" t="s">
        <v>276</v>
      </c>
      <c r="C45" t="s">
        <v>5</v>
      </c>
      <c r="D45" s="80" t="s">
        <v>307</v>
      </c>
      <c r="E45" t="s">
        <v>314</v>
      </c>
      <c r="F45" s="82">
        <f t="shared" si="1"/>
        <v>0</v>
      </c>
      <c r="G45">
        <v>1</v>
      </c>
      <c r="H45" t="s">
        <v>14</v>
      </c>
      <c r="I45" t="s">
        <v>318</v>
      </c>
      <c r="J45">
        <v>23.407992113043658</v>
      </c>
      <c r="K45" t="s">
        <v>1570</v>
      </c>
      <c r="L45" t="s">
        <v>19</v>
      </c>
      <c r="M45" t="s">
        <v>1577</v>
      </c>
      <c r="N45" t="s">
        <v>319</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271</v>
      </c>
      <c r="B46" t="s">
        <v>275</v>
      </c>
      <c r="C46" t="s">
        <v>5</v>
      </c>
      <c r="D46" s="80" t="s">
        <v>305</v>
      </c>
      <c r="E46" t="s">
        <v>1569</v>
      </c>
      <c r="F46" s="82">
        <f t="shared" si="1"/>
        <v>0</v>
      </c>
      <c r="G46">
        <v>1</v>
      </c>
      <c r="H46" t="s">
        <v>14</v>
      </c>
      <c r="I46" t="s">
        <v>318</v>
      </c>
      <c r="J46">
        <v>15.60532807536244</v>
      </c>
      <c r="K46" t="s">
        <v>1570</v>
      </c>
      <c r="L46" t="s">
        <v>19</v>
      </c>
      <c r="M46" t="s">
        <v>1573</v>
      </c>
      <c r="N46" t="s">
        <v>319</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271</v>
      </c>
      <c r="B47" t="s">
        <v>275</v>
      </c>
      <c r="C47" t="s">
        <v>5</v>
      </c>
      <c r="D47" s="80" t="s">
        <v>305</v>
      </c>
      <c r="E47" t="s">
        <v>314</v>
      </c>
      <c r="F47" s="82">
        <f t="shared" si="1"/>
        <v>0</v>
      </c>
      <c r="G47">
        <v>1</v>
      </c>
      <c r="H47" t="s">
        <v>14</v>
      </c>
      <c r="I47" t="s">
        <v>318</v>
      </c>
      <c r="J47">
        <v>15.60532807536244</v>
      </c>
      <c r="K47" t="s">
        <v>1570</v>
      </c>
      <c r="L47" t="s">
        <v>19</v>
      </c>
      <c r="M47" t="s">
        <v>1573</v>
      </c>
      <c r="N47" t="s">
        <v>319</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271</v>
      </c>
      <c r="B48" t="s">
        <v>275</v>
      </c>
      <c r="C48" t="s">
        <v>5</v>
      </c>
      <c r="D48" s="80" t="s">
        <v>307</v>
      </c>
      <c r="E48" t="s">
        <v>1569</v>
      </c>
      <c r="F48" s="82">
        <f t="shared" si="1"/>
        <v>0</v>
      </c>
      <c r="G48">
        <v>1</v>
      </c>
      <c r="H48" t="s">
        <v>14</v>
      </c>
      <c r="I48" t="s">
        <v>318</v>
      </c>
      <c r="J48">
        <v>26.333991127174112</v>
      </c>
      <c r="K48" t="s">
        <v>1570</v>
      </c>
      <c r="L48" t="s">
        <v>19</v>
      </c>
      <c r="M48" t="s">
        <v>1577</v>
      </c>
      <c r="N48" t="s">
        <v>319</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271</v>
      </c>
      <c r="B49" t="s">
        <v>275</v>
      </c>
      <c r="C49" t="s">
        <v>5</v>
      </c>
      <c r="D49" s="80" t="s">
        <v>307</v>
      </c>
      <c r="E49" t="s">
        <v>314</v>
      </c>
      <c r="F49" s="82">
        <f t="shared" si="1"/>
        <v>0</v>
      </c>
      <c r="G49">
        <v>1</v>
      </c>
      <c r="H49" t="s">
        <v>14</v>
      </c>
      <c r="I49" t="s">
        <v>318</v>
      </c>
      <c r="J49">
        <v>23.407992113043658</v>
      </c>
      <c r="K49" t="s">
        <v>1570</v>
      </c>
      <c r="L49" t="s">
        <v>19</v>
      </c>
      <c r="M49" t="s">
        <v>1577</v>
      </c>
      <c r="N49" t="s">
        <v>319</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269</v>
      </c>
      <c r="B50" t="s">
        <v>270</v>
      </c>
      <c r="C50" t="s">
        <v>5</v>
      </c>
      <c r="D50" s="80" t="s">
        <v>305</v>
      </c>
      <c r="E50" t="s">
        <v>1569</v>
      </c>
      <c r="F50" s="82">
        <f t="shared" si="1"/>
        <v>0</v>
      </c>
      <c r="G50">
        <v>1</v>
      </c>
      <c r="H50" t="s">
        <v>14</v>
      </c>
      <c r="I50" t="s">
        <v>318</v>
      </c>
      <c r="J50">
        <v>20.063993239751706</v>
      </c>
      <c r="K50" t="s">
        <v>1570</v>
      </c>
      <c r="L50" t="s">
        <v>19</v>
      </c>
      <c r="M50" t="s">
        <v>1572</v>
      </c>
      <c r="N50" t="s">
        <v>319</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269</v>
      </c>
      <c r="B51" t="s">
        <v>270</v>
      </c>
      <c r="C51" t="s">
        <v>5</v>
      </c>
      <c r="D51" s="80" t="s">
        <v>305</v>
      </c>
      <c r="E51" t="s">
        <v>314</v>
      </c>
      <c r="F51" s="82">
        <f t="shared" si="1"/>
        <v>0</v>
      </c>
      <c r="G51">
        <v>1</v>
      </c>
      <c r="H51" t="s">
        <v>14</v>
      </c>
      <c r="I51" t="s">
        <v>318</v>
      </c>
      <c r="J51">
        <v>20.063993239751706</v>
      </c>
      <c r="K51" t="s">
        <v>1570</v>
      </c>
      <c r="L51" t="s">
        <v>19</v>
      </c>
      <c r="M51" t="s">
        <v>1572</v>
      </c>
      <c r="N51" t="s">
        <v>319</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269</v>
      </c>
      <c r="B52" t="s">
        <v>270</v>
      </c>
      <c r="C52" t="s">
        <v>5</v>
      </c>
      <c r="D52" s="80" t="s">
        <v>307</v>
      </c>
      <c r="E52" t="s">
        <v>1569</v>
      </c>
      <c r="F52" s="82">
        <f t="shared" si="1"/>
        <v>0</v>
      </c>
      <c r="G52">
        <v>1</v>
      </c>
      <c r="H52" t="s">
        <v>14</v>
      </c>
      <c r="I52" t="s">
        <v>318</v>
      </c>
      <c r="J52">
        <v>28.841990282143083</v>
      </c>
      <c r="K52" t="s">
        <v>1570</v>
      </c>
      <c r="L52" t="s">
        <v>19</v>
      </c>
      <c r="M52" t="s">
        <v>1576</v>
      </c>
      <c r="N52" t="s">
        <v>319</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269</v>
      </c>
      <c r="B53" t="s">
        <v>270</v>
      </c>
      <c r="C53" t="s">
        <v>5</v>
      </c>
      <c r="D53" s="80" t="s">
        <v>307</v>
      </c>
      <c r="E53" t="s">
        <v>314</v>
      </c>
      <c r="F53" s="82">
        <f t="shared" si="1"/>
        <v>0</v>
      </c>
      <c r="G53">
        <v>1</v>
      </c>
      <c r="H53" t="s">
        <v>14</v>
      </c>
      <c r="I53" t="s">
        <v>318</v>
      </c>
      <c r="J53">
        <v>25.637324695238295</v>
      </c>
      <c r="K53" t="s">
        <v>1570</v>
      </c>
      <c r="L53" t="s">
        <v>19</v>
      </c>
      <c r="M53" t="s">
        <v>1576</v>
      </c>
      <c r="N53" t="s">
        <v>319</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289</v>
      </c>
      <c r="B54" t="s">
        <v>290</v>
      </c>
      <c r="C54" t="s">
        <v>5</v>
      </c>
      <c r="D54" s="80" t="s">
        <v>306</v>
      </c>
      <c r="E54" t="s">
        <v>1569</v>
      </c>
      <c r="F54" s="82">
        <f t="shared" si="1"/>
        <v>1</v>
      </c>
      <c r="G54">
        <v>1</v>
      </c>
      <c r="H54" t="s">
        <v>14</v>
      </c>
      <c r="I54" t="s">
        <v>318</v>
      </c>
      <c r="J54">
        <v>127.21129047148131</v>
      </c>
      <c r="K54" t="s">
        <v>1570</v>
      </c>
      <c r="L54" t="s">
        <v>19</v>
      </c>
      <c r="M54" t="s">
        <v>1574</v>
      </c>
      <c r="N54" t="s">
        <v>319</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289</v>
      </c>
      <c r="B55" t="s">
        <v>291</v>
      </c>
      <c r="C55" t="s">
        <v>5</v>
      </c>
      <c r="D55" s="80" t="s">
        <v>306</v>
      </c>
      <c r="E55" t="s">
        <v>1569</v>
      </c>
      <c r="F55" s="82">
        <f t="shared" si="1"/>
        <v>1</v>
      </c>
      <c r="G55">
        <v>1</v>
      </c>
      <c r="H55" t="s">
        <v>14</v>
      </c>
      <c r="I55" t="s">
        <v>318</v>
      </c>
      <c r="J55">
        <v>127.21129047148131</v>
      </c>
      <c r="K55" t="s">
        <v>1570</v>
      </c>
      <c r="L55" t="s">
        <v>19</v>
      </c>
      <c r="M55" t="s">
        <v>1574</v>
      </c>
      <c r="N55" t="s">
        <v>319</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289</v>
      </c>
      <c r="B56" t="s">
        <v>292</v>
      </c>
      <c r="C56" t="s">
        <v>5</v>
      </c>
      <c r="D56" s="80" t="s">
        <v>306</v>
      </c>
      <c r="E56" t="s">
        <v>1569</v>
      </c>
      <c r="F56" s="82">
        <f t="shared" si="1"/>
        <v>1</v>
      </c>
      <c r="G56">
        <v>1</v>
      </c>
      <c r="H56" t="s">
        <v>14</v>
      </c>
      <c r="I56" t="s">
        <v>318</v>
      </c>
      <c r="J56">
        <v>127.21129047148131</v>
      </c>
      <c r="K56" t="s">
        <v>1570</v>
      </c>
      <c r="L56" t="s">
        <v>19</v>
      </c>
      <c r="M56" t="s">
        <v>1574</v>
      </c>
      <c r="N56" t="s">
        <v>319</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265</v>
      </c>
      <c r="B57" t="s">
        <v>266</v>
      </c>
      <c r="C57" t="s">
        <v>5</v>
      </c>
      <c r="D57" s="80" t="s">
        <v>305</v>
      </c>
      <c r="E57" t="s">
        <v>1569</v>
      </c>
      <c r="F57" s="82">
        <f t="shared" si="1"/>
        <v>0</v>
      </c>
      <c r="G57">
        <v>1</v>
      </c>
      <c r="H57" t="s">
        <v>14</v>
      </c>
      <c r="I57" t="s">
        <v>318</v>
      </c>
      <c r="J57">
        <v>20.063993239751706</v>
      </c>
      <c r="K57" t="s">
        <v>1570</v>
      </c>
      <c r="L57" t="s">
        <v>19</v>
      </c>
      <c r="M57" t="s">
        <v>1572</v>
      </c>
      <c r="N57" t="s">
        <v>319</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265</v>
      </c>
      <c r="B58" t="s">
        <v>266</v>
      </c>
      <c r="C58" t="s">
        <v>5</v>
      </c>
      <c r="D58" s="80" t="s">
        <v>305</v>
      </c>
      <c r="E58" t="s">
        <v>314</v>
      </c>
      <c r="F58" s="82">
        <f t="shared" si="1"/>
        <v>0</v>
      </c>
      <c r="G58">
        <v>1</v>
      </c>
      <c r="H58" t="s">
        <v>14</v>
      </c>
      <c r="I58" t="s">
        <v>318</v>
      </c>
      <c r="J58">
        <v>20.063993239751706</v>
      </c>
      <c r="K58" t="s">
        <v>1570</v>
      </c>
      <c r="L58" t="s">
        <v>19</v>
      </c>
      <c r="M58" t="s">
        <v>1572</v>
      </c>
      <c r="N58" t="s">
        <v>319</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265</v>
      </c>
      <c r="B59" t="s">
        <v>266</v>
      </c>
      <c r="C59" t="s">
        <v>5</v>
      </c>
      <c r="D59" s="80" t="s">
        <v>307</v>
      </c>
      <c r="E59" t="s">
        <v>1569</v>
      </c>
      <c r="F59" s="82">
        <f t="shared" si="1"/>
        <v>0</v>
      </c>
      <c r="G59">
        <v>1</v>
      </c>
      <c r="H59" t="s">
        <v>14</v>
      </c>
      <c r="I59" t="s">
        <v>318</v>
      </c>
      <c r="J59">
        <v>28.841990282143083</v>
      </c>
      <c r="K59" t="s">
        <v>1570</v>
      </c>
      <c r="L59" t="s">
        <v>19</v>
      </c>
      <c r="M59" t="s">
        <v>1576</v>
      </c>
      <c r="N59" t="s">
        <v>319</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265</v>
      </c>
      <c r="B60" t="s">
        <v>266</v>
      </c>
      <c r="C60" t="s">
        <v>5</v>
      </c>
      <c r="D60" s="80" t="s">
        <v>307</v>
      </c>
      <c r="E60" t="s">
        <v>314</v>
      </c>
      <c r="F60" s="82">
        <f t="shared" si="1"/>
        <v>0</v>
      </c>
      <c r="G60">
        <v>1</v>
      </c>
      <c r="H60" t="s">
        <v>14</v>
      </c>
      <c r="I60" t="s">
        <v>318</v>
      </c>
      <c r="J60">
        <v>25.637324695238295</v>
      </c>
      <c r="K60" t="s">
        <v>1570</v>
      </c>
      <c r="L60" t="s">
        <v>19</v>
      </c>
      <c r="M60" t="s">
        <v>1576</v>
      </c>
      <c r="N60" t="s">
        <v>319</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265</v>
      </c>
      <c r="B61" t="s">
        <v>267</v>
      </c>
      <c r="C61" t="s">
        <v>5</v>
      </c>
      <c r="D61" s="80" t="s">
        <v>305</v>
      </c>
      <c r="E61" t="s">
        <v>1569</v>
      </c>
      <c r="F61" s="82">
        <f t="shared" si="1"/>
        <v>0</v>
      </c>
      <c r="G61">
        <v>1</v>
      </c>
      <c r="H61" t="s">
        <v>14</v>
      </c>
      <c r="I61" t="s">
        <v>318</v>
      </c>
      <c r="J61">
        <v>20.063993239751706</v>
      </c>
      <c r="K61" t="s">
        <v>1570</v>
      </c>
      <c r="L61" t="s">
        <v>19</v>
      </c>
      <c r="M61" t="s">
        <v>1572</v>
      </c>
      <c r="N61" t="s">
        <v>319</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265</v>
      </c>
      <c r="B62" t="s">
        <v>267</v>
      </c>
      <c r="C62" t="s">
        <v>5</v>
      </c>
      <c r="D62" s="80" t="s">
        <v>305</v>
      </c>
      <c r="E62" t="s">
        <v>314</v>
      </c>
      <c r="F62" s="82">
        <f t="shared" si="1"/>
        <v>0</v>
      </c>
      <c r="G62">
        <v>1</v>
      </c>
      <c r="H62" t="s">
        <v>14</v>
      </c>
      <c r="I62" t="s">
        <v>318</v>
      </c>
      <c r="J62">
        <v>20.063993239751706</v>
      </c>
      <c r="K62" t="s">
        <v>1570</v>
      </c>
      <c r="L62" t="s">
        <v>19</v>
      </c>
      <c r="M62" t="s">
        <v>1572</v>
      </c>
      <c r="N62" t="s">
        <v>319</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265</v>
      </c>
      <c r="B63" t="s">
        <v>267</v>
      </c>
      <c r="C63" t="s">
        <v>5</v>
      </c>
      <c r="D63" s="80" t="s">
        <v>307</v>
      </c>
      <c r="E63" t="s">
        <v>1569</v>
      </c>
      <c r="F63" s="82">
        <f t="shared" si="1"/>
        <v>0</v>
      </c>
      <c r="G63">
        <v>1</v>
      </c>
      <c r="H63" t="s">
        <v>14</v>
      </c>
      <c r="I63" t="s">
        <v>318</v>
      </c>
      <c r="J63">
        <v>28.841990282143083</v>
      </c>
      <c r="K63" t="s">
        <v>1570</v>
      </c>
      <c r="L63" t="s">
        <v>19</v>
      </c>
      <c r="M63" t="s">
        <v>1576</v>
      </c>
      <c r="N63" t="s">
        <v>319</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265</v>
      </c>
      <c r="B64" t="s">
        <v>267</v>
      </c>
      <c r="C64" t="s">
        <v>5</v>
      </c>
      <c r="D64" s="80" t="s">
        <v>307</v>
      </c>
      <c r="E64" t="s">
        <v>314</v>
      </c>
      <c r="F64" s="82">
        <f t="shared" si="1"/>
        <v>0</v>
      </c>
      <c r="G64">
        <v>1</v>
      </c>
      <c r="H64" t="s">
        <v>14</v>
      </c>
      <c r="I64" t="s">
        <v>318</v>
      </c>
      <c r="J64">
        <v>25.637324695238295</v>
      </c>
      <c r="K64" t="s">
        <v>1570</v>
      </c>
      <c r="L64" t="s">
        <v>19</v>
      </c>
      <c r="M64" t="s">
        <v>1576</v>
      </c>
      <c r="N64" t="s">
        <v>319</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277</v>
      </c>
      <c r="B65" t="s">
        <v>279</v>
      </c>
      <c r="C65" t="s">
        <v>5</v>
      </c>
      <c r="D65" s="80" t="s">
        <v>306</v>
      </c>
      <c r="E65" t="s">
        <v>1569</v>
      </c>
      <c r="F65" s="82">
        <f t="shared" si="1"/>
        <v>0</v>
      </c>
      <c r="G65">
        <v>1</v>
      </c>
      <c r="H65" t="s">
        <v>14</v>
      </c>
      <c r="I65" t="s">
        <v>318</v>
      </c>
      <c r="J65">
        <v>127.21129047148131</v>
      </c>
      <c r="K65" t="s">
        <v>1570</v>
      </c>
      <c r="L65" t="s">
        <v>19</v>
      </c>
      <c r="M65" t="s">
        <v>1575</v>
      </c>
      <c r="N65" t="s">
        <v>319</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277</v>
      </c>
      <c r="B66" t="s">
        <v>280</v>
      </c>
      <c r="C66" t="s">
        <v>5</v>
      </c>
      <c r="D66" s="80" t="s">
        <v>306</v>
      </c>
      <c r="E66" t="s">
        <v>1569</v>
      </c>
      <c r="F66" s="82">
        <f t="shared" ref="F66:F97" si="2">SIGN(SUBTOTAL(3,A66))</f>
        <v>0</v>
      </c>
      <c r="G66">
        <v>1</v>
      </c>
      <c r="H66" t="s">
        <v>14</v>
      </c>
      <c r="I66" t="s">
        <v>318</v>
      </c>
      <c r="J66">
        <v>127.21129047148131</v>
      </c>
      <c r="K66" t="s">
        <v>1570</v>
      </c>
      <c r="L66" t="s">
        <v>19</v>
      </c>
      <c r="M66" t="s">
        <v>1575</v>
      </c>
      <c r="N66" t="s">
        <v>319</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277</v>
      </c>
      <c r="B67" t="s">
        <v>278</v>
      </c>
      <c r="C67" t="s">
        <v>5</v>
      </c>
      <c r="D67" s="80" t="s">
        <v>306</v>
      </c>
      <c r="E67" t="s">
        <v>1569</v>
      </c>
      <c r="F67" s="82">
        <f t="shared" si="2"/>
        <v>0</v>
      </c>
      <c r="G67">
        <v>1</v>
      </c>
      <c r="H67" t="s">
        <v>14</v>
      </c>
      <c r="I67" t="s">
        <v>318</v>
      </c>
      <c r="J67">
        <v>127.21129047148131</v>
      </c>
      <c r="K67" t="s">
        <v>1570</v>
      </c>
      <c r="L67" t="s">
        <v>19</v>
      </c>
      <c r="M67" t="s">
        <v>1575</v>
      </c>
      <c r="N67" t="s">
        <v>319</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252</v>
      </c>
      <c r="B68" t="s">
        <v>253</v>
      </c>
      <c r="C68" t="s">
        <v>5</v>
      </c>
      <c r="D68" s="80" t="s">
        <v>305</v>
      </c>
      <c r="E68" t="s">
        <v>1569</v>
      </c>
      <c r="F68" s="82">
        <f t="shared" si="2"/>
        <v>0</v>
      </c>
      <c r="G68">
        <v>1</v>
      </c>
      <c r="H68" t="s">
        <v>14</v>
      </c>
      <c r="I68" t="s">
        <v>318</v>
      </c>
      <c r="J68">
        <v>20.063993239751706</v>
      </c>
      <c r="K68" t="s">
        <v>1570</v>
      </c>
      <c r="L68" t="s">
        <v>19</v>
      </c>
      <c r="M68" t="s">
        <v>1572</v>
      </c>
      <c r="N68" t="s">
        <v>319</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252</v>
      </c>
      <c r="B69" t="s">
        <v>253</v>
      </c>
      <c r="C69" t="s">
        <v>5</v>
      </c>
      <c r="D69" s="80" t="s">
        <v>305</v>
      </c>
      <c r="E69" t="s">
        <v>314</v>
      </c>
      <c r="F69" s="82">
        <f t="shared" si="2"/>
        <v>0</v>
      </c>
      <c r="G69">
        <v>1</v>
      </c>
      <c r="H69" t="s">
        <v>14</v>
      </c>
      <c r="I69" t="s">
        <v>318</v>
      </c>
      <c r="J69">
        <v>20.063993239751706</v>
      </c>
      <c r="K69" t="s">
        <v>1570</v>
      </c>
      <c r="L69" t="s">
        <v>19</v>
      </c>
      <c r="M69" t="s">
        <v>1572</v>
      </c>
      <c r="N69" t="s">
        <v>319</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252</v>
      </c>
      <c r="B70" t="s">
        <v>253</v>
      </c>
      <c r="C70" t="s">
        <v>5</v>
      </c>
      <c r="D70" s="80" t="s">
        <v>307</v>
      </c>
      <c r="E70" t="s">
        <v>1569</v>
      </c>
      <c r="F70" s="82">
        <f t="shared" si="2"/>
        <v>0</v>
      </c>
      <c r="G70">
        <v>1</v>
      </c>
      <c r="H70" t="s">
        <v>14</v>
      </c>
      <c r="I70" t="s">
        <v>318</v>
      </c>
      <c r="J70">
        <v>28.841990282143083</v>
      </c>
      <c r="K70" t="s">
        <v>1570</v>
      </c>
      <c r="L70" t="s">
        <v>19</v>
      </c>
      <c r="M70" t="s">
        <v>1576</v>
      </c>
      <c r="N70" t="s">
        <v>319</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252</v>
      </c>
      <c r="B71" t="s">
        <v>253</v>
      </c>
      <c r="C71" t="s">
        <v>5</v>
      </c>
      <c r="D71" s="80" t="s">
        <v>307</v>
      </c>
      <c r="E71" t="s">
        <v>314</v>
      </c>
      <c r="F71" s="82">
        <f t="shared" si="2"/>
        <v>0</v>
      </c>
      <c r="G71">
        <v>1</v>
      </c>
      <c r="H71" t="s">
        <v>14</v>
      </c>
      <c r="I71" t="s">
        <v>318</v>
      </c>
      <c r="J71">
        <v>25.637324695238295</v>
      </c>
      <c r="K71" t="s">
        <v>1570</v>
      </c>
      <c r="L71" t="s">
        <v>19</v>
      </c>
      <c r="M71" t="s">
        <v>1576</v>
      </c>
      <c r="N71" t="s">
        <v>319</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252</v>
      </c>
      <c r="B72" t="s">
        <v>256</v>
      </c>
      <c r="C72" t="s">
        <v>5</v>
      </c>
      <c r="D72" s="80" t="s">
        <v>305</v>
      </c>
      <c r="E72" t="s">
        <v>1569</v>
      </c>
      <c r="F72" s="82">
        <f t="shared" si="2"/>
        <v>0</v>
      </c>
      <c r="G72">
        <v>1</v>
      </c>
      <c r="H72" t="s">
        <v>14</v>
      </c>
      <c r="I72" t="s">
        <v>318</v>
      </c>
      <c r="J72">
        <v>20.063993239751706</v>
      </c>
      <c r="K72" t="s">
        <v>1570</v>
      </c>
      <c r="L72" t="s">
        <v>19</v>
      </c>
      <c r="M72" t="s">
        <v>1572</v>
      </c>
      <c r="N72" t="s">
        <v>319</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252</v>
      </c>
      <c r="B73" t="s">
        <v>256</v>
      </c>
      <c r="C73" t="s">
        <v>5</v>
      </c>
      <c r="D73" s="80" t="s">
        <v>305</v>
      </c>
      <c r="E73" t="s">
        <v>314</v>
      </c>
      <c r="F73" s="82">
        <f t="shared" si="2"/>
        <v>0</v>
      </c>
      <c r="G73">
        <v>1</v>
      </c>
      <c r="H73" t="s">
        <v>14</v>
      </c>
      <c r="I73" t="s">
        <v>318</v>
      </c>
      <c r="J73">
        <v>20.063993239751706</v>
      </c>
      <c r="K73" t="s">
        <v>1570</v>
      </c>
      <c r="L73" t="s">
        <v>19</v>
      </c>
      <c r="M73" t="s">
        <v>1572</v>
      </c>
      <c r="N73" t="s">
        <v>319</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252</v>
      </c>
      <c r="B74" t="s">
        <v>256</v>
      </c>
      <c r="C74" t="s">
        <v>5</v>
      </c>
      <c r="D74" s="80" t="s">
        <v>307</v>
      </c>
      <c r="E74" t="s">
        <v>1569</v>
      </c>
      <c r="F74" s="82">
        <f t="shared" si="2"/>
        <v>0</v>
      </c>
      <c r="G74">
        <v>1</v>
      </c>
      <c r="H74" t="s">
        <v>14</v>
      </c>
      <c r="I74" t="s">
        <v>318</v>
      </c>
      <c r="J74">
        <v>28.841990282143083</v>
      </c>
      <c r="K74" t="s">
        <v>1570</v>
      </c>
      <c r="L74" t="s">
        <v>19</v>
      </c>
      <c r="M74" t="s">
        <v>1576</v>
      </c>
      <c r="N74" t="s">
        <v>319</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252</v>
      </c>
      <c r="B75" t="s">
        <v>256</v>
      </c>
      <c r="C75" t="s">
        <v>5</v>
      </c>
      <c r="D75" s="80" t="s">
        <v>307</v>
      </c>
      <c r="E75" t="s">
        <v>314</v>
      </c>
      <c r="F75" s="82">
        <f t="shared" si="2"/>
        <v>0</v>
      </c>
      <c r="G75">
        <v>1</v>
      </c>
      <c r="H75" t="s">
        <v>14</v>
      </c>
      <c r="I75" t="s">
        <v>318</v>
      </c>
      <c r="J75">
        <v>25.637324695238295</v>
      </c>
      <c r="K75" t="s">
        <v>1570</v>
      </c>
      <c r="L75" t="s">
        <v>19</v>
      </c>
      <c r="M75" t="s">
        <v>1576</v>
      </c>
      <c r="N75" t="s">
        <v>319</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252</v>
      </c>
      <c r="B76" t="s">
        <v>255</v>
      </c>
      <c r="C76" t="s">
        <v>5</v>
      </c>
      <c r="D76" s="80" t="s">
        <v>305</v>
      </c>
      <c r="E76" t="s">
        <v>1569</v>
      </c>
      <c r="F76" s="82">
        <f t="shared" si="2"/>
        <v>0</v>
      </c>
      <c r="G76">
        <v>1</v>
      </c>
      <c r="H76" t="s">
        <v>14</v>
      </c>
      <c r="I76" t="s">
        <v>318</v>
      </c>
      <c r="J76">
        <v>20.063993239751706</v>
      </c>
      <c r="K76" t="s">
        <v>1570</v>
      </c>
      <c r="L76" t="s">
        <v>19</v>
      </c>
      <c r="M76" t="s">
        <v>1572</v>
      </c>
      <c r="N76" t="s">
        <v>319</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252</v>
      </c>
      <c r="B77" t="s">
        <v>255</v>
      </c>
      <c r="C77" t="s">
        <v>5</v>
      </c>
      <c r="D77" s="80" t="s">
        <v>305</v>
      </c>
      <c r="E77" t="s">
        <v>314</v>
      </c>
      <c r="F77" s="82">
        <f t="shared" si="2"/>
        <v>0</v>
      </c>
      <c r="G77">
        <v>1</v>
      </c>
      <c r="H77" t="s">
        <v>14</v>
      </c>
      <c r="I77" t="s">
        <v>318</v>
      </c>
      <c r="J77">
        <v>20.063993239751706</v>
      </c>
      <c r="K77" t="s">
        <v>1570</v>
      </c>
      <c r="L77" t="s">
        <v>19</v>
      </c>
      <c r="M77" t="s">
        <v>1572</v>
      </c>
      <c r="N77" t="s">
        <v>319</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252</v>
      </c>
      <c r="B78" t="s">
        <v>255</v>
      </c>
      <c r="C78" t="s">
        <v>5</v>
      </c>
      <c r="D78" s="80" t="s">
        <v>307</v>
      </c>
      <c r="E78" t="s">
        <v>1569</v>
      </c>
      <c r="F78" s="82">
        <f t="shared" si="2"/>
        <v>0</v>
      </c>
      <c r="G78">
        <v>1</v>
      </c>
      <c r="H78" t="s">
        <v>14</v>
      </c>
      <c r="I78" t="s">
        <v>318</v>
      </c>
      <c r="J78">
        <v>28.841990282143083</v>
      </c>
      <c r="K78" t="s">
        <v>1570</v>
      </c>
      <c r="L78" t="s">
        <v>19</v>
      </c>
      <c r="M78" t="s">
        <v>1576</v>
      </c>
      <c r="N78" t="s">
        <v>319</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252</v>
      </c>
      <c r="B79" t="s">
        <v>255</v>
      </c>
      <c r="C79" t="s">
        <v>5</v>
      </c>
      <c r="D79" s="80" t="s">
        <v>307</v>
      </c>
      <c r="E79" t="s">
        <v>314</v>
      </c>
      <c r="F79" s="82">
        <f t="shared" si="2"/>
        <v>0</v>
      </c>
      <c r="G79">
        <v>1</v>
      </c>
      <c r="H79" t="s">
        <v>14</v>
      </c>
      <c r="I79" t="s">
        <v>318</v>
      </c>
      <c r="J79">
        <v>25.637324695238295</v>
      </c>
      <c r="K79" t="s">
        <v>1570</v>
      </c>
      <c r="L79" t="s">
        <v>19</v>
      </c>
      <c r="M79" t="s">
        <v>1576</v>
      </c>
      <c r="N79" t="s">
        <v>319</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252</v>
      </c>
      <c r="B80" t="s">
        <v>257</v>
      </c>
      <c r="C80" t="s">
        <v>5</v>
      </c>
      <c r="D80" s="80" t="s">
        <v>305</v>
      </c>
      <c r="E80" t="s">
        <v>1569</v>
      </c>
      <c r="F80" s="82">
        <f t="shared" si="2"/>
        <v>0</v>
      </c>
      <c r="G80">
        <v>1</v>
      </c>
      <c r="H80" t="s">
        <v>14</v>
      </c>
      <c r="I80" t="s">
        <v>318</v>
      </c>
      <c r="J80">
        <v>20.063993239751706</v>
      </c>
      <c r="K80" t="s">
        <v>1570</v>
      </c>
      <c r="L80" t="s">
        <v>19</v>
      </c>
      <c r="M80" t="s">
        <v>1572</v>
      </c>
      <c r="N80" t="s">
        <v>319</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252</v>
      </c>
      <c r="B81" t="s">
        <v>257</v>
      </c>
      <c r="C81" t="s">
        <v>5</v>
      </c>
      <c r="D81" s="80" t="s">
        <v>305</v>
      </c>
      <c r="E81" t="s">
        <v>314</v>
      </c>
      <c r="F81" s="82">
        <f t="shared" si="2"/>
        <v>0</v>
      </c>
      <c r="G81">
        <v>1</v>
      </c>
      <c r="H81" t="s">
        <v>14</v>
      </c>
      <c r="I81" t="s">
        <v>318</v>
      </c>
      <c r="J81">
        <v>20.063993239751706</v>
      </c>
      <c r="K81" t="s">
        <v>1570</v>
      </c>
      <c r="L81" t="s">
        <v>19</v>
      </c>
      <c r="M81" t="s">
        <v>1572</v>
      </c>
      <c r="N81" t="s">
        <v>319</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252</v>
      </c>
      <c r="B82" t="s">
        <v>257</v>
      </c>
      <c r="C82" t="s">
        <v>5</v>
      </c>
      <c r="D82" s="80" t="s">
        <v>307</v>
      </c>
      <c r="E82" t="s">
        <v>1569</v>
      </c>
      <c r="F82" s="82">
        <f t="shared" si="2"/>
        <v>0</v>
      </c>
      <c r="G82">
        <v>1</v>
      </c>
      <c r="H82" t="s">
        <v>14</v>
      </c>
      <c r="I82" t="s">
        <v>318</v>
      </c>
      <c r="J82">
        <v>28.841990282143083</v>
      </c>
      <c r="K82" t="s">
        <v>1570</v>
      </c>
      <c r="L82" t="s">
        <v>19</v>
      </c>
      <c r="M82" t="s">
        <v>1576</v>
      </c>
      <c r="N82" t="s">
        <v>319</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252</v>
      </c>
      <c r="B83" t="s">
        <v>257</v>
      </c>
      <c r="C83" t="s">
        <v>5</v>
      </c>
      <c r="D83" s="80" t="s">
        <v>307</v>
      </c>
      <c r="E83" t="s">
        <v>314</v>
      </c>
      <c r="F83" s="82">
        <f t="shared" si="2"/>
        <v>0</v>
      </c>
      <c r="G83">
        <v>1</v>
      </c>
      <c r="H83" t="s">
        <v>14</v>
      </c>
      <c r="I83" t="s">
        <v>318</v>
      </c>
      <c r="J83">
        <v>25.637324695238295</v>
      </c>
      <c r="K83" t="s">
        <v>1570</v>
      </c>
      <c r="L83" t="s">
        <v>19</v>
      </c>
      <c r="M83" t="s">
        <v>1576</v>
      </c>
      <c r="N83" t="s">
        <v>319</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252</v>
      </c>
      <c r="B84" t="s">
        <v>254</v>
      </c>
      <c r="C84" t="s">
        <v>5</v>
      </c>
      <c r="D84" s="80" t="s">
        <v>305</v>
      </c>
      <c r="E84" t="s">
        <v>1569</v>
      </c>
      <c r="F84" s="82">
        <f t="shared" si="2"/>
        <v>0</v>
      </c>
      <c r="G84">
        <v>1</v>
      </c>
      <c r="H84" t="s">
        <v>14</v>
      </c>
      <c r="I84" t="s">
        <v>318</v>
      </c>
      <c r="J84">
        <v>20.063993239751706</v>
      </c>
      <c r="K84" t="s">
        <v>1570</v>
      </c>
      <c r="L84" t="s">
        <v>19</v>
      </c>
      <c r="M84" t="s">
        <v>1572</v>
      </c>
      <c r="N84" t="s">
        <v>319</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252</v>
      </c>
      <c r="B85" t="s">
        <v>254</v>
      </c>
      <c r="C85" t="s">
        <v>5</v>
      </c>
      <c r="D85" s="80" t="s">
        <v>305</v>
      </c>
      <c r="E85" t="s">
        <v>314</v>
      </c>
      <c r="F85" s="82">
        <f t="shared" si="2"/>
        <v>0</v>
      </c>
      <c r="G85">
        <v>1</v>
      </c>
      <c r="H85" t="s">
        <v>14</v>
      </c>
      <c r="I85" t="s">
        <v>318</v>
      </c>
      <c r="J85">
        <v>20.063993239751706</v>
      </c>
      <c r="K85" t="s">
        <v>1570</v>
      </c>
      <c r="L85" t="s">
        <v>19</v>
      </c>
      <c r="M85" t="s">
        <v>1572</v>
      </c>
      <c r="N85" t="s">
        <v>319</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252</v>
      </c>
      <c r="B86" t="s">
        <v>254</v>
      </c>
      <c r="C86" t="s">
        <v>5</v>
      </c>
      <c r="D86" s="80" t="s">
        <v>307</v>
      </c>
      <c r="E86" t="s">
        <v>1569</v>
      </c>
      <c r="F86" s="82">
        <f t="shared" si="2"/>
        <v>0</v>
      </c>
      <c r="G86">
        <v>1</v>
      </c>
      <c r="H86" t="s">
        <v>14</v>
      </c>
      <c r="I86" t="s">
        <v>318</v>
      </c>
      <c r="J86">
        <v>28.841990282143083</v>
      </c>
      <c r="K86" t="s">
        <v>1570</v>
      </c>
      <c r="L86" t="s">
        <v>19</v>
      </c>
      <c r="M86" t="s">
        <v>1576</v>
      </c>
      <c r="N86" t="s">
        <v>319</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252</v>
      </c>
      <c r="B87" t="s">
        <v>254</v>
      </c>
      <c r="C87" t="s">
        <v>5</v>
      </c>
      <c r="D87" s="80" t="s">
        <v>307</v>
      </c>
      <c r="E87" t="s">
        <v>314</v>
      </c>
      <c r="F87" s="82">
        <f t="shared" si="2"/>
        <v>0</v>
      </c>
      <c r="G87">
        <v>1</v>
      </c>
      <c r="H87" t="s">
        <v>14</v>
      </c>
      <c r="I87" t="s">
        <v>318</v>
      </c>
      <c r="J87">
        <v>25.637324695238295</v>
      </c>
      <c r="K87" t="s">
        <v>1570</v>
      </c>
      <c r="L87" t="s">
        <v>19</v>
      </c>
      <c r="M87" t="s">
        <v>1576</v>
      </c>
      <c r="N87" t="s">
        <v>319</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260</v>
      </c>
      <c r="B88" t="s">
        <v>261</v>
      </c>
      <c r="C88" t="s">
        <v>5</v>
      </c>
      <c r="D88" s="80" t="s">
        <v>305</v>
      </c>
      <c r="E88" t="s">
        <v>1569</v>
      </c>
      <c r="F88" s="82">
        <f t="shared" si="2"/>
        <v>0</v>
      </c>
      <c r="G88">
        <v>1</v>
      </c>
      <c r="H88" t="s">
        <v>14</v>
      </c>
      <c r="I88" t="s">
        <v>318</v>
      </c>
      <c r="J88">
        <v>20.063993239751706</v>
      </c>
      <c r="K88" t="s">
        <v>1570</v>
      </c>
      <c r="L88" t="s">
        <v>19</v>
      </c>
      <c r="M88" t="s">
        <v>1572</v>
      </c>
      <c r="N88" t="s">
        <v>319</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260</v>
      </c>
      <c r="B89" t="s">
        <v>261</v>
      </c>
      <c r="C89" t="s">
        <v>5</v>
      </c>
      <c r="D89" s="80" t="s">
        <v>305</v>
      </c>
      <c r="E89" t="s">
        <v>314</v>
      </c>
      <c r="F89" s="82">
        <f t="shared" si="2"/>
        <v>0</v>
      </c>
      <c r="G89">
        <v>1</v>
      </c>
      <c r="H89" t="s">
        <v>14</v>
      </c>
      <c r="I89" t="s">
        <v>318</v>
      </c>
      <c r="J89">
        <v>20.063993239751706</v>
      </c>
      <c r="K89" t="s">
        <v>1570</v>
      </c>
      <c r="L89" t="s">
        <v>19</v>
      </c>
      <c r="M89" t="s">
        <v>1572</v>
      </c>
      <c r="N89" t="s">
        <v>319</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260</v>
      </c>
      <c r="B90" t="s">
        <v>261</v>
      </c>
      <c r="C90" t="s">
        <v>5</v>
      </c>
      <c r="D90" s="80" t="s">
        <v>307</v>
      </c>
      <c r="E90" t="s">
        <v>1569</v>
      </c>
      <c r="F90" s="82">
        <f t="shared" si="2"/>
        <v>0</v>
      </c>
      <c r="G90">
        <v>1</v>
      </c>
      <c r="H90" t="s">
        <v>14</v>
      </c>
      <c r="I90" t="s">
        <v>318</v>
      </c>
      <c r="J90">
        <v>28.841990282143083</v>
      </c>
      <c r="K90" t="s">
        <v>1570</v>
      </c>
      <c r="L90" t="s">
        <v>19</v>
      </c>
      <c r="M90" t="s">
        <v>1576</v>
      </c>
      <c r="N90" t="s">
        <v>319</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260</v>
      </c>
      <c r="B91" t="s">
        <v>261</v>
      </c>
      <c r="C91" t="s">
        <v>5</v>
      </c>
      <c r="D91" s="80" t="s">
        <v>307</v>
      </c>
      <c r="E91" t="s">
        <v>314</v>
      </c>
      <c r="F91" s="82">
        <f t="shared" si="2"/>
        <v>0</v>
      </c>
      <c r="G91">
        <v>1</v>
      </c>
      <c r="H91" t="s">
        <v>14</v>
      </c>
      <c r="I91" t="s">
        <v>318</v>
      </c>
      <c r="J91">
        <v>25.637324695238295</v>
      </c>
      <c r="K91" t="s">
        <v>1570</v>
      </c>
      <c r="L91" t="s">
        <v>19</v>
      </c>
      <c r="M91" t="s">
        <v>1576</v>
      </c>
      <c r="N91" t="s">
        <v>319</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293</v>
      </c>
      <c r="B92" t="s">
        <v>294</v>
      </c>
      <c r="C92" t="s">
        <v>5</v>
      </c>
      <c r="D92" s="80" t="s">
        <v>305</v>
      </c>
      <c r="E92" t="s">
        <v>1569</v>
      </c>
      <c r="F92" s="82">
        <f t="shared" si="2"/>
        <v>0</v>
      </c>
      <c r="G92">
        <v>1</v>
      </c>
      <c r="H92" t="s">
        <v>14</v>
      </c>
      <c r="I92" t="s">
        <v>318</v>
      </c>
      <c r="J92">
        <v>34.554655024016824</v>
      </c>
      <c r="K92" t="s">
        <v>1570</v>
      </c>
      <c r="L92" t="s">
        <v>19</v>
      </c>
      <c r="M92" t="s">
        <v>1571</v>
      </c>
      <c r="N92" t="s">
        <v>319</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293</v>
      </c>
      <c r="B93" t="s">
        <v>294</v>
      </c>
      <c r="C93" t="s">
        <v>5</v>
      </c>
      <c r="D93" s="80" t="s">
        <v>305</v>
      </c>
      <c r="E93" t="s">
        <v>314</v>
      </c>
      <c r="F93" s="82">
        <f t="shared" si="2"/>
        <v>0</v>
      </c>
      <c r="G93">
        <v>1</v>
      </c>
      <c r="H93" t="s">
        <v>14</v>
      </c>
      <c r="I93" t="s">
        <v>318</v>
      </c>
      <c r="J93">
        <v>34.554655024016824</v>
      </c>
      <c r="K93" t="s">
        <v>1570</v>
      </c>
      <c r="L93" t="s">
        <v>19</v>
      </c>
      <c r="M93" t="s">
        <v>1571</v>
      </c>
      <c r="N93" t="s">
        <v>319</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293</v>
      </c>
      <c r="B94" t="s">
        <v>295</v>
      </c>
      <c r="C94" t="s">
        <v>5</v>
      </c>
      <c r="D94" s="80" t="s">
        <v>305</v>
      </c>
      <c r="E94" t="s">
        <v>1569</v>
      </c>
      <c r="F94" s="82">
        <f t="shared" si="2"/>
        <v>0</v>
      </c>
      <c r="G94">
        <v>1</v>
      </c>
      <c r="H94" t="s">
        <v>14</v>
      </c>
      <c r="I94" t="s">
        <v>318</v>
      </c>
      <c r="J94">
        <v>34.554655024016824</v>
      </c>
      <c r="K94" t="s">
        <v>1570</v>
      </c>
      <c r="L94" t="s">
        <v>19</v>
      </c>
      <c r="M94" t="s">
        <v>1571</v>
      </c>
      <c r="N94" t="s">
        <v>319</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293</v>
      </c>
      <c r="B95" t="s">
        <v>295</v>
      </c>
      <c r="C95" t="s">
        <v>5</v>
      </c>
      <c r="D95" s="80" t="s">
        <v>305</v>
      </c>
      <c r="E95" t="s">
        <v>314</v>
      </c>
      <c r="F95" s="82">
        <f t="shared" si="2"/>
        <v>0</v>
      </c>
      <c r="G95">
        <v>1</v>
      </c>
      <c r="H95" t="s">
        <v>14</v>
      </c>
      <c r="I95" t="s">
        <v>318</v>
      </c>
      <c r="J95">
        <v>34.554655024016824</v>
      </c>
      <c r="K95" t="s">
        <v>1570</v>
      </c>
      <c r="L95" t="s">
        <v>19</v>
      </c>
      <c r="M95" t="s">
        <v>1571</v>
      </c>
      <c r="N95" t="s">
        <v>319</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293</v>
      </c>
      <c r="B96" t="s">
        <v>296</v>
      </c>
      <c r="C96" t="s">
        <v>5</v>
      </c>
      <c r="D96" s="80" t="s">
        <v>305</v>
      </c>
      <c r="E96" t="s">
        <v>1569</v>
      </c>
      <c r="F96" s="82">
        <f t="shared" si="2"/>
        <v>0</v>
      </c>
      <c r="G96">
        <v>1</v>
      </c>
      <c r="H96" t="s">
        <v>14</v>
      </c>
      <c r="I96" t="s">
        <v>318</v>
      </c>
      <c r="J96">
        <v>34.554655024016824</v>
      </c>
      <c r="K96" t="s">
        <v>1570</v>
      </c>
      <c r="L96" t="s">
        <v>19</v>
      </c>
      <c r="M96" t="s">
        <v>1571</v>
      </c>
      <c r="N96" t="s">
        <v>319</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293</v>
      </c>
      <c r="B97" t="s">
        <v>296</v>
      </c>
      <c r="C97" t="s">
        <v>5</v>
      </c>
      <c r="D97" s="80" t="s">
        <v>305</v>
      </c>
      <c r="E97" t="s">
        <v>314</v>
      </c>
      <c r="F97" s="82">
        <f t="shared" si="2"/>
        <v>0</v>
      </c>
      <c r="G97">
        <v>1</v>
      </c>
      <c r="H97" t="s">
        <v>14</v>
      </c>
      <c r="I97" t="s">
        <v>318</v>
      </c>
      <c r="J97">
        <v>34.554655024016824</v>
      </c>
      <c r="K97" t="s">
        <v>1570</v>
      </c>
      <c r="L97" t="s">
        <v>19</v>
      </c>
      <c r="M97" t="s">
        <v>1571</v>
      </c>
      <c r="N97" t="s">
        <v>319</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293</v>
      </c>
      <c r="B98" t="s">
        <v>297</v>
      </c>
      <c r="C98" t="s">
        <v>5</v>
      </c>
      <c r="D98" s="80" t="s">
        <v>305</v>
      </c>
      <c r="E98" t="s">
        <v>1569</v>
      </c>
      <c r="F98" s="82">
        <f t="shared" ref="F98:F123" si="3">SIGN(SUBTOTAL(3,A98))</f>
        <v>0</v>
      </c>
      <c r="G98">
        <v>1</v>
      </c>
      <c r="H98" t="s">
        <v>14</v>
      </c>
      <c r="I98" t="s">
        <v>318</v>
      </c>
      <c r="J98">
        <v>34.554655024016824</v>
      </c>
      <c r="K98" t="s">
        <v>1570</v>
      </c>
      <c r="L98" t="s">
        <v>19</v>
      </c>
      <c r="M98" t="s">
        <v>1571</v>
      </c>
      <c r="N98" t="s">
        <v>319</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293</v>
      </c>
      <c r="B99" t="s">
        <v>297</v>
      </c>
      <c r="C99" t="s">
        <v>5</v>
      </c>
      <c r="D99" s="80" t="s">
        <v>305</v>
      </c>
      <c r="E99" t="s">
        <v>314</v>
      </c>
      <c r="F99" s="82">
        <f t="shared" si="3"/>
        <v>0</v>
      </c>
      <c r="G99">
        <v>1</v>
      </c>
      <c r="H99" t="s">
        <v>14</v>
      </c>
      <c r="I99" t="s">
        <v>318</v>
      </c>
      <c r="J99">
        <v>34.554655024016824</v>
      </c>
      <c r="K99" t="s">
        <v>1570</v>
      </c>
      <c r="L99" t="s">
        <v>19</v>
      </c>
      <c r="M99" t="s">
        <v>1571</v>
      </c>
      <c r="N99" t="s">
        <v>319</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298</v>
      </c>
      <c r="B100" t="s">
        <v>299</v>
      </c>
      <c r="C100" t="s">
        <v>5</v>
      </c>
      <c r="D100" s="80" t="s">
        <v>305</v>
      </c>
      <c r="E100" t="s">
        <v>1569</v>
      </c>
      <c r="F100" s="82">
        <f t="shared" si="3"/>
        <v>0</v>
      </c>
      <c r="G100">
        <v>1</v>
      </c>
      <c r="H100" t="s">
        <v>14</v>
      </c>
      <c r="I100" t="s">
        <v>318</v>
      </c>
      <c r="J100">
        <v>34.554655024016824</v>
      </c>
      <c r="K100" t="s">
        <v>1570</v>
      </c>
      <c r="L100" t="s">
        <v>19</v>
      </c>
      <c r="M100" t="s">
        <v>1571</v>
      </c>
      <c r="N100" t="s">
        <v>319</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298</v>
      </c>
      <c r="B101" t="s">
        <v>299</v>
      </c>
      <c r="C101" t="s">
        <v>5</v>
      </c>
      <c r="D101" s="80" t="s">
        <v>305</v>
      </c>
      <c r="E101" t="s">
        <v>314</v>
      </c>
      <c r="F101" s="82">
        <f t="shared" si="3"/>
        <v>0</v>
      </c>
      <c r="G101">
        <v>1</v>
      </c>
      <c r="H101" t="s">
        <v>14</v>
      </c>
      <c r="I101" t="s">
        <v>318</v>
      </c>
      <c r="J101">
        <v>34.554655024016824</v>
      </c>
      <c r="K101" t="s">
        <v>1570</v>
      </c>
      <c r="L101" t="s">
        <v>19</v>
      </c>
      <c r="M101" t="s">
        <v>1571</v>
      </c>
      <c r="N101" t="s">
        <v>319</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300</v>
      </c>
      <c r="B102" t="s">
        <v>301</v>
      </c>
      <c r="C102" t="s">
        <v>5</v>
      </c>
      <c r="D102" s="80" t="s">
        <v>305</v>
      </c>
      <c r="E102" t="s">
        <v>1569</v>
      </c>
      <c r="F102" s="82">
        <f t="shared" si="3"/>
        <v>0</v>
      </c>
      <c r="G102">
        <v>1</v>
      </c>
      <c r="H102" t="s">
        <v>14</v>
      </c>
      <c r="I102" t="s">
        <v>318</v>
      </c>
      <c r="J102">
        <v>34.554655024016824</v>
      </c>
      <c r="K102" t="s">
        <v>1570</v>
      </c>
      <c r="L102" t="s">
        <v>19</v>
      </c>
      <c r="M102" t="s">
        <v>1571</v>
      </c>
      <c r="N102" t="s">
        <v>319</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300</v>
      </c>
      <c r="B103" t="s">
        <v>301</v>
      </c>
      <c r="C103" t="s">
        <v>5</v>
      </c>
      <c r="D103" s="80" t="s">
        <v>305</v>
      </c>
      <c r="E103" t="s">
        <v>314</v>
      </c>
      <c r="F103" s="82">
        <f t="shared" si="3"/>
        <v>0</v>
      </c>
      <c r="G103">
        <v>1</v>
      </c>
      <c r="H103" t="s">
        <v>14</v>
      </c>
      <c r="I103" t="s">
        <v>318</v>
      </c>
      <c r="J103">
        <v>34.554655024016824</v>
      </c>
      <c r="K103" t="s">
        <v>1570</v>
      </c>
      <c r="L103" t="s">
        <v>19</v>
      </c>
      <c r="M103" t="s">
        <v>1571</v>
      </c>
      <c r="N103" t="s">
        <v>319</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258</v>
      </c>
      <c r="B104" t="s">
        <v>259</v>
      </c>
      <c r="C104" t="s">
        <v>5</v>
      </c>
      <c r="D104" s="80" t="s">
        <v>305</v>
      </c>
      <c r="E104" t="s">
        <v>1569</v>
      </c>
      <c r="F104" s="82">
        <f t="shared" si="3"/>
        <v>0</v>
      </c>
      <c r="G104">
        <v>1</v>
      </c>
      <c r="H104" t="s">
        <v>14</v>
      </c>
      <c r="I104" t="s">
        <v>318</v>
      </c>
      <c r="J104">
        <v>20.063993239751706</v>
      </c>
      <c r="K104" t="s">
        <v>1570</v>
      </c>
      <c r="L104" t="s">
        <v>19</v>
      </c>
      <c r="M104" t="s">
        <v>1572</v>
      </c>
      <c r="N104" t="s">
        <v>319</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258</v>
      </c>
      <c r="B105" t="s">
        <v>259</v>
      </c>
      <c r="C105" t="s">
        <v>5</v>
      </c>
      <c r="D105" s="80" t="s">
        <v>305</v>
      </c>
      <c r="E105" t="s">
        <v>314</v>
      </c>
      <c r="F105" s="82">
        <f t="shared" si="3"/>
        <v>0</v>
      </c>
      <c r="G105">
        <v>1</v>
      </c>
      <c r="H105" t="s">
        <v>14</v>
      </c>
      <c r="I105" t="s">
        <v>318</v>
      </c>
      <c r="J105">
        <v>20.063993239751706</v>
      </c>
      <c r="K105" t="s">
        <v>1570</v>
      </c>
      <c r="L105" t="s">
        <v>19</v>
      </c>
      <c r="M105" t="s">
        <v>1572</v>
      </c>
      <c r="N105" t="s">
        <v>319</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258</v>
      </c>
      <c r="B106" t="s">
        <v>259</v>
      </c>
      <c r="C106" t="s">
        <v>5</v>
      </c>
      <c r="D106" s="80" t="s">
        <v>307</v>
      </c>
      <c r="E106" t="s">
        <v>1569</v>
      </c>
      <c r="F106" s="82">
        <f t="shared" si="3"/>
        <v>0</v>
      </c>
      <c r="G106">
        <v>1</v>
      </c>
      <c r="H106" t="s">
        <v>14</v>
      </c>
      <c r="I106" t="s">
        <v>318</v>
      </c>
      <c r="J106">
        <v>28.841990282143083</v>
      </c>
      <c r="K106" t="s">
        <v>1570</v>
      </c>
      <c r="L106" t="s">
        <v>19</v>
      </c>
      <c r="M106" t="s">
        <v>1576</v>
      </c>
      <c r="N106" t="s">
        <v>319</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258</v>
      </c>
      <c r="B107" t="s">
        <v>259</v>
      </c>
      <c r="C107" t="s">
        <v>5</v>
      </c>
      <c r="D107" s="80" t="s">
        <v>307</v>
      </c>
      <c r="E107" t="s">
        <v>314</v>
      </c>
      <c r="F107" s="82">
        <f t="shared" si="3"/>
        <v>0</v>
      </c>
      <c r="G107">
        <v>1</v>
      </c>
      <c r="H107" t="s">
        <v>14</v>
      </c>
      <c r="I107" t="s">
        <v>318</v>
      </c>
      <c r="J107">
        <v>25.637324695238295</v>
      </c>
      <c r="K107" t="s">
        <v>1570</v>
      </c>
      <c r="L107" t="s">
        <v>19</v>
      </c>
      <c r="M107" t="s">
        <v>1576</v>
      </c>
      <c r="N107" t="s">
        <v>319</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258</v>
      </c>
      <c r="B108" t="s">
        <v>264</v>
      </c>
      <c r="C108" t="s">
        <v>5</v>
      </c>
      <c r="D108" s="80" t="s">
        <v>305</v>
      </c>
      <c r="E108" t="s">
        <v>1569</v>
      </c>
      <c r="F108" s="82">
        <f t="shared" si="3"/>
        <v>0</v>
      </c>
      <c r="G108">
        <v>1</v>
      </c>
      <c r="H108" t="s">
        <v>14</v>
      </c>
      <c r="I108" t="s">
        <v>318</v>
      </c>
      <c r="J108">
        <v>20.063993239751706</v>
      </c>
      <c r="K108" t="s">
        <v>1570</v>
      </c>
      <c r="L108" t="s">
        <v>19</v>
      </c>
      <c r="M108" t="s">
        <v>1572</v>
      </c>
      <c r="N108" t="s">
        <v>319</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258</v>
      </c>
      <c r="B109" t="s">
        <v>264</v>
      </c>
      <c r="C109" t="s">
        <v>5</v>
      </c>
      <c r="D109" s="80" t="s">
        <v>305</v>
      </c>
      <c r="E109" t="s">
        <v>314</v>
      </c>
      <c r="F109" s="82">
        <f t="shared" si="3"/>
        <v>0</v>
      </c>
      <c r="G109">
        <v>1</v>
      </c>
      <c r="H109" t="s">
        <v>14</v>
      </c>
      <c r="I109" t="s">
        <v>318</v>
      </c>
      <c r="J109">
        <v>20.063993239751706</v>
      </c>
      <c r="K109" t="s">
        <v>1570</v>
      </c>
      <c r="L109" t="s">
        <v>19</v>
      </c>
      <c r="M109" t="s">
        <v>1572</v>
      </c>
      <c r="N109" t="s">
        <v>319</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258</v>
      </c>
      <c r="B110" t="s">
        <v>264</v>
      </c>
      <c r="C110" t="s">
        <v>5</v>
      </c>
      <c r="D110" s="80" t="s">
        <v>307</v>
      </c>
      <c r="E110" t="s">
        <v>1569</v>
      </c>
      <c r="F110" s="82">
        <f t="shared" si="3"/>
        <v>0</v>
      </c>
      <c r="G110">
        <v>1</v>
      </c>
      <c r="H110" t="s">
        <v>14</v>
      </c>
      <c r="I110" t="s">
        <v>318</v>
      </c>
      <c r="J110">
        <v>28.841990282143083</v>
      </c>
      <c r="K110" t="s">
        <v>1570</v>
      </c>
      <c r="L110" t="s">
        <v>19</v>
      </c>
      <c r="M110" t="s">
        <v>1576</v>
      </c>
      <c r="N110" t="s">
        <v>319</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258</v>
      </c>
      <c r="B111" t="s">
        <v>264</v>
      </c>
      <c r="C111" t="s">
        <v>5</v>
      </c>
      <c r="D111" s="80" t="s">
        <v>307</v>
      </c>
      <c r="E111" t="s">
        <v>314</v>
      </c>
      <c r="F111" s="82">
        <f t="shared" si="3"/>
        <v>0</v>
      </c>
      <c r="G111">
        <v>1</v>
      </c>
      <c r="H111" t="s">
        <v>14</v>
      </c>
      <c r="I111" t="s">
        <v>318</v>
      </c>
      <c r="J111">
        <v>25.637324695238295</v>
      </c>
      <c r="K111" t="s">
        <v>1570</v>
      </c>
      <c r="L111" t="s">
        <v>19</v>
      </c>
      <c r="M111" t="s">
        <v>1576</v>
      </c>
      <c r="N111" t="s">
        <v>319</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258</v>
      </c>
      <c r="B112" t="s">
        <v>268</v>
      </c>
      <c r="C112" t="s">
        <v>5</v>
      </c>
      <c r="D112" s="80" t="s">
        <v>305</v>
      </c>
      <c r="E112" t="s">
        <v>1569</v>
      </c>
      <c r="F112" s="82">
        <f t="shared" si="3"/>
        <v>0</v>
      </c>
      <c r="G112">
        <v>1</v>
      </c>
      <c r="H112" t="s">
        <v>14</v>
      </c>
      <c r="I112" t="s">
        <v>318</v>
      </c>
      <c r="J112">
        <v>20.063993239751706</v>
      </c>
      <c r="K112" t="s">
        <v>1570</v>
      </c>
      <c r="L112" t="s">
        <v>19</v>
      </c>
      <c r="M112" t="s">
        <v>1572</v>
      </c>
      <c r="N112" t="s">
        <v>319</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258</v>
      </c>
      <c r="B113" t="s">
        <v>268</v>
      </c>
      <c r="C113" t="s">
        <v>5</v>
      </c>
      <c r="D113" s="80" t="s">
        <v>305</v>
      </c>
      <c r="E113" t="s">
        <v>314</v>
      </c>
      <c r="F113" s="82">
        <f t="shared" si="3"/>
        <v>0</v>
      </c>
      <c r="G113">
        <v>1</v>
      </c>
      <c r="H113" t="s">
        <v>14</v>
      </c>
      <c r="I113" t="s">
        <v>318</v>
      </c>
      <c r="J113">
        <v>20.063993239751706</v>
      </c>
      <c r="K113" t="s">
        <v>1570</v>
      </c>
      <c r="L113" t="s">
        <v>19</v>
      </c>
      <c r="M113" t="s">
        <v>1572</v>
      </c>
      <c r="N113" t="s">
        <v>319</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258</v>
      </c>
      <c r="B114" t="s">
        <v>268</v>
      </c>
      <c r="C114" t="s">
        <v>5</v>
      </c>
      <c r="D114" s="80" t="s">
        <v>307</v>
      </c>
      <c r="E114" t="s">
        <v>1569</v>
      </c>
      <c r="F114" s="82">
        <f t="shared" si="3"/>
        <v>0</v>
      </c>
      <c r="G114">
        <v>1</v>
      </c>
      <c r="H114" t="s">
        <v>14</v>
      </c>
      <c r="I114" t="s">
        <v>318</v>
      </c>
      <c r="J114">
        <v>28.841990282143083</v>
      </c>
      <c r="K114" t="s">
        <v>1570</v>
      </c>
      <c r="L114" t="s">
        <v>19</v>
      </c>
      <c r="M114" t="s">
        <v>1576</v>
      </c>
      <c r="N114" t="s">
        <v>319</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258</v>
      </c>
      <c r="B115" t="s">
        <v>268</v>
      </c>
      <c r="C115" t="s">
        <v>5</v>
      </c>
      <c r="D115" s="80" t="s">
        <v>307</v>
      </c>
      <c r="E115" t="s">
        <v>314</v>
      </c>
      <c r="F115" s="82">
        <f t="shared" si="3"/>
        <v>0</v>
      </c>
      <c r="G115">
        <v>1</v>
      </c>
      <c r="H115" t="s">
        <v>14</v>
      </c>
      <c r="I115" t="s">
        <v>318</v>
      </c>
      <c r="J115">
        <v>25.637324695238295</v>
      </c>
      <c r="K115" t="s">
        <v>1570</v>
      </c>
      <c r="L115" t="s">
        <v>19</v>
      </c>
      <c r="M115" t="s">
        <v>1576</v>
      </c>
      <c r="N115" t="s">
        <v>319</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258</v>
      </c>
      <c r="B116" t="s">
        <v>263</v>
      </c>
      <c r="C116" t="s">
        <v>5</v>
      </c>
      <c r="D116" s="80" t="s">
        <v>305</v>
      </c>
      <c r="E116" t="s">
        <v>1569</v>
      </c>
      <c r="F116" s="82">
        <f t="shared" si="3"/>
        <v>0</v>
      </c>
      <c r="G116">
        <v>1</v>
      </c>
      <c r="H116" t="s">
        <v>14</v>
      </c>
      <c r="I116" t="s">
        <v>318</v>
      </c>
      <c r="J116">
        <v>20.063993239751706</v>
      </c>
      <c r="K116" t="s">
        <v>1570</v>
      </c>
      <c r="L116" t="s">
        <v>19</v>
      </c>
      <c r="M116" t="s">
        <v>1572</v>
      </c>
      <c r="N116" t="s">
        <v>319</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258</v>
      </c>
      <c r="B117" t="s">
        <v>263</v>
      </c>
      <c r="C117" t="s">
        <v>5</v>
      </c>
      <c r="D117" s="80" t="s">
        <v>305</v>
      </c>
      <c r="E117" t="s">
        <v>314</v>
      </c>
      <c r="F117" s="82">
        <f t="shared" si="3"/>
        <v>0</v>
      </c>
      <c r="G117">
        <v>1</v>
      </c>
      <c r="H117" t="s">
        <v>14</v>
      </c>
      <c r="I117" t="s">
        <v>318</v>
      </c>
      <c r="J117">
        <v>20.063993239751706</v>
      </c>
      <c r="K117" t="s">
        <v>1570</v>
      </c>
      <c r="L117" t="s">
        <v>19</v>
      </c>
      <c r="M117" t="s">
        <v>1572</v>
      </c>
      <c r="N117" t="s">
        <v>319</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258</v>
      </c>
      <c r="B118" t="s">
        <v>263</v>
      </c>
      <c r="C118" t="s">
        <v>5</v>
      </c>
      <c r="D118" s="80" t="s">
        <v>307</v>
      </c>
      <c r="E118" t="s">
        <v>1569</v>
      </c>
      <c r="F118" s="82">
        <f t="shared" si="3"/>
        <v>0</v>
      </c>
      <c r="G118">
        <v>1</v>
      </c>
      <c r="H118" t="s">
        <v>14</v>
      </c>
      <c r="I118" t="s">
        <v>318</v>
      </c>
      <c r="J118">
        <v>28.841990282143083</v>
      </c>
      <c r="K118" t="s">
        <v>1570</v>
      </c>
      <c r="L118" t="s">
        <v>19</v>
      </c>
      <c r="M118" t="s">
        <v>1576</v>
      </c>
      <c r="N118" t="s">
        <v>319</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258</v>
      </c>
      <c r="B119" t="s">
        <v>263</v>
      </c>
      <c r="C119" t="s">
        <v>5</v>
      </c>
      <c r="D119" s="80" t="s">
        <v>307</v>
      </c>
      <c r="E119" t="s">
        <v>314</v>
      </c>
      <c r="F119" s="82">
        <f t="shared" si="3"/>
        <v>0</v>
      </c>
      <c r="G119">
        <v>1</v>
      </c>
      <c r="H119" t="s">
        <v>14</v>
      </c>
      <c r="I119" t="s">
        <v>318</v>
      </c>
      <c r="J119">
        <v>25.637324695238295</v>
      </c>
      <c r="K119" t="s">
        <v>1570</v>
      </c>
      <c r="L119" t="s">
        <v>19</v>
      </c>
      <c r="M119" t="s">
        <v>1576</v>
      </c>
      <c r="N119" t="s">
        <v>319</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258</v>
      </c>
      <c r="B120" t="s">
        <v>262</v>
      </c>
      <c r="C120" t="s">
        <v>5</v>
      </c>
      <c r="D120" s="80" t="s">
        <v>305</v>
      </c>
      <c r="E120" t="s">
        <v>1569</v>
      </c>
      <c r="F120" s="82">
        <f t="shared" si="3"/>
        <v>0</v>
      </c>
      <c r="G120">
        <v>1</v>
      </c>
      <c r="H120" t="s">
        <v>14</v>
      </c>
      <c r="I120" t="s">
        <v>318</v>
      </c>
      <c r="J120">
        <v>20.063993239751706</v>
      </c>
      <c r="K120" t="s">
        <v>1570</v>
      </c>
      <c r="L120" t="s">
        <v>19</v>
      </c>
      <c r="M120" t="s">
        <v>1572</v>
      </c>
      <c r="N120" t="s">
        <v>319</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258</v>
      </c>
      <c r="B121" t="s">
        <v>262</v>
      </c>
      <c r="C121" t="s">
        <v>5</v>
      </c>
      <c r="D121" s="80" t="s">
        <v>305</v>
      </c>
      <c r="E121" t="s">
        <v>314</v>
      </c>
      <c r="F121" s="82">
        <f t="shared" si="3"/>
        <v>0</v>
      </c>
      <c r="G121">
        <v>1</v>
      </c>
      <c r="H121" t="s">
        <v>14</v>
      </c>
      <c r="I121" t="s">
        <v>318</v>
      </c>
      <c r="J121">
        <v>20.063993239751706</v>
      </c>
      <c r="K121" t="s">
        <v>1570</v>
      </c>
      <c r="L121" t="s">
        <v>19</v>
      </c>
      <c r="M121" t="s">
        <v>1572</v>
      </c>
      <c r="N121" t="s">
        <v>319</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258</v>
      </c>
      <c r="B122" t="s">
        <v>262</v>
      </c>
      <c r="C122" t="s">
        <v>5</v>
      </c>
      <c r="D122" s="80" t="s">
        <v>307</v>
      </c>
      <c r="E122" t="s">
        <v>1569</v>
      </c>
      <c r="F122" s="82">
        <f t="shared" si="3"/>
        <v>0</v>
      </c>
      <c r="G122">
        <v>1</v>
      </c>
      <c r="H122" t="s">
        <v>14</v>
      </c>
      <c r="I122" t="s">
        <v>318</v>
      </c>
      <c r="J122">
        <v>28.841990282143083</v>
      </c>
      <c r="K122" t="s">
        <v>1570</v>
      </c>
      <c r="L122" t="s">
        <v>19</v>
      </c>
      <c r="M122" t="s">
        <v>1576</v>
      </c>
      <c r="N122" t="s">
        <v>319</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258</v>
      </c>
      <c r="B123" t="s">
        <v>262</v>
      </c>
      <c r="C123" t="s">
        <v>5</v>
      </c>
      <c r="D123" s="80" t="s">
        <v>307</v>
      </c>
      <c r="E123" t="s">
        <v>314</v>
      </c>
      <c r="F123" s="82">
        <f t="shared" si="3"/>
        <v>0</v>
      </c>
      <c r="G123">
        <v>1</v>
      </c>
      <c r="H123" t="s">
        <v>14</v>
      </c>
      <c r="I123" t="s">
        <v>318</v>
      </c>
      <c r="J123">
        <v>25.637324695238295</v>
      </c>
      <c r="K123" t="s">
        <v>1570</v>
      </c>
      <c r="L123" t="s">
        <v>19</v>
      </c>
      <c r="M123" t="s">
        <v>1576</v>
      </c>
      <c r="N123" t="s">
        <v>319</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1674</v>
      </c>
      <c r="B124" t="s">
        <v>1674</v>
      </c>
      <c r="C124" t="s">
        <v>22</v>
      </c>
      <c r="D124" t="s">
        <v>1675</v>
      </c>
      <c r="E124" t="s">
        <v>1569</v>
      </c>
      <c r="F124" s="82">
        <f>SIGN(SUBTOTAL(3,A124))</f>
        <v>0</v>
      </c>
      <c r="G124" s="107">
        <v>1</v>
      </c>
      <c r="H124" s="107" t="s">
        <v>1570</v>
      </c>
      <c r="I124" t="s">
        <v>318</v>
      </c>
      <c r="J124">
        <v>0.38581421178327058</v>
      </c>
      <c r="K124" t="s">
        <v>1570</v>
      </c>
      <c r="L124" t="s">
        <v>19</v>
      </c>
      <c r="M124" t="s">
        <v>1673</v>
      </c>
      <c r="N124" t="s">
        <v>319</v>
      </c>
      <c r="O124">
        <v>479299088.4013319</v>
      </c>
      <c r="P124" t="s">
        <v>42</v>
      </c>
      <c r="Q124" s="149">
        <f>SAF_Cand_Refinery[[#This Row],[Max Amount]]*0.5</f>
        <v>239649544.20066595</v>
      </c>
      <c r="R124" s="149">
        <f>SAF_Cand_Refinery[[#This Row],[Max Amount]]*0.1</f>
        <v>47929908.84013319</v>
      </c>
      <c r="S124">
        <v>23598308.640000001</v>
      </c>
    </row>
    <row r="125" spans="1:19" hidden="1" x14ac:dyDescent="0.3">
      <c r="A125" t="s">
        <v>1674</v>
      </c>
      <c r="B125" t="s">
        <v>1674</v>
      </c>
      <c r="C125" t="s">
        <v>22</v>
      </c>
      <c r="D125" t="s">
        <v>1675</v>
      </c>
      <c r="E125" t="s">
        <v>314</v>
      </c>
      <c r="F125" s="82">
        <f>SIGN(SUBTOTAL(3,A125))</f>
        <v>0</v>
      </c>
      <c r="G125" s="107">
        <v>1</v>
      </c>
      <c r="H125" s="107" t="s">
        <v>1570</v>
      </c>
      <c r="I125" t="s">
        <v>318</v>
      </c>
      <c r="J125">
        <v>0.38581421178327058</v>
      </c>
      <c r="K125" t="s">
        <v>1570</v>
      </c>
      <c r="L125" t="s">
        <v>19</v>
      </c>
      <c r="M125" t="s">
        <v>1673</v>
      </c>
      <c r="N125" t="s">
        <v>319</v>
      </c>
      <c r="O125">
        <v>47929908.84013319</v>
      </c>
      <c r="P125" t="s">
        <v>42</v>
      </c>
      <c r="Q125" s="149">
        <f>SAF_Cand_Refinery[[#This Row],[Max Amount]]*0.5</f>
        <v>23964954.420066595</v>
      </c>
      <c r="R125" s="149">
        <f>SAF_Cand_Refinery[[#This Row],[Max Amount]]*0.1</f>
        <v>4792990.8840133194</v>
      </c>
      <c r="S125">
        <v>8417689.3200000003</v>
      </c>
    </row>
    <row r="126" spans="1:19" hidden="1" x14ac:dyDescent="0.3">
      <c r="A126" t="s">
        <v>2844</v>
      </c>
      <c r="B126" t="s">
        <v>2835</v>
      </c>
      <c r="C126" t="s">
        <v>5</v>
      </c>
      <c r="D126" t="s">
        <v>305</v>
      </c>
      <c r="E126" t="s">
        <v>1569</v>
      </c>
      <c r="F126" s="82">
        <f t="shared" ref="F126:F157" si="4">SIGN(SUBTOTAL(3,A126))</f>
        <v>0</v>
      </c>
      <c r="G126">
        <v>1</v>
      </c>
      <c r="H126" t="s">
        <v>14</v>
      </c>
      <c r="I126" t="s">
        <v>318</v>
      </c>
      <c r="J126">
        <v>15.60532807536244</v>
      </c>
      <c r="K126" t="s">
        <v>1570</v>
      </c>
      <c r="L126" t="s">
        <v>19</v>
      </c>
      <c r="M126" t="s">
        <v>2831</v>
      </c>
      <c r="N126" t="s">
        <v>319</v>
      </c>
      <c r="O126">
        <v>2031398.4971612808</v>
      </c>
      <c r="P126" t="s">
        <v>14</v>
      </c>
      <c r="Q126" s="149">
        <f>SAF_Cand_Refinery[[#This Row],[Max Amount]]*0.5</f>
        <v>1015699.2485806404</v>
      </c>
      <c r="R126" s="149">
        <f>SAF_Cand_Refinery[[#This Row],[Max Amount]]*0.1</f>
        <v>203139.84971612808</v>
      </c>
      <c r="S126">
        <v>108566609.03999999</v>
      </c>
    </row>
    <row r="127" spans="1:19" hidden="1" x14ac:dyDescent="0.3">
      <c r="A127" t="s">
        <v>2844</v>
      </c>
      <c r="B127" t="s">
        <v>2835</v>
      </c>
      <c r="C127" t="s">
        <v>5</v>
      </c>
      <c r="D127" t="s">
        <v>305</v>
      </c>
      <c r="E127" t="s">
        <v>314</v>
      </c>
      <c r="F127" s="82">
        <f t="shared" si="4"/>
        <v>0</v>
      </c>
      <c r="G127">
        <v>1</v>
      </c>
      <c r="H127" t="s">
        <v>14</v>
      </c>
      <c r="I127" t="s">
        <v>318</v>
      </c>
      <c r="J127">
        <v>15.60532807536244</v>
      </c>
      <c r="K127" t="s">
        <v>1570</v>
      </c>
      <c r="L127" t="s">
        <v>19</v>
      </c>
      <c r="M127" t="s">
        <v>2831</v>
      </c>
      <c r="N127" t="s">
        <v>319</v>
      </c>
      <c r="O127">
        <v>677132.83238709357</v>
      </c>
      <c r="P127" t="s">
        <v>14</v>
      </c>
      <c r="Q127" s="149">
        <f>SAF_Cand_Refinery[[#This Row],[Max Amount]]*0.5</f>
        <v>338566.41619354679</v>
      </c>
      <c r="R127" s="149">
        <f>SAF_Cand_Refinery[[#This Row],[Max Amount]]*0.1</f>
        <v>67713.283238709366</v>
      </c>
      <c r="S127">
        <v>91155661.800000012</v>
      </c>
    </row>
    <row r="128" spans="1:19" hidden="1" x14ac:dyDescent="0.3">
      <c r="A128" t="s">
        <v>2844</v>
      </c>
      <c r="B128" t="s">
        <v>2836</v>
      </c>
      <c r="C128" t="s">
        <v>5</v>
      </c>
      <c r="D128" t="s">
        <v>305</v>
      </c>
      <c r="E128" t="s">
        <v>1569</v>
      </c>
      <c r="F128" s="82">
        <f t="shared" ref="F128:F133" si="5">SIGN(SUBTOTAL(3,A128))</f>
        <v>0</v>
      </c>
      <c r="G128">
        <v>1</v>
      </c>
      <c r="H128" t="s">
        <v>14</v>
      </c>
      <c r="I128" t="s">
        <v>318</v>
      </c>
      <c r="J128">
        <v>15.60532807536244</v>
      </c>
      <c r="K128" t="s">
        <v>1570</v>
      </c>
      <c r="L128" t="s">
        <v>19</v>
      </c>
      <c r="M128" t="s">
        <v>2831</v>
      </c>
      <c r="N128" t="s">
        <v>319</v>
      </c>
      <c r="O128">
        <v>2031398.4971612808</v>
      </c>
      <c r="P128" t="s">
        <v>14</v>
      </c>
      <c r="Q128" s="149">
        <f>SAF_Cand_Refinery[[#This Row],[Max Amount]]*0.5</f>
        <v>1015699.2485806404</v>
      </c>
      <c r="R128" s="149">
        <f>SAF_Cand_Refinery[[#This Row],[Max Amount]]*0.1</f>
        <v>203139.84971612808</v>
      </c>
      <c r="S128">
        <v>108566609.03999999</v>
      </c>
    </row>
    <row r="129" spans="1:19" hidden="1" x14ac:dyDescent="0.3">
      <c r="A129" t="s">
        <v>2844</v>
      </c>
      <c r="B129" t="s">
        <v>2836</v>
      </c>
      <c r="C129" t="s">
        <v>5</v>
      </c>
      <c r="D129" t="s">
        <v>305</v>
      </c>
      <c r="E129" t="s">
        <v>314</v>
      </c>
      <c r="F129" s="82">
        <f t="shared" si="5"/>
        <v>0</v>
      </c>
      <c r="G129">
        <v>1</v>
      </c>
      <c r="H129" t="s">
        <v>14</v>
      </c>
      <c r="I129" t="s">
        <v>318</v>
      </c>
      <c r="J129">
        <v>15.60532807536244</v>
      </c>
      <c r="K129" t="s">
        <v>1570</v>
      </c>
      <c r="L129" t="s">
        <v>19</v>
      </c>
      <c r="M129" t="s">
        <v>2831</v>
      </c>
      <c r="N129" t="s">
        <v>319</v>
      </c>
      <c r="O129">
        <v>677132.83238709357</v>
      </c>
      <c r="P129" t="s">
        <v>14</v>
      </c>
      <c r="Q129" s="149">
        <f>SAF_Cand_Refinery[[#This Row],[Max Amount]]*0.5</f>
        <v>338566.41619354679</v>
      </c>
      <c r="R129" s="149">
        <f>SAF_Cand_Refinery[[#This Row],[Max Amount]]*0.1</f>
        <v>67713.283238709366</v>
      </c>
      <c r="S129">
        <v>91155661.800000012</v>
      </c>
    </row>
    <row r="130" spans="1:19" hidden="1" x14ac:dyDescent="0.3">
      <c r="A130" t="s">
        <v>2844</v>
      </c>
      <c r="B130" t="s">
        <v>2837</v>
      </c>
      <c r="C130" t="s">
        <v>5</v>
      </c>
      <c r="D130" t="s">
        <v>305</v>
      </c>
      <c r="E130" t="s">
        <v>1569</v>
      </c>
      <c r="F130" s="82">
        <f t="shared" si="5"/>
        <v>0</v>
      </c>
      <c r="G130">
        <v>1</v>
      </c>
      <c r="H130" t="s">
        <v>14</v>
      </c>
      <c r="I130" t="s">
        <v>318</v>
      </c>
      <c r="J130">
        <v>15.60532807536244</v>
      </c>
      <c r="K130" t="s">
        <v>1570</v>
      </c>
      <c r="L130" t="s">
        <v>19</v>
      </c>
      <c r="M130" t="s">
        <v>2831</v>
      </c>
      <c r="N130" t="s">
        <v>319</v>
      </c>
      <c r="O130">
        <v>2031398.4971612808</v>
      </c>
      <c r="P130" t="s">
        <v>14</v>
      </c>
      <c r="Q130" s="149">
        <f>SAF_Cand_Refinery[[#This Row],[Max Amount]]*0.5</f>
        <v>1015699.2485806404</v>
      </c>
      <c r="R130" s="149">
        <f>SAF_Cand_Refinery[[#This Row],[Max Amount]]*0.1</f>
        <v>203139.84971612808</v>
      </c>
      <c r="S130">
        <v>108566609.03999999</v>
      </c>
    </row>
    <row r="131" spans="1:19" hidden="1" x14ac:dyDescent="0.3">
      <c r="A131" t="s">
        <v>2844</v>
      </c>
      <c r="B131" t="s">
        <v>2837</v>
      </c>
      <c r="C131" t="s">
        <v>5</v>
      </c>
      <c r="D131" t="s">
        <v>305</v>
      </c>
      <c r="E131" t="s">
        <v>314</v>
      </c>
      <c r="F131" s="82">
        <f t="shared" si="5"/>
        <v>0</v>
      </c>
      <c r="G131">
        <v>1</v>
      </c>
      <c r="H131" t="s">
        <v>14</v>
      </c>
      <c r="I131" t="s">
        <v>318</v>
      </c>
      <c r="J131">
        <v>15.60532807536244</v>
      </c>
      <c r="K131" t="s">
        <v>1570</v>
      </c>
      <c r="L131" t="s">
        <v>19</v>
      </c>
      <c r="M131" t="s">
        <v>2831</v>
      </c>
      <c r="N131" t="s">
        <v>319</v>
      </c>
      <c r="O131">
        <v>677132.83238709357</v>
      </c>
      <c r="P131" t="s">
        <v>14</v>
      </c>
      <c r="Q131" s="149">
        <f>SAF_Cand_Refinery[[#This Row],[Max Amount]]*0.5</f>
        <v>338566.41619354679</v>
      </c>
      <c r="R131" s="149">
        <f>SAF_Cand_Refinery[[#This Row],[Max Amount]]*0.1</f>
        <v>67713.283238709366</v>
      </c>
      <c r="S131">
        <v>91155661.800000012</v>
      </c>
    </row>
    <row r="132" spans="1:19" hidden="1" x14ac:dyDescent="0.3">
      <c r="A132" t="s">
        <v>2844</v>
      </c>
      <c r="B132" t="s">
        <v>2838</v>
      </c>
      <c r="C132" t="s">
        <v>5</v>
      </c>
      <c r="D132" t="s">
        <v>305</v>
      </c>
      <c r="E132" t="s">
        <v>1569</v>
      </c>
      <c r="F132" s="82">
        <f t="shared" si="5"/>
        <v>0</v>
      </c>
      <c r="G132">
        <v>1</v>
      </c>
      <c r="H132" t="s">
        <v>14</v>
      </c>
      <c r="I132" t="s">
        <v>318</v>
      </c>
      <c r="J132">
        <v>15.60532807536244</v>
      </c>
      <c r="K132" t="s">
        <v>1570</v>
      </c>
      <c r="L132" t="s">
        <v>19</v>
      </c>
      <c r="M132" t="s">
        <v>2831</v>
      </c>
      <c r="N132" t="s">
        <v>319</v>
      </c>
      <c r="O132">
        <v>2031398.4971612808</v>
      </c>
      <c r="P132" t="s">
        <v>14</v>
      </c>
      <c r="Q132" s="149">
        <f>SAF_Cand_Refinery[[#This Row],[Max Amount]]*0.5</f>
        <v>1015699.2485806404</v>
      </c>
      <c r="R132" s="149">
        <f>SAF_Cand_Refinery[[#This Row],[Max Amount]]*0.1</f>
        <v>203139.84971612808</v>
      </c>
      <c r="S132">
        <v>108566609.03999999</v>
      </c>
    </row>
    <row r="133" spans="1:19" hidden="1" x14ac:dyDescent="0.3">
      <c r="A133" t="s">
        <v>2844</v>
      </c>
      <c r="B133" t="s">
        <v>2838</v>
      </c>
      <c r="C133" t="s">
        <v>5</v>
      </c>
      <c r="D133" t="s">
        <v>305</v>
      </c>
      <c r="E133" t="s">
        <v>314</v>
      </c>
      <c r="F133" s="82">
        <f t="shared" si="5"/>
        <v>0</v>
      </c>
      <c r="G133">
        <v>1</v>
      </c>
      <c r="H133" t="s">
        <v>14</v>
      </c>
      <c r="I133" t="s">
        <v>318</v>
      </c>
      <c r="J133">
        <v>15.60532807536244</v>
      </c>
      <c r="K133" t="s">
        <v>1570</v>
      </c>
      <c r="L133" t="s">
        <v>19</v>
      </c>
      <c r="M133" t="s">
        <v>2831</v>
      </c>
      <c r="N133" t="s">
        <v>319</v>
      </c>
      <c r="O133">
        <v>677132.83238709357</v>
      </c>
      <c r="P133" t="s">
        <v>14</v>
      </c>
      <c r="Q133" s="149">
        <f>SAF_Cand_Refinery[[#This Row],[Max Amount]]*0.5</f>
        <v>338566.41619354679</v>
      </c>
      <c r="R133" s="149">
        <f>SAF_Cand_Refinery[[#This Row],[Max Amount]]*0.1</f>
        <v>67713.283238709366</v>
      </c>
      <c r="S133">
        <v>91155661.800000012</v>
      </c>
    </row>
    <row r="134" spans="1:19" hidden="1" x14ac:dyDescent="0.3">
      <c r="A134" t="s">
        <v>2843</v>
      </c>
      <c r="B134" t="s">
        <v>2839</v>
      </c>
      <c r="C134" t="s">
        <v>5</v>
      </c>
      <c r="D134" t="s">
        <v>305</v>
      </c>
      <c r="E134" t="s">
        <v>1569</v>
      </c>
      <c r="F134" s="82">
        <f t="shared" si="4"/>
        <v>0</v>
      </c>
      <c r="G134">
        <v>1</v>
      </c>
      <c r="H134" t="s">
        <v>14</v>
      </c>
      <c r="I134" t="s">
        <v>318</v>
      </c>
      <c r="J134">
        <v>20.063993239751706</v>
      </c>
      <c r="K134" t="s">
        <v>1570</v>
      </c>
      <c r="L134" t="s">
        <v>19</v>
      </c>
      <c r="M134" t="s">
        <v>2832</v>
      </c>
      <c r="N134" t="s">
        <v>319</v>
      </c>
      <c r="O134">
        <v>2106635.4785376247</v>
      </c>
      <c r="P134" t="s">
        <v>14</v>
      </c>
      <c r="Q134" s="149">
        <f>SAF_Cand_Refinery[[#This Row],[Max Amount]]*0.5</f>
        <v>1053317.7392688124</v>
      </c>
      <c r="R134" s="149">
        <f>SAF_Cand_Refinery[[#This Row],[Max Amount]]*0.1</f>
        <v>210663.54785376249</v>
      </c>
      <c r="S134">
        <v>116408730</v>
      </c>
    </row>
    <row r="135" spans="1:19" hidden="1" x14ac:dyDescent="0.3">
      <c r="A135" t="s">
        <v>2843</v>
      </c>
      <c r="B135" t="s">
        <v>2839</v>
      </c>
      <c r="C135" t="s">
        <v>5</v>
      </c>
      <c r="D135" t="s">
        <v>305</v>
      </c>
      <c r="E135" t="s">
        <v>314</v>
      </c>
      <c r="F135" s="82">
        <f t="shared" si="4"/>
        <v>0</v>
      </c>
      <c r="G135">
        <v>1</v>
      </c>
      <c r="H135" t="s">
        <v>14</v>
      </c>
      <c r="I135" t="s">
        <v>318</v>
      </c>
      <c r="J135">
        <v>20.063993239751706</v>
      </c>
      <c r="K135" t="s">
        <v>1570</v>
      </c>
      <c r="L135" t="s">
        <v>19</v>
      </c>
      <c r="M135" t="s">
        <v>2832</v>
      </c>
      <c r="N135" t="s">
        <v>319</v>
      </c>
      <c r="O135">
        <v>526658.86963440618</v>
      </c>
      <c r="P135" t="s">
        <v>14</v>
      </c>
      <c r="Q135" s="149">
        <f>SAF_Cand_Refinery[[#This Row],[Max Amount]]*0.5</f>
        <v>263329.43481720309</v>
      </c>
      <c r="R135" s="149">
        <f>SAF_Cand_Refinery[[#This Row],[Max Amount]]*0.1</f>
        <v>52665.886963440622</v>
      </c>
      <c r="S135">
        <v>78277316.519999996</v>
      </c>
    </row>
    <row r="136" spans="1:19" hidden="1" x14ac:dyDescent="0.3">
      <c r="A136" t="s">
        <v>2843</v>
      </c>
      <c r="B136" t="s">
        <v>2840</v>
      </c>
      <c r="C136" t="s">
        <v>5</v>
      </c>
      <c r="D136" t="s">
        <v>305</v>
      </c>
      <c r="E136" t="s">
        <v>1569</v>
      </c>
      <c r="F136" s="82">
        <f t="shared" ref="F136:F141" si="6">SIGN(SUBTOTAL(3,A136))</f>
        <v>0</v>
      </c>
      <c r="G136">
        <v>1</v>
      </c>
      <c r="H136" t="s">
        <v>14</v>
      </c>
      <c r="I136" t="s">
        <v>318</v>
      </c>
      <c r="J136">
        <v>20.063993239751706</v>
      </c>
      <c r="K136" t="s">
        <v>1570</v>
      </c>
      <c r="L136" t="s">
        <v>19</v>
      </c>
      <c r="M136" t="s">
        <v>2832</v>
      </c>
      <c r="N136" t="s">
        <v>319</v>
      </c>
      <c r="O136">
        <v>2106635.4785376247</v>
      </c>
      <c r="P136" t="s">
        <v>14</v>
      </c>
      <c r="Q136" s="149">
        <f>SAF_Cand_Refinery[[#This Row],[Max Amount]]*0.5</f>
        <v>1053317.7392688124</v>
      </c>
      <c r="R136" s="149">
        <f>SAF_Cand_Refinery[[#This Row],[Max Amount]]*0.1</f>
        <v>210663.54785376249</v>
      </c>
      <c r="S136">
        <v>116408730</v>
      </c>
    </row>
    <row r="137" spans="1:19" hidden="1" x14ac:dyDescent="0.3">
      <c r="A137" t="s">
        <v>2843</v>
      </c>
      <c r="B137" t="s">
        <v>2840</v>
      </c>
      <c r="C137" t="s">
        <v>5</v>
      </c>
      <c r="D137" t="s">
        <v>305</v>
      </c>
      <c r="E137" t="s">
        <v>314</v>
      </c>
      <c r="F137" s="82">
        <f t="shared" si="6"/>
        <v>0</v>
      </c>
      <c r="G137">
        <v>1</v>
      </c>
      <c r="H137" t="s">
        <v>14</v>
      </c>
      <c r="I137" t="s">
        <v>318</v>
      </c>
      <c r="J137">
        <v>20.063993239751706</v>
      </c>
      <c r="K137" t="s">
        <v>1570</v>
      </c>
      <c r="L137" t="s">
        <v>19</v>
      </c>
      <c r="M137" t="s">
        <v>2832</v>
      </c>
      <c r="N137" t="s">
        <v>319</v>
      </c>
      <c r="O137">
        <v>526658.86963440618</v>
      </c>
      <c r="P137" t="s">
        <v>14</v>
      </c>
      <c r="Q137" s="149">
        <f>SAF_Cand_Refinery[[#This Row],[Max Amount]]*0.5</f>
        <v>263329.43481720309</v>
      </c>
      <c r="R137" s="149">
        <f>SAF_Cand_Refinery[[#This Row],[Max Amount]]*0.1</f>
        <v>52665.886963440622</v>
      </c>
      <c r="S137">
        <v>78277316.519999996</v>
      </c>
    </row>
    <row r="138" spans="1:19" hidden="1" x14ac:dyDescent="0.3">
      <c r="A138" t="s">
        <v>2843</v>
      </c>
      <c r="B138" t="s">
        <v>2841</v>
      </c>
      <c r="C138" t="s">
        <v>5</v>
      </c>
      <c r="D138" t="s">
        <v>305</v>
      </c>
      <c r="E138" t="s">
        <v>1569</v>
      </c>
      <c r="F138" s="82">
        <f t="shared" si="6"/>
        <v>0</v>
      </c>
      <c r="G138">
        <v>1</v>
      </c>
      <c r="H138" t="s">
        <v>14</v>
      </c>
      <c r="I138" t="s">
        <v>318</v>
      </c>
      <c r="J138">
        <v>20.063993239751706</v>
      </c>
      <c r="K138" t="s">
        <v>1570</v>
      </c>
      <c r="L138" t="s">
        <v>19</v>
      </c>
      <c r="M138" t="s">
        <v>2832</v>
      </c>
      <c r="N138" t="s">
        <v>319</v>
      </c>
      <c r="O138">
        <v>2106635.4785376247</v>
      </c>
      <c r="P138" t="s">
        <v>14</v>
      </c>
      <c r="Q138" s="149">
        <f>SAF_Cand_Refinery[[#This Row],[Max Amount]]*0.5</f>
        <v>1053317.7392688124</v>
      </c>
      <c r="R138" s="149">
        <f>SAF_Cand_Refinery[[#This Row],[Max Amount]]*0.1</f>
        <v>210663.54785376249</v>
      </c>
      <c r="S138">
        <v>116408730</v>
      </c>
    </row>
    <row r="139" spans="1:19" hidden="1" x14ac:dyDescent="0.3">
      <c r="A139" t="s">
        <v>2843</v>
      </c>
      <c r="B139" t="s">
        <v>2841</v>
      </c>
      <c r="C139" t="s">
        <v>5</v>
      </c>
      <c r="D139" t="s">
        <v>305</v>
      </c>
      <c r="E139" t="s">
        <v>314</v>
      </c>
      <c r="F139" s="82">
        <f t="shared" si="6"/>
        <v>0</v>
      </c>
      <c r="G139">
        <v>1</v>
      </c>
      <c r="H139" t="s">
        <v>14</v>
      </c>
      <c r="I139" t="s">
        <v>318</v>
      </c>
      <c r="J139">
        <v>20.063993239751706</v>
      </c>
      <c r="K139" t="s">
        <v>1570</v>
      </c>
      <c r="L139" t="s">
        <v>19</v>
      </c>
      <c r="M139" t="s">
        <v>2832</v>
      </c>
      <c r="N139" t="s">
        <v>319</v>
      </c>
      <c r="O139">
        <v>526658.86963440618</v>
      </c>
      <c r="P139" t="s">
        <v>14</v>
      </c>
      <c r="Q139" s="149">
        <f>SAF_Cand_Refinery[[#This Row],[Max Amount]]*0.5</f>
        <v>263329.43481720309</v>
      </c>
      <c r="R139" s="149">
        <f>SAF_Cand_Refinery[[#This Row],[Max Amount]]*0.1</f>
        <v>52665.886963440622</v>
      </c>
      <c r="S139">
        <v>78277316.519999996</v>
      </c>
    </row>
    <row r="140" spans="1:19" hidden="1" x14ac:dyDescent="0.3">
      <c r="A140" t="s">
        <v>2843</v>
      </c>
      <c r="B140" t="s">
        <v>2842</v>
      </c>
      <c r="C140" t="s">
        <v>5</v>
      </c>
      <c r="D140" t="s">
        <v>305</v>
      </c>
      <c r="E140" t="s">
        <v>1569</v>
      </c>
      <c r="F140" s="82">
        <f t="shared" si="6"/>
        <v>0</v>
      </c>
      <c r="G140">
        <v>1</v>
      </c>
      <c r="H140" t="s">
        <v>14</v>
      </c>
      <c r="I140" t="s">
        <v>318</v>
      </c>
      <c r="J140">
        <v>20.063993239751706</v>
      </c>
      <c r="K140" t="s">
        <v>1570</v>
      </c>
      <c r="L140" t="s">
        <v>19</v>
      </c>
      <c r="M140" t="s">
        <v>2832</v>
      </c>
      <c r="N140" t="s">
        <v>319</v>
      </c>
      <c r="O140">
        <v>2106635.4785376247</v>
      </c>
      <c r="P140" t="s">
        <v>14</v>
      </c>
      <c r="Q140" s="149">
        <f>SAF_Cand_Refinery[[#This Row],[Max Amount]]*0.5</f>
        <v>1053317.7392688124</v>
      </c>
      <c r="R140" s="149">
        <f>SAF_Cand_Refinery[[#This Row],[Max Amount]]*0.1</f>
        <v>210663.54785376249</v>
      </c>
      <c r="S140">
        <v>116408730</v>
      </c>
    </row>
    <row r="141" spans="1:19" hidden="1" x14ac:dyDescent="0.3">
      <c r="A141" t="s">
        <v>2843</v>
      </c>
      <c r="B141" t="s">
        <v>2842</v>
      </c>
      <c r="C141" t="s">
        <v>5</v>
      </c>
      <c r="D141" t="s">
        <v>305</v>
      </c>
      <c r="E141" t="s">
        <v>314</v>
      </c>
      <c r="F141" s="82">
        <f t="shared" si="6"/>
        <v>0</v>
      </c>
      <c r="G141">
        <v>1</v>
      </c>
      <c r="H141" t="s">
        <v>14</v>
      </c>
      <c r="I141" t="s">
        <v>318</v>
      </c>
      <c r="J141">
        <v>20.063993239751706</v>
      </c>
      <c r="K141" t="s">
        <v>1570</v>
      </c>
      <c r="L141" t="s">
        <v>19</v>
      </c>
      <c r="M141" t="s">
        <v>2832</v>
      </c>
      <c r="N141" t="s">
        <v>319</v>
      </c>
      <c r="O141">
        <v>526658.86963440618</v>
      </c>
      <c r="P141" t="s">
        <v>14</v>
      </c>
      <c r="Q141" s="149">
        <f>SAF_Cand_Refinery[[#This Row],[Max Amount]]*0.5</f>
        <v>263329.43481720309</v>
      </c>
      <c r="R141" s="149">
        <f>SAF_Cand_Refinery[[#This Row],[Max Amount]]*0.1</f>
        <v>52665.886963440622</v>
      </c>
      <c r="S141">
        <v>78277316.519999996</v>
      </c>
    </row>
    <row r="142" spans="1:19" hidden="1" x14ac:dyDescent="0.3">
      <c r="A142" t="s">
        <v>2844</v>
      </c>
      <c r="B142" t="s">
        <v>2835</v>
      </c>
      <c r="C142" t="s">
        <v>5</v>
      </c>
      <c r="D142" t="s">
        <v>307</v>
      </c>
      <c r="E142" t="s">
        <v>1569</v>
      </c>
      <c r="F142" s="82">
        <f t="shared" si="4"/>
        <v>0</v>
      </c>
      <c r="G142">
        <v>1</v>
      </c>
      <c r="H142" t="s">
        <v>14</v>
      </c>
      <c r="I142" t="s">
        <v>318</v>
      </c>
      <c r="J142">
        <v>26.333991127174112</v>
      </c>
      <c r="K142" t="s">
        <v>1570</v>
      </c>
      <c r="L142" t="s">
        <v>19</v>
      </c>
      <c r="M142" t="s">
        <v>2833</v>
      </c>
      <c r="N142" t="s">
        <v>319</v>
      </c>
      <c r="O142">
        <v>1805687.5530322497</v>
      </c>
      <c r="P142" t="s">
        <v>14</v>
      </c>
      <c r="Q142" s="149">
        <f>SAF_Cand_Refinery[[#This Row],[Max Amount]]*0.5</f>
        <v>902843.77651612484</v>
      </c>
      <c r="R142" s="149">
        <f>SAF_Cand_Refinery[[#This Row],[Max Amount]]*0.1</f>
        <v>180568.75530322499</v>
      </c>
      <c r="S142">
        <v>77989532.280000001</v>
      </c>
    </row>
    <row r="143" spans="1:19" hidden="1" x14ac:dyDescent="0.3">
      <c r="A143" t="s">
        <v>2844</v>
      </c>
      <c r="B143" t="s">
        <v>2835</v>
      </c>
      <c r="C143" t="s">
        <v>5</v>
      </c>
      <c r="D143" t="s">
        <v>307</v>
      </c>
      <c r="E143" t="s">
        <v>314</v>
      </c>
      <c r="F143" s="82">
        <f t="shared" si="4"/>
        <v>0</v>
      </c>
      <c r="G143">
        <v>1</v>
      </c>
      <c r="H143" t="s">
        <v>14</v>
      </c>
      <c r="I143" t="s">
        <v>318</v>
      </c>
      <c r="J143">
        <v>23.407992113043658</v>
      </c>
      <c r="K143" t="s">
        <v>1570</v>
      </c>
      <c r="L143" t="s">
        <v>19</v>
      </c>
      <c r="M143" t="s">
        <v>2833</v>
      </c>
      <c r="N143" t="s">
        <v>319</v>
      </c>
      <c r="O143">
        <v>451421.88825806242</v>
      </c>
      <c r="P143" t="s">
        <v>14</v>
      </c>
      <c r="Q143" s="149">
        <f>SAF_Cand_Refinery[[#This Row],[Max Amount]]*0.5</f>
        <v>225710.94412903121</v>
      </c>
      <c r="R143" s="149">
        <f>SAF_Cand_Refinery[[#This Row],[Max Amount]]*0.1</f>
        <v>45142.188825806246</v>
      </c>
      <c r="S143">
        <v>44534613</v>
      </c>
    </row>
    <row r="144" spans="1:19" hidden="1" x14ac:dyDescent="0.3">
      <c r="A144" t="s">
        <v>2844</v>
      </c>
      <c r="B144" t="s">
        <v>2836</v>
      </c>
      <c r="C144" t="s">
        <v>5</v>
      </c>
      <c r="D144" t="s">
        <v>307</v>
      </c>
      <c r="E144" t="s">
        <v>1569</v>
      </c>
      <c r="F144" s="82">
        <f t="shared" ref="F144:F155" si="7">SIGN(SUBTOTAL(3,A144))</f>
        <v>0</v>
      </c>
      <c r="G144">
        <v>1</v>
      </c>
      <c r="H144" t="s">
        <v>14</v>
      </c>
      <c r="I144" t="s">
        <v>318</v>
      </c>
      <c r="J144">
        <v>26.333991127174112</v>
      </c>
      <c r="K144" t="s">
        <v>1570</v>
      </c>
      <c r="L144" t="s">
        <v>19</v>
      </c>
      <c r="M144" t="s">
        <v>2833</v>
      </c>
      <c r="N144" t="s">
        <v>319</v>
      </c>
      <c r="O144">
        <v>1805687.5530322497</v>
      </c>
      <c r="P144" t="s">
        <v>14</v>
      </c>
      <c r="Q144" s="149">
        <f>SAF_Cand_Refinery[[#This Row],[Max Amount]]*0.5</f>
        <v>902843.77651612484</v>
      </c>
      <c r="R144" s="149">
        <f>SAF_Cand_Refinery[[#This Row],[Max Amount]]*0.1</f>
        <v>180568.75530322499</v>
      </c>
      <c r="S144">
        <v>77989532.280000001</v>
      </c>
    </row>
    <row r="145" spans="1:19" hidden="1" x14ac:dyDescent="0.3">
      <c r="A145" t="s">
        <v>2844</v>
      </c>
      <c r="B145" t="s">
        <v>2836</v>
      </c>
      <c r="C145" t="s">
        <v>5</v>
      </c>
      <c r="D145" t="s">
        <v>307</v>
      </c>
      <c r="E145" t="s">
        <v>314</v>
      </c>
      <c r="F145" s="82">
        <f t="shared" si="7"/>
        <v>0</v>
      </c>
      <c r="G145">
        <v>1</v>
      </c>
      <c r="H145" t="s">
        <v>14</v>
      </c>
      <c r="I145" t="s">
        <v>318</v>
      </c>
      <c r="J145">
        <v>23.407992113043658</v>
      </c>
      <c r="K145" t="s">
        <v>1570</v>
      </c>
      <c r="L145" t="s">
        <v>19</v>
      </c>
      <c r="M145" t="s">
        <v>2833</v>
      </c>
      <c r="N145" t="s">
        <v>319</v>
      </c>
      <c r="O145">
        <v>451421.88825806242</v>
      </c>
      <c r="P145" t="s">
        <v>14</v>
      </c>
      <c r="Q145" s="149">
        <f>SAF_Cand_Refinery[[#This Row],[Max Amount]]*0.5</f>
        <v>225710.94412903121</v>
      </c>
      <c r="R145" s="149">
        <f>SAF_Cand_Refinery[[#This Row],[Max Amount]]*0.1</f>
        <v>45142.188825806246</v>
      </c>
      <c r="S145">
        <v>44534613</v>
      </c>
    </row>
    <row r="146" spans="1:19" hidden="1" x14ac:dyDescent="0.3">
      <c r="A146" t="s">
        <v>2844</v>
      </c>
      <c r="B146" t="s">
        <v>2837</v>
      </c>
      <c r="C146" t="s">
        <v>5</v>
      </c>
      <c r="D146" t="s">
        <v>307</v>
      </c>
      <c r="E146" t="s">
        <v>1569</v>
      </c>
      <c r="F146" s="82">
        <f t="shared" si="7"/>
        <v>0</v>
      </c>
      <c r="G146">
        <v>1</v>
      </c>
      <c r="H146" t="s">
        <v>14</v>
      </c>
      <c r="I146" t="s">
        <v>318</v>
      </c>
      <c r="J146">
        <v>26.333991127174112</v>
      </c>
      <c r="K146" t="s">
        <v>1570</v>
      </c>
      <c r="L146" t="s">
        <v>19</v>
      </c>
      <c r="M146" t="s">
        <v>2833</v>
      </c>
      <c r="N146" t="s">
        <v>319</v>
      </c>
      <c r="O146">
        <v>1805687.5530322497</v>
      </c>
      <c r="P146" t="s">
        <v>14</v>
      </c>
      <c r="Q146" s="149">
        <f>SAF_Cand_Refinery[[#This Row],[Max Amount]]*0.5</f>
        <v>902843.77651612484</v>
      </c>
      <c r="R146" s="149">
        <f>SAF_Cand_Refinery[[#This Row],[Max Amount]]*0.1</f>
        <v>180568.75530322499</v>
      </c>
      <c r="S146">
        <v>77989532.280000001</v>
      </c>
    </row>
    <row r="147" spans="1:19" hidden="1" x14ac:dyDescent="0.3">
      <c r="A147" t="s">
        <v>2844</v>
      </c>
      <c r="B147" t="s">
        <v>2837</v>
      </c>
      <c r="C147" t="s">
        <v>5</v>
      </c>
      <c r="D147" t="s">
        <v>307</v>
      </c>
      <c r="E147" t="s">
        <v>314</v>
      </c>
      <c r="F147" s="82">
        <f t="shared" si="7"/>
        <v>0</v>
      </c>
      <c r="G147">
        <v>1</v>
      </c>
      <c r="H147" t="s">
        <v>14</v>
      </c>
      <c r="I147" t="s">
        <v>318</v>
      </c>
      <c r="J147">
        <v>23.407992113043658</v>
      </c>
      <c r="K147" t="s">
        <v>1570</v>
      </c>
      <c r="L147" t="s">
        <v>19</v>
      </c>
      <c r="M147" t="s">
        <v>2833</v>
      </c>
      <c r="N147" t="s">
        <v>319</v>
      </c>
      <c r="O147">
        <v>451421.88825806242</v>
      </c>
      <c r="P147" t="s">
        <v>14</v>
      </c>
      <c r="Q147" s="149">
        <f>SAF_Cand_Refinery[[#This Row],[Max Amount]]*0.5</f>
        <v>225710.94412903121</v>
      </c>
      <c r="R147" s="149">
        <f>SAF_Cand_Refinery[[#This Row],[Max Amount]]*0.1</f>
        <v>45142.188825806246</v>
      </c>
      <c r="S147">
        <v>44534613</v>
      </c>
    </row>
    <row r="148" spans="1:19" hidden="1" x14ac:dyDescent="0.3">
      <c r="A148" t="s">
        <v>2844</v>
      </c>
      <c r="B148" t="s">
        <v>2838</v>
      </c>
      <c r="C148" t="s">
        <v>5</v>
      </c>
      <c r="D148" t="s">
        <v>307</v>
      </c>
      <c r="E148" t="s">
        <v>1569</v>
      </c>
      <c r="F148" s="82">
        <f t="shared" si="7"/>
        <v>0</v>
      </c>
      <c r="G148">
        <v>1</v>
      </c>
      <c r="H148" t="s">
        <v>14</v>
      </c>
      <c r="I148" t="s">
        <v>318</v>
      </c>
      <c r="J148">
        <v>26.333991127174112</v>
      </c>
      <c r="K148" t="s">
        <v>1570</v>
      </c>
      <c r="L148" t="s">
        <v>19</v>
      </c>
      <c r="M148" t="s">
        <v>2833</v>
      </c>
      <c r="N148" t="s">
        <v>319</v>
      </c>
      <c r="O148">
        <v>1805687.5530322497</v>
      </c>
      <c r="P148" t="s">
        <v>14</v>
      </c>
      <c r="Q148" s="149">
        <f>SAF_Cand_Refinery[[#This Row],[Max Amount]]*0.5</f>
        <v>902843.77651612484</v>
      </c>
      <c r="R148" s="149">
        <f>SAF_Cand_Refinery[[#This Row],[Max Amount]]*0.1</f>
        <v>180568.75530322499</v>
      </c>
      <c r="S148">
        <v>77989532.280000001</v>
      </c>
    </row>
    <row r="149" spans="1:19" hidden="1" x14ac:dyDescent="0.3">
      <c r="A149" t="s">
        <v>2844</v>
      </c>
      <c r="B149" t="s">
        <v>2838</v>
      </c>
      <c r="C149" t="s">
        <v>5</v>
      </c>
      <c r="D149" t="s">
        <v>307</v>
      </c>
      <c r="E149" t="s">
        <v>314</v>
      </c>
      <c r="F149" s="82">
        <f t="shared" si="7"/>
        <v>0</v>
      </c>
      <c r="G149">
        <v>1</v>
      </c>
      <c r="H149" t="s">
        <v>14</v>
      </c>
      <c r="I149" t="s">
        <v>318</v>
      </c>
      <c r="J149">
        <v>23.407992113043658</v>
      </c>
      <c r="K149" t="s">
        <v>1570</v>
      </c>
      <c r="L149" t="s">
        <v>19</v>
      </c>
      <c r="M149" t="s">
        <v>2833</v>
      </c>
      <c r="N149" t="s">
        <v>319</v>
      </c>
      <c r="O149">
        <v>451421.88825806242</v>
      </c>
      <c r="P149" t="s">
        <v>14</v>
      </c>
      <c r="Q149" s="149">
        <f>SAF_Cand_Refinery[[#This Row],[Max Amount]]*0.5</f>
        <v>225710.94412903121</v>
      </c>
      <c r="R149" s="149">
        <f>SAF_Cand_Refinery[[#This Row],[Max Amount]]*0.1</f>
        <v>45142.188825806246</v>
      </c>
      <c r="S149">
        <v>44534613</v>
      </c>
    </row>
    <row r="150" spans="1:19" hidden="1" x14ac:dyDescent="0.3">
      <c r="A150" t="s">
        <v>2843</v>
      </c>
      <c r="B150" t="s">
        <v>2839</v>
      </c>
      <c r="C150" t="s">
        <v>5</v>
      </c>
      <c r="D150" t="s">
        <v>307</v>
      </c>
      <c r="E150" t="s">
        <v>1569</v>
      </c>
      <c r="F150" s="82">
        <f t="shared" si="7"/>
        <v>0</v>
      </c>
      <c r="G150">
        <v>1</v>
      </c>
      <c r="H150" t="s">
        <v>14</v>
      </c>
      <c r="I150" t="s">
        <v>318</v>
      </c>
      <c r="J150">
        <v>28.841990282143083</v>
      </c>
      <c r="K150" t="s">
        <v>1570</v>
      </c>
      <c r="L150" t="s">
        <v>19</v>
      </c>
      <c r="M150" t="s">
        <v>2834</v>
      </c>
      <c r="N150" t="s">
        <v>319</v>
      </c>
      <c r="O150">
        <v>1648671.2440729232</v>
      </c>
      <c r="P150" t="s">
        <v>14</v>
      </c>
      <c r="Q150" s="149">
        <f>SAF_Cand_Refinery[[#This Row],[Max Amount]]*0.5</f>
        <v>824335.6220364616</v>
      </c>
      <c r="R150" s="149">
        <f>SAF_Cand_Refinery[[#This Row],[Max Amount]]*0.1</f>
        <v>164867.12440729234</v>
      </c>
      <c r="S150">
        <v>74680013.400000006</v>
      </c>
    </row>
    <row r="151" spans="1:19" hidden="1" x14ac:dyDescent="0.3">
      <c r="A151" t="s">
        <v>2843</v>
      </c>
      <c r="B151" t="s">
        <v>2839</v>
      </c>
      <c r="C151" t="s">
        <v>5</v>
      </c>
      <c r="D151" t="s">
        <v>307</v>
      </c>
      <c r="E151" t="s">
        <v>314</v>
      </c>
      <c r="F151" s="82">
        <f t="shared" si="7"/>
        <v>0</v>
      </c>
      <c r="G151">
        <v>1</v>
      </c>
      <c r="H151" t="s">
        <v>14</v>
      </c>
      <c r="I151" t="s">
        <v>318</v>
      </c>
      <c r="J151">
        <v>25.637324695238295</v>
      </c>
      <c r="K151" t="s">
        <v>1570</v>
      </c>
      <c r="L151" t="s">
        <v>19</v>
      </c>
      <c r="M151" t="s">
        <v>2834</v>
      </c>
      <c r="N151" t="s">
        <v>319</v>
      </c>
      <c r="O151">
        <v>412167.81101823086</v>
      </c>
      <c r="P151" t="s">
        <v>14</v>
      </c>
      <c r="Q151" s="149">
        <f>SAF_Cand_Refinery[[#This Row],[Max Amount]]*0.5</f>
        <v>206083.90550911543</v>
      </c>
      <c r="R151" s="149">
        <f>SAF_Cand_Refinery[[#This Row],[Max Amount]]*0.1</f>
        <v>41216.781101823086</v>
      </c>
      <c r="S151">
        <v>42735961.439999998</v>
      </c>
    </row>
    <row r="152" spans="1:19" hidden="1" x14ac:dyDescent="0.3">
      <c r="A152" t="s">
        <v>2843</v>
      </c>
      <c r="B152" t="s">
        <v>2840</v>
      </c>
      <c r="C152" t="s">
        <v>5</v>
      </c>
      <c r="D152" t="s">
        <v>307</v>
      </c>
      <c r="E152" t="s">
        <v>1569</v>
      </c>
      <c r="F152" s="82">
        <f t="shared" si="7"/>
        <v>0</v>
      </c>
      <c r="G152">
        <v>1</v>
      </c>
      <c r="H152" t="s">
        <v>14</v>
      </c>
      <c r="I152" t="s">
        <v>318</v>
      </c>
      <c r="J152">
        <v>28.841990282143083</v>
      </c>
      <c r="K152" t="s">
        <v>1570</v>
      </c>
      <c r="L152" t="s">
        <v>19</v>
      </c>
      <c r="M152" t="s">
        <v>2834</v>
      </c>
      <c r="N152" t="s">
        <v>319</v>
      </c>
      <c r="O152">
        <v>1648671.2440729232</v>
      </c>
      <c r="P152" t="s">
        <v>14</v>
      </c>
      <c r="Q152" s="149">
        <f>SAF_Cand_Refinery[[#This Row],[Max Amount]]*0.5</f>
        <v>824335.6220364616</v>
      </c>
      <c r="R152" s="149">
        <f>SAF_Cand_Refinery[[#This Row],[Max Amount]]*0.1</f>
        <v>164867.12440729234</v>
      </c>
      <c r="S152">
        <v>74680013.400000006</v>
      </c>
    </row>
    <row r="153" spans="1:19" hidden="1" x14ac:dyDescent="0.3">
      <c r="A153" t="s">
        <v>2843</v>
      </c>
      <c r="B153" t="s">
        <v>2840</v>
      </c>
      <c r="C153" t="s">
        <v>5</v>
      </c>
      <c r="D153" t="s">
        <v>307</v>
      </c>
      <c r="E153" t="s">
        <v>314</v>
      </c>
      <c r="F153" s="82">
        <f t="shared" si="7"/>
        <v>0</v>
      </c>
      <c r="G153">
        <v>1</v>
      </c>
      <c r="H153" t="s">
        <v>14</v>
      </c>
      <c r="I153" t="s">
        <v>318</v>
      </c>
      <c r="J153">
        <v>25.637324695238295</v>
      </c>
      <c r="K153" t="s">
        <v>1570</v>
      </c>
      <c r="L153" t="s">
        <v>19</v>
      </c>
      <c r="M153" t="s">
        <v>2834</v>
      </c>
      <c r="N153" t="s">
        <v>319</v>
      </c>
      <c r="O153">
        <v>412167.81101823086</v>
      </c>
      <c r="P153" t="s">
        <v>14</v>
      </c>
      <c r="Q153" s="149">
        <f>SAF_Cand_Refinery[[#This Row],[Max Amount]]*0.5</f>
        <v>206083.90550911543</v>
      </c>
      <c r="R153" s="149">
        <f>SAF_Cand_Refinery[[#This Row],[Max Amount]]*0.1</f>
        <v>41216.781101823086</v>
      </c>
      <c r="S153">
        <v>42735961.439999998</v>
      </c>
    </row>
    <row r="154" spans="1:19" hidden="1" x14ac:dyDescent="0.3">
      <c r="A154" t="s">
        <v>2843</v>
      </c>
      <c r="B154" t="s">
        <v>2841</v>
      </c>
      <c r="C154" t="s">
        <v>5</v>
      </c>
      <c r="D154" t="s">
        <v>307</v>
      </c>
      <c r="E154" t="s">
        <v>1569</v>
      </c>
      <c r="F154" s="82">
        <f t="shared" si="7"/>
        <v>0</v>
      </c>
      <c r="G154">
        <v>1</v>
      </c>
      <c r="H154" t="s">
        <v>14</v>
      </c>
      <c r="I154" t="s">
        <v>318</v>
      </c>
      <c r="J154">
        <v>28.841990282143083</v>
      </c>
      <c r="K154" t="s">
        <v>1570</v>
      </c>
      <c r="L154" t="s">
        <v>19</v>
      </c>
      <c r="M154" t="s">
        <v>2834</v>
      </c>
      <c r="N154" t="s">
        <v>319</v>
      </c>
      <c r="O154">
        <v>1648671.2440729232</v>
      </c>
      <c r="P154" t="s">
        <v>14</v>
      </c>
      <c r="Q154" s="149">
        <f>SAF_Cand_Refinery[[#This Row],[Max Amount]]*0.5</f>
        <v>824335.6220364616</v>
      </c>
      <c r="R154" s="149">
        <f>SAF_Cand_Refinery[[#This Row],[Max Amount]]*0.1</f>
        <v>164867.12440729234</v>
      </c>
      <c r="S154">
        <v>74680013.400000006</v>
      </c>
    </row>
    <row r="155" spans="1:19" hidden="1" x14ac:dyDescent="0.3">
      <c r="A155" t="s">
        <v>2843</v>
      </c>
      <c r="B155" t="s">
        <v>2841</v>
      </c>
      <c r="C155" t="s">
        <v>5</v>
      </c>
      <c r="D155" t="s">
        <v>307</v>
      </c>
      <c r="E155" t="s">
        <v>314</v>
      </c>
      <c r="F155" s="82">
        <f t="shared" si="7"/>
        <v>0</v>
      </c>
      <c r="G155">
        <v>1</v>
      </c>
      <c r="H155" t="s">
        <v>14</v>
      </c>
      <c r="I155" t="s">
        <v>318</v>
      </c>
      <c r="J155">
        <v>25.637324695238295</v>
      </c>
      <c r="K155" t="s">
        <v>1570</v>
      </c>
      <c r="L155" t="s">
        <v>19</v>
      </c>
      <c r="M155" t="s">
        <v>2834</v>
      </c>
      <c r="N155" t="s">
        <v>319</v>
      </c>
      <c r="O155">
        <v>412167.81101823086</v>
      </c>
      <c r="P155" t="s">
        <v>14</v>
      </c>
      <c r="Q155" s="149">
        <f>SAF_Cand_Refinery[[#This Row],[Max Amount]]*0.5</f>
        <v>206083.90550911543</v>
      </c>
      <c r="R155" s="149">
        <f>SAF_Cand_Refinery[[#This Row],[Max Amount]]*0.1</f>
        <v>41216.781101823086</v>
      </c>
      <c r="S155">
        <v>42735961.439999998</v>
      </c>
    </row>
    <row r="156" spans="1:19" hidden="1" x14ac:dyDescent="0.3">
      <c r="A156" t="s">
        <v>2843</v>
      </c>
      <c r="B156" t="s">
        <v>2842</v>
      </c>
      <c r="C156" t="s">
        <v>5</v>
      </c>
      <c r="D156" t="s">
        <v>307</v>
      </c>
      <c r="E156" t="s">
        <v>1569</v>
      </c>
      <c r="F156" s="82">
        <f t="shared" si="4"/>
        <v>0</v>
      </c>
      <c r="G156">
        <v>1</v>
      </c>
      <c r="H156" t="s">
        <v>14</v>
      </c>
      <c r="I156" t="s">
        <v>318</v>
      </c>
      <c r="J156">
        <v>28.841990282143083</v>
      </c>
      <c r="K156" t="s">
        <v>1570</v>
      </c>
      <c r="L156" t="s">
        <v>19</v>
      </c>
      <c r="M156" t="s">
        <v>2834</v>
      </c>
      <c r="N156" t="s">
        <v>319</v>
      </c>
      <c r="O156">
        <v>1648671.2440729232</v>
      </c>
      <c r="P156" t="s">
        <v>14</v>
      </c>
      <c r="Q156" s="149">
        <f>SAF_Cand_Refinery[[#This Row],[Max Amount]]*0.5</f>
        <v>824335.6220364616</v>
      </c>
      <c r="R156" s="149">
        <f>SAF_Cand_Refinery[[#This Row],[Max Amount]]*0.1</f>
        <v>164867.12440729234</v>
      </c>
      <c r="S156">
        <v>74680013.400000006</v>
      </c>
    </row>
    <row r="157" spans="1:19" hidden="1" x14ac:dyDescent="0.3">
      <c r="A157" t="s">
        <v>2843</v>
      </c>
      <c r="B157" t="s">
        <v>2842</v>
      </c>
      <c r="C157" t="s">
        <v>5</v>
      </c>
      <c r="D157" t="s">
        <v>307</v>
      </c>
      <c r="E157" t="s">
        <v>314</v>
      </c>
      <c r="F157" s="82">
        <f t="shared" si="4"/>
        <v>0</v>
      </c>
      <c r="G157">
        <v>1</v>
      </c>
      <c r="H157" t="s">
        <v>14</v>
      </c>
      <c r="I157" t="s">
        <v>318</v>
      </c>
      <c r="J157">
        <v>25.637324695238295</v>
      </c>
      <c r="K157" t="s">
        <v>1570</v>
      </c>
      <c r="L157" t="s">
        <v>19</v>
      </c>
      <c r="M157" t="s">
        <v>2834</v>
      </c>
      <c r="N157" t="s">
        <v>319</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1543</v>
      </c>
      <c r="B1" s="77" t="s">
        <v>436</v>
      </c>
      <c r="C1" s="77" t="s">
        <v>143</v>
      </c>
      <c r="D1" s="77" t="s">
        <v>1544</v>
      </c>
      <c r="E1" s="77" t="s">
        <v>245</v>
      </c>
      <c r="F1" s="77" t="s">
        <v>1567</v>
      </c>
      <c r="G1" s="77" t="s">
        <v>1545</v>
      </c>
      <c r="H1" s="98" t="s">
        <v>317</v>
      </c>
      <c r="I1" s="96" t="s">
        <v>25</v>
      </c>
      <c r="J1" s="96" t="s">
        <v>35</v>
      </c>
      <c r="K1" s="96" t="s">
        <v>31</v>
      </c>
      <c r="L1" s="96" t="s">
        <v>24</v>
      </c>
      <c r="M1" s="96" t="s">
        <v>36</v>
      </c>
      <c r="N1" s="96" t="s">
        <v>44</v>
      </c>
      <c r="O1" s="96" t="s">
        <v>194</v>
      </c>
      <c r="P1" s="96" t="s">
        <v>45</v>
      </c>
    </row>
    <row r="2" spans="1:77" hidden="1" x14ac:dyDescent="0.3">
      <c r="A2" s="107" t="s">
        <v>1546</v>
      </c>
      <c r="B2" s="107" t="s">
        <v>1547</v>
      </c>
      <c r="C2" t="s">
        <v>147</v>
      </c>
      <c r="D2" s="107" t="s">
        <v>289</v>
      </c>
      <c r="E2" s="107" t="s">
        <v>306</v>
      </c>
      <c r="F2" s="107" t="s">
        <v>289</v>
      </c>
      <c r="G2" s="107" t="s">
        <v>1548</v>
      </c>
      <c r="H2" s="107">
        <f t="shared" ref="H2:H21" si="0">SIGN(SUBTOTAL(3,A2))</f>
        <v>0</v>
      </c>
      <c r="I2" s="107" t="s">
        <v>19</v>
      </c>
      <c r="J2" t="s">
        <v>1546</v>
      </c>
      <c r="K2" s="107" t="s">
        <v>323</v>
      </c>
      <c r="L2" s="107">
        <v>707484.37238891562</v>
      </c>
      <c r="M2" s="107" t="s">
        <v>14</v>
      </c>
      <c r="N2" s="107"/>
      <c r="O2" s="107"/>
      <c r="P2" s="107"/>
      <c r="BY2" t="s">
        <v>1614</v>
      </c>
    </row>
    <row r="3" spans="1:77" hidden="1" x14ac:dyDescent="0.3">
      <c r="A3" s="107" t="s">
        <v>1546</v>
      </c>
      <c r="B3" s="107" t="s">
        <v>1547</v>
      </c>
      <c r="C3" t="s">
        <v>147</v>
      </c>
      <c r="D3" s="107" t="s">
        <v>277</v>
      </c>
      <c r="E3" s="107" t="s">
        <v>306</v>
      </c>
      <c r="F3" s="107" t="s">
        <v>289</v>
      </c>
      <c r="G3" s="107" t="s">
        <v>1548</v>
      </c>
      <c r="H3" s="107">
        <f t="shared" si="0"/>
        <v>0</v>
      </c>
      <c r="I3" s="107" t="s">
        <v>19</v>
      </c>
      <c r="J3" t="s">
        <v>1546</v>
      </c>
      <c r="K3" s="107" t="s">
        <v>323</v>
      </c>
      <c r="L3" s="107">
        <v>707484.37238891562</v>
      </c>
      <c r="M3" s="107" t="s">
        <v>14</v>
      </c>
      <c r="N3" s="107"/>
      <c r="O3" s="107"/>
      <c r="P3" s="107"/>
    </row>
    <row r="4" spans="1:77" hidden="1" x14ac:dyDescent="0.3">
      <c r="A4" s="107" t="s">
        <v>1549</v>
      </c>
      <c r="B4" s="107" t="s">
        <v>544</v>
      </c>
      <c r="C4" s="107" t="s">
        <v>147</v>
      </c>
      <c r="D4" s="107" t="s">
        <v>277</v>
      </c>
      <c r="E4" s="107" t="s">
        <v>306</v>
      </c>
      <c r="F4" s="107" t="s">
        <v>1568</v>
      </c>
      <c r="G4" s="107" t="s">
        <v>1550</v>
      </c>
      <c r="H4" s="107">
        <f t="shared" si="0"/>
        <v>0</v>
      </c>
      <c r="I4" s="107" t="s">
        <v>19</v>
      </c>
      <c r="J4" t="s">
        <v>1723</v>
      </c>
      <c r="K4" s="107" t="s">
        <v>323</v>
      </c>
      <c r="L4" s="107">
        <v>243689.0616006265</v>
      </c>
      <c r="M4" s="107" t="s">
        <v>14</v>
      </c>
      <c r="N4" s="107"/>
      <c r="O4" s="107"/>
      <c r="P4" s="107"/>
    </row>
    <row r="5" spans="1:77" hidden="1" x14ac:dyDescent="0.3">
      <c r="A5" s="107" t="s">
        <v>1551</v>
      </c>
      <c r="B5" s="107" t="s">
        <v>1552</v>
      </c>
      <c r="C5" s="107" t="s">
        <v>157</v>
      </c>
      <c r="D5" s="107" t="s">
        <v>277</v>
      </c>
      <c r="E5" s="107" t="s">
        <v>306</v>
      </c>
      <c r="F5" s="107" t="s">
        <v>1568</v>
      </c>
      <c r="G5" s="107" t="s">
        <v>1548</v>
      </c>
      <c r="H5" s="107">
        <f t="shared" si="0"/>
        <v>0</v>
      </c>
      <c r="I5" s="107" t="s">
        <v>19</v>
      </c>
      <c r="J5" t="s">
        <v>1551</v>
      </c>
      <c r="K5" s="107" t="s">
        <v>323</v>
      </c>
      <c r="L5" s="107">
        <v>3930468.7354939762</v>
      </c>
      <c r="M5" s="107" t="s">
        <v>14</v>
      </c>
      <c r="N5" s="107"/>
      <c r="O5" s="107"/>
      <c r="P5" s="107"/>
    </row>
    <row r="6" spans="1:77" hidden="1" x14ac:dyDescent="0.3">
      <c r="A6" s="107" t="s">
        <v>1553</v>
      </c>
      <c r="B6" s="107" t="s">
        <v>565</v>
      </c>
      <c r="C6" s="107" t="s">
        <v>159</v>
      </c>
      <c r="D6" s="107" t="s">
        <v>289</v>
      </c>
      <c r="E6" s="107" t="s">
        <v>306</v>
      </c>
      <c r="F6" s="107" t="s">
        <v>289</v>
      </c>
      <c r="G6" s="107" t="s">
        <v>1548</v>
      </c>
      <c r="H6" s="107">
        <f t="shared" si="0"/>
        <v>0</v>
      </c>
      <c r="I6" s="107" t="s">
        <v>19</v>
      </c>
      <c r="J6" t="s">
        <v>1724</v>
      </c>
      <c r="K6" s="107" t="s">
        <v>323</v>
      </c>
      <c r="L6" s="107">
        <v>7074843.7238891572</v>
      </c>
      <c r="M6" s="107" t="s">
        <v>14</v>
      </c>
      <c r="N6" s="107"/>
      <c r="O6" s="107"/>
      <c r="P6" s="107"/>
    </row>
    <row r="7" spans="1:77" hidden="1" x14ac:dyDescent="0.3">
      <c r="A7" s="107" t="s">
        <v>1553</v>
      </c>
      <c r="B7" s="107" t="s">
        <v>565</v>
      </c>
      <c r="C7" s="107" t="s">
        <v>159</v>
      </c>
      <c r="D7" s="107" t="s">
        <v>277</v>
      </c>
      <c r="E7" s="107" t="s">
        <v>306</v>
      </c>
      <c r="F7" s="107" t="s">
        <v>289</v>
      </c>
      <c r="G7" s="107" t="s">
        <v>1548</v>
      </c>
      <c r="H7" s="107">
        <f t="shared" si="0"/>
        <v>0</v>
      </c>
      <c r="I7" s="107" t="s">
        <v>19</v>
      </c>
      <c r="J7" t="s">
        <v>1724</v>
      </c>
      <c r="K7" s="107" t="s">
        <v>323</v>
      </c>
      <c r="L7" s="107">
        <v>7074843.7238891572</v>
      </c>
      <c r="M7" s="107" t="s">
        <v>14</v>
      </c>
      <c r="N7" s="107"/>
      <c r="O7" s="107"/>
      <c r="P7" s="107"/>
    </row>
    <row r="8" spans="1:77" x14ac:dyDescent="0.3">
      <c r="A8" s="107" t="s">
        <v>1554</v>
      </c>
      <c r="B8" s="107" t="s">
        <v>756</v>
      </c>
      <c r="C8" s="107" t="s">
        <v>167</v>
      </c>
      <c r="D8" s="107" t="s">
        <v>289</v>
      </c>
      <c r="E8" s="107" t="s">
        <v>306</v>
      </c>
      <c r="F8" s="107" t="s">
        <v>1568</v>
      </c>
      <c r="G8" s="107" t="s">
        <v>1555</v>
      </c>
      <c r="H8" s="107">
        <f t="shared" si="0"/>
        <v>1</v>
      </c>
      <c r="I8" s="107" t="s">
        <v>19</v>
      </c>
      <c r="J8" t="s">
        <v>1554</v>
      </c>
      <c r="K8" s="107" t="s">
        <v>323</v>
      </c>
      <c r="L8" s="107">
        <v>1808015.6183272291</v>
      </c>
      <c r="M8" s="107" t="s">
        <v>14</v>
      </c>
      <c r="N8" s="107"/>
      <c r="O8" s="107"/>
      <c r="P8" s="107"/>
    </row>
    <row r="9" spans="1:77" x14ac:dyDescent="0.3">
      <c r="A9" s="107" t="s">
        <v>1554</v>
      </c>
      <c r="B9" s="107" t="s">
        <v>756</v>
      </c>
      <c r="C9" s="107" t="s">
        <v>167</v>
      </c>
      <c r="D9" s="107" t="s">
        <v>277</v>
      </c>
      <c r="E9" s="107" t="s">
        <v>306</v>
      </c>
      <c r="F9" s="107" t="s">
        <v>1568</v>
      </c>
      <c r="G9" s="107" t="s">
        <v>1555</v>
      </c>
      <c r="H9" s="107">
        <f t="shared" si="0"/>
        <v>1</v>
      </c>
      <c r="I9" s="107" t="s">
        <v>19</v>
      </c>
      <c r="J9" t="s">
        <v>1554</v>
      </c>
      <c r="K9" s="107" t="s">
        <v>323</v>
      </c>
      <c r="L9" s="107">
        <v>1808015.6183272291</v>
      </c>
      <c r="M9" s="107" t="s">
        <v>14</v>
      </c>
      <c r="N9" s="107"/>
      <c r="O9" s="107"/>
      <c r="P9" s="107"/>
    </row>
    <row r="10" spans="1:77" x14ac:dyDescent="0.3">
      <c r="A10" s="107" t="s">
        <v>1556</v>
      </c>
      <c r="B10" s="107" t="s">
        <v>893</v>
      </c>
      <c r="C10" s="107" t="s">
        <v>178</v>
      </c>
      <c r="D10" s="107" t="s">
        <v>289</v>
      </c>
      <c r="E10" s="107" t="s">
        <v>306</v>
      </c>
      <c r="F10" s="107" t="s">
        <v>289</v>
      </c>
      <c r="G10" s="107" t="s">
        <v>1548</v>
      </c>
      <c r="H10" s="107">
        <f t="shared" si="0"/>
        <v>1</v>
      </c>
      <c r="I10" s="107" t="s">
        <v>19</v>
      </c>
      <c r="J10" t="s">
        <v>1556</v>
      </c>
      <c r="K10" s="107" t="s">
        <v>323</v>
      </c>
      <c r="L10" s="107">
        <v>4700840.607650795</v>
      </c>
      <c r="M10" s="107" t="s">
        <v>14</v>
      </c>
      <c r="N10" s="107"/>
      <c r="O10" s="107"/>
      <c r="P10" s="107"/>
    </row>
    <row r="11" spans="1:77" x14ac:dyDescent="0.3">
      <c r="A11" s="107" t="s">
        <v>1556</v>
      </c>
      <c r="B11" s="107" t="s">
        <v>893</v>
      </c>
      <c r="C11" s="107" t="s">
        <v>178</v>
      </c>
      <c r="D11" s="107" t="s">
        <v>277</v>
      </c>
      <c r="E11" s="107" t="s">
        <v>306</v>
      </c>
      <c r="F11" s="107" t="s">
        <v>289</v>
      </c>
      <c r="G11" s="107" t="s">
        <v>1548</v>
      </c>
      <c r="H11" s="107">
        <f t="shared" si="0"/>
        <v>1</v>
      </c>
      <c r="I11" s="107" t="s">
        <v>19</v>
      </c>
      <c r="J11" t="s">
        <v>1556</v>
      </c>
      <c r="K11" s="107" t="s">
        <v>323</v>
      </c>
      <c r="L11" s="107">
        <v>4700840.607650795</v>
      </c>
      <c r="M11" s="107" t="s">
        <v>14</v>
      </c>
      <c r="N11" s="107"/>
      <c r="O11" s="107"/>
      <c r="P11" s="107"/>
    </row>
    <row r="12" spans="1:77" hidden="1" x14ac:dyDescent="0.3">
      <c r="A12" s="107" t="s">
        <v>1557</v>
      </c>
      <c r="B12" s="107" t="s">
        <v>1558</v>
      </c>
      <c r="C12" s="107" t="s">
        <v>147</v>
      </c>
      <c r="D12" s="107" t="s">
        <v>289</v>
      </c>
      <c r="E12" s="107" t="s">
        <v>306</v>
      </c>
      <c r="F12" s="107" t="s">
        <v>289</v>
      </c>
      <c r="G12" s="107" t="s">
        <v>1559</v>
      </c>
      <c r="H12" s="107">
        <f t="shared" si="0"/>
        <v>0</v>
      </c>
      <c r="I12" s="107" t="s">
        <v>19</v>
      </c>
      <c r="J12" t="s">
        <v>1557</v>
      </c>
      <c r="K12" s="107" t="s">
        <v>323</v>
      </c>
      <c r="L12" s="107">
        <v>5345437.4802718069</v>
      </c>
      <c r="M12" s="107" t="s">
        <v>14</v>
      </c>
      <c r="N12" s="107"/>
      <c r="O12" s="107"/>
      <c r="P12" s="107"/>
    </row>
    <row r="13" spans="1:77" hidden="1" x14ac:dyDescent="0.3">
      <c r="A13" s="107" t="s">
        <v>1557</v>
      </c>
      <c r="B13" s="107" t="s">
        <v>1558</v>
      </c>
      <c r="C13" s="107" t="s">
        <v>147</v>
      </c>
      <c r="D13" s="107" t="s">
        <v>277</v>
      </c>
      <c r="E13" s="107" t="s">
        <v>306</v>
      </c>
      <c r="F13" s="107" t="s">
        <v>289</v>
      </c>
      <c r="G13" s="107" t="s">
        <v>1559</v>
      </c>
      <c r="H13" s="107">
        <f t="shared" si="0"/>
        <v>0</v>
      </c>
      <c r="I13" s="107" t="s">
        <v>19</v>
      </c>
      <c r="J13" t="s">
        <v>1557</v>
      </c>
      <c r="K13" s="107" t="s">
        <v>323</v>
      </c>
      <c r="L13" s="107">
        <v>5345437.4802718069</v>
      </c>
      <c r="M13" s="107" t="s">
        <v>14</v>
      </c>
      <c r="N13" s="107"/>
      <c r="O13" s="107"/>
      <c r="P13" s="107"/>
    </row>
    <row r="14" spans="1:77" hidden="1" x14ac:dyDescent="0.3">
      <c r="A14" s="107" t="s">
        <v>1560</v>
      </c>
      <c r="B14" s="107" t="s">
        <v>1561</v>
      </c>
      <c r="C14" s="107" t="s">
        <v>156</v>
      </c>
      <c r="D14" s="107" t="s">
        <v>289</v>
      </c>
      <c r="E14" s="107" t="s">
        <v>306</v>
      </c>
      <c r="F14" s="107" t="s">
        <v>289</v>
      </c>
      <c r="G14" s="107" t="s">
        <v>1548</v>
      </c>
      <c r="H14" s="107">
        <f t="shared" si="0"/>
        <v>0</v>
      </c>
      <c r="I14" s="107" t="s">
        <v>19</v>
      </c>
      <c r="J14" t="s">
        <v>1725</v>
      </c>
      <c r="K14" s="107" t="s">
        <v>323</v>
      </c>
      <c r="L14" s="107">
        <v>282993.74895556626</v>
      </c>
      <c r="M14" s="107" t="s">
        <v>14</v>
      </c>
      <c r="N14" s="107"/>
      <c r="O14" s="107"/>
      <c r="P14" s="107"/>
    </row>
    <row r="15" spans="1:77" hidden="1" x14ac:dyDescent="0.3">
      <c r="A15" s="107" t="s">
        <v>1560</v>
      </c>
      <c r="B15" s="107" t="s">
        <v>1561</v>
      </c>
      <c r="C15" s="107" t="s">
        <v>156</v>
      </c>
      <c r="D15" s="107" t="s">
        <v>277</v>
      </c>
      <c r="E15" s="107" t="s">
        <v>306</v>
      </c>
      <c r="F15" s="107" t="s">
        <v>289</v>
      </c>
      <c r="G15" s="107" t="s">
        <v>1548</v>
      </c>
      <c r="H15" s="107">
        <f t="shared" si="0"/>
        <v>0</v>
      </c>
      <c r="I15" s="107" t="s">
        <v>19</v>
      </c>
      <c r="J15" t="s">
        <v>1725</v>
      </c>
      <c r="K15" s="107" t="s">
        <v>323</v>
      </c>
      <c r="L15" s="107">
        <v>282993.74895556626</v>
      </c>
      <c r="M15" s="107" t="s">
        <v>14</v>
      </c>
      <c r="N15" s="107"/>
      <c r="O15" s="107"/>
      <c r="P15" s="107"/>
    </row>
    <row r="16" spans="1:77" hidden="1" x14ac:dyDescent="0.3">
      <c r="A16" s="107" t="s">
        <v>1562</v>
      </c>
      <c r="B16" s="107" t="s">
        <v>885</v>
      </c>
      <c r="C16" s="107" t="s">
        <v>159</v>
      </c>
      <c r="D16" s="107" t="s">
        <v>289</v>
      </c>
      <c r="E16" s="107" t="s">
        <v>306</v>
      </c>
      <c r="F16" s="107" t="s">
        <v>289</v>
      </c>
      <c r="G16" s="107" t="s">
        <v>1563</v>
      </c>
      <c r="H16" s="107">
        <f t="shared" si="0"/>
        <v>0</v>
      </c>
      <c r="I16" s="107" t="s">
        <v>19</v>
      </c>
      <c r="J16" t="s">
        <v>1726</v>
      </c>
      <c r="K16" s="107" t="s">
        <v>323</v>
      </c>
      <c r="L16" s="107">
        <v>707484.37238891562</v>
      </c>
      <c r="M16" s="107" t="s">
        <v>14</v>
      </c>
      <c r="N16" s="107"/>
      <c r="O16" s="107"/>
      <c r="P16" s="107"/>
    </row>
    <row r="17" spans="1:16" hidden="1" x14ac:dyDescent="0.3">
      <c r="A17" s="107" t="s">
        <v>1562</v>
      </c>
      <c r="B17" s="107" t="s">
        <v>885</v>
      </c>
      <c r="C17" s="107" t="s">
        <v>159</v>
      </c>
      <c r="D17" s="107" t="s">
        <v>277</v>
      </c>
      <c r="E17" s="107" t="s">
        <v>306</v>
      </c>
      <c r="F17" s="107" t="s">
        <v>289</v>
      </c>
      <c r="G17" s="107" t="s">
        <v>1563</v>
      </c>
      <c r="H17" s="107">
        <f t="shared" si="0"/>
        <v>0</v>
      </c>
      <c r="I17" s="107" t="s">
        <v>19</v>
      </c>
      <c r="J17" t="s">
        <v>1726</v>
      </c>
      <c r="K17" s="107" t="s">
        <v>323</v>
      </c>
      <c r="L17" s="107">
        <v>707484.37238891562</v>
      </c>
      <c r="M17" s="107" t="s">
        <v>14</v>
      </c>
      <c r="N17" s="107"/>
      <c r="O17" s="107"/>
      <c r="P17" s="107"/>
    </row>
    <row r="18" spans="1:16" hidden="1" x14ac:dyDescent="0.3">
      <c r="A18" s="107" t="s">
        <v>1564</v>
      </c>
      <c r="B18" s="107" t="s">
        <v>543</v>
      </c>
      <c r="C18" s="107" t="s">
        <v>184</v>
      </c>
      <c r="D18" s="107" t="s">
        <v>289</v>
      </c>
      <c r="E18" s="107" t="s">
        <v>306</v>
      </c>
      <c r="F18" s="107" t="s">
        <v>289</v>
      </c>
      <c r="G18" s="107" t="s">
        <v>1550</v>
      </c>
      <c r="H18" s="107">
        <f t="shared" si="0"/>
        <v>0</v>
      </c>
      <c r="I18" s="107" t="s">
        <v>19</v>
      </c>
      <c r="J18" t="s">
        <v>1564</v>
      </c>
      <c r="K18" s="107" t="s">
        <v>323</v>
      </c>
      <c r="L18" s="107">
        <v>1965234.3677469881</v>
      </c>
      <c r="M18" s="107" t="s">
        <v>14</v>
      </c>
      <c r="N18" s="107"/>
      <c r="O18" s="107"/>
      <c r="P18" s="107"/>
    </row>
    <row r="19" spans="1:16" hidden="1" x14ac:dyDescent="0.3">
      <c r="A19" s="107" t="s">
        <v>1564</v>
      </c>
      <c r="B19" s="107" t="s">
        <v>543</v>
      </c>
      <c r="C19" s="107" t="s">
        <v>184</v>
      </c>
      <c r="D19" s="107" t="s">
        <v>277</v>
      </c>
      <c r="E19" s="107" t="s">
        <v>306</v>
      </c>
      <c r="F19" s="107" t="s">
        <v>289</v>
      </c>
      <c r="G19" s="107" t="s">
        <v>1550</v>
      </c>
      <c r="H19" s="107">
        <f t="shared" si="0"/>
        <v>0</v>
      </c>
      <c r="I19" s="107" t="s">
        <v>19</v>
      </c>
      <c r="J19" t="s">
        <v>1564</v>
      </c>
      <c r="K19" s="107" t="s">
        <v>323</v>
      </c>
      <c r="L19" s="107">
        <v>1965234.3677469881</v>
      </c>
      <c r="M19" s="107" t="s">
        <v>14</v>
      </c>
      <c r="N19" s="107"/>
      <c r="O19" s="107"/>
      <c r="P19" s="107"/>
    </row>
    <row r="20" spans="1:16" hidden="1" x14ac:dyDescent="0.3">
      <c r="A20" s="107" t="s">
        <v>1565</v>
      </c>
      <c r="B20" s="107" t="s">
        <v>1566</v>
      </c>
      <c r="C20" s="107" t="s">
        <v>147</v>
      </c>
      <c r="D20" s="107" t="s">
        <v>289</v>
      </c>
      <c r="E20" s="107" t="s">
        <v>306</v>
      </c>
      <c r="F20" s="107" t="s">
        <v>289</v>
      </c>
      <c r="G20" s="107" t="s">
        <v>1563</v>
      </c>
      <c r="H20" s="107">
        <f t="shared" si="0"/>
        <v>0</v>
      </c>
      <c r="I20" s="107" t="s">
        <v>19</v>
      </c>
      <c r="J20" t="s">
        <v>1565</v>
      </c>
      <c r="K20" s="107" t="s">
        <v>323</v>
      </c>
      <c r="L20" s="107">
        <v>2672718.7401359035</v>
      </c>
      <c r="M20" s="107" t="s">
        <v>14</v>
      </c>
      <c r="N20" s="107"/>
      <c r="O20" s="107"/>
      <c r="P20" s="107"/>
    </row>
    <row r="21" spans="1:16" hidden="1" x14ac:dyDescent="0.3">
      <c r="A21" s="107" t="s">
        <v>1565</v>
      </c>
      <c r="B21" s="107" t="s">
        <v>1566</v>
      </c>
      <c r="C21" s="107" t="s">
        <v>147</v>
      </c>
      <c r="D21" s="107" t="s">
        <v>277</v>
      </c>
      <c r="E21" s="107" t="s">
        <v>306</v>
      </c>
      <c r="F21" s="107" t="s">
        <v>289</v>
      </c>
      <c r="G21" s="107" t="s">
        <v>1563</v>
      </c>
      <c r="H21" s="107">
        <f t="shared" si="0"/>
        <v>0</v>
      </c>
      <c r="I21" s="107" t="s">
        <v>19</v>
      </c>
      <c r="J21" t="s">
        <v>1565</v>
      </c>
      <c r="K21" s="107" t="s">
        <v>323</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topLeftCell="D1" workbookViewId="0">
      <selection activeCell="H4" sqref="H4"/>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143</v>
      </c>
      <c r="B1" s="109" t="s">
        <v>436</v>
      </c>
      <c r="C1" s="109" t="s">
        <v>1134</v>
      </c>
      <c r="D1" s="122" t="s">
        <v>317</v>
      </c>
      <c r="E1" s="110" t="s">
        <v>25</v>
      </c>
      <c r="F1" s="110" t="s">
        <v>35</v>
      </c>
      <c r="G1" s="110" t="s">
        <v>31</v>
      </c>
      <c r="H1" s="100" t="s">
        <v>24</v>
      </c>
      <c r="I1" s="100" t="s">
        <v>36</v>
      </c>
      <c r="J1" s="100" t="s">
        <v>44</v>
      </c>
      <c r="K1" s="100" t="s">
        <v>194</v>
      </c>
      <c r="L1" s="100" t="s">
        <v>45</v>
      </c>
    </row>
    <row r="2" spans="1:79" hidden="1" x14ac:dyDescent="0.3">
      <c r="A2" t="s">
        <v>144</v>
      </c>
      <c r="B2" t="s">
        <v>437</v>
      </c>
      <c r="C2" t="s">
        <v>1158</v>
      </c>
      <c r="D2">
        <f t="shared" ref="D2:D65" si="0">SIGN(SUBTOTAL(3,E2))</f>
        <v>0</v>
      </c>
      <c r="E2" t="s">
        <v>19</v>
      </c>
      <c r="F2" t="s">
        <v>1158</v>
      </c>
      <c r="G2" t="s">
        <v>322</v>
      </c>
      <c r="N2" s="107"/>
      <c r="CA2" t="s">
        <v>1614</v>
      </c>
    </row>
    <row r="3" spans="1:79" hidden="1" x14ac:dyDescent="0.3">
      <c r="A3" t="s">
        <v>144</v>
      </c>
      <c r="B3" t="s">
        <v>568</v>
      </c>
      <c r="C3" t="s">
        <v>1164</v>
      </c>
      <c r="D3">
        <f t="shared" si="0"/>
        <v>0</v>
      </c>
      <c r="E3" t="s">
        <v>19</v>
      </c>
      <c r="F3" t="s">
        <v>1748</v>
      </c>
      <c r="G3" t="s">
        <v>322</v>
      </c>
      <c r="N3" s="107"/>
    </row>
    <row r="4" spans="1:79" hidden="1" x14ac:dyDescent="0.3">
      <c r="A4" t="s">
        <v>144</v>
      </c>
      <c r="B4" t="s">
        <v>569</v>
      </c>
      <c r="C4" t="s">
        <v>1164</v>
      </c>
      <c r="D4">
        <f t="shared" si="0"/>
        <v>0</v>
      </c>
      <c r="E4" t="s">
        <v>19</v>
      </c>
      <c r="F4" t="s">
        <v>1749</v>
      </c>
      <c r="G4" t="s">
        <v>322</v>
      </c>
      <c r="N4" s="107"/>
    </row>
    <row r="5" spans="1:79" hidden="1" x14ac:dyDescent="0.3">
      <c r="A5" t="s">
        <v>144</v>
      </c>
      <c r="B5" t="s">
        <v>437</v>
      </c>
      <c r="C5" t="s">
        <v>1171</v>
      </c>
      <c r="D5">
        <f t="shared" si="0"/>
        <v>0</v>
      </c>
      <c r="E5" t="s">
        <v>19</v>
      </c>
      <c r="F5" t="s">
        <v>1755</v>
      </c>
      <c r="G5" t="s">
        <v>322</v>
      </c>
      <c r="N5" s="107"/>
    </row>
    <row r="6" spans="1:79" hidden="1" x14ac:dyDescent="0.3">
      <c r="A6" t="s">
        <v>144</v>
      </c>
      <c r="B6" t="s">
        <v>437</v>
      </c>
      <c r="C6" t="s">
        <v>1177</v>
      </c>
      <c r="D6">
        <f t="shared" si="0"/>
        <v>0</v>
      </c>
      <c r="E6" t="s">
        <v>19</v>
      </c>
      <c r="F6" t="s">
        <v>1177</v>
      </c>
      <c r="G6" t="s">
        <v>322</v>
      </c>
      <c r="N6" s="107"/>
    </row>
    <row r="7" spans="1:79" hidden="1" x14ac:dyDescent="0.3">
      <c r="A7" t="s">
        <v>144</v>
      </c>
      <c r="B7" t="s">
        <v>620</v>
      </c>
      <c r="C7" t="s">
        <v>1180</v>
      </c>
      <c r="D7">
        <f t="shared" si="0"/>
        <v>0</v>
      </c>
      <c r="E7" t="s">
        <v>19</v>
      </c>
      <c r="F7" t="s">
        <v>1820</v>
      </c>
      <c r="G7" t="s">
        <v>322</v>
      </c>
      <c r="N7" s="107"/>
    </row>
    <row r="8" spans="1:79" hidden="1" x14ac:dyDescent="0.3">
      <c r="A8" t="s">
        <v>144</v>
      </c>
      <c r="B8" t="s">
        <v>623</v>
      </c>
      <c r="C8" t="s">
        <v>1180</v>
      </c>
      <c r="D8">
        <f t="shared" si="0"/>
        <v>0</v>
      </c>
      <c r="E8" t="s">
        <v>19</v>
      </c>
      <c r="F8" t="s">
        <v>1824</v>
      </c>
      <c r="G8" t="s">
        <v>322</v>
      </c>
      <c r="N8" s="107"/>
    </row>
    <row r="9" spans="1:79" hidden="1" x14ac:dyDescent="0.3">
      <c r="A9" t="s">
        <v>144</v>
      </c>
      <c r="B9" t="s">
        <v>624</v>
      </c>
      <c r="C9" t="s">
        <v>1180</v>
      </c>
      <c r="D9">
        <f t="shared" si="0"/>
        <v>0</v>
      </c>
      <c r="E9" t="s">
        <v>19</v>
      </c>
      <c r="F9" t="s">
        <v>1825</v>
      </c>
      <c r="G9" t="s">
        <v>322</v>
      </c>
      <c r="N9" s="107"/>
    </row>
    <row r="10" spans="1:79" hidden="1" x14ac:dyDescent="0.3">
      <c r="A10" t="s">
        <v>144</v>
      </c>
      <c r="B10" t="s">
        <v>623</v>
      </c>
      <c r="C10" t="s">
        <v>1208</v>
      </c>
      <c r="D10">
        <f t="shared" si="0"/>
        <v>0</v>
      </c>
      <c r="E10" t="s">
        <v>19</v>
      </c>
      <c r="F10" t="s">
        <v>1882</v>
      </c>
      <c r="G10" t="s">
        <v>322</v>
      </c>
      <c r="N10" s="107"/>
    </row>
    <row r="11" spans="1:79" hidden="1" x14ac:dyDescent="0.3">
      <c r="A11" t="s">
        <v>144</v>
      </c>
      <c r="B11" t="s">
        <v>437</v>
      </c>
      <c r="C11" t="s">
        <v>1227</v>
      </c>
      <c r="D11">
        <f t="shared" si="0"/>
        <v>0</v>
      </c>
      <c r="E11" t="s">
        <v>19</v>
      </c>
      <c r="F11" t="s">
        <v>1953</v>
      </c>
      <c r="G11" t="s">
        <v>322</v>
      </c>
      <c r="N11" s="107"/>
    </row>
    <row r="12" spans="1:79" hidden="1" x14ac:dyDescent="0.3">
      <c r="A12" t="s">
        <v>144</v>
      </c>
      <c r="B12" t="s">
        <v>623</v>
      </c>
      <c r="C12" t="s">
        <v>1227</v>
      </c>
      <c r="D12">
        <f t="shared" si="0"/>
        <v>0</v>
      </c>
      <c r="E12" t="s">
        <v>19</v>
      </c>
      <c r="F12" t="s">
        <v>1956</v>
      </c>
      <c r="G12" t="s">
        <v>322</v>
      </c>
      <c r="N12" s="107"/>
    </row>
    <row r="13" spans="1:79" hidden="1" x14ac:dyDescent="0.3">
      <c r="A13" t="s">
        <v>144</v>
      </c>
      <c r="B13" t="s">
        <v>437</v>
      </c>
      <c r="C13" t="s">
        <v>1233</v>
      </c>
      <c r="D13">
        <f t="shared" si="0"/>
        <v>0</v>
      </c>
      <c r="E13" t="s">
        <v>19</v>
      </c>
      <c r="F13" t="s">
        <v>2010</v>
      </c>
      <c r="G13" t="s">
        <v>322</v>
      </c>
      <c r="N13" s="107"/>
    </row>
    <row r="14" spans="1:79" hidden="1" x14ac:dyDescent="0.3">
      <c r="A14" t="s">
        <v>144</v>
      </c>
      <c r="B14" t="s">
        <v>437</v>
      </c>
      <c r="C14" t="s">
        <v>1287</v>
      </c>
      <c r="D14">
        <f t="shared" si="0"/>
        <v>0</v>
      </c>
      <c r="E14" t="s">
        <v>19</v>
      </c>
      <c r="F14" t="s">
        <v>2138</v>
      </c>
      <c r="G14" t="s">
        <v>322</v>
      </c>
      <c r="N14" s="107"/>
    </row>
    <row r="15" spans="1:79" hidden="1" x14ac:dyDescent="0.3">
      <c r="A15" t="s">
        <v>144</v>
      </c>
      <c r="B15" t="s">
        <v>829</v>
      </c>
      <c r="C15" t="s">
        <v>1301</v>
      </c>
      <c r="D15">
        <f t="shared" si="0"/>
        <v>0</v>
      </c>
      <c r="E15" t="s">
        <v>19</v>
      </c>
      <c r="F15" t="s">
        <v>2168</v>
      </c>
      <c r="G15" t="s">
        <v>322</v>
      </c>
      <c r="N15" s="107"/>
    </row>
    <row r="16" spans="1:79" hidden="1" x14ac:dyDescent="0.3">
      <c r="A16" t="s">
        <v>144</v>
      </c>
      <c r="B16" t="s">
        <v>830</v>
      </c>
      <c r="C16" t="s">
        <v>1301</v>
      </c>
      <c r="D16">
        <f t="shared" si="0"/>
        <v>0</v>
      </c>
      <c r="E16" t="s">
        <v>19</v>
      </c>
      <c r="F16" t="s">
        <v>2169</v>
      </c>
      <c r="G16" t="s">
        <v>322</v>
      </c>
      <c r="N16" s="107"/>
    </row>
    <row r="17" spans="1:14" hidden="1" x14ac:dyDescent="0.3">
      <c r="A17" t="s">
        <v>144</v>
      </c>
      <c r="B17" t="s">
        <v>857</v>
      </c>
      <c r="C17" t="s">
        <v>1307</v>
      </c>
      <c r="D17">
        <f t="shared" si="0"/>
        <v>0</v>
      </c>
      <c r="E17" t="s">
        <v>19</v>
      </c>
      <c r="F17" t="s">
        <v>2202</v>
      </c>
      <c r="G17" t="s">
        <v>322</v>
      </c>
      <c r="N17" s="107"/>
    </row>
    <row r="18" spans="1:14" hidden="1" x14ac:dyDescent="0.3">
      <c r="A18" t="s">
        <v>144</v>
      </c>
      <c r="B18" t="s">
        <v>437</v>
      </c>
      <c r="C18" t="s">
        <v>1334</v>
      </c>
      <c r="D18">
        <f t="shared" si="0"/>
        <v>0</v>
      </c>
      <c r="E18" t="s">
        <v>19</v>
      </c>
      <c r="F18" t="s">
        <v>1334</v>
      </c>
      <c r="G18" t="s">
        <v>322</v>
      </c>
      <c r="N18" s="107"/>
    </row>
    <row r="19" spans="1:14" hidden="1" x14ac:dyDescent="0.3">
      <c r="A19" t="s">
        <v>144</v>
      </c>
      <c r="B19" t="s">
        <v>569</v>
      </c>
      <c r="C19" t="s">
        <v>1354</v>
      </c>
      <c r="D19">
        <f t="shared" si="0"/>
        <v>0</v>
      </c>
      <c r="E19" t="s">
        <v>19</v>
      </c>
      <c r="F19" t="s">
        <v>1354</v>
      </c>
      <c r="G19" t="s">
        <v>322</v>
      </c>
      <c r="N19" s="107"/>
    </row>
    <row r="20" spans="1:14" hidden="1" x14ac:dyDescent="0.3">
      <c r="A20" t="s">
        <v>144</v>
      </c>
      <c r="B20" t="s">
        <v>437</v>
      </c>
      <c r="C20" t="s">
        <v>1392</v>
      </c>
      <c r="D20">
        <f t="shared" si="0"/>
        <v>0</v>
      </c>
      <c r="E20" t="s">
        <v>19</v>
      </c>
      <c r="F20" t="s">
        <v>2378</v>
      </c>
      <c r="G20" t="s">
        <v>322</v>
      </c>
      <c r="N20" s="107"/>
    </row>
    <row r="21" spans="1:14" hidden="1" x14ac:dyDescent="0.3">
      <c r="A21" t="s">
        <v>144</v>
      </c>
      <c r="B21" t="s">
        <v>623</v>
      </c>
      <c r="C21" t="s">
        <v>1403</v>
      </c>
      <c r="D21">
        <f t="shared" si="0"/>
        <v>0</v>
      </c>
      <c r="E21" t="s">
        <v>19</v>
      </c>
      <c r="F21" t="s">
        <v>2386</v>
      </c>
      <c r="G21" t="s">
        <v>322</v>
      </c>
      <c r="N21" s="107"/>
    </row>
    <row r="22" spans="1:14" hidden="1" x14ac:dyDescent="0.3">
      <c r="A22" t="s">
        <v>144</v>
      </c>
      <c r="B22" t="s">
        <v>957</v>
      </c>
      <c r="C22" t="s">
        <v>1403</v>
      </c>
      <c r="D22">
        <f t="shared" si="0"/>
        <v>0</v>
      </c>
      <c r="E22" t="s">
        <v>19</v>
      </c>
      <c r="F22" t="s">
        <v>2387</v>
      </c>
      <c r="G22" t="s">
        <v>322</v>
      </c>
      <c r="N22" s="107"/>
    </row>
    <row r="23" spans="1:14" hidden="1" x14ac:dyDescent="0.3">
      <c r="A23" t="s">
        <v>144</v>
      </c>
      <c r="B23" t="s">
        <v>437</v>
      </c>
      <c r="C23" t="s">
        <v>1414</v>
      </c>
      <c r="D23">
        <f t="shared" si="0"/>
        <v>0</v>
      </c>
      <c r="E23" t="s">
        <v>19</v>
      </c>
      <c r="F23" t="s">
        <v>2503</v>
      </c>
      <c r="G23" t="s">
        <v>322</v>
      </c>
      <c r="N23" s="107"/>
    </row>
    <row r="24" spans="1:14" hidden="1" x14ac:dyDescent="0.3">
      <c r="A24" t="s">
        <v>144</v>
      </c>
      <c r="B24" t="s">
        <v>623</v>
      </c>
      <c r="C24" t="s">
        <v>1414</v>
      </c>
      <c r="D24">
        <f t="shared" si="0"/>
        <v>0</v>
      </c>
      <c r="E24" t="s">
        <v>19</v>
      </c>
      <c r="F24" t="s">
        <v>2505</v>
      </c>
      <c r="G24" t="s">
        <v>322</v>
      </c>
      <c r="N24" s="107"/>
    </row>
    <row r="25" spans="1:14" hidden="1" x14ac:dyDescent="0.3">
      <c r="A25" t="s">
        <v>144</v>
      </c>
      <c r="B25" t="s">
        <v>569</v>
      </c>
      <c r="C25" t="s">
        <v>1419</v>
      </c>
      <c r="D25">
        <f t="shared" si="0"/>
        <v>0</v>
      </c>
      <c r="E25" t="s">
        <v>19</v>
      </c>
      <c r="F25" t="s">
        <v>2540</v>
      </c>
      <c r="G25" t="s">
        <v>322</v>
      </c>
      <c r="N25" s="107"/>
    </row>
    <row r="26" spans="1:14" hidden="1" x14ac:dyDescent="0.3">
      <c r="A26" t="s">
        <v>144</v>
      </c>
      <c r="B26" t="s">
        <v>1018</v>
      </c>
      <c r="C26" t="s">
        <v>1419</v>
      </c>
      <c r="D26">
        <f t="shared" si="0"/>
        <v>0</v>
      </c>
      <c r="E26" t="s">
        <v>19</v>
      </c>
      <c r="F26" t="s">
        <v>2541</v>
      </c>
      <c r="G26" t="s">
        <v>322</v>
      </c>
      <c r="N26" s="107"/>
    </row>
    <row r="27" spans="1:14" hidden="1" x14ac:dyDescent="0.3">
      <c r="A27" t="s">
        <v>144</v>
      </c>
      <c r="B27" t="s">
        <v>569</v>
      </c>
      <c r="C27" t="s">
        <v>1426</v>
      </c>
      <c r="D27">
        <f t="shared" si="0"/>
        <v>0</v>
      </c>
      <c r="E27" t="s">
        <v>19</v>
      </c>
      <c r="F27" t="s">
        <v>2556</v>
      </c>
      <c r="G27" t="s">
        <v>322</v>
      </c>
      <c r="N27" s="107"/>
    </row>
    <row r="28" spans="1:14" hidden="1" x14ac:dyDescent="0.3">
      <c r="A28" t="s">
        <v>144</v>
      </c>
      <c r="B28" t="s">
        <v>569</v>
      </c>
      <c r="C28" t="s">
        <v>1426</v>
      </c>
      <c r="D28">
        <f t="shared" si="0"/>
        <v>0</v>
      </c>
      <c r="E28" t="s">
        <v>19</v>
      </c>
      <c r="F28" t="s">
        <v>2557</v>
      </c>
      <c r="G28" t="s">
        <v>322</v>
      </c>
      <c r="N28" s="107"/>
    </row>
    <row r="29" spans="1:14" hidden="1" x14ac:dyDescent="0.3">
      <c r="A29" t="s">
        <v>144</v>
      </c>
      <c r="B29" t="s">
        <v>437</v>
      </c>
      <c r="C29" t="s">
        <v>1462</v>
      </c>
      <c r="D29">
        <f t="shared" si="0"/>
        <v>0</v>
      </c>
      <c r="E29" t="s">
        <v>19</v>
      </c>
      <c r="F29" t="s">
        <v>2664</v>
      </c>
      <c r="G29" t="s">
        <v>322</v>
      </c>
      <c r="N29" s="107"/>
    </row>
    <row r="30" spans="1:14" hidden="1" x14ac:dyDescent="0.3">
      <c r="A30" t="s">
        <v>144</v>
      </c>
      <c r="B30" t="s">
        <v>437</v>
      </c>
      <c r="C30" t="s">
        <v>1479</v>
      </c>
      <c r="D30">
        <f t="shared" si="0"/>
        <v>0</v>
      </c>
      <c r="E30" t="s">
        <v>19</v>
      </c>
      <c r="F30" t="s">
        <v>2705</v>
      </c>
      <c r="G30" t="s">
        <v>322</v>
      </c>
      <c r="N30" s="107"/>
    </row>
    <row r="31" spans="1:14" hidden="1" x14ac:dyDescent="0.3">
      <c r="A31" t="s">
        <v>144</v>
      </c>
      <c r="B31" t="s">
        <v>623</v>
      </c>
      <c r="C31" t="s">
        <v>1488</v>
      </c>
      <c r="D31">
        <f t="shared" si="0"/>
        <v>0</v>
      </c>
      <c r="E31" t="s">
        <v>19</v>
      </c>
      <c r="F31" t="s">
        <v>2733</v>
      </c>
      <c r="G31" t="s">
        <v>322</v>
      </c>
      <c r="N31" s="107"/>
    </row>
    <row r="32" spans="1:14" hidden="1" x14ac:dyDescent="0.3">
      <c r="A32" t="s">
        <v>144</v>
      </c>
      <c r="B32" t="s">
        <v>1090</v>
      </c>
      <c r="C32" t="s">
        <v>1516</v>
      </c>
      <c r="D32">
        <f t="shared" si="0"/>
        <v>0</v>
      </c>
      <c r="E32" t="s">
        <v>19</v>
      </c>
      <c r="F32" t="s">
        <v>2815</v>
      </c>
      <c r="G32" t="s">
        <v>322</v>
      </c>
      <c r="N32" s="107"/>
    </row>
    <row r="33" spans="1:14" hidden="1" x14ac:dyDescent="0.3">
      <c r="A33" t="s">
        <v>144</v>
      </c>
      <c r="B33" t="s">
        <v>1125</v>
      </c>
      <c r="C33" t="s">
        <v>1525</v>
      </c>
      <c r="D33">
        <f t="shared" si="0"/>
        <v>0</v>
      </c>
      <c r="E33" t="s">
        <v>19</v>
      </c>
      <c r="F33" t="s">
        <v>1525</v>
      </c>
      <c r="G33" t="s">
        <v>322</v>
      </c>
      <c r="N33" s="107"/>
    </row>
    <row r="34" spans="1:14" hidden="1" x14ac:dyDescent="0.3">
      <c r="A34" t="s">
        <v>144</v>
      </c>
      <c r="B34" t="s">
        <v>1130</v>
      </c>
      <c r="C34" t="s">
        <v>1532</v>
      </c>
      <c r="D34">
        <f t="shared" si="0"/>
        <v>0</v>
      </c>
      <c r="E34" t="s">
        <v>19</v>
      </c>
      <c r="F34" t="s">
        <v>2828</v>
      </c>
      <c r="G34" t="s">
        <v>322</v>
      </c>
      <c r="N34" s="107"/>
    </row>
    <row r="35" spans="1:14" hidden="1" x14ac:dyDescent="0.3">
      <c r="A35" t="s">
        <v>144</v>
      </c>
      <c r="B35" t="s">
        <v>568</v>
      </c>
      <c r="C35" t="s">
        <v>1532</v>
      </c>
      <c r="D35">
        <f t="shared" si="0"/>
        <v>0</v>
      </c>
      <c r="E35" t="s">
        <v>19</v>
      </c>
      <c r="F35" t="s">
        <v>2829</v>
      </c>
      <c r="G35" t="s">
        <v>322</v>
      </c>
      <c r="N35" s="107"/>
    </row>
    <row r="36" spans="1:14" hidden="1" x14ac:dyDescent="0.3">
      <c r="A36" t="s">
        <v>144</v>
      </c>
      <c r="B36" t="s">
        <v>569</v>
      </c>
      <c r="C36" t="s">
        <v>1532</v>
      </c>
      <c r="D36">
        <f t="shared" si="0"/>
        <v>0</v>
      </c>
      <c r="E36" t="s">
        <v>19</v>
      </c>
      <c r="F36" t="s">
        <v>2830</v>
      </c>
      <c r="G36" t="s">
        <v>322</v>
      </c>
      <c r="N36" s="107"/>
    </row>
    <row r="37" spans="1:14" hidden="1" x14ac:dyDescent="0.3">
      <c r="A37" t="s">
        <v>145</v>
      </c>
      <c r="B37" t="s">
        <v>439</v>
      </c>
      <c r="C37" t="s">
        <v>1176</v>
      </c>
      <c r="D37">
        <f t="shared" si="0"/>
        <v>0</v>
      </c>
      <c r="E37" t="s">
        <v>19</v>
      </c>
      <c r="F37" t="s">
        <v>1176</v>
      </c>
      <c r="G37" t="s">
        <v>322</v>
      </c>
      <c r="N37" s="107"/>
    </row>
    <row r="38" spans="1:14" hidden="1" x14ac:dyDescent="0.3">
      <c r="A38" t="s">
        <v>145</v>
      </c>
      <c r="B38" t="s">
        <v>439</v>
      </c>
      <c r="C38" t="s">
        <v>1189</v>
      </c>
      <c r="D38">
        <f t="shared" si="0"/>
        <v>0</v>
      </c>
      <c r="E38" t="s">
        <v>19</v>
      </c>
      <c r="F38" t="s">
        <v>1847</v>
      </c>
      <c r="G38" t="s">
        <v>322</v>
      </c>
      <c r="N38" s="107"/>
    </row>
    <row r="39" spans="1:14" hidden="1" x14ac:dyDescent="0.3">
      <c r="A39" t="s">
        <v>145</v>
      </c>
      <c r="B39" t="s">
        <v>439</v>
      </c>
      <c r="C39" t="s">
        <v>1236</v>
      </c>
      <c r="D39">
        <f t="shared" si="0"/>
        <v>0</v>
      </c>
      <c r="E39" t="s">
        <v>19</v>
      </c>
      <c r="F39" t="s">
        <v>1236</v>
      </c>
      <c r="G39" t="s">
        <v>322</v>
      </c>
      <c r="N39" s="107"/>
    </row>
    <row r="40" spans="1:14" hidden="1" x14ac:dyDescent="0.3">
      <c r="A40" t="s">
        <v>145</v>
      </c>
      <c r="B40" t="s">
        <v>823</v>
      </c>
      <c r="C40" t="s">
        <v>1298</v>
      </c>
      <c r="D40">
        <f t="shared" si="0"/>
        <v>0</v>
      </c>
      <c r="E40" t="s">
        <v>19</v>
      </c>
      <c r="F40" t="s">
        <v>2162</v>
      </c>
      <c r="G40" t="s">
        <v>322</v>
      </c>
      <c r="N40" s="107"/>
    </row>
    <row r="41" spans="1:14" hidden="1" x14ac:dyDescent="0.3">
      <c r="A41" t="s">
        <v>145</v>
      </c>
      <c r="B41" t="s">
        <v>827</v>
      </c>
      <c r="C41" t="s">
        <v>1298</v>
      </c>
      <c r="D41">
        <f t="shared" si="0"/>
        <v>0</v>
      </c>
      <c r="E41" t="s">
        <v>19</v>
      </c>
      <c r="F41" t="s">
        <v>2166</v>
      </c>
      <c r="G41" t="s">
        <v>322</v>
      </c>
      <c r="N41" s="107"/>
    </row>
    <row r="42" spans="1:14" hidden="1" x14ac:dyDescent="0.3">
      <c r="A42" t="s">
        <v>145</v>
      </c>
      <c r="B42" t="s">
        <v>914</v>
      </c>
      <c r="C42" t="s">
        <v>1350</v>
      </c>
      <c r="D42">
        <f t="shared" si="0"/>
        <v>0</v>
      </c>
      <c r="E42" t="s">
        <v>19</v>
      </c>
      <c r="F42" t="s">
        <v>2294</v>
      </c>
      <c r="G42" t="s">
        <v>322</v>
      </c>
      <c r="N42" s="107"/>
    </row>
    <row r="43" spans="1:14" hidden="1" x14ac:dyDescent="0.3">
      <c r="A43" t="s">
        <v>145</v>
      </c>
      <c r="B43" t="s">
        <v>440</v>
      </c>
      <c r="C43" t="s">
        <v>1378</v>
      </c>
      <c r="D43">
        <f t="shared" si="0"/>
        <v>0</v>
      </c>
      <c r="E43" t="s">
        <v>19</v>
      </c>
      <c r="F43" t="s">
        <v>2319</v>
      </c>
      <c r="G43" t="s">
        <v>322</v>
      </c>
      <c r="N43" s="107"/>
    </row>
    <row r="44" spans="1:14" hidden="1" x14ac:dyDescent="0.3">
      <c r="A44" t="s">
        <v>145</v>
      </c>
      <c r="B44" t="s">
        <v>439</v>
      </c>
      <c r="C44" t="s">
        <v>1378</v>
      </c>
      <c r="D44">
        <f t="shared" si="0"/>
        <v>0</v>
      </c>
      <c r="E44" t="s">
        <v>19</v>
      </c>
      <c r="F44" t="s">
        <v>2321</v>
      </c>
      <c r="G44" t="s">
        <v>322</v>
      </c>
      <c r="N44" s="107"/>
    </row>
    <row r="45" spans="1:14" hidden="1" x14ac:dyDescent="0.3">
      <c r="A45" t="s">
        <v>145</v>
      </c>
      <c r="B45" t="s">
        <v>440</v>
      </c>
      <c r="C45" t="s">
        <v>1416</v>
      </c>
      <c r="D45">
        <f t="shared" si="0"/>
        <v>0</v>
      </c>
      <c r="E45" t="s">
        <v>19</v>
      </c>
      <c r="F45" t="s">
        <v>2534</v>
      </c>
      <c r="G45" t="s">
        <v>322</v>
      </c>
      <c r="N45" s="107"/>
    </row>
    <row r="46" spans="1:14" hidden="1" x14ac:dyDescent="0.3">
      <c r="A46" t="s">
        <v>145</v>
      </c>
      <c r="B46" t="s">
        <v>439</v>
      </c>
      <c r="C46" t="s">
        <v>1416</v>
      </c>
      <c r="D46">
        <f t="shared" si="0"/>
        <v>0</v>
      </c>
      <c r="E46" t="s">
        <v>19</v>
      </c>
      <c r="F46" t="s">
        <v>2536</v>
      </c>
      <c r="G46" t="s">
        <v>322</v>
      </c>
      <c r="N46" s="107"/>
    </row>
    <row r="47" spans="1:14" hidden="1" x14ac:dyDescent="0.3">
      <c r="A47" t="s">
        <v>145</v>
      </c>
      <c r="B47" t="s">
        <v>1077</v>
      </c>
      <c r="C47" t="s">
        <v>1470</v>
      </c>
      <c r="D47">
        <f t="shared" si="0"/>
        <v>0</v>
      </c>
      <c r="E47" t="s">
        <v>19</v>
      </c>
      <c r="F47" t="s">
        <v>2681</v>
      </c>
      <c r="G47" t="s">
        <v>322</v>
      </c>
      <c r="N47" s="107"/>
    </row>
    <row r="48" spans="1:14" hidden="1" x14ac:dyDescent="0.3">
      <c r="A48" t="s">
        <v>146</v>
      </c>
      <c r="B48" t="s">
        <v>563</v>
      </c>
      <c r="C48" t="s">
        <v>1165</v>
      </c>
      <c r="D48">
        <f t="shared" si="0"/>
        <v>0</v>
      </c>
      <c r="E48" t="s">
        <v>19</v>
      </c>
      <c r="F48" t="s">
        <v>1165</v>
      </c>
      <c r="G48" t="s">
        <v>322</v>
      </c>
      <c r="N48" s="107"/>
    </row>
    <row r="49" spans="1:14" hidden="1" x14ac:dyDescent="0.3">
      <c r="A49" t="s">
        <v>146</v>
      </c>
      <c r="B49" t="s">
        <v>566</v>
      </c>
      <c r="C49" t="s">
        <v>1164</v>
      </c>
      <c r="D49">
        <f t="shared" si="0"/>
        <v>0</v>
      </c>
      <c r="E49" t="s">
        <v>19</v>
      </c>
      <c r="F49" t="s">
        <v>1744</v>
      </c>
      <c r="G49" t="s">
        <v>322</v>
      </c>
      <c r="N49" s="107"/>
    </row>
    <row r="50" spans="1:14" hidden="1" x14ac:dyDescent="0.3">
      <c r="A50" t="s">
        <v>146</v>
      </c>
      <c r="B50" t="s">
        <v>582</v>
      </c>
      <c r="C50" t="s">
        <v>1172</v>
      </c>
      <c r="D50">
        <f t="shared" si="0"/>
        <v>0</v>
      </c>
      <c r="E50" t="s">
        <v>19</v>
      </c>
      <c r="F50" t="s">
        <v>1768</v>
      </c>
      <c r="G50" t="s">
        <v>322</v>
      </c>
      <c r="N50" s="107"/>
    </row>
    <row r="51" spans="1:14" hidden="1" x14ac:dyDescent="0.3">
      <c r="A51" t="s">
        <v>146</v>
      </c>
      <c r="B51" t="s">
        <v>622</v>
      </c>
      <c r="C51" t="s">
        <v>1180</v>
      </c>
      <c r="D51">
        <f t="shared" si="0"/>
        <v>0</v>
      </c>
      <c r="E51" t="s">
        <v>19</v>
      </c>
      <c r="F51" t="s">
        <v>1823</v>
      </c>
      <c r="G51" t="s">
        <v>322</v>
      </c>
      <c r="N51" s="107"/>
    </row>
    <row r="52" spans="1:14" hidden="1" x14ac:dyDescent="0.3">
      <c r="A52" t="s">
        <v>146</v>
      </c>
      <c r="B52" t="s">
        <v>664</v>
      </c>
      <c r="C52" t="s">
        <v>1210</v>
      </c>
      <c r="D52">
        <f t="shared" si="0"/>
        <v>0</v>
      </c>
      <c r="E52" t="s">
        <v>19</v>
      </c>
      <c r="F52" t="s">
        <v>1883</v>
      </c>
      <c r="G52" t="s">
        <v>322</v>
      </c>
      <c r="N52" s="107"/>
    </row>
    <row r="53" spans="1:14" hidden="1" x14ac:dyDescent="0.3">
      <c r="A53" t="s">
        <v>146</v>
      </c>
      <c r="B53" t="s">
        <v>563</v>
      </c>
      <c r="C53" t="s">
        <v>1226</v>
      </c>
      <c r="D53">
        <f t="shared" si="0"/>
        <v>0</v>
      </c>
      <c r="E53" t="s">
        <v>19</v>
      </c>
      <c r="F53" t="s">
        <v>1226</v>
      </c>
      <c r="G53" t="s">
        <v>322</v>
      </c>
      <c r="N53" s="107"/>
    </row>
    <row r="54" spans="1:14" hidden="1" x14ac:dyDescent="0.3">
      <c r="A54" t="s">
        <v>146</v>
      </c>
      <c r="B54" t="s">
        <v>582</v>
      </c>
      <c r="C54" t="s">
        <v>1266</v>
      </c>
      <c r="D54">
        <f t="shared" si="0"/>
        <v>0</v>
      </c>
      <c r="E54" t="s">
        <v>19</v>
      </c>
      <c r="F54" t="s">
        <v>2079</v>
      </c>
      <c r="G54" t="s">
        <v>322</v>
      </c>
      <c r="N54" s="107"/>
    </row>
    <row r="55" spans="1:14" hidden="1" x14ac:dyDescent="0.3">
      <c r="A55" t="s">
        <v>146</v>
      </c>
      <c r="B55" t="s">
        <v>563</v>
      </c>
      <c r="C55" t="s">
        <v>1287</v>
      </c>
      <c r="D55">
        <f t="shared" si="0"/>
        <v>0</v>
      </c>
      <c r="E55" t="s">
        <v>19</v>
      </c>
      <c r="F55" t="s">
        <v>2136</v>
      </c>
      <c r="G55" t="s">
        <v>322</v>
      </c>
      <c r="N55" s="107"/>
    </row>
    <row r="56" spans="1:14" hidden="1" x14ac:dyDescent="0.3">
      <c r="A56" t="s">
        <v>146</v>
      </c>
      <c r="B56" t="s">
        <v>563</v>
      </c>
      <c r="C56" t="s">
        <v>1358</v>
      </c>
      <c r="D56">
        <f t="shared" si="0"/>
        <v>0</v>
      </c>
      <c r="E56" t="s">
        <v>19</v>
      </c>
      <c r="F56" t="s">
        <v>2300</v>
      </c>
      <c r="G56" t="s">
        <v>322</v>
      </c>
      <c r="N56" s="107"/>
    </row>
    <row r="57" spans="1:14" hidden="1" x14ac:dyDescent="0.3">
      <c r="A57" t="s">
        <v>146</v>
      </c>
      <c r="B57" t="s">
        <v>979</v>
      </c>
      <c r="C57" t="s">
        <v>1405</v>
      </c>
      <c r="D57">
        <f t="shared" si="0"/>
        <v>0</v>
      </c>
      <c r="E57" t="s">
        <v>19</v>
      </c>
      <c r="F57" t="s">
        <v>2422</v>
      </c>
      <c r="G57" t="s">
        <v>322</v>
      </c>
      <c r="N57" s="107"/>
    </row>
    <row r="58" spans="1:14" hidden="1" x14ac:dyDescent="0.3">
      <c r="A58" t="s">
        <v>146</v>
      </c>
      <c r="B58" t="s">
        <v>563</v>
      </c>
      <c r="C58" t="s">
        <v>1404</v>
      </c>
      <c r="D58">
        <f t="shared" si="0"/>
        <v>0</v>
      </c>
      <c r="E58" t="s">
        <v>19</v>
      </c>
      <c r="F58" t="s">
        <v>2438</v>
      </c>
      <c r="G58" t="s">
        <v>322</v>
      </c>
      <c r="N58" s="107"/>
    </row>
    <row r="59" spans="1:14" hidden="1" x14ac:dyDescent="0.3">
      <c r="A59" t="s">
        <v>146</v>
      </c>
      <c r="B59" t="s">
        <v>563</v>
      </c>
      <c r="C59" t="s">
        <v>1404</v>
      </c>
      <c r="D59">
        <f t="shared" si="0"/>
        <v>0</v>
      </c>
      <c r="E59" t="s">
        <v>19</v>
      </c>
      <c r="F59" t="s">
        <v>2439</v>
      </c>
      <c r="G59" t="s">
        <v>322</v>
      </c>
      <c r="N59" s="107"/>
    </row>
    <row r="60" spans="1:14" hidden="1" x14ac:dyDescent="0.3">
      <c r="A60" t="s">
        <v>146</v>
      </c>
      <c r="B60" t="s">
        <v>989</v>
      </c>
      <c r="C60" t="s">
        <v>1404</v>
      </c>
      <c r="D60">
        <f t="shared" si="0"/>
        <v>0</v>
      </c>
      <c r="E60" t="s">
        <v>19</v>
      </c>
      <c r="F60" t="s">
        <v>2440</v>
      </c>
      <c r="G60" t="s">
        <v>322</v>
      </c>
      <c r="N60" s="107"/>
    </row>
    <row r="61" spans="1:14" hidden="1" x14ac:dyDescent="0.3">
      <c r="A61" t="s">
        <v>146</v>
      </c>
      <c r="B61" t="s">
        <v>664</v>
      </c>
      <c r="C61" t="s">
        <v>1439</v>
      </c>
      <c r="D61">
        <f t="shared" si="0"/>
        <v>0</v>
      </c>
      <c r="E61" t="s">
        <v>19</v>
      </c>
      <c r="F61" t="s">
        <v>2564</v>
      </c>
      <c r="G61" t="s">
        <v>322</v>
      </c>
      <c r="N61" s="107"/>
    </row>
    <row r="62" spans="1:14" hidden="1" x14ac:dyDescent="0.3">
      <c r="A62" t="s">
        <v>146</v>
      </c>
      <c r="B62" t="s">
        <v>1030</v>
      </c>
      <c r="C62" t="s">
        <v>1439</v>
      </c>
      <c r="D62">
        <f t="shared" si="0"/>
        <v>0</v>
      </c>
      <c r="E62" t="s">
        <v>19</v>
      </c>
      <c r="F62" t="s">
        <v>2567</v>
      </c>
      <c r="G62" t="s">
        <v>322</v>
      </c>
      <c r="N62" s="107"/>
    </row>
    <row r="63" spans="1:14" hidden="1" x14ac:dyDescent="0.3">
      <c r="A63" t="s">
        <v>146</v>
      </c>
      <c r="B63" t="s">
        <v>665</v>
      </c>
      <c r="C63" t="s">
        <v>1509</v>
      </c>
      <c r="D63">
        <f t="shared" si="0"/>
        <v>0</v>
      </c>
      <c r="E63" t="s">
        <v>19</v>
      </c>
      <c r="F63" t="s">
        <v>2756</v>
      </c>
      <c r="G63" t="s">
        <v>322</v>
      </c>
      <c r="N63" s="107"/>
    </row>
    <row r="64" spans="1:14" hidden="1" x14ac:dyDescent="0.3">
      <c r="A64" t="s">
        <v>147</v>
      </c>
      <c r="B64" t="s">
        <v>544</v>
      </c>
      <c r="C64" t="s">
        <v>1140</v>
      </c>
      <c r="D64">
        <f t="shared" si="0"/>
        <v>0</v>
      </c>
      <c r="E64" t="s">
        <v>19</v>
      </c>
      <c r="F64" t="s">
        <v>1140</v>
      </c>
      <c r="G64" t="s">
        <v>322</v>
      </c>
      <c r="N64" s="107"/>
    </row>
    <row r="65" spans="1:14" hidden="1" x14ac:dyDescent="0.3">
      <c r="A65" t="s">
        <v>147</v>
      </c>
      <c r="B65" t="s">
        <v>447</v>
      </c>
      <c r="C65" t="s">
        <v>1145</v>
      </c>
      <c r="D65">
        <f t="shared" si="0"/>
        <v>0</v>
      </c>
      <c r="E65" t="s">
        <v>19</v>
      </c>
      <c r="F65" t="s">
        <v>1145</v>
      </c>
      <c r="G65" t="s">
        <v>322</v>
      </c>
      <c r="N65" s="107"/>
    </row>
    <row r="66" spans="1:14" hidden="1" x14ac:dyDescent="0.3">
      <c r="A66" t="s">
        <v>147</v>
      </c>
      <c r="B66" t="s">
        <v>548</v>
      </c>
      <c r="C66" t="s">
        <v>1146</v>
      </c>
      <c r="D66">
        <f t="shared" ref="D66:D128" si="1">SIGN(SUBTOTAL(3,E66))</f>
        <v>0</v>
      </c>
      <c r="E66" t="s">
        <v>19</v>
      </c>
      <c r="F66" t="s">
        <v>1146</v>
      </c>
      <c r="G66" t="s">
        <v>322</v>
      </c>
      <c r="N66" s="107"/>
    </row>
    <row r="67" spans="1:14" hidden="1" x14ac:dyDescent="0.3">
      <c r="A67" t="s">
        <v>147</v>
      </c>
      <c r="B67" t="s">
        <v>549</v>
      </c>
      <c r="C67" t="s">
        <v>1147</v>
      </c>
      <c r="D67">
        <f t="shared" si="1"/>
        <v>0</v>
      </c>
      <c r="E67" t="s">
        <v>19</v>
      </c>
      <c r="F67" t="s">
        <v>1147</v>
      </c>
      <c r="G67" t="s">
        <v>322</v>
      </c>
      <c r="N67" s="107"/>
    </row>
    <row r="68" spans="1:14" hidden="1" x14ac:dyDescent="0.3">
      <c r="A68" t="s">
        <v>147</v>
      </c>
      <c r="B68" t="s">
        <v>550</v>
      </c>
      <c r="C68" t="s">
        <v>1148</v>
      </c>
      <c r="D68">
        <f t="shared" si="1"/>
        <v>0</v>
      </c>
      <c r="E68" t="s">
        <v>19</v>
      </c>
      <c r="F68" t="s">
        <v>1148</v>
      </c>
      <c r="G68" t="s">
        <v>322</v>
      </c>
      <c r="N68" s="107"/>
    </row>
    <row r="69" spans="1:14" hidden="1" x14ac:dyDescent="0.3">
      <c r="A69" t="s">
        <v>147</v>
      </c>
      <c r="B69" t="s">
        <v>551</v>
      </c>
      <c r="C69" t="s">
        <v>1149</v>
      </c>
      <c r="D69">
        <f t="shared" si="1"/>
        <v>0</v>
      </c>
      <c r="E69" t="s">
        <v>19</v>
      </c>
      <c r="F69" t="s">
        <v>1149</v>
      </c>
      <c r="G69" t="s">
        <v>322</v>
      </c>
      <c r="N69" s="107"/>
    </row>
    <row r="70" spans="1:14" hidden="1" x14ac:dyDescent="0.3">
      <c r="A70" t="s">
        <v>147</v>
      </c>
      <c r="B70" t="s">
        <v>450</v>
      </c>
      <c r="C70" t="s">
        <v>1150</v>
      </c>
      <c r="D70">
        <f t="shared" si="1"/>
        <v>0</v>
      </c>
      <c r="E70" t="s">
        <v>19</v>
      </c>
      <c r="F70" t="s">
        <v>1150</v>
      </c>
      <c r="G70" t="s">
        <v>322</v>
      </c>
      <c r="N70" s="107"/>
    </row>
    <row r="71" spans="1:14" hidden="1" x14ac:dyDescent="0.3">
      <c r="A71" t="s">
        <v>147</v>
      </c>
      <c r="B71" t="s">
        <v>451</v>
      </c>
      <c r="C71" t="s">
        <v>1151</v>
      </c>
      <c r="D71">
        <f t="shared" si="1"/>
        <v>0</v>
      </c>
      <c r="E71" t="s">
        <v>19</v>
      </c>
      <c r="F71" t="s">
        <v>1151</v>
      </c>
      <c r="G71" t="s">
        <v>322</v>
      </c>
      <c r="N71" s="107"/>
    </row>
    <row r="72" spans="1:14" hidden="1" x14ac:dyDescent="0.3">
      <c r="A72" t="s">
        <v>147</v>
      </c>
      <c r="B72" t="s">
        <v>552</v>
      </c>
      <c r="C72" t="s">
        <v>1152</v>
      </c>
      <c r="D72">
        <f t="shared" si="1"/>
        <v>0</v>
      </c>
      <c r="E72" t="s">
        <v>19</v>
      </c>
      <c r="F72" t="s">
        <v>1152</v>
      </c>
      <c r="G72" t="s">
        <v>322</v>
      </c>
      <c r="N72" s="107"/>
    </row>
    <row r="73" spans="1:14" hidden="1" x14ac:dyDescent="0.3">
      <c r="A73" t="s">
        <v>147</v>
      </c>
      <c r="B73" t="s">
        <v>553</v>
      </c>
      <c r="C73" t="s">
        <v>1153</v>
      </c>
      <c r="D73">
        <f t="shared" si="1"/>
        <v>0</v>
      </c>
      <c r="E73" t="s">
        <v>19</v>
      </c>
      <c r="F73" t="s">
        <v>1153</v>
      </c>
      <c r="G73" t="s">
        <v>322</v>
      </c>
      <c r="N73" s="107"/>
    </row>
    <row r="74" spans="1:14" hidden="1" x14ac:dyDescent="0.3">
      <c r="A74" t="s">
        <v>147</v>
      </c>
      <c r="B74" t="s">
        <v>554</v>
      </c>
      <c r="C74" t="s">
        <v>1154</v>
      </c>
      <c r="D74">
        <f t="shared" si="1"/>
        <v>0</v>
      </c>
      <c r="E74" t="s">
        <v>19</v>
      </c>
      <c r="F74" t="s">
        <v>1154</v>
      </c>
      <c r="G74" t="s">
        <v>322</v>
      </c>
      <c r="N74" s="107"/>
    </row>
    <row r="75" spans="1:14" hidden="1" x14ac:dyDescent="0.3">
      <c r="A75" t="s">
        <v>147</v>
      </c>
      <c r="B75" t="s">
        <v>579</v>
      </c>
      <c r="C75" t="s">
        <v>1172</v>
      </c>
      <c r="D75">
        <f t="shared" si="1"/>
        <v>0</v>
      </c>
      <c r="E75" t="s">
        <v>19</v>
      </c>
      <c r="F75" t="s">
        <v>1764</v>
      </c>
      <c r="G75" t="s">
        <v>322</v>
      </c>
      <c r="N75" s="107"/>
    </row>
    <row r="76" spans="1:14" hidden="1" x14ac:dyDescent="0.3">
      <c r="A76" t="s">
        <v>147</v>
      </c>
      <c r="B76" t="s">
        <v>734</v>
      </c>
      <c r="C76" t="s">
        <v>1237</v>
      </c>
      <c r="D76">
        <f t="shared" si="1"/>
        <v>0</v>
      </c>
      <c r="E76" t="s">
        <v>19</v>
      </c>
      <c r="F76" t="s">
        <v>1237</v>
      </c>
      <c r="G76" t="s">
        <v>322</v>
      </c>
      <c r="N76" s="107"/>
    </row>
    <row r="77" spans="1:14" hidden="1" x14ac:dyDescent="0.3">
      <c r="A77" t="s">
        <v>147</v>
      </c>
      <c r="B77" t="s">
        <v>442</v>
      </c>
      <c r="C77" t="s">
        <v>1251</v>
      </c>
      <c r="D77">
        <f t="shared" si="1"/>
        <v>0</v>
      </c>
      <c r="E77" t="s">
        <v>19</v>
      </c>
      <c r="F77" t="s">
        <v>2034</v>
      </c>
      <c r="G77" t="s">
        <v>322</v>
      </c>
      <c r="N77" s="107"/>
    </row>
    <row r="78" spans="1:14" hidden="1" x14ac:dyDescent="0.3">
      <c r="A78" t="s">
        <v>147</v>
      </c>
      <c r="B78" t="s">
        <v>752</v>
      </c>
      <c r="C78" t="s">
        <v>1251</v>
      </c>
      <c r="D78">
        <f t="shared" si="1"/>
        <v>0</v>
      </c>
      <c r="E78" t="s">
        <v>19</v>
      </c>
      <c r="F78" t="s">
        <v>2035</v>
      </c>
      <c r="G78" t="s">
        <v>322</v>
      </c>
      <c r="N78" s="107"/>
    </row>
    <row r="79" spans="1:14" hidden="1" x14ac:dyDescent="0.3">
      <c r="A79" t="s">
        <v>147</v>
      </c>
      <c r="B79" t="s">
        <v>451</v>
      </c>
      <c r="C79" t="s">
        <v>1251</v>
      </c>
      <c r="D79">
        <f t="shared" si="1"/>
        <v>0</v>
      </c>
      <c r="E79" t="s">
        <v>19</v>
      </c>
      <c r="F79" t="s">
        <v>2036</v>
      </c>
      <c r="G79" t="s">
        <v>322</v>
      </c>
      <c r="N79" s="107"/>
    </row>
    <row r="80" spans="1:14" hidden="1" x14ac:dyDescent="0.3">
      <c r="A80" t="s">
        <v>147</v>
      </c>
      <c r="B80" t="s">
        <v>554</v>
      </c>
      <c r="C80" t="s">
        <v>1251</v>
      </c>
      <c r="D80">
        <f t="shared" si="1"/>
        <v>0</v>
      </c>
      <c r="E80" t="s">
        <v>19</v>
      </c>
      <c r="F80" t="s">
        <v>2037</v>
      </c>
      <c r="G80" t="s">
        <v>322</v>
      </c>
      <c r="N80" s="107"/>
    </row>
    <row r="81" spans="1:14" hidden="1" x14ac:dyDescent="0.3">
      <c r="A81" t="s">
        <v>147</v>
      </c>
      <c r="B81" t="s">
        <v>442</v>
      </c>
      <c r="C81" t="s">
        <v>1253</v>
      </c>
      <c r="D81">
        <f t="shared" si="1"/>
        <v>0</v>
      </c>
      <c r="E81" t="s">
        <v>19</v>
      </c>
      <c r="F81" t="s">
        <v>1253</v>
      </c>
      <c r="G81" t="s">
        <v>322</v>
      </c>
      <c r="N81" s="107"/>
    </row>
    <row r="82" spans="1:14" hidden="1" x14ac:dyDescent="0.3">
      <c r="A82" t="s">
        <v>147</v>
      </c>
      <c r="B82" t="s">
        <v>769</v>
      </c>
      <c r="C82" t="s">
        <v>1256</v>
      </c>
      <c r="D82">
        <f t="shared" si="1"/>
        <v>0</v>
      </c>
      <c r="E82" t="s">
        <v>19</v>
      </c>
      <c r="F82" t="s">
        <v>1256</v>
      </c>
      <c r="G82" t="s">
        <v>322</v>
      </c>
      <c r="N82" s="107"/>
    </row>
    <row r="83" spans="1:14" hidden="1" x14ac:dyDescent="0.3">
      <c r="A83" t="s">
        <v>147</v>
      </c>
      <c r="B83" t="s">
        <v>442</v>
      </c>
      <c r="C83" t="s">
        <v>1273</v>
      </c>
      <c r="D83">
        <f t="shared" si="1"/>
        <v>0</v>
      </c>
      <c r="E83" t="s">
        <v>19</v>
      </c>
      <c r="F83" t="s">
        <v>1273</v>
      </c>
      <c r="G83" t="s">
        <v>322</v>
      </c>
      <c r="N83" s="107"/>
    </row>
    <row r="84" spans="1:14" hidden="1" x14ac:dyDescent="0.3">
      <c r="A84" t="s">
        <v>147</v>
      </c>
      <c r="B84" t="s">
        <v>552</v>
      </c>
      <c r="C84" t="s">
        <v>1275</v>
      </c>
      <c r="D84">
        <f t="shared" si="1"/>
        <v>0</v>
      </c>
      <c r="E84" t="s">
        <v>19</v>
      </c>
      <c r="F84" t="s">
        <v>1275</v>
      </c>
      <c r="G84" t="s">
        <v>322</v>
      </c>
      <c r="N84" s="107"/>
    </row>
    <row r="85" spans="1:14" hidden="1" x14ac:dyDescent="0.3">
      <c r="A85" t="s">
        <v>147</v>
      </c>
      <c r="B85" t="s">
        <v>896</v>
      </c>
      <c r="C85" t="s">
        <v>1333</v>
      </c>
      <c r="D85">
        <f t="shared" si="1"/>
        <v>0</v>
      </c>
      <c r="E85" t="s">
        <v>19</v>
      </c>
      <c r="F85" t="s">
        <v>1333</v>
      </c>
      <c r="G85" t="s">
        <v>322</v>
      </c>
      <c r="N85" s="107"/>
    </row>
    <row r="86" spans="1:14" hidden="1" x14ac:dyDescent="0.3">
      <c r="A86" t="s">
        <v>147</v>
      </c>
      <c r="B86" t="s">
        <v>554</v>
      </c>
      <c r="C86" t="s">
        <v>1367</v>
      </c>
      <c r="D86">
        <f t="shared" si="1"/>
        <v>0</v>
      </c>
      <c r="E86" t="s">
        <v>19</v>
      </c>
      <c r="F86" t="s">
        <v>1367</v>
      </c>
      <c r="G86" t="s">
        <v>322</v>
      </c>
      <c r="N86" s="107"/>
    </row>
    <row r="87" spans="1:14" hidden="1" x14ac:dyDescent="0.3">
      <c r="A87" t="s">
        <v>147</v>
      </c>
      <c r="B87" t="s">
        <v>734</v>
      </c>
      <c r="C87" t="s">
        <v>1372</v>
      </c>
      <c r="D87">
        <f t="shared" si="1"/>
        <v>0</v>
      </c>
      <c r="E87" t="s">
        <v>19</v>
      </c>
      <c r="F87" t="s">
        <v>1372</v>
      </c>
      <c r="G87" t="s">
        <v>322</v>
      </c>
      <c r="N87" s="107"/>
    </row>
    <row r="88" spans="1:14" hidden="1" x14ac:dyDescent="0.3">
      <c r="A88" t="s">
        <v>147</v>
      </c>
      <c r="B88" t="s">
        <v>451</v>
      </c>
      <c r="C88" t="s">
        <v>1373</v>
      </c>
      <c r="D88">
        <f t="shared" si="1"/>
        <v>0</v>
      </c>
      <c r="E88" t="s">
        <v>19</v>
      </c>
      <c r="F88" t="s">
        <v>1373</v>
      </c>
      <c r="G88" t="s">
        <v>322</v>
      </c>
      <c r="N88" s="107"/>
    </row>
    <row r="89" spans="1:14" hidden="1" x14ac:dyDescent="0.3">
      <c r="A89" t="s">
        <v>147</v>
      </c>
      <c r="B89" t="s">
        <v>938</v>
      </c>
      <c r="C89" t="s">
        <v>1378</v>
      </c>
      <c r="D89">
        <f t="shared" si="1"/>
        <v>0</v>
      </c>
      <c r="E89" t="s">
        <v>19</v>
      </c>
      <c r="F89" t="s">
        <v>2322</v>
      </c>
      <c r="G89" t="s">
        <v>322</v>
      </c>
      <c r="N89" s="107"/>
    </row>
    <row r="90" spans="1:14" hidden="1" x14ac:dyDescent="0.3">
      <c r="A90" t="s">
        <v>147</v>
      </c>
      <c r="B90" t="s">
        <v>939</v>
      </c>
      <c r="C90" t="s">
        <v>1378</v>
      </c>
      <c r="D90">
        <f t="shared" si="1"/>
        <v>0</v>
      </c>
      <c r="E90" t="s">
        <v>19</v>
      </c>
      <c r="F90" t="s">
        <v>2323</v>
      </c>
      <c r="G90" t="s">
        <v>322</v>
      </c>
      <c r="N90" s="107"/>
    </row>
    <row r="91" spans="1:14" hidden="1" x14ac:dyDescent="0.3">
      <c r="A91" t="s">
        <v>147</v>
      </c>
      <c r="B91" t="s">
        <v>940</v>
      </c>
      <c r="C91" t="s">
        <v>1378</v>
      </c>
      <c r="D91">
        <f t="shared" si="1"/>
        <v>0</v>
      </c>
      <c r="E91" t="s">
        <v>19</v>
      </c>
      <c r="F91" t="s">
        <v>2324</v>
      </c>
      <c r="G91" t="s">
        <v>322</v>
      </c>
      <c r="N91" s="107"/>
    </row>
    <row r="92" spans="1:14" hidden="1" x14ac:dyDescent="0.3">
      <c r="A92" t="s">
        <v>147</v>
      </c>
      <c r="B92" t="s">
        <v>447</v>
      </c>
      <c r="C92" t="s">
        <v>1378</v>
      </c>
      <c r="D92">
        <f t="shared" si="1"/>
        <v>0</v>
      </c>
      <c r="E92" t="s">
        <v>19</v>
      </c>
      <c r="F92" t="s">
        <v>2325</v>
      </c>
      <c r="G92" t="s">
        <v>322</v>
      </c>
      <c r="N92" s="107"/>
    </row>
    <row r="93" spans="1:14" hidden="1" x14ac:dyDescent="0.3">
      <c r="A93" t="s">
        <v>147</v>
      </c>
      <c r="B93" t="s">
        <v>941</v>
      </c>
      <c r="C93" t="s">
        <v>1378</v>
      </c>
      <c r="D93">
        <f t="shared" si="1"/>
        <v>0</v>
      </c>
      <c r="E93" t="s">
        <v>19</v>
      </c>
      <c r="F93" t="s">
        <v>2326</v>
      </c>
      <c r="G93" t="s">
        <v>322</v>
      </c>
      <c r="N93" s="107"/>
    </row>
    <row r="94" spans="1:14" hidden="1" x14ac:dyDescent="0.3">
      <c r="A94" t="s">
        <v>147</v>
      </c>
      <c r="B94" t="s">
        <v>450</v>
      </c>
      <c r="C94" t="s">
        <v>1378</v>
      </c>
      <c r="D94">
        <f t="shared" si="1"/>
        <v>0</v>
      </c>
      <c r="E94" t="s">
        <v>19</v>
      </c>
      <c r="F94" t="s">
        <v>2327</v>
      </c>
      <c r="G94" t="s">
        <v>322</v>
      </c>
      <c r="N94" s="107"/>
    </row>
    <row r="95" spans="1:14" hidden="1" x14ac:dyDescent="0.3">
      <c r="A95" t="s">
        <v>147</v>
      </c>
      <c r="B95" t="s">
        <v>451</v>
      </c>
      <c r="C95" t="s">
        <v>1378</v>
      </c>
      <c r="D95">
        <f t="shared" si="1"/>
        <v>0</v>
      </c>
      <c r="E95" t="s">
        <v>19</v>
      </c>
      <c r="F95" t="s">
        <v>2328</v>
      </c>
      <c r="G95" t="s">
        <v>322</v>
      </c>
      <c r="N95" s="107"/>
    </row>
    <row r="96" spans="1:14" hidden="1" x14ac:dyDescent="0.3">
      <c r="A96" t="s">
        <v>147</v>
      </c>
      <c r="B96" t="s">
        <v>942</v>
      </c>
      <c r="C96" t="s">
        <v>1378</v>
      </c>
      <c r="D96">
        <f t="shared" si="1"/>
        <v>0</v>
      </c>
      <c r="E96" t="s">
        <v>19</v>
      </c>
      <c r="F96" t="s">
        <v>2329</v>
      </c>
      <c r="G96" t="s">
        <v>322</v>
      </c>
      <c r="N96" s="107"/>
    </row>
    <row r="97" spans="1:14" hidden="1" x14ac:dyDescent="0.3">
      <c r="A97" t="s">
        <v>147</v>
      </c>
      <c r="B97" t="s">
        <v>752</v>
      </c>
      <c r="C97" t="s">
        <v>1378</v>
      </c>
      <c r="D97">
        <f t="shared" si="1"/>
        <v>0</v>
      </c>
      <c r="E97" t="s">
        <v>19</v>
      </c>
      <c r="F97" t="s">
        <v>2330</v>
      </c>
      <c r="G97" t="s">
        <v>322</v>
      </c>
      <c r="N97" s="107"/>
    </row>
    <row r="98" spans="1:14" hidden="1" x14ac:dyDescent="0.3">
      <c r="A98" t="s">
        <v>147</v>
      </c>
      <c r="B98" t="s">
        <v>943</v>
      </c>
      <c r="C98" t="s">
        <v>1384</v>
      </c>
      <c r="D98">
        <f t="shared" si="1"/>
        <v>0</v>
      </c>
      <c r="E98" t="s">
        <v>19</v>
      </c>
      <c r="F98" t="s">
        <v>1384</v>
      </c>
      <c r="G98" t="s">
        <v>322</v>
      </c>
      <c r="N98" s="107"/>
    </row>
    <row r="99" spans="1:14" hidden="1" x14ac:dyDescent="0.3">
      <c r="A99" t="s">
        <v>147</v>
      </c>
      <c r="B99" t="s">
        <v>554</v>
      </c>
      <c r="C99" t="s">
        <v>1382</v>
      </c>
      <c r="D99">
        <f t="shared" si="1"/>
        <v>0</v>
      </c>
      <c r="E99" t="s">
        <v>19</v>
      </c>
      <c r="F99" t="s">
        <v>2349</v>
      </c>
      <c r="G99" t="s">
        <v>322</v>
      </c>
      <c r="N99" s="107"/>
    </row>
    <row r="100" spans="1:14" hidden="1" x14ac:dyDescent="0.3">
      <c r="A100" t="s">
        <v>147</v>
      </c>
      <c r="B100" t="s">
        <v>951</v>
      </c>
      <c r="C100" t="s">
        <v>1390</v>
      </c>
      <c r="D100">
        <f t="shared" si="1"/>
        <v>0</v>
      </c>
      <c r="E100" t="s">
        <v>19</v>
      </c>
      <c r="F100" t="s">
        <v>2353</v>
      </c>
      <c r="G100" t="s">
        <v>322</v>
      </c>
      <c r="N100" s="107"/>
    </row>
    <row r="101" spans="1:14" hidden="1" x14ac:dyDescent="0.3">
      <c r="A101" t="s">
        <v>147</v>
      </c>
      <c r="B101" t="s">
        <v>552</v>
      </c>
      <c r="C101" t="s">
        <v>1415</v>
      </c>
      <c r="D101">
        <f t="shared" si="1"/>
        <v>0</v>
      </c>
      <c r="E101" t="s">
        <v>19</v>
      </c>
      <c r="F101" t="s">
        <v>2516</v>
      </c>
      <c r="G101" t="s">
        <v>322</v>
      </c>
      <c r="N101" s="107"/>
    </row>
    <row r="102" spans="1:14" hidden="1" x14ac:dyDescent="0.3">
      <c r="A102" t="s">
        <v>147</v>
      </c>
      <c r="B102" t="s">
        <v>734</v>
      </c>
      <c r="C102" t="s">
        <v>1416</v>
      </c>
      <c r="D102">
        <f t="shared" si="1"/>
        <v>0</v>
      </c>
      <c r="E102" t="s">
        <v>19</v>
      </c>
      <c r="F102" t="s">
        <v>2518</v>
      </c>
      <c r="G102" t="s">
        <v>322</v>
      </c>
      <c r="N102" s="107"/>
    </row>
    <row r="103" spans="1:14" hidden="1" x14ac:dyDescent="0.3">
      <c r="A103" t="s">
        <v>147</v>
      </c>
      <c r="B103" t="s">
        <v>752</v>
      </c>
      <c r="C103" t="s">
        <v>1416</v>
      </c>
      <c r="D103">
        <f t="shared" si="1"/>
        <v>0</v>
      </c>
      <c r="E103" t="s">
        <v>19</v>
      </c>
      <c r="F103" t="s">
        <v>2520</v>
      </c>
      <c r="G103" t="s">
        <v>322</v>
      </c>
      <c r="N103" s="107"/>
    </row>
    <row r="104" spans="1:14" hidden="1" x14ac:dyDescent="0.3">
      <c r="A104" t="s">
        <v>147</v>
      </c>
      <c r="B104" t="s">
        <v>1013</v>
      </c>
      <c r="C104" t="s">
        <v>1416</v>
      </c>
      <c r="D104">
        <f t="shared" si="1"/>
        <v>0</v>
      </c>
      <c r="E104" t="s">
        <v>19</v>
      </c>
      <c r="F104" t="s">
        <v>2521</v>
      </c>
      <c r="G104" t="s">
        <v>322</v>
      </c>
      <c r="N104" s="107"/>
    </row>
    <row r="105" spans="1:14" hidden="1" x14ac:dyDescent="0.3">
      <c r="A105" t="s">
        <v>147</v>
      </c>
      <c r="B105" t="s">
        <v>447</v>
      </c>
      <c r="C105" t="s">
        <v>1416</v>
      </c>
      <c r="D105">
        <f t="shared" si="1"/>
        <v>0</v>
      </c>
      <c r="E105" t="s">
        <v>19</v>
      </c>
      <c r="F105" t="s">
        <v>2522</v>
      </c>
      <c r="G105" t="s">
        <v>322</v>
      </c>
      <c r="N105" s="107"/>
    </row>
    <row r="106" spans="1:14" hidden="1" x14ac:dyDescent="0.3">
      <c r="A106" t="s">
        <v>147</v>
      </c>
      <c r="B106" t="s">
        <v>443</v>
      </c>
      <c r="C106" t="s">
        <v>1416</v>
      </c>
      <c r="D106">
        <f t="shared" si="1"/>
        <v>0</v>
      </c>
      <c r="E106" t="s">
        <v>19</v>
      </c>
      <c r="F106" t="s">
        <v>2523</v>
      </c>
      <c r="G106" t="s">
        <v>322</v>
      </c>
      <c r="N106" s="107"/>
    </row>
    <row r="107" spans="1:14" hidden="1" x14ac:dyDescent="0.3">
      <c r="A107" t="s">
        <v>147</v>
      </c>
      <c r="B107" t="s">
        <v>443</v>
      </c>
      <c r="C107" t="s">
        <v>1416</v>
      </c>
      <c r="D107">
        <f t="shared" si="1"/>
        <v>0</v>
      </c>
      <c r="E107" t="s">
        <v>19</v>
      </c>
      <c r="F107" t="s">
        <v>2524</v>
      </c>
      <c r="G107" t="s">
        <v>322</v>
      </c>
      <c r="N107" s="107"/>
    </row>
    <row r="108" spans="1:14" hidden="1" x14ac:dyDescent="0.3">
      <c r="A108" t="s">
        <v>147</v>
      </c>
      <c r="B108" t="s">
        <v>443</v>
      </c>
      <c r="C108" t="s">
        <v>1416</v>
      </c>
      <c r="D108">
        <f t="shared" si="1"/>
        <v>0</v>
      </c>
      <c r="E108" t="s">
        <v>19</v>
      </c>
      <c r="F108" t="s">
        <v>2525</v>
      </c>
      <c r="G108" t="s">
        <v>322</v>
      </c>
      <c r="N108" s="107"/>
    </row>
    <row r="109" spans="1:14" hidden="1" x14ac:dyDescent="0.3">
      <c r="A109" t="s">
        <v>147</v>
      </c>
      <c r="B109" t="s">
        <v>943</v>
      </c>
      <c r="C109" t="s">
        <v>1416</v>
      </c>
      <c r="D109">
        <f t="shared" si="1"/>
        <v>0</v>
      </c>
      <c r="E109" t="s">
        <v>19</v>
      </c>
      <c r="F109" t="s">
        <v>2526</v>
      </c>
      <c r="G109" t="s">
        <v>322</v>
      </c>
      <c r="N109" s="107"/>
    </row>
    <row r="110" spans="1:14" hidden="1" x14ac:dyDescent="0.3">
      <c r="A110" t="s">
        <v>147</v>
      </c>
      <c r="B110" t="s">
        <v>557</v>
      </c>
      <c r="C110" t="s">
        <v>1416</v>
      </c>
      <c r="D110">
        <f t="shared" si="1"/>
        <v>0</v>
      </c>
      <c r="E110" t="s">
        <v>19</v>
      </c>
      <c r="F110" t="s">
        <v>2530</v>
      </c>
      <c r="G110" t="s">
        <v>322</v>
      </c>
      <c r="N110" s="107"/>
    </row>
    <row r="111" spans="1:14" hidden="1" x14ac:dyDescent="0.3">
      <c r="A111" t="s">
        <v>147</v>
      </c>
      <c r="B111" t="s">
        <v>443</v>
      </c>
      <c r="C111" t="s">
        <v>1429</v>
      </c>
      <c r="D111">
        <f t="shared" si="1"/>
        <v>0</v>
      </c>
      <c r="E111" t="s">
        <v>19</v>
      </c>
      <c r="F111" t="s">
        <v>1429</v>
      </c>
      <c r="G111" t="s">
        <v>322</v>
      </c>
      <c r="N111" s="107"/>
    </row>
    <row r="112" spans="1:14" hidden="1" x14ac:dyDescent="0.3">
      <c r="A112" t="s">
        <v>147</v>
      </c>
      <c r="B112" t="s">
        <v>734</v>
      </c>
      <c r="C112" t="s">
        <v>1443</v>
      </c>
      <c r="D112">
        <f t="shared" si="1"/>
        <v>0</v>
      </c>
      <c r="E112" t="s">
        <v>19</v>
      </c>
      <c r="F112" t="s">
        <v>2574</v>
      </c>
      <c r="G112" t="s">
        <v>322</v>
      </c>
      <c r="N112" s="107"/>
    </row>
    <row r="113" spans="1:14" hidden="1" x14ac:dyDescent="0.3">
      <c r="A113" t="s">
        <v>147</v>
      </c>
      <c r="B113" t="s">
        <v>514</v>
      </c>
      <c r="C113" t="s">
        <v>1443</v>
      </c>
      <c r="D113">
        <f t="shared" si="1"/>
        <v>0</v>
      </c>
      <c r="E113" t="s">
        <v>19</v>
      </c>
      <c r="F113" t="s">
        <v>2605</v>
      </c>
      <c r="G113" t="s">
        <v>322</v>
      </c>
      <c r="N113" s="107"/>
    </row>
    <row r="114" spans="1:14" hidden="1" x14ac:dyDescent="0.3">
      <c r="A114" t="s">
        <v>147</v>
      </c>
      <c r="B114" t="s">
        <v>1052</v>
      </c>
      <c r="C114" t="s">
        <v>1443</v>
      </c>
      <c r="D114">
        <f t="shared" si="1"/>
        <v>0</v>
      </c>
      <c r="E114" t="s">
        <v>19</v>
      </c>
      <c r="F114" t="s">
        <v>2609</v>
      </c>
      <c r="G114" t="s">
        <v>322</v>
      </c>
      <c r="N114" s="107"/>
    </row>
    <row r="115" spans="1:14" hidden="1" x14ac:dyDescent="0.3">
      <c r="A115" t="s">
        <v>147</v>
      </c>
      <c r="B115" t="s">
        <v>557</v>
      </c>
      <c r="C115" t="s">
        <v>1443</v>
      </c>
      <c r="D115">
        <f t="shared" si="1"/>
        <v>0</v>
      </c>
      <c r="E115" t="s">
        <v>19</v>
      </c>
      <c r="F115" t="s">
        <v>2612</v>
      </c>
      <c r="G115" t="s">
        <v>322</v>
      </c>
      <c r="N115" s="107"/>
    </row>
    <row r="116" spans="1:14" hidden="1" x14ac:dyDescent="0.3">
      <c r="A116" t="s">
        <v>147</v>
      </c>
      <c r="B116" t="s">
        <v>443</v>
      </c>
      <c r="C116" t="s">
        <v>1444</v>
      </c>
      <c r="D116">
        <f t="shared" si="1"/>
        <v>0</v>
      </c>
      <c r="E116" t="s">
        <v>19</v>
      </c>
      <c r="F116" t="s">
        <v>1444</v>
      </c>
      <c r="G116" t="s">
        <v>322</v>
      </c>
      <c r="N116" s="107"/>
    </row>
    <row r="117" spans="1:14" hidden="1" x14ac:dyDescent="0.3">
      <c r="A117" t="s">
        <v>147</v>
      </c>
      <c r="B117" t="s">
        <v>734</v>
      </c>
      <c r="C117" t="s">
        <v>1453</v>
      </c>
      <c r="D117">
        <f t="shared" si="1"/>
        <v>0</v>
      </c>
      <c r="E117" t="s">
        <v>19</v>
      </c>
      <c r="F117" t="s">
        <v>1453</v>
      </c>
      <c r="G117" t="s">
        <v>322</v>
      </c>
      <c r="N117" s="107"/>
    </row>
    <row r="118" spans="1:14" hidden="1" x14ac:dyDescent="0.3">
      <c r="A118" t="s">
        <v>147</v>
      </c>
      <c r="B118" t="s">
        <v>1078</v>
      </c>
      <c r="C118" t="s">
        <v>1471</v>
      </c>
      <c r="D118">
        <f t="shared" si="1"/>
        <v>0</v>
      </c>
      <c r="E118" t="s">
        <v>19</v>
      </c>
      <c r="F118" t="s">
        <v>2682</v>
      </c>
      <c r="G118" t="s">
        <v>322</v>
      </c>
      <c r="N118" s="107"/>
    </row>
    <row r="119" spans="1:14" hidden="1" x14ac:dyDescent="0.3">
      <c r="A119" t="s">
        <v>147</v>
      </c>
      <c r="B119" t="s">
        <v>450</v>
      </c>
      <c r="C119" t="s">
        <v>1478</v>
      </c>
      <c r="D119">
        <f t="shared" si="1"/>
        <v>0</v>
      </c>
      <c r="E119" t="s">
        <v>19</v>
      </c>
      <c r="F119" t="s">
        <v>2687</v>
      </c>
      <c r="G119" t="s">
        <v>322</v>
      </c>
      <c r="N119" s="107"/>
    </row>
    <row r="120" spans="1:14" hidden="1" x14ac:dyDescent="0.3">
      <c r="A120" t="s">
        <v>147</v>
      </c>
      <c r="B120" t="s">
        <v>734</v>
      </c>
      <c r="C120" t="s">
        <v>1478</v>
      </c>
      <c r="D120">
        <f t="shared" si="1"/>
        <v>0</v>
      </c>
      <c r="E120" t="s">
        <v>19</v>
      </c>
      <c r="F120" t="s">
        <v>2688</v>
      </c>
      <c r="G120" t="s">
        <v>322</v>
      </c>
      <c r="N120" s="107"/>
    </row>
    <row r="121" spans="1:14" hidden="1" x14ac:dyDescent="0.3">
      <c r="A121" t="s">
        <v>147</v>
      </c>
      <c r="B121" t="s">
        <v>557</v>
      </c>
      <c r="C121" t="s">
        <v>1479</v>
      </c>
      <c r="D121">
        <f t="shared" si="1"/>
        <v>0</v>
      </c>
      <c r="E121" t="s">
        <v>19</v>
      </c>
      <c r="F121" t="s">
        <v>2690</v>
      </c>
      <c r="G121" t="s">
        <v>322</v>
      </c>
      <c r="N121" s="107"/>
    </row>
    <row r="122" spans="1:14" hidden="1" x14ac:dyDescent="0.3">
      <c r="A122" t="s">
        <v>147</v>
      </c>
      <c r="B122" t="s">
        <v>548</v>
      </c>
      <c r="C122" t="s">
        <v>1480</v>
      </c>
      <c r="D122">
        <f t="shared" si="1"/>
        <v>0</v>
      </c>
      <c r="E122" t="s">
        <v>19</v>
      </c>
      <c r="F122" t="s">
        <v>1480</v>
      </c>
      <c r="G122" t="s">
        <v>322</v>
      </c>
      <c r="N122" s="107"/>
    </row>
    <row r="123" spans="1:14" hidden="1" x14ac:dyDescent="0.3">
      <c r="A123" t="s">
        <v>147</v>
      </c>
      <c r="B123" t="s">
        <v>443</v>
      </c>
      <c r="C123" t="s">
        <v>1479</v>
      </c>
      <c r="D123">
        <f t="shared" si="1"/>
        <v>0</v>
      </c>
      <c r="E123" t="s">
        <v>19</v>
      </c>
      <c r="F123" t="s">
        <v>2691</v>
      </c>
      <c r="G123" t="s">
        <v>322</v>
      </c>
      <c r="N123" s="107"/>
    </row>
    <row r="124" spans="1:14" hidden="1" x14ac:dyDescent="0.3">
      <c r="A124" t="s">
        <v>147</v>
      </c>
      <c r="B124" t="s">
        <v>943</v>
      </c>
      <c r="C124" t="s">
        <v>1478</v>
      </c>
      <c r="D124">
        <f t="shared" si="1"/>
        <v>0</v>
      </c>
      <c r="E124" t="s">
        <v>19</v>
      </c>
      <c r="F124" t="s">
        <v>2695</v>
      </c>
      <c r="G124" t="s">
        <v>322</v>
      </c>
      <c r="N124" s="107"/>
    </row>
    <row r="125" spans="1:14" hidden="1" x14ac:dyDescent="0.3">
      <c r="A125" t="s">
        <v>147</v>
      </c>
      <c r="B125" t="s">
        <v>554</v>
      </c>
      <c r="C125" t="s">
        <v>1487</v>
      </c>
      <c r="D125">
        <f t="shared" si="1"/>
        <v>0</v>
      </c>
      <c r="E125" t="s">
        <v>19</v>
      </c>
      <c r="F125" t="s">
        <v>1487</v>
      </c>
      <c r="G125" t="s">
        <v>322</v>
      </c>
      <c r="N125" s="107"/>
    </row>
    <row r="126" spans="1:14" hidden="1" x14ac:dyDescent="0.3">
      <c r="A126" t="s">
        <v>147</v>
      </c>
      <c r="B126" t="s">
        <v>1098</v>
      </c>
      <c r="C126" t="s">
        <v>1497</v>
      </c>
      <c r="D126">
        <f t="shared" si="1"/>
        <v>0</v>
      </c>
      <c r="E126" t="s">
        <v>19</v>
      </c>
      <c r="F126" t="s">
        <v>1497</v>
      </c>
      <c r="G126" t="s">
        <v>322</v>
      </c>
      <c r="N126" s="107"/>
    </row>
    <row r="127" spans="1:14" hidden="1" x14ac:dyDescent="0.3">
      <c r="A127" t="s">
        <v>147</v>
      </c>
      <c r="B127" t="s">
        <v>896</v>
      </c>
      <c r="C127" t="s">
        <v>1498</v>
      </c>
      <c r="D127">
        <f t="shared" si="1"/>
        <v>0</v>
      </c>
      <c r="E127" t="s">
        <v>19</v>
      </c>
      <c r="F127" t="s">
        <v>1498</v>
      </c>
      <c r="G127" t="s">
        <v>322</v>
      </c>
      <c r="N127" s="107"/>
    </row>
    <row r="128" spans="1:14" hidden="1" x14ac:dyDescent="0.3">
      <c r="A128" t="s">
        <v>147</v>
      </c>
      <c r="B128" t="s">
        <v>552</v>
      </c>
      <c r="C128" t="s">
        <v>1509</v>
      </c>
      <c r="D128">
        <f t="shared" si="1"/>
        <v>0</v>
      </c>
      <c r="E128" t="s">
        <v>19</v>
      </c>
      <c r="F128" t="s">
        <v>2801</v>
      </c>
      <c r="G128" t="s">
        <v>322</v>
      </c>
      <c r="N128" s="107"/>
    </row>
    <row r="129" spans="1:14" hidden="1" x14ac:dyDescent="0.3">
      <c r="A129" t="s">
        <v>147</v>
      </c>
      <c r="B129" t="s">
        <v>554</v>
      </c>
      <c r="C129" t="s">
        <v>1511</v>
      </c>
      <c r="D129">
        <f t="shared" ref="D129:D192" si="2">SIGN(SUBTOTAL(3,E129))</f>
        <v>0</v>
      </c>
      <c r="E129" t="s">
        <v>19</v>
      </c>
      <c r="F129" t="s">
        <v>2802</v>
      </c>
      <c r="G129" t="s">
        <v>322</v>
      </c>
      <c r="N129" s="107"/>
    </row>
    <row r="130" spans="1:14" hidden="1" x14ac:dyDescent="0.3">
      <c r="A130" t="s">
        <v>147</v>
      </c>
      <c r="B130" t="s">
        <v>896</v>
      </c>
      <c r="C130" t="s">
        <v>1512</v>
      </c>
      <c r="D130">
        <f t="shared" si="2"/>
        <v>0</v>
      </c>
      <c r="E130" t="s">
        <v>19</v>
      </c>
      <c r="F130" t="s">
        <v>1512</v>
      </c>
      <c r="G130" t="s">
        <v>322</v>
      </c>
      <c r="N130" s="107"/>
    </row>
    <row r="131" spans="1:14" hidden="1" x14ac:dyDescent="0.3">
      <c r="A131" t="s">
        <v>147</v>
      </c>
      <c r="B131" t="s">
        <v>1117</v>
      </c>
      <c r="C131" t="s">
        <v>1513</v>
      </c>
      <c r="D131">
        <f t="shared" si="2"/>
        <v>0</v>
      </c>
      <c r="E131" t="s">
        <v>19</v>
      </c>
      <c r="F131" t="s">
        <v>2804</v>
      </c>
      <c r="G131" t="s">
        <v>322</v>
      </c>
      <c r="N131" s="107"/>
    </row>
    <row r="132" spans="1:14" hidden="1" x14ac:dyDescent="0.3">
      <c r="A132" t="s">
        <v>147</v>
      </c>
      <c r="B132" t="s">
        <v>557</v>
      </c>
      <c r="C132" t="s">
        <v>1522</v>
      </c>
      <c r="D132">
        <f t="shared" si="2"/>
        <v>0</v>
      </c>
      <c r="E132" t="s">
        <v>19</v>
      </c>
      <c r="F132" t="s">
        <v>1522</v>
      </c>
      <c r="G132" t="s">
        <v>322</v>
      </c>
      <c r="N132" s="107"/>
    </row>
    <row r="133" spans="1:14" hidden="1" x14ac:dyDescent="0.3">
      <c r="A133" t="s">
        <v>147</v>
      </c>
      <c r="B133" t="s">
        <v>443</v>
      </c>
      <c r="C133" t="s">
        <v>1523</v>
      </c>
      <c r="D133">
        <f t="shared" si="2"/>
        <v>0</v>
      </c>
      <c r="E133" t="s">
        <v>19</v>
      </c>
      <c r="F133" t="s">
        <v>1523</v>
      </c>
      <c r="G133" t="s">
        <v>322</v>
      </c>
      <c r="N133" s="107"/>
    </row>
    <row r="134" spans="1:14" hidden="1" x14ac:dyDescent="0.3">
      <c r="A134" t="s">
        <v>147</v>
      </c>
      <c r="B134" t="s">
        <v>734</v>
      </c>
      <c r="C134" t="s">
        <v>1532</v>
      </c>
      <c r="D134">
        <f t="shared" si="2"/>
        <v>0</v>
      </c>
      <c r="E134" t="s">
        <v>19</v>
      </c>
      <c r="F134" t="s">
        <v>2826</v>
      </c>
      <c r="G134" t="s">
        <v>322</v>
      </c>
      <c r="N134" s="107"/>
    </row>
    <row r="135" spans="1:14" hidden="1" x14ac:dyDescent="0.3">
      <c r="A135" t="s">
        <v>147</v>
      </c>
      <c r="B135" t="s">
        <v>443</v>
      </c>
      <c r="C135" t="s">
        <v>1539</v>
      </c>
      <c r="D135">
        <f t="shared" si="2"/>
        <v>0</v>
      </c>
      <c r="E135" t="s">
        <v>19</v>
      </c>
      <c r="F135" t="s">
        <v>1539</v>
      </c>
      <c r="G135" t="s">
        <v>322</v>
      </c>
      <c r="N135" s="107"/>
    </row>
    <row r="136" spans="1:14" hidden="1" x14ac:dyDescent="0.3">
      <c r="A136" t="s">
        <v>147</v>
      </c>
      <c r="B136" t="s">
        <v>443</v>
      </c>
      <c r="C136" t="s">
        <v>1542</v>
      </c>
      <c r="D136">
        <f t="shared" si="2"/>
        <v>0</v>
      </c>
      <c r="E136" t="s">
        <v>19</v>
      </c>
      <c r="F136" t="s">
        <v>1542</v>
      </c>
      <c r="G136" t="s">
        <v>322</v>
      </c>
      <c r="N136" s="107"/>
    </row>
    <row r="137" spans="1:14" hidden="1" x14ac:dyDescent="0.3">
      <c r="A137" t="s">
        <v>148</v>
      </c>
      <c r="B137" t="s">
        <v>454</v>
      </c>
      <c r="C137" t="s">
        <v>1175</v>
      </c>
      <c r="D137">
        <f t="shared" si="2"/>
        <v>0</v>
      </c>
      <c r="E137" t="s">
        <v>19</v>
      </c>
      <c r="F137" t="s">
        <v>1780</v>
      </c>
      <c r="G137" t="s">
        <v>322</v>
      </c>
      <c r="N137" s="107"/>
    </row>
    <row r="138" spans="1:14" hidden="1" x14ac:dyDescent="0.3">
      <c r="A138" t="s">
        <v>148</v>
      </c>
      <c r="B138" t="s">
        <v>594</v>
      </c>
      <c r="C138" t="s">
        <v>1175</v>
      </c>
      <c r="D138">
        <f t="shared" si="2"/>
        <v>0</v>
      </c>
      <c r="E138" t="s">
        <v>19</v>
      </c>
      <c r="F138" t="s">
        <v>1783</v>
      </c>
      <c r="G138" t="s">
        <v>322</v>
      </c>
      <c r="N138" s="107"/>
    </row>
    <row r="139" spans="1:14" hidden="1" x14ac:dyDescent="0.3">
      <c r="A139" t="s">
        <v>148</v>
      </c>
      <c r="B139" t="s">
        <v>596</v>
      </c>
      <c r="C139" t="s">
        <v>1175</v>
      </c>
      <c r="D139">
        <f t="shared" si="2"/>
        <v>0</v>
      </c>
      <c r="E139" t="s">
        <v>19</v>
      </c>
      <c r="F139" t="s">
        <v>1786</v>
      </c>
      <c r="G139" t="s">
        <v>322</v>
      </c>
      <c r="N139" s="107"/>
    </row>
    <row r="140" spans="1:14" hidden="1" x14ac:dyDescent="0.3">
      <c r="A140" t="s">
        <v>148</v>
      </c>
      <c r="B140" t="s">
        <v>600</v>
      </c>
      <c r="C140" t="s">
        <v>1175</v>
      </c>
      <c r="D140">
        <f t="shared" si="2"/>
        <v>0</v>
      </c>
      <c r="E140" t="s">
        <v>19</v>
      </c>
      <c r="F140" t="s">
        <v>1795</v>
      </c>
      <c r="G140" t="s">
        <v>322</v>
      </c>
      <c r="N140" s="107"/>
    </row>
    <row r="141" spans="1:14" hidden="1" x14ac:dyDescent="0.3">
      <c r="A141" t="s">
        <v>148</v>
      </c>
      <c r="B141" t="s">
        <v>454</v>
      </c>
      <c r="C141" t="s">
        <v>1255</v>
      </c>
      <c r="D141">
        <f t="shared" si="2"/>
        <v>0</v>
      </c>
      <c r="E141" t="s">
        <v>19</v>
      </c>
      <c r="F141" t="s">
        <v>1255</v>
      </c>
      <c r="G141" t="s">
        <v>322</v>
      </c>
      <c r="N141" s="107"/>
    </row>
    <row r="142" spans="1:14" hidden="1" x14ac:dyDescent="0.3">
      <c r="A142" t="s">
        <v>148</v>
      </c>
      <c r="B142" t="s">
        <v>767</v>
      </c>
      <c r="C142" t="s">
        <v>1254</v>
      </c>
      <c r="D142">
        <f t="shared" si="2"/>
        <v>0</v>
      </c>
      <c r="E142" t="s">
        <v>19</v>
      </c>
      <c r="F142" t="s">
        <v>2062</v>
      </c>
      <c r="G142" t="s">
        <v>322</v>
      </c>
      <c r="N142" s="107"/>
    </row>
    <row r="143" spans="1:14" hidden="1" x14ac:dyDescent="0.3">
      <c r="A143" t="s">
        <v>148</v>
      </c>
      <c r="B143" t="s">
        <v>594</v>
      </c>
      <c r="C143" t="s">
        <v>1331</v>
      </c>
      <c r="D143">
        <f t="shared" si="2"/>
        <v>0</v>
      </c>
      <c r="E143" t="s">
        <v>19</v>
      </c>
      <c r="F143" t="s">
        <v>1331</v>
      </c>
      <c r="G143" t="s">
        <v>322</v>
      </c>
      <c r="N143" s="107"/>
    </row>
    <row r="144" spans="1:14" hidden="1" x14ac:dyDescent="0.3">
      <c r="A144" t="s">
        <v>148</v>
      </c>
      <c r="B144" t="s">
        <v>454</v>
      </c>
      <c r="C144" t="s">
        <v>1335</v>
      </c>
      <c r="D144">
        <f t="shared" si="2"/>
        <v>0</v>
      </c>
      <c r="E144" t="s">
        <v>19</v>
      </c>
      <c r="F144" t="s">
        <v>2257</v>
      </c>
      <c r="G144" t="s">
        <v>322</v>
      </c>
      <c r="N144" s="107"/>
    </row>
    <row r="145" spans="1:14" hidden="1" x14ac:dyDescent="0.3">
      <c r="A145" t="s">
        <v>148</v>
      </c>
      <c r="B145" t="s">
        <v>817</v>
      </c>
      <c r="C145" t="s">
        <v>1404</v>
      </c>
      <c r="D145">
        <f t="shared" si="2"/>
        <v>0</v>
      </c>
      <c r="E145" t="s">
        <v>19</v>
      </c>
      <c r="F145" t="s">
        <v>2427</v>
      </c>
      <c r="G145" t="s">
        <v>322</v>
      </c>
      <c r="N145" s="107"/>
    </row>
    <row r="146" spans="1:14" hidden="1" x14ac:dyDescent="0.3">
      <c r="A146" t="s">
        <v>148</v>
      </c>
      <c r="B146" t="s">
        <v>987</v>
      </c>
      <c r="C146" t="s">
        <v>1404</v>
      </c>
      <c r="D146">
        <f t="shared" si="2"/>
        <v>0</v>
      </c>
      <c r="E146" t="s">
        <v>19</v>
      </c>
      <c r="F146" t="s">
        <v>2434</v>
      </c>
      <c r="G146" t="s">
        <v>322</v>
      </c>
      <c r="N146" s="107"/>
    </row>
    <row r="147" spans="1:14" hidden="1" x14ac:dyDescent="0.3">
      <c r="A147" t="s">
        <v>148</v>
      </c>
      <c r="B147" t="s">
        <v>816</v>
      </c>
      <c r="C147" t="s">
        <v>1404</v>
      </c>
      <c r="D147">
        <f t="shared" si="2"/>
        <v>0</v>
      </c>
      <c r="E147" t="s">
        <v>19</v>
      </c>
      <c r="F147" t="s">
        <v>2437</v>
      </c>
      <c r="G147" t="s">
        <v>322</v>
      </c>
      <c r="N147" s="107"/>
    </row>
    <row r="148" spans="1:14" hidden="1" x14ac:dyDescent="0.3">
      <c r="A148" t="s">
        <v>148</v>
      </c>
      <c r="B148" t="s">
        <v>453</v>
      </c>
      <c r="C148" t="s">
        <v>1443</v>
      </c>
      <c r="D148">
        <f t="shared" si="2"/>
        <v>0</v>
      </c>
      <c r="E148" t="s">
        <v>19</v>
      </c>
      <c r="F148" t="s">
        <v>2570</v>
      </c>
      <c r="G148" t="s">
        <v>322</v>
      </c>
      <c r="N148" s="107"/>
    </row>
    <row r="149" spans="1:14" hidden="1" x14ac:dyDescent="0.3">
      <c r="A149" t="s">
        <v>148</v>
      </c>
      <c r="B149" t="s">
        <v>454</v>
      </c>
      <c r="C149" t="s">
        <v>1443</v>
      </c>
      <c r="D149">
        <f t="shared" si="2"/>
        <v>0</v>
      </c>
      <c r="E149" t="s">
        <v>19</v>
      </c>
      <c r="F149" t="s">
        <v>2573</v>
      </c>
      <c r="G149" t="s">
        <v>322</v>
      </c>
      <c r="N149" s="107"/>
    </row>
    <row r="150" spans="1:14" hidden="1" x14ac:dyDescent="0.3">
      <c r="A150" t="s">
        <v>148</v>
      </c>
      <c r="B150" t="s">
        <v>454</v>
      </c>
      <c r="C150" t="s">
        <v>1513</v>
      </c>
      <c r="D150">
        <f t="shared" si="2"/>
        <v>0</v>
      </c>
      <c r="E150" t="s">
        <v>19</v>
      </c>
      <c r="F150" t="s">
        <v>2805</v>
      </c>
      <c r="G150" t="s">
        <v>322</v>
      </c>
      <c r="N150" s="107"/>
    </row>
    <row r="151" spans="1:14" hidden="1" x14ac:dyDescent="0.3">
      <c r="A151" t="s">
        <v>149</v>
      </c>
      <c r="B151" t="s">
        <v>456</v>
      </c>
      <c r="C151" t="s">
        <v>1182</v>
      </c>
      <c r="D151">
        <f t="shared" si="2"/>
        <v>0</v>
      </c>
      <c r="E151" t="s">
        <v>19</v>
      </c>
      <c r="F151" t="s">
        <v>1829</v>
      </c>
      <c r="G151" t="s">
        <v>322</v>
      </c>
      <c r="N151" s="107"/>
    </row>
    <row r="152" spans="1:14" hidden="1" x14ac:dyDescent="0.3">
      <c r="A152" t="s">
        <v>149</v>
      </c>
      <c r="B152" t="s">
        <v>510</v>
      </c>
      <c r="C152" t="s">
        <v>1206</v>
      </c>
      <c r="D152">
        <f t="shared" si="2"/>
        <v>0</v>
      </c>
      <c r="E152" t="s">
        <v>19</v>
      </c>
      <c r="F152" t="s">
        <v>1852</v>
      </c>
      <c r="G152" t="s">
        <v>322</v>
      </c>
      <c r="N152" s="107"/>
    </row>
    <row r="153" spans="1:14" hidden="1" x14ac:dyDescent="0.3">
      <c r="A153" t="s">
        <v>149</v>
      </c>
      <c r="B153" t="s">
        <v>653</v>
      </c>
      <c r="C153" t="s">
        <v>1206</v>
      </c>
      <c r="D153">
        <f t="shared" si="2"/>
        <v>0</v>
      </c>
      <c r="E153" t="s">
        <v>19</v>
      </c>
      <c r="F153" t="s">
        <v>1853</v>
      </c>
      <c r="G153" t="s">
        <v>322</v>
      </c>
      <c r="N153" s="107"/>
    </row>
    <row r="154" spans="1:14" hidden="1" x14ac:dyDescent="0.3">
      <c r="A154" t="s">
        <v>149</v>
      </c>
      <c r="B154" t="s">
        <v>697</v>
      </c>
      <c r="C154" t="s">
        <v>1227</v>
      </c>
      <c r="D154">
        <f t="shared" si="2"/>
        <v>0</v>
      </c>
      <c r="E154" t="s">
        <v>19</v>
      </c>
      <c r="F154" t="s">
        <v>1929</v>
      </c>
      <c r="G154" t="s">
        <v>322</v>
      </c>
      <c r="N154" s="107"/>
    </row>
    <row r="155" spans="1:14" hidden="1" x14ac:dyDescent="0.3">
      <c r="A155" t="s">
        <v>149</v>
      </c>
      <c r="B155" t="s">
        <v>717</v>
      </c>
      <c r="C155" t="s">
        <v>1227</v>
      </c>
      <c r="D155">
        <f t="shared" si="2"/>
        <v>0</v>
      </c>
      <c r="E155" t="s">
        <v>19</v>
      </c>
      <c r="F155" t="s">
        <v>1976</v>
      </c>
      <c r="G155" t="s">
        <v>322</v>
      </c>
      <c r="N155" s="107"/>
    </row>
    <row r="156" spans="1:14" hidden="1" x14ac:dyDescent="0.3">
      <c r="A156" t="s">
        <v>149</v>
      </c>
      <c r="B156" t="s">
        <v>456</v>
      </c>
      <c r="C156" t="s">
        <v>1227</v>
      </c>
      <c r="D156">
        <f t="shared" si="2"/>
        <v>0</v>
      </c>
      <c r="E156" t="s">
        <v>19</v>
      </c>
      <c r="F156" t="s">
        <v>1982</v>
      </c>
      <c r="G156" t="s">
        <v>322</v>
      </c>
      <c r="N156" s="107"/>
    </row>
    <row r="157" spans="1:14" hidden="1" x14ac:dyDescent="0.3">
      <c r="A157" t="s">
        <v>149</v>
      </c>
      <c r="B157" t="s">
        <v>456</v>
      </c>
      <c r="C157" t="s">
        <v>1227</v>
      </c>
      <c r="D157">
        <f t="shared" si="2"/>
        <v>0</v>
      </c>
      <c r="E157" t="s">
        <v>19</v>
      </c>
      <c r="F157" t="s">
        <v>1985</v>
      </c>
      <c r="G157" t="s">
        <v>322</v>
      </c>
      <c r="N157" s="107"/>
    </row>
    <row r="158" spans="1:14" hidden="1" x14ac:dyDescent="0.3">
      <c r="A158" t="s">
        <v>149</v>
      </c>
      <c r="B158" t="s">
        <v>456</v>
      </c>
      <c r="C158" t="s">
        <v>1227</v>
      </c>
      <c r="D158">
        <f t="shared" si="2"/>
        <v>0</v>
      </c>
      <c r="E158" t="s">
        <v>19</v>
      </c>
      <c r="F158" t="s">
        <v>1986</v>
      </c>
      <c r="G158" t="s">
        <v>322</v>
      </c>
      <c r="N158" s="107"/>
    </row>
    <row r="159" spans="1:14" hidden="1" x14ac:dyDescent="0.3">
      <c r="A159" t="s">
        <v>149</v>
      </c>
      <c r="B159" t="s">
        <v>697</v>
      </c>
      <c r="C159" t="s">
        <v>1329</v>
      </c>
      <c r="D159">
        <f t="shared" si="2"/>
        <v>0</v>
      </c>
      <c r="E159" t="s">
        <v>19</v>
      </c>
      <c r="F159" t="s">
        <v>2238</v>
      </c>
      <c r="G159" t="s">
        <v>322</v>
      </c>
      <c r="N159" s="107"/>
    </row>
    <row r="160" spans="1:14" hidden="1" x14ac:dyDescent="0.3">
      <c r="A160" t="s">
        <v>149</v>
      </c>
      <c r="B160" t="s">
        <v>887</v>
      </c>
      <c r="C160" t="s">
        <v>1329</v>
      </c>
      <c r="D160">
        <f t="shared" si="2"/>
        <v>0</v>
      </c>
      <c r="E160" t="s">
        <v>19</v>
      </c>
      <c r="F160" t="s">
        <v>2239</v>
      </c>
      <c r="G160" t="s">
        <v>322</v>
      </c>
      <c r="N160" s="107"/>
    </row>
    <row r="161" spans="1:14" hidden="1" x14ac:dyDescent="0.3">
      <c r="A161" t="s">
        <v>149</v>
      </c>
      <c r="B161" t="s">
        <v>887</v>
      </c>
      <c r="C161" t="s">
        <v>1339</v>
      </c>
      <c r="D161">
        <f t="shared" si="2"/>
        <v>0</v>
      </c>
      <c r="E161" t="s">
        <v>19</v>
      </c>
      <c r="F161" t="s">
        <v>1339</v>
      </c>
      <c r="G161" t="s">
        <v>322</v>
      </c>
      <c r="N161" s="107"/>
    </row>
    <row r="162" spans="1:14" hidden="1" x14ac:dyDescent="0.3">
      <c r="A162" t="s">
        <v>149</v>
      </c>
      <c r="B162" t="s">
        <v>904</v>
      </c>
      <c r="C162" t="s">
        <v>1342</v>
      </c>
      <c r="D162">
        <f t="shared" si="2"/>
        <v>0</v>
      </c>
      <c r="E162" t="s">
        <v>19</v>
      </c>
      <c r="F162" t="s">
        <v>2266</v>
      </c>
      <c r="G162" t="s">
        <v>322</v>
      </c>
      <c r="N162" s="107"/>
    </row>
    <row r="163" spans="1:14" hidden="1" x14ac:dyDescent="0.3">
      <c r="A163" t="s">
        <v>149</v>
      </c>
      <c r="B163" t="s">
        <v>887</v>
      </c>
      <c r="C163" t="s">
        <v>1342</v>
      </c>
      <c r="D163">
        <f t="shared" si="2"/>
        <v>0</v>
      </c>
      <c r="E163" t="s">
        <v>19</v>
      </c>
      <c r="F163" t="s">
        <v>2275</v>
      </c>
      <c r="G163" t="s">
        <v>322</v>
      </c>
      <c r="N163" s="107"/>
    </row>
    <row r="164" spans="1:14" hidden="1" x14ac:dyDescent="0.3">
      <c r="A164" t="s">
        <v>149</v>
      </c>
      <c r="B164" t="s">
        <v>917</v>
      </c>
      <c r="C164" t="s">
        <v>1351</v>
      </c>
      <c r="D164">
        <f t="shared" si="2"/>
        <v>0</v>
      </c>
      <c r="E164" t="s">
        <v>19</v>
      </c>
      <c r="F164" t="s">
        <v>2297</v>
      </c>
      <c r="G164" t="s">
        <v>322</v>
      </c>
      <c r="N164" s="107"/>
    </row>
    <row r="165" spans="1:14" hidden="1" x14ac:dyDescent="0.3">
      <c r="A165" t="s">
        <v>149</v>
      </c>
      <c r="B165" t="s">
        <v>1026</v>
      </c>
      <c r="C165" t="s">
        <v>1425</v>
      </c>
      <c r="D165">
        <f t="shared" si="2"/>
        <v>0</v>
      </c>
      <c r="E165" t="s">
        <v>19</v>
      </c>
      <c r="F165" t="s">
        <v>1425</v>
      </c>
      <c r="G165" t="s">
        <v>322</v>
      </c>
      <c r="N165" s="107"/>
    </row>
    <row r="166" spans="1:14" hidden="1" x14ac:dyDescent="0.3">
      <c r="A166" t="s">
        <v>149</v>
      </c>
      <c r="B166" t="s">
        <v>456</v>
      </c>
      <c r="C166" t="s">
        <v>1436</v>
      </c>
      <c r="D166">
        <f t="shared" si="2"/>
        <v>0</v>
      </c>
      <c r="E166" t="s">
        <v>19</v>
      </c>
      <c r="F166" t="s">
        <v>2561</v>
      </c>
      <c r="G166" t="s">
        <v>322</v>
      </c>
      <c r="N166" s="107"/>
    </row>
    <row r="167" spans="1:14" hidden="1" x14ac:dyDescent="0.3">
      <c r="A167" t="s">
        <v>149</v>
      </c>
      <c r="B167" t="s">
        <v>456</v>
      </c>
      <c r="C167" t="s">
        <v>1436</v>
      </c>
      <c r="D167">
        <f t="shared" si="2"/>
        <v>0</v>
      </c>
      <c r="E167" t="s">
        <v>19</v>
      </c>
      <c r="F167" t="s">
        <v>2562</v>
      </c>
      <c r="G167" t="s">
        <v>322</v>
      </c>
      <c r="N167" s="107"/>
    </row>
    <row r="168" spans="1:14" hidden="1" x14ac:dyDescent="0.3">
      <c r="A168" t="s">
        <v>149</v>
      </c>
      <c r="B168" t="s">
        <v>1069</v>
      </c>
      <c r="C168" t="s">
        <v>1461</v>
      </c>
      <c r="D168">
        <f t="shared" si="2"/>
        <v>0</v>
      </c>
      <c r="E168" t="s">
        <v>19</v>
      </c>
      <c r="F168" t="s">
        <v>2640</v>
      </c>
      <c r="G168" t="s">
        <v>322</v>
      </c>
      <c r="N168" s="107"/>
    </row>
    <row r="169" spans="1:14" hidden="1" x14ac:dyDescent="0.3">
      <c r="A169" t="s">
        <v>149</v>
      </c>
      <c r="B169" t="s">
        <v>456</v>
      </c>
      <c r="C169" t="s">
        <v>1479</v>
      </c>
      <c r="D169">
        <f t="shared" si="2"/>
        <v>0</v>
      </c>
      <c r="E169" t="s">
        <v>19</v>
      </c>
      <c r="F169" t="s">
        <v>2698</v>
      </c>
      <c r="G169" t="s">
        <v>322</v>
      </c>
      <c r="N169" s="107"/>
    </row>
    <row r="170" spans="1:14" hidden="1" x14ac:dyDescent="0.3">
      <c r="A170" t="s">
        <v>149</v>
      </c>
      <c r="B170" t="s">
        <v>887</v>
      </c>
      <c r="C170" t="s">
        <v>1482</v>
      </c>
      <c r="D170">
        <f t="shared" si="2"/>
        <v>0</v>
      </c>
      <c r="E170" t="s">
        <v>19</v>
      </c>
      <c r="F170" t="s">
        <v>1482</v>
      </c>
      <c r="G170" t="s">
        <v>322</v>
      </c>
      <c r="N170" s="107"/>
    </row>
    <row r="171" spans="1:14" hidden="1" x14ac:dyDescent="0.3">
      <c r="A171" t="s">
        <v>149</v>
      </c>
      <c r="B171" t="s">
        <v>456</v>
      </c>
      <c r="C171" t="s">
        <v>1526</v>
      </c>
      <c r="D171">
        <f t="shared" si="2"/>
        <v>0</v>
      </c>
      <c r="E171" t="s">
        <v>19</v>
      </c>
      <c r="F171" t="s">
        <v>1526</v>
      </c>
      <c r="G171" t="s">
        <v>322</v>
      </c>
      <c r="N171" s="107"/>
    </row>
    <row r="172" spans="1:14" hidden="1" x14ac:dyDescent="0.3">
      <c r="A172" t="s">
        <v>150</v>
      </c>
      <c r="B172" t="s">
        <v>557</v>
      </c>
      <c r="C172" t="s">
        <v>1227</v>
      </c>
      <c r="D172">
        <f t="shared" si="2"/>
        <v>0</v>
      </c>
      <c r="E172" t="s">
        <v>19</v>
      </c>
      <c r="F172" t="s">
        <v>1983</v>
      </c>
      <c r="G172" t="s">
        <v>322</v>
      </c>
      <c r="N172" s="107"/>
    </row>
    <row r="173" spans="1:14" hidden="1" x14ac:dyDescent="0.3">
      <c r="A173" t="s">
        <v>151</v>
      </c>
      <c r="B173" t="s">
        <v>457</v>
      </c>
      <c r="C173" t="s">
        <v>1156</v>
      </c>
      <c r="D173">
        <f t="shared" si="2"/>
        <v>0</v>
      </c>
      <c r="E173" t="s">
        <v>19</v>
      </c>
      <c r="F173" t="s">
        <v>1156</v>
      </c>
      <c r="G173" t="s">
        <v>322</v>
      </c>
      <c r="N173" s="107"/>
    </row>
    <row r="174" spans="1:14" hidden="1" x14ac:dyDescent="0.3">
      <c r="A174" t="s">
        <v>151</v>
      </c>
      <c r="B174" t="s">
        <v>470</v>
      </c>
      <c r="C174" t="s">
        <v>1157</v>
      </c>
      <c r="D174">
        <f t="shared" si="2"/>
        <v>0</v>
      </c>
      <c r="E174" t="s">
        <v>19</v>
      </c>
      <c r="F174" t="s">
        <v>1157</v>
      </c>
      <c r="G174" t="s">
        <v>322</v>
      </c>
      <c r="N174" s="107"/>
    </row>
    <row r="175" spans="1:14" hidden="1" x14ac:dyDescent="0.3">
      <c r="A175" t="s">
        <v>151</v>
      </c>
      <c r="B175" t="s">
        <v>458</v>
      </c>
      <c r="C175" t="s">
        <v>1159</v>
      </c>
      <c r="D175">
        <f t="shared" si="2"/>
        <v>0</v>
      </c>
      <c r="E175" t="s">
        <v>19</v>
      </c>
      <c r="F175" t="s">
        <v>1159</v>
      </c>
      <c r="G175" t="s">
        <v>322</v>
      </c>
      <c r="N175" s="107"/>
    </row>
    <row r="176" spans="1:14" hidden="1" x14ac:dyDescent="0.3">
      <c r="A176" t="s">
        <v>151</v>
      </c>
      <c r="B176" t="s">
        <v>459</v>
      </c>
      <c r="C176" t="s">
        <v>1164</v>
      </c>
      <c r="D176">
        <f t="shared" si="2"/>
        <v>0</v>
      </c>
      <c r="E176" t="s">
        <v>19</v>
      </c>
      <c r="F176" t="s">
        <v>1746</v>
      </c>
      <c r="G176" t="s">
        <v>322</v>
      </c>
      <c r="N176" s="107"/>
    </row>
    <row r="177" spans="1:14" hidden="1" x14ac:dyDescent="0.3">
      <c r="A177" t="s">
        <v>151</v>
      </c>
      <c r="B177" t="s">
        <v>470</v>
      </c>
      <c r="C177" t="s">
        <v>1180</v>
      </c>
      <c r="D177">
        <f t="shared" si="2"/>
        <v>0</v>
      </c>
      <c r="E177" t="s">
        <v>19</v>
      </c>
      <c r="F177" t="s">
        <v>1821</v>
      </c>
      <c r="G177" t="s">
        <v>322</v>
      </c>
      <c r="N177" s="107"/>
    </row>
    <row r="178" spans="1:14" hidden="1" x14ac:dyDescent="0.3">
      <c r="A178" t="s">
        <v>151</v>
      </c>
      <c r="B178" t="s">
        <v>621</v>
      </c>
      <c r="C178" t="s">
        <v>1180</v>
      </c>
      <c r="D178">
        <f t="shared" si="2"/>
        <v>0</v>
      </c>
      <c r="E178" t="s">
        <v>19</v>
      </c>
      <c r="F178" t="s">
        <v>1822</v>
      </c>
      <c r="G178" t="s">
        <v>322</v>
      </c>
      <c r="N178" s="107"/>
    </row>
    <row r="179" spans="1:14" hidden="1" x14ac:dyDescent="0.3">
      <c r="A179" t="s">
        <v>151</v>
      </c>
      <c r="B179" t="s">
        <v>644</v>
      </c>
      <c r="C179" t="s">
        <v>1193</v>
      </c>
      <c r="D179">
        <f t="shared" si="2"/>
        <v>0</v>
      </c>
      <c r="E179" t="s">
        <v>19</v>
      </c>
      <c r="F179" t="s">
        <v>1193</v>
      </c>
      <c r="G179" t="s">
        <v>322</v>
      </c>
      <c r="N179" s="107"/>
    </row>
    <row r="180" spans="1:14" hidden="1" x14ac:dyDescent="0.3">
      <c r="A180" t="s">
        <v>151</v>
      </c>
      <c r="B180" t="s">
        <v>470</v>
      </c>
      <c r="C180" t="s">
        <v>1197</v>
      </c>
      <c r="D180">
        <f t="shared" si="2"/>
        <v>0</v>
      </c>
      <c r="E180" t="s">
        <v>19</v>
      </c>
      <c r="F180" t="s">
        <v>1197</v>
      </c>
      <c r="G180" t="s">
        <v>322</v>
      </c>
      <c r="N180" s="107"/>
    </row>
    <row r="181" spans="1:14" hidden="1" x14ac:dyDescent="0.3">
      <c r="A181" t="s">
        <v>151</v>
      </c>
      <c r="B181" t="s">
        <v>470</v>
      </c>
      <c r="C181" t="s">
        <v>1227</v>
      </c>
      <c r="D181">
        <f t="shared" si="2"/>
        <v>0</v>
      </c>
      <c r="E181" t="s">
        <v>19</v>
      </c>
      <c r="F181" t="s">
        <v>1959</v>
      </c>
      <c r="G181" t="s">
        <v>322</v>
      </c>
      <c r="N181" s="107"/>
    </row>
    <row r="182" spans="1:14" hidden="1" x14ac:dyDescent="0.3">
      <c r="A182" t="s">
        <v>151</v>
      </c>
      <c r="B182" t="s">
        <v>458</v>
      </c>
      <c r="C182" t="s">
        <v>1227</v>
      </c>
      <c r="D182">
        <f t="shared" si="2"/>
        <v>0</v>
      </c>
      <c r="E182" t="s">
        <v>19</v>
      </c>
      <c r="F182" t="s">
        <v>1965</v>
      </c>
      <c r="G182" t="s">
        <v>322</v>
      </c>
      <c r="N182" s="107"/>
    </row>
    <row r="183" spans="1:14" hidden="1" x14ac:dyDescent="0.3">
      <c r="A183" t="s">
        <v>151</v>
      </c>
      <c r="B183" t="s">
        <v>459</v>
      </c>
      <c r="C183" t="s">
        <v>1227</v>
      </c>
      <c r="D183">
        <f t="shared" si="2"/>
        <v>0</v>
      </c>
      <c r="E183" t="s">
        <v>19</v>
      </c>
      <c r="F183" t="s">
        <v>1972</v>
      </c>
      <c r="G183" t="s">
        <v>322</v>
      </c>
      <c r="N183" s="107"/>
    </row>
    <row r="184" spans="1:14" hidden="1" x14ac:dyDescent="0.3">
      <c r="A184" t="s">
        <v>151</v>
      </c>
      <c r="B184" t="s">
        <v>470</v>
      </c>
      <c r="C184" t="s">
        <v>1227</v>
      </c>
      <c r="D184">
        <f t="shared" si="2"/>
        <v>0</v>
      </c>
      <c r="E184" t="s">
        <v>19</v>
      </c>
      <c r="F184" t="s">
        <v>1973</v>
      </c>
      <c r="G184" t="s">
        <v>322</v>
      </c>
      <c r="N184" s="107"/>
    </row>
    <row r="185" spans="1:14" hidden="1" x14ac:dyDescent="0.3">
      <c r="A185" t="s">
        <v>151</v>
      </c>
      <c r="B185" t="s">
        <v>459</v>
      </c>
      <c r="C185" t="s">
        <v>1287</v>
      </c>
      <c r="D185">
        <f t="shared" si="2"/>
        <v>0</v>
      </c>
      <c r="E185" t="s">
        <v>19</v>
      </c>
      <c r="F185" t="s">
        <v>2144</v>
      </c>
      <c r="G185" t="s">
        <v>322</v>
      </c>
      <c r="N185" s="107"/>
    </row>
    <row r="186" spans="1:14" hidden="1" x14ac:dyDescent="0.3">
      <c r="A186" t="s">
        <v>151</v>
      </c>
      <c r="B186" t="s">
        <v>458</v>
      </c>
      <c r="C186" t="s">
        <v>1319</v>
      </c>
      <c r="D186">
        <f t="shared" si="2"/>
        <v>0</v>
      </c>
      <c r="E186" t="s">
        <v>19</v>
      </c>
      <c r="F186" t="s">
        <v>2222</v>
      </c>
      <c r="G186" t="s">
        <v>322</v>
      </c>
      <c r="N186" s="107"/>
    </row>
    <row r="187" spans="1:14" hidden="1" x14ac:dyDescent="0.3">
      <c r="A187" t="s">
        <v>151</v>
      </c>
      <c r="B187" t="s">
        <v>470</v>
      </c>
      <c r="C187" t="s">
        <v>1380</v>
      </c>
      <c r="D187">
        <f t="shared" si="2"/>
        <v>0</v>
      </c>
      <c r="E187" t="s">
        <v>19</v>
      </c>
      <c r="F187" t="s">
        <v>2354</v>
      </c>
      <c r="G187" t="s">
        <v>322</v>
      </c>
      <c r="N187" s="107"/>
    </row>
    <row r="188" spans="1:14" hidden="1" x14ac:dyDescent="0.3">
      <c r="A188" t="s">
        <v>151</v>
      </c>
      <c r="B188" t="s">
        <v>460</v>
      </c>
      <c r="C188" t="s">
        <v>1393</v>
      </c>
      <c r="D188">
        <f t="shared" si="2"/>
        <v>0</v>
      </c>
      <c r="E188" t="s">
        <v>19</v>
      </c>
      <c r="F188" t="s">
        <v>2357</v>
      </c>
      <c r="G188" t="s">
        <v>322</v>
      </c>
      <c r="N188" s="107"/>
    </row>
    <row r="189" spans="1:14" hidden="1" x14ac:dyDescent="0.3">
      <c r="A189" t="s">
        <v>151</v>
      </c>
      <c r="B189" t="s">
        <v>990</v>
      </c>
      <c r="C189" t="s">
        <v>1411</v>
      </c>
      <c r="D189">
        <f t="shared" si="2"/>
        <v>0</v>
      </c>
      <c r="E189" t="s">
        <v>19</v>
      </c>
      <c r="F189" t="s">
        <v>2442</v>
      </c>
      <c r="G189" t="s">
        <v>322</v>
      </c>
      <c r="N189" s="107"/>
    </row>
    <row r="190" spans="1:14" hidden="1" x14ac:dyDescent="0.3">
      <c r="A190" t="s">
        <v>151</v>
      </c>
      <c r="B190" t="s">
        <v>458</v>
      </c>
      <c r="C190" t="s">
        <v>1414</v>
      </c>
      <c r="D190">
        <f t="shared" si="2"/>
        <v>0</v>
      </c>
      <c r="E190" t="s">
        <v>19</v>
      </c>
      <c r="F190" t="s">
        <v>2496</v>
      </c>
      <c r="G190" t="s">
        <v>322</v>
      </c>
      <c r="N190" s="107"/>
    </row>
    <row r="191" spans="1:14" hidden="1" x14ac:dyDescent="0.3">
      <c r="A191" t="s">
        <v>151</v>
      </c>
      <c r="B191" t="s">
        <v>470</v>
      </c>
      <c r="C191" t="s">
        <v>1414</v>
      </c>
      <c r="D191">
        <f t="shared" si="2"/>
        <v>0</v>
      </c>
      <c r="E191" t="s">
        <v>19</v>
      </c>
      <c r="F191" t="s">
        <v>2500</v>
      </c>
      <c r="G191" t="s">
        <v>322</v>
      </c>
      <c r="N191" s="107"/>
    </row>
    <row r="192" spans="1:14" hidden="1" x14ac:dyDescent="0.3">
      <c r="A192" t="s">
        <v>151</v>
      </c>
      <c r="B192" t="s">
        <v>458</v>
      </c>
      <c r="C192" t="s">
        <v>1414</v>
      </c>
      <c r="D192">
        <f t="shared" si="2"/>
        <v>0</v>
      </c>
      <c r="E192" t="s">
        <v>19</v>
      </c>
      <c r="F192" t="s">
        <v>2508</v>
      </c>
      <c r="G192" t="s">
        <v>322</v>
      </c>
      <c r="N192" s="107"/>
    </row>
    <row r="193" spans="1:14" hidden="1" x14ac:dyDescent="0.3">
      <c r="A193" t="s">
        <v>151</v>
      </c>
      <c r="B193" t="s">
        <v>470</v>
      </c>
      <c r="C193" t="s">
        <v>1420</v>
      </c>
      <c r="D193">
        <f t="shared" ref="D193:D256" si="3">SIGN(SUBTOTAL(3,E193))</f>
        <v>0</v>
      </c>
      <c r="E193" t="s">
        <v>19</v>
      </c>
      <c r="F193" t="s">
        <v>1420</v>
      </c>
      <c r="G193" t="s">
        <v>322</v>
      </c>
      <c r="N193" s="107"/>
    </row>
    <row r="194" spans="1:14" hidden="1" x14ac:dyDescent="0.3">
      <c r="A194" t="s">
        <v>151</v>
      </c>
      <c r="B194" t="s">
        <v>459</v>
      </c>
      <c r="C194" t="s">
        <v>1424</v>
      </c>
      <c r="D194">
        <f t="shared" si="3"/>
        <v>0</v>
      </c>
      <c r="E194" t="s">
        <v>19</v>
      </c>
      <c r="F194" t="s">
        <v>2554</v>
      </c>
      <c r="G194" t="s">
        <v>322</v>
      </c>
      <c r="N194" s="107"/>
    </row>
    <row r="195" spans="1:14" hidden="1" x14ac:dyDescent="0.3">
      <c r="A195" t="s">
        <v>151</v>
      </c>
      <c r="B195" t="s">
        <v>459</v>
      </c>
      <c r="C195" t="s">
        <v>1446</v>
      </c>
      <c r="D195">
        <f t="shared" si="3"/>
        <v>0</v>
      </c>
      <c r="E195" t="s">
        <v>19</v>
      </c>
      <c r="F195" t="s">
        <v>2616</v>
      </c>
      <c r="G195" t="s">
        <v>322</v>
      </c>
      <c r="N195" s="107"/>
    </row>
    <row r="196" spans="1:14" hidden="1" x14ac:dyDescent="0.3">
      <c r="A196" t="s">
        <v>151</v>
      </c>
      <c r="B196" t="s">
        <v>470</v>
      </c>
      <c r="C196" t="s">
        <v>1462</v>
      </c>
      <c r="D196">
        <f t="shared" si="3"/>
        <v>0</v>
      </c>
      <c r="E196" t="s">
        <v>19</v>
      </c>
      <c r="F196" t="s">
        <v>2659</v>
      </c>
      <c r="G196" t="s">
        <v>322</v>
      </c>
      <c r="N196" s="107"/>
    </row>
    <row r="197" spans="1:14" hidden="1" x14ac:dyDescent="0.3">
      <c r="A197" t="s">
        <v>151</v>
      </c>
      <c r="B197" t="s">
        <v>458</v>
      </c>
      <c r="C197" t="s">
        <v>1462</v>
      </c>
      <c r="D197">
        <f t="shared" si="3"/>
        <v>0</v>
      </c>
      <c r="E197" t="s">
        <v>19</v>
      </c>
      <c r="F197" t="s">
        <v>2661</v>
      </c>
      <c r="G197" t="s">
        <v>322</v>
      </c>
      <c r="N197" s="107"/>
    </row>
    <row r="198" spans="1:14" hidden="1" x14ac:dyDescent="0.3">
      <c r="A198" t="s">
        <v>151</v>
      </c>
      <c r="B198" t="s">
        <v>1073</v>
      </c>
      <c r="C198" t="s">
        <v>1462</v>
      </c>
      <c r="D198">
        <f t="shared" si="3"/>
        <v>0</v>
      </c>
      <c r="E198" t="s">
        <v>19</v>
      </c>
      <c r="F198" t="s">
        <v>2666</v>
      </c>
      <c r="G198" t="s">
        <v>322</v>
      </c>
      <c r="N198" s="107"/>
    </row>
    <row r="199" spans="1:14" hidden="1" x14ac:dyDescent="0.3">
      <c r="A199" t="s">
        <v>151</v>
      </c>
      <c r="B199" t="s">
        <v>470</v>
      </c>
      <c r="C199" t="s">
        <v>1471</v>
      </c>
      <c r="D199">
        <f t="shared" si="3"/>
        <v>0</v>
      </c>
      <c r="E199" t="s">
        <v>19</v>
      </c>
      <c r="F199" t="s">
        <v>2685</v>
      </c>
      <c r="G199" t="s">
        <v>322</v>
      </c>
      <c r="N199" s="107"/>
    </row>
    <row r="200" spans="1:14" hidden="1" x14ac:dyDescent="0.3">
      <c r="A200" t="s">
        <v>151</v>
      </c>
      <c r="B200" t="s">
        <v>470</v>
      </c>
      <c r="C200" t="s">
        <v>1483</v>
      </c>
      <c r="D200">
        <f t="shared" si="3"/>
        <v>0</v>
      </c>
      <c r="E200" t="s">
        <v>19</v>
      </c>
      <c r="F200" t="s">
        <v>2718</v>
      </c>
      <c r="G200" t="s">
        <v>322</v>
      </c>
      <c r="N200" s="107"/>
    </row>
    <row r="201" spans="1:14" hidden="1" x14ac:dyDescent="0.3">
      <c r="A201" t="s">
        <v>151</v>
      </c>
      <c r="B201" t="s">
        <v>458</v>
      </c>
      <c r="C201" t="s">
        <v>1483</v>
      </c>
      <c r="D201">
        <f t="shared" si="3"/>
        <v>0</v>
      </c>
      <c r="E201" t="s">
        <v>19</v>
      </c>
      <c r="F201" t="s">
        <v>2719</v>
      </c>
      <c r="G201" t="s">
        <v>322</v>
      </c>
      <c r="N201" s="107"/>
    </row>
    <row r="202" spans="1:14" hidden="1" x14ac:dyDescent="0.3">
      <c r="A202" t="s">
        <v>151</v>
      </c>
      <c r="B202" t="s">
        <v>458</v>
      </c>
      <c r="C202" t="s">
        <v>1483</v>
      </c>
      <c r="D202">
        <f t="shared" si="3"/>
        <v>0</v>
      </c>
      <c r="E202" t="s">
        <v>19</v>
      </c>
      <c r="F202" t="s">
        <v>2727</v>
      </c>
      <c r="G202" t="s">
        <v>322</v>
      </c>
      <c r="N202" s="107"/>
    </row>
    <row r="203" spans="1:14" hidden="1" x14ac:dyDescent="0.3">
      <c r="A203" t="s">
        <v>151</v>
      </c>
      <c r="B203" t="s">
        <v>458</v>
      </c>
      <c r="C203" t="s">
        <v>1483</v>
      </c>
      <c r="D203">
        <f t="shared" si="3"/>
        <v>0</v>
      </c>
      <c r="E203" t="s">
        <v>19</v>
      </c>
      <c r="F203" t="s">
        <v>2729</v>
      </c>
      <c r="G203" t="s">
        <v>322</v>
      </c>
      <c r="N203" s="107"/>
    </row>
    <row r="204" spans="1:14" hidden="1" x14ac:dyDescent="0.3">
      <c r="A204" t="s">
        <v>151</v>
      </c>
      <c r="B204" t="s">
        <v>1091</v>
      </c>
      <c r="C204" t="s">
        <v>1488</v>
      </c>
      <c r="D204">
        <f t="shared" si="3"/>
        <v>0</v>
      </c>
      <c r="E204" t="s">
        <v>19</v>
      </c>
      <c r="F204" t="s">
        <v>2730</v>
      </c>
      <c r="G204" t="s">
        <v>322</v>
      </c>
      <c r="N204" s="107"/>
    </row>
    <row r="205" spans="1:14" hidden="1" x14ac:dyDescent="0.3">
      <c r="A205" t="s">
        <v>151</v>
      </c>
      <c r="B205" t="s">
        <v>1092</v>
      </c>
      <c r="C205" t="s">
        <v>1488</v>
      </c>
      <c r="D205">
        <f t="shared" si="3"/>
        <v>0</v>
      </c>
      <c r="E205" t="s">
        <v>19</v>
      </c>
      <c r="F205" t="s">
        <v>2731</v>
      </c>
      <c r="G205" t="s">
        <v>322</v>
      </c>
      <c r="N205" s="107"/>
    </row>
    <row r="206" spans="1:14" hidden="1" x14ac:dyDescent="0.3">
      <c r="A206" t="s">
        <v>151</v>
      </c>
      <c r="B206" t="s">
        <v>458</v>
      </c>
      <c r="C206" t="s">
        <v>1488</v>
      </c>
      <c r="D206">
        <f t="shared" si="3"/>
        <v>0</v>
      </c>
      <c r="E206" t="s">
        <v>19</v>
      </c>
      <c r="F206" t="s">
        <v>2734</v>
      </c>
      <c r="G206" t="s">
        <v>322</v>
      </c>
      <c r="N206" s="107"/>
    </row>
    <row r="207" spans="1:14" hidden="1" x14ac:dyDescent="0.3">
      <c r="A207" t="s">
        <v>151</v>
      </c>
      <c r="B207" t="s">
        <v>1099</v>
      </c>
      <c r="C207" t="s">
        <v>1500</v>
      </c>
      <c r="D207">
        <f t="shared" si="3"/>
        <v>0</v>
      </c>
      <c r="E207" t="s">
        <v>19</v>
      </c>
      <c r="F207" t="s">
        <v>2740</v>
      </c>
      <c r="G207" t="s">
        <v>322</v>
      </c>
      <c r="N207" s="107"/>
    </row>
    <row r="208" spans="1:14" hidden="1" x14ac:dyDescent="0.3">
      <c r="A208" t="s">
        <v>151</v>
      </c>
      <c r="B208" t="s">
        <v>1105</v>
      </c>
      <c r="C208" t="s">
        <v>1509</v>
      </c>
      <c r="D208">
        <f t="shared" si="3"/>
        <v>0</v>
      </c>
      <c r="E208" t="s">
        <v>19</v>
      </c>
      <c r="F208" t="s">
        <v>2755</v>
      </c>
      <c r="G208" t="s">
        <v>322</v>
      </c>
      <c r="N208" s="107"/>
    </row>
    <row r="209" spans="1:14" hidden="1" x14ac:dyDescent="0.3">
      <c r="A209" t="s">
        <v>151</v>
      </c>
      <c r="B209" t="s">
        <v>459</v>
      </c>
      <c r="C209" t="s">
        <v>1509</v>
      </c>
      <c r="D209">
        <f t="shared" si="3"/>
        <v>0</v>
      </c>
      <c r="E209" t="s">
        <v>19</v>
      </c>
      <c r="F209" t="s">
        <v>2757</v>
      </c>
      <c r="G209" t="s">
        <v>322</v>
      </c>
      <c r="N209" s="107"/>
    </row>
    <row r="210" spans="1:14" hidden="1" x14ac:dyDescent="0.3">
      <c r="A210" t="s">
        <v>151</v>
      </c>
      <c r="B210" t="s">
        <v>1106</v>
      </c>
      <c r="C210" t="s">
        <v>1509</v>
      </c>
      <c r="D210">
        <f t="shared" si="3"/>
        <v>0</v>
      </c>
      <c r="E210" t="s">
        <v>19</v>
      </c>
      <c r="F210" t="s">
        <v>2758</v>
      </c>
      <c r="G210" t="s">
        <v>322</v>
      </c>
      <c r="N210" s="107"/>
    </row>
    <row r="211" spans="1:14" hidden="1" x14ac:dyDescent="0.3">
      <c r="A211" t="s">
        <v>151</v>
      </c>
      <c r="B211" t="s">
        <v>466</v>
      </c>
      <c r="C211" t="s">
        <v>1509</v>
      </c>
      <c r="D211">
        <f t="shared" si="3"/>
        <v>0</v>
      </c>
      <c r="E211" t="s">
        <v>19</v>
      </c>
      <c r="F211" t="s">
        <v>2759</v>
      </c>
      <c r="G211" t="s">
        <v>322</v>
      </c>
      <c r="N211" s="107"/>
    </row>
    <row r="212" spans="1:14" hidden="1" x14ac:dyDescent="0.3">
      <c r="A212" t="s">
        <v>151</v>
      </c>
      <c r="B212" t="s">
        <v>458</v>
      </c>
      <c r="C212" t="s">
        <v>1509</v>
      </c>
      <c r="D212">
        <f t="shared" si="3"/>
        <v>0</v>
      </c>
      <c r="E212" t="s">
        <v>19</v>
      </c>
      <c r="F212" t="s">
        <v>2795</v>
      </c>
      <c r="G212" t="s">
        <v>322</v>
      </c>
      <c r="N212" s="107"/>
    </row>
    <row r="213" spans="1:14" hidden="1" x14ac:dyDescent="0.3">
      <c r="A213" t="s">
        <v>151</v>
      </c>
      <c r="B213" t="s">
        <v>458</v>
      </c>
      <c r="C213" t="s">
        <v>1509</v>
      </c>
      <c r="D213">
        <f t="shared" si="3"/>
        <v>0</v>
      </c>
      <c r="E213" t="s">
        <v>19</v>
      </c>
      <c r="F213" t="s">
        <v>2796</v>
      </c>
      <c r="G213" t="s">
        <v>322</v>
      </c>
      <c r="N213" s="107"/>
    </row>
    <row r="214" spans="1:14" hidden="1" x14ac:dyDescent="0.3">
      <c r="A214" t="s">
        <v>151</v>
      </c>
      <c r="B214" t="s">
        <v>470</v>
      </c>
      <c r="C214" t="s">
        <v>1509</v>
      </c>
      <c r="D214">
        <f t="shared" si="3"/>
        <v>0</v>
      </c>
      <c r="E214" t="s">
        <v>19</v>
      </c>
      <c r="F214" t="s">
        <v>2797</v>
      </c>
      <c r="G214" t="s">
        <v>322</v>
      </c>
      <c r="N214" s="107"/>
    </row>
    <row r="215" spans="1:14" hidden="1" x14ac:dyDescent="0.3">
      <c r="A215" t="s">
        <v>151</v>
      </c>
      <c r="B215" t="s">
        <v>1115</v>
      </c>
      <c r="C215" t="s">
        <v>1509</v>
      </c>
      <c r="D215">
        <f t="shared" si="3"/>
        <v>0</v>
      </c>
      <c r="E215" t="s">
        <v>19</v>
      </c>
      <c r="F215" t="s">
        <v>2798</v>
      </c>
      <c r="G215" t="s">
        <v>322</v>
      </c>
      <c r="N215" s="107"/>
    </row>
    <row r="216" spans="1:14" hidden="1" x14ac:dyDescent="0.3">
      <c r="A216" t="s">
        <v>151</v>
      </c>
      <c r="B216" t="s">
        <v>459</v>
      </c>
      <c r="C216" t="s">
        <v>1513</v>
      </c>
      <c r="D216">
        <f t="shared" si="3"/>
        <v>0</v>
      </c>
      <c r="E216" t="s">
        <v>19</v>
      </c>
      <c r="F216" t="s">
        <v>2807</v>
      </c>
      <c r="G216" t="s">
        <v>322</v>
      </c>
      <c r="N216" s="107"/>
    </row>
    <row r="217" spans="1:14" hidden="1" x14ac:dyDescent="0.3">
      <c r="A217" t="s">
        <v>151</v>
      </c>
      <c r="B217" t="s">
        <v>1115</v>
      </c>
      <c r="C217" t="s">
        <v>1518</v>
      </c>
      <c r="D217">
        <f t="shared" si="3"/>
        <v>0</v>
      </c>
      <c r="E217" t="s">
        <v>19</v>
      </c>
      <c r="F217" t="s">
        <v>1518</v>
      </c>
      <c r="G217" t="s">
        <v>322</v>
      </c>
      <c r="N217" s="107"/>
    </row>
    <row r="218" spans="1:14" hidden="1" x14ac:dyDescent="0.3">
      <c r="A218" t="s">
        <v>152</v>
      </c>
      <c r="B218" t="s">
        <v>555</v>
      </c>
      <c r="C218" t="s">
        <v>1155</v>
      </c>
      <c r="D218">
        <f t="shared" si="3"/>
        <v>0</v>
      </c>
      <c r="E218" t="s">
        <v>19</v>
      </c>
      <c r="F218" t="s">
        <v>1155</v>
      </c>
      <c r="G218" t="s">
        <v>322</v>
      </c>
      <c r="N218" s="107"/>
    </row>
    <row r="219" spans="1:14" hidden="1" x14ac:dyDescent="0.3">
      <c r="A219" t="s">
        <v>152</v>
      </c>
      <c r="B219" t="s">
        <v>473</v>
      </c>
      <c r="C219" t="s">
        <v>1166</v>
      </c>
      <c r="D219">
        <f t="shared" si="3"/>
        <v>0</v>
      </c>
      <c r="E219" t="s">
        <v>19</v>
      </c>
      <c r="F219" t="s">
        <v>1166</v>
      </c>
      <c r="G219" t="s">
        <v>322</v>
      </c>
      <c r="N219" s="107"/>
    </row>
    <row r="220" spans="1:14" hidden="1" x14ac:dyDescent="0.3">
      <c r="A220" t="s">
        <v>152</v>
      </c>
      <c r="B220" t="s">
        <v>473</v>
      </c>
      <c r="C220" t="s">
        <v>1168</v>
      </c>
      <c r="D220">
        <f t="shared" si="3"/>
        <v>0</v>
      </c>
      <c r="E220" t="s">
        <v>19</v>
      </c>
      <c r="F220" t="s">
        <v>1168</v>
      </c>
      <c r="G220" t="s">
        <v>322</v>
      </c>
      <c r="N220" s="107"/>
    </row>
    <row r="221" spans="1:14" hidden="1" x14ac:dyDescent="0.3">
      <c r="A221" t="s">
        <v>152</v>
      </c>
      <c r="B221" t="s">
        <v>473</v>
      </c>
      <c r="C221" t="s">
        <v>1169</v>
      </c>
      <c r="D221">
        <f t="shared" si="3"/>
        <v>0</v>
      </c>
      <c r="E221" t="s">
        <v>19</v>
      </c>
      <c r="F221" t="s">
        <v>1169</v>
      </c>
      <c r="G221" t="s">
        <v>322</v>
      </c>
      <c r="N221" s="107"/>
    </row>
    <row r="222" spans="1:14" hidden="1" x14ac:dyDescent="0.3">
      <c r="A222" t="s">
        <v>152</v>
      </c>
      <c r="B222" t="s">
        <v>586</v>
      </c>
      <c r="C222" t="s">
        <v>1171</v>
      </c>
      <c r="D222">
        <f t="shared" si="3"/>
        <v>0</v>
      </c>
      <c r="E222" t="s">
        <v>19</v>
      </c>
      <c r="F222" t="s">
        <v>1773</v>
      </c>
      <c r="G222" t="s">
        <v>322</v>
      </c>
      <c r="N222" s="107"/>
    </row>
    <row r="223" spans="1:14" hidden="1" x14ac:dyDescent="0.3">
      <c r="A223" t="s">
        <v>152</v>
      </c>
      <c r="B223" t="s">
        <v>598</v>
      </c>
      <c r="C223" t="s">
        <v>1175</v>
      </c>
      <c r="D223">
        <f t="shared" si="3"/>
        <v>0</v>
      </c>
      <c r="E223" t="s">
        <v>19</v>
      </c>
      <c r="F223" t="s">
        <v>1790</v>
      </c>
      <c r="G223" t="s">
        <v>322</v>
      </c>
      <c r="N223" s="107"/>
    </row>
    <row r="224" spans="1:14" hidden="1" x14ac:dyDescent="0.3">
      <c r="A224" t="s">
        <v>152</v>
      </c>
      <c r="B224" t="s">
        <v>506</v>
      </c>
      <c r="C224" t="s">
        <v>1188</v>
      </c>
      <c r="D224">
        <f t="shared" si="3"/>
        <v>0</v>
      </c>
      <c r="E224" t="s">
        <v>19</v>
      </c>
      <c r="F224" t="s">
        <v>1845</v>
      </c>
      <c r="G224" t="s">
        <v>322</v>
      </c>
      <c r="N224" s="107"/>
    </row>
    <row r="225" spans="1:14" hidden="1" x14ac:dyDescent="0.3">
      <c r="A225" t="s">
        <v>152</v>
      </c>
      <c r="B225" t="s">
        <v>494</v>
      </c>
      <c r="C225" t="s">
        <v>1188</v>
      </c>
      <c r="D225">
        <f t="shared" si="3"/>
        <v>0</v>
      </c>
      <c r="E225" t="s">
        <v>19</v>
      </c>
      <c r="F225" t="s">
        <v>1846</v>
      </c>
      <c r="G225" t="s">
        <v>322</v>
      </c>
      <c r="N225" s="107"/>
    </row>
    <row r="226" spans="1:14" hidden="1" x14ac:dyDescent="0.3">
      <c r="A226" t="s">
        <v>152</v>
      </c>
      <c r="B226" t="s">
        <v>645</v>
      </c>
      <c r="C226" t="s">
        <v>1194</v>
      </c>
      <c r="D226">
        <f t="shared" si="3"/>
        <v>0</v>
      </c>
      <c r="E226" t="s">
        <v>19</v>
      </c>
      <c r="F226" t="s">
        <v>1194</v>
      </c>
      <c r="G226" t="s">
        <v>322</v>
      </c>
      <c r="N226" s="107"/>
    </row>
    <row r="227" spans="1:14" hidden="1" x14ac:dyDescent="0.3">
      <c r="A227" t="s">
        <v>152</v>
      </c>
      <c r="B227" t="s">
        <v>555</v>
      </c>
      <c r="C227" t="s">
        <v>1233</v>
      </c>
      <c r="D227">
        <f t="shared" si="3"/>
        <v>0</v>
      </c>
      <c r="E227" t="s">
        <v>19</v>
      </c>
      <c r="F227" t="s">
        <v>2000</v>
      </c>
      <c r="G227" t="s">
        <v>322</v>
      </c>
      <c r="N227" s="107"/>
    </row>
    <row r="228" spans="1:14" hidden="1" x14ac:dyDescent="0.3">
      <c r="A228" t="s">
        <v>152</v>
      </c>
      <c r="B228" t="s">
        <v>731</v>
      </c>
      <c r="C228" t="s">
        <v>1233</v>
      </c>
      <c r="D228">
        <f t="shared" si="3"/>
        <v>0</v>
      </c>
      <c r="E228" t="s">
        <v>19</v>
      </c>
      <c r="F228" t="s">
        <v>2001</v>
      </c>
      <c r="G228" t="s">
        <v>322</v>
      </c>
      <c r="N228" s="107"/>
    </row>
    <row r="229" spans="1:14" hidden="1" x14ac:dyDescent="0.3">
      <c r="A229" t="s">
        <v>152</v>
      </c>
      <c r="B229" t="s">
        <v>494</v>
      </c>
      <c r="C229" t="s">
        <v>1233</v>
      </c>
      <c r="D229">
        <f t="shared" si="3"/>
        <v>0</v>
      </c>
      <c r="E229" t="s">
        <v>19</v>
      </c>
      <c r="F229" t="s">
        <v>2002</v>
      </c>
      <c r="G229" t="s">
        <v>322</v>
      </c>
      <c r="N229" s="107"/>
    </row>
    <row r="230" spans="1:14" hidden="1" x14ac:dyDescent="0.3">
      <c r="A230" t="s">
        <v>152</v>
      </c>
      <c r="B230" t="s">
        <v>555</v>
      </c>
      <c r="C230" t="s">
        <v>1233</v>
      </c>
      <c r="D230">
        <f t="shared" si="3"/>
        <v>0</v>
      </c>
      <c r="E230" t="s">
        <v>19</v>
      </c>
      <c r="F230" t="s">
        <v>2005</v>
      </c>
      <c r="G230" t="s">
        <v>322</v>
      </c>
      <c r="N230" s="107"/>
    </row>
    <row r="231" spans="1:14" hidden="1" x14ac:dyDescent="0.3">
      <c r="A231" t="s">
        <v>152</v>
      </c>
      <c r="B231" t="s">
        <v>472</v>
      </c>
      <c r="C231" t="s">
        <v>1233</v>
      </c>
      <c r="D231">
        <f t="shared" si="3"/>
        <v>0</v>
      </c>
      <c r="E231" t="s">
        <v>19</v>
      </c>
      <c r="F231" t="s">
        <v>2007</v>
      </c>
      <c r="G231" t="s">
        <v>322</v>
      </c>
      <c r="N231" s="107"/>
    </row>
    <row r="232" spans="1:14" hidden="1" x14ac:dyDescent="0.3">
      <c r="A232" t="s">
        <v>152</v>
      </c>
      <c r="B232" t="s">
        <v>750</v>
      </c>
      <c r="C232" t="s">
        <v>1245</v>
      </c>
      <c r="D232">
        <f t="shared" si="3"/>
        <v>0</v>
      </c>
      <c r="E232" t="s">
        <v>19</v>
      </c>
      <c r="F232" t="s">
        <v>2028</v>
      </c>
      <c r="G232" t="s">
        <v>322</v>
      </c>
      <c r="N232" s="107"/>
    </row>
    <row r="233" spans="1:14" hidden="1" x14ac:dyDescent="0.3">
      <c r="A233" t="s">
        <v>152</v>
      </c>
      <c r="B233" t="s">
        <v>750</v>
      </c>
      <c r="C233" t="s">
        <v>1248</v>
      </c>
      <c r="D233">
        <f t="shared" si="3"/>
        <v>0</v>
      </c>
      <c r="E233" t="s">
        <v>19</v>
      </c>
      <c r="F233" t="s">
        <v>1248</v>
      </c>
      <c r="G233" t="s">
        <v>322</v>
      </c>
      <c r="N233" s="107"/>
    </row>
    <row r="234" spans="1:14" hidden="1" x14ac:dyDescent="0.3">
      <c r="A234" t="s">
        <v>152</v>
      </c>
      <c r="B234" t="s">
        <v>473</v>
      </c>
      <c r="C234" t="s">
        <v>1252</v>
      </c>
      <c r="D234">
        <f t="shared" si="3"/>
        <v>0</v>
      </c>
      <c r="E234" t="s">
        <v>19</v>
      </c>
      <c r="F234" t="s">
        <v>2050</v>
      </c>
      <c r="G234" t="s">
        <v>322</v>
      </c>
      <c r="N234" s="107"/>
    </row>
    <row r="235" spans="1:14" hidden="1" x14ac:dyDescent="0.3">
      <c r="A235" t="s">
        <v>152</v>
      </c>
      <c r="B235" t="s">
        <v>792</v>
      </c>
      <c r="C235" t="s">
        <v>1280</v>
      </c>
      <c r="D235">
        <f t="shared" si="3"/>
        <v>0</v>
      </c>
      <c r="E235" t="s">
        <v>19</v>
      </c>
      <c r="F235" t="s">
        <v>2093</v>
      </c>
      <c r="G235" t="s">
        <v>322</v>
      </c>
      <c r="N235" s="107"/>
    </row>
    <row r="236" spans="1:14" hidden="1" x14ac:dyDescent="0.3">
      <c r="A236" t="s">
        <v>152</v>
      </c>
      <c r="B236" t="s">
        <v>793</v>
      </c>
      <c r="C236" t="s">
        <v>1280</v>
      </c>
      <c r="D236">
        <f t="shared" si="3"/>
        <v>0</v>
      </c>
      <c r="E236" t="s">
        <v>19</v>
      </c>
      <c r="F236" t="s">
        <v>2094</v>
      </c>
      <c r="G236" t="s">
        <v>322</v>
      </c>
      <c r="N236" s="107"/>
    </row>
    <row r="237" spans="1:14" hidden="1" x14ac:dyDescent="0.3">
      <c r="A237" t="s">
        <v>152</v>
      </c>
      <c r="B237" t="s">
        <v>831</v>
      </c>
      <c r="C237" t="s">
        <v>1301</v>
      </c>
      <c r="D237">
        <f t="shared" si="3"/>
        <v>0</v>
      </c>
      <c r="E237" t="s">
        <v>19</v>
      </c>
      <c r="F237" t="s">
        <v>2171</v>
      </c>
      <c r="G237" t="s">
        <v>322</v>
      </c>
      <c r="N237" s="107"/>
    </row>
    <row r="238" spans="1:14" hidden="1" x14ac:dyDescent="0.3">
      <c r="A238" t="s">
        <v>152</v>
      </c>
      <c r="B238" t="s">
        <v>494</v>
      </c>
      <c r="C238" t="s">
        <v>1301</v>
      </c>
      <c r="D238">
        <f t="shared" si="3"/>
        <v>0</v>
      </c>
      <c r="E238" t="s">
        <v>19</v>
      </c>
      <c r="F238" t="s">
        <v>2172</v>
      </c>
      <c r="G238" t="s">
        <v>322</v>
      </c>
      <c r="N238" s="107"/>
    </row>
    <row r="239" spans="1:14" hidden="1" x14ac:dyDescent="0.3">
      <c r="A239" t="s">
        <v>152</v>
      </c>
      <c r="B239" t="s">
        <v>494</v>
      </c>
      <c r="C239" t="s">
        <v>1301</v>
      </c>
      <c r="D239">
        <f t="shared" si="3"/>
        <v>0</v>
      </c>
      <c r="E239" t="s">
        <v>19</v>
      </c>
      <c r="F239" t="s">
        <v>2173</v>
      </c>
      <c r="G239" t="s">
        <v>322</v>
      </c>
      <c r="N239" s="107"/>
    </row>
    <row r="240" spans="1:14" hidden="1" x14ac:dyDescent="0.3">
      <c r="A240" t="s">
        <v>152</v>
      </c>
      <c r="B240" t="s">
        <v>865</v>
      </c>
      <c r="C240" t="s">
        <v>1309</v>
      </c>
      <c r="D240">
        <f t="shared" si="3"/>
        <v>0</v>
      </c>
      <c r="E240" t="s">
        <v>19</v>
      </c>
      <c r="F240" t="s">
        <v>1309</v>
      </c>
      <c r="G240" t="s">
        <v>322</v>
      </c>
      <c r="N240" s="107"/>
    </row>
    <row r="241" spans="1:14" hidden="1" x14ac:dyDescent="0.3">
      <c r="A241" t="s">
        <v>152</v>
      </c>
      <c r="B241" t="s">
        <v>472</v>
      </c>
      <c r="C241" t="s">
        <v>1382</v>
      </c>
      <c r="D241">
        <f t="shared" si="3"/>
        <v>0</v>
      </c>
      <c r="E241" t="s">
        <v>19</v>
      </c>
      <c r="F241" t="s">
        <v>2341</v>
      </c>
      <c r="G241" t="s">
        <v>322</v>
      </c>
      <c r="N241" s="107"/>
    </row>
    <row r="242" spans="1:14" hidden="1" x14ac:dyDescent="0.3">
      <c r="A242" t="s">
        <v>152</v>
      </c>
      <c r="B242" t="s">
        <v>555</v>
      </c>
      <c r="C242" t="s">
        <v>1382</v>
      </c>
      <c r="D242">
        <f t="shared" si="3"/>
        <v>0</v>
      </c>
      <c r="E242" t="s">
        <v>19</v>
      </c>
      <c r="F242" t="s">
        <v>2345</v>
      </c>
      <c r="G242" t="s">
        <v>322</v>
      </c>
      <c r="N242" s="107"/>
    </row>
    <row r="243" spans="1:14" hidden="1" x14ac:dyDescent="0.3">
      <c r="A243" t="s">
        <v>152</v>
      </c>
      <c r="B243" t="s">
        <v>555</v>
      </c>
      <c r="C243" t="s">
        <v>1382</v>
      </c>
      <c r="D243">
        <f t="shared" si="3"/>
        <v>0</v>
      </c>
      <c r="E243" t="s">
        <v>19</v>
      </c>
      <c r="F243" t="s">
        <v>2346</v>
      </c>
      <c r="G243" t="s">
        <v>322</v>
      </c>
      <c r="N243" s="107"/>
    </row>
    <row r="244" spans="1:14" hidden="1" x14ac:dyDescent="0.3">
      <c r="A244" t="s">
        <v>152</v>
      </c>
      <c r="B244" t="s">
        <v>903</v>
      </c>
      <c r="C244" t="s">
        <v>1392</v>
      </c>
      <c r="D244">
        <f t="shared" si="3"/>
        <v>0</v>
      </c>
      <c r="E244" t="s">
        <v>19</v>
      </c>
      <c r="F244" t="s">
        <v>2361</v>
      </c>
      <c r="G244" t="s">
        <v>322</v>
      </c>
      <c r="N244" s="107"/>
    </row>
    <row r="245" spans="1:14" hidden="1" x14ac:dyDescent="0.3">
      <c r="A245" t="s">
        <v>152</v>
      </c>
      <c r="B245" t="s">
        <v>956</v>
      </c>
      <c r="C245" t="s">
        <v>1403</v>
      </c>
      <c r="D245">
        <f t="shared" si="3"/>
        <v>0</v>
      </c>
      <c r="E245" t="s">
        <v>19</v>
      </c>
      <c r="F245" t="s">
        <v>2384</v>
      </c>
      <c r="G245" t="s">
        <v>322</v>
      </c>
      <c r="N245" s="107"/>
    </row>
    <row r="246" spans="1:14" hidden="1" x14ac:dyDescent="0.3">
      <c r="A246" t="s">
        <v>152</v>
      </c>
      <c r="B246" t="s">
        <v>731</v>
      </c>
      <c r="C246" t="s">
        <v>1403</v>
      </c>
      <c r="D246">
        <f t="shared" si="3"/>
        <v>0</v>
      </c>
      <c r="E246" t="s">
        <v>19</v>
      </c>
      <c r="F246" t="s">
        <v>2385</v>
      </c>
      <c r="G246" t="s">
        <v>322</v>
      </c>
      <c r="N246" s="107"/>
    </row>
    <row r="247" spans="1:14" hidden="1" x14ac:dyDescent="0.3">
      <c r="A247" t="s">
        <v>152</v>
      </c>
      <c r="B247" t="s">
        <v>506</v>
      </c>
      <c r="C247" t="s">
        <v>1411</v>
      </c>
      <c r="D247">
        <f t="shared" si="3"/>
        <v>0</v>
      </c>
      <c r="E247" t="s">
        <v>19</v>
      </c>
      <c r="F247" t="s">
        <v>2446</v>
      </c>
      <c r="G247" t="s">
        <v>322</v>
      </c>
      <c r="N247" s="107"/>
    </row>
    <row r="248" spans="1:14" hidden="1" x14ac:dyDescent="0.3">
      <c r="A248" t="s">
        <v>152</v>
      </c>
      <c r="B248" t="s">
        <v>555</v>
      </c>
      <c r="C248" t="s">
        <v>1414</v>
      </c>
      <c r="D248">
        <f t="shared" si="3"/>
        <v>0</v>
      </c>
      <c r="E248" t="s">
        <v>19</v>
      </c>
      <c r="F248" t="s">
        <v>2501</v>
      </c>
      <c r="G248" t="s">
        <v>322</v>
      </c>
      <c r="N248" s="107"/>
    </row>
    <row r="249" spans="1:14" hidden="1" x14ac:dyDescent="0.3">
      <c r="A249" t="s">
        <v>152</v>
      </c>
      <c r="B249" t="s">
        <v>750</v>
      </c>
      <c r="C249" t="s">
        <v>1414</v>
      </c>
      <c r="D249">
        <f t="shared" si="3"/>
        <v>0</v>
      </c>
      <c r="E249" t="s">
        <v>19</v>
      </c>
      <c r="F249" t="s">
        <v>2502</v>
      </c>
      <c r="G249" t="s">
        <v>322</v>
      </c>
      <c r="N249" s="107"/>
    </row>
    <row r="250" spans="1:14" hidden="1" x14ac:dyDescent="0.3">
      <c r="A250" t="s">
        <v>152</v>
      </c>
      <c r="B250" t="s">
        <v>731</v>
      </c>
      <c r="C250" t="s">
        <v>1414</v>
      </c>
      <c r="D250">
        <f t="shared" si="3"/>
        <v>0</v>
      </c>
      <c r="E250" t="s">
        <v>19</v>
      </c>
      <c r="F250" t="s">
        <v>2504</v>
      </c>
      <c r="G250" t="s">
        <v>322</v>
      </c>
      <c r="N250" s="107"/>
    </row>
    <row r="251" spans="1:14" hidden="1" x14ac:dyDescent="0.3">
      <c r="A251" t="s">
        <v>152</v>
      </c>
      <c r="B251" t="s">
        <v>1024</v>
      </c>
      <c r="C251" t="s">
        <v>1422</v>
      </c>
      <c r="D251">
        <f t="shared" si="3"/>
        <v>0</v>
      </c>
      <c r="E251" t="s">
        <v>19</v>
      </c>
      <c r="F251" t="s">
        <v>1422</v>
      </c>
      <c r="G251" t="s">
        <v>322</v>
      </c>
      <c r="N251" s="107"/>
    </row>
    <row r="252" spans="1:14" hidden="1" x14ac:dyDescent="0.3">
      <c r="A252" t="s">
        <v>152</v>
      </c>
      <c r="B252" t="s">
        <v>506</v>
      </c>
      <c r="C252" t="s">
        <v>1445</v>
      </c>
      <c r="D252">
        <f t="shared" si="3"/>
        <v>0</v>
      </c>
      <c r="E252" t="s">
        <v>19</v>
      </c>
      <c r="F252" t="s">
        <v>1445</v>
      </c>
      <c r="G252" t="s">
        <v>322</v>
      </c>
      <c r="N252" s="107"/>
    </row>
    <row r="253" spans="1:14" hidden="1" x14ac:dyDescent="0.3">
      <c r="A253" t="s">
        <v>152</v>
      </c>
      <c r="B253" t="s">
        <v>555</v>
      </c>
      <c r="C253" t="s">
        <v>1461</v>
      </c>
      <c r="D253">
        <f t="shared" si="3"/>
        <v>0</v>
      </c>
      <c r="E253" t="s">
        <v>19</v>
      </c>
      <c r="F253" t="s">
        <v>2665</v>
      </c>
      <c r="G253" t="s">
        <v>322</v>
      </c>
      <c r="N253" s="107"/>
    </row>
    <row r="254" spans="1:14" hidden="1" x14ac:dyDescent="0.3">
      <c r="A254" t="s">
        <v>152</v>
      </c>
      <c r="B254" t="s">
        <v>1080</v>
      </c>
      <c r="C254" t="s">
        <v>1472</v>
      </c>
      <c r="D254">
        <f t="shared" si="3"/>
        <v>0</v>
      </c>
      <c r="E254" t="s">
        <v>19</v>
      </c>
      <c r="F254" t="s">
        <v>1472</v>
      </c>
      <c r="G254" t="s">
        <v>322</v>
      </c>
      <c r="N254" s="107"/>
    </row>
    <row r="255" spans="1:14" hidden="1" x14ac:dyDescent="0.3">
      <c r="A255" t="s">
        <v>152</v>
      </c>
      <c r="B255" t="s">
        <v>750</v>
      </c>
      <c r="C255" t="s">
        <v>1474</v>
      </c>
      <c r="D255">
        <f t="shared" si="3"/>
        <v>0</v>
      </c>
      <c r="E255" t="s">
        <v>19</v>
      </c>
      <c r="F255" t="s">
        <v>1474</v>
      </c>
      <c r="G255" t="s">
        <v>322</v>
      </c>
      <c r="N255" s="107"/>
    </row>
    <row r="256" spans="1:14" hidden="1" x14ac:dyDescent="0.3">
      <c r="A256" t="s">
        <v>152</v>
      </c>
      <c r="B256" t="s">
        <v>555</v>
      </c>
      <c r="C256" t="s">
        <v>1483</v>
      </c>
      <c r="D256">
        <f t="shared" si="3"/>
        <v>0</v>
      </c>
      <c r="E256" t="s">
        <v>19</v>
      </c>
      <c r="F256" t="s">
        <v>2708</v>
      </c>
      <c r="G256" t="s">
        <v>322</v>
      </c>
      <c r="N256" s="107"/>
    </row>
    <row r="257" spans="1:14" hidden="1" x14ac:dyDescent="0.3">
      <c r="A257" t="s">
        <v>152</v>
      </c>
      <c r="B257" t="s">
        <v>598</v>
      </c>
      <c r="C257" t="s">
        <v>1483</v>
      </c>
      <c r="D257">
        <f t="shared" ref="D257:D320" si="4">SIGN(SUBTOTAL(3,E257))</f>
        <v>0</v>
      </c>
      <c r="E257" t="s">
        <v>19</v>
      </c>
      <c r="F257" t="s">
        <v>2714</v>
      </c>
      <c r="G257" t="s">
        <v>322</v>
      </c>
      <c r="N257" s="107"/>
    </row>
    <row r="258" spans="1:14" hidden="1" x14ac:dyDescent="0.3">
      <c r="A258" t="s">
        <v>152</v>
      </c>
      <c r="B258" t="s">
        <v>555</v>
      </c>
      <c r="C258" t="s">
        <v>1483</v>
      </c>
      <c r="D258">
        <f t="shared" si="4"/>
        <v>0</v>
      </c>
      <c r="E258" t="s">
        <v>19</v>
      </c>
      <c r="F258" t="s">
        <v>2716</v>
      </c>
      <c r="G258" t="s">
        <v>322</v>
      </c>
      <c r="N258" s="107"/>
    </row>
    <row r="259" spans="1:14" hidden="1" x14ac:dyDescent="0.3">
      <c r="A259" t="s">
        <v>152</v>
      </c>
      <c r="B259" t="s">
        <v>731</v>
      </c>
      <c r="C259" t="s">
        <v>1488</v>
      </c>
      <c r="D259">
        <f t="shared" si="4"/>
        <v>0</v>
      </c>
      <c r="E259" t="s">
        <v>19</v>
      </c>
      <c r="F259" t="s">
        <v>2732</v>
      </c>
      <c r="G259" t="s">
        <v>322</v>
      </c>
      <c r="N259" s="107"/>
    </row>
    <row r="260" spans="1:14" hidden="1" x14ac:dyDescent="0.3">
      <c r="A260" t="s">
        <v>152</v>
      </c>
      <c r="B260" t="s">
        <v>1102</v>
      </c>
      <c r="C260" t="s">
        <v>1501</v>
      </c>
      <c r="D260">
        <f t="shared" si="4"/>
        <v>0</v>
      </c>
      <c r="E260" t="s">
        <v>19</v>
      </c>
      <c r="F260" t="s">
        <v>2746</v>
      </c>
      <c r="G260" t="s">
        <v>322</v>
      </c>
      <c r="N260" s="107"/>
    </row>
    <row r="261" spans="1:14" hidden="1" x14ac:dyDescent="0.3">
      <c r="A261" t="s">
        <v>152</v>
      </c>
      <c r="B261" t="s">
        <v>494</v>
      </c>
      <c r="C261" t="s">
        <v>1509</v>
      </c>
      <c r="D261">
        <f t="shared" si="4"/>
        <v>0</v>
      </c>
      <c r="E261" t="s">
        <v>19</v>
      </c>
      <c r="F261" t="s">
        <v>2760</v>
      </c>
      <c r="G261" t="s">
        <v>322</v>
      </c>
      <c r="N261" s="107"/>
    </row>
    <row r="262" spans="1:14" hidden="1" x14ac:dyDescent="0.3">
      <c r="A262" t="s">
        <v>152</v>
      </c>
      <c r="B262" t="s">
        <v>1107</v>
      </c>
      <c r="C262" t="s">
        <v>1509</v>
      </c>
      <c r="D262">
        <f t="shared" si="4"/>
        <v>0</v>
      </c>
      <c r="E262" t="s">
        <v>19</v>
      </c>
      <c r="F262" t="s">
        <v>2761</v>
      </c>
      <c r="G262" t="s">
        <v>322</v>
      </c>
      <c r="N262" s="107"/>
    </row>
    <row r="263" spans="1:14" hidden="1" x14ac:dyDescent="0.3">
      <c r="A263" t="s">
        <v>152</v>
      </c>
      <c r="B263" t="s">
        <v>903</v>
      </c>
      <c r="C263" t="s">
        <v>1509</v>
      </c>
      <c r="D263">
        <f t="shared" si="4"/>
        <v>0</v>
      </c>
      <c r="E263" t="s">
        <v>19</v>
      </c>
      <c r="F263" t="s">
        <v>2762</v>
      </c>
      <c r="G263" t="s">
        <v>322</v>
      </c>
      <c r="N263" s="107"/>
    </row>
    <row r="264" spans="1:14" hidden="1" x14ac:dyDescent="0.3">
      <c r="A264" t="s">
        <v>152</v>
      </c>
      <c r="B264" t="s">
        <v>598</v>
      </c>
      <c r="C264" t="s">
        <v>1509</v>
      </c>
      <c r="D264">
        <f t="shared" si="4"/>
        <v>0</v>
      </c>
      <c r="E264" t="s">
        <v>19</v>
      </c>
      <c r="F264" t="s">
        <v>2763</v>
      </c>
      <c r="G264" t="s">
        <v>322</v>
      </c>
      <c r="N264" s="107"/>
    </row>
    <row r="265" spans="1:14" hidden="1" x14ac:dyDescent="0.3">
      <c r="A265" t="s">
        <v>152</v>
      </c>
      <c r="B265" t="s">
        <v>555</v>
      </c>
      <c r="C265" t="s">
        <v>1509</v>
      </c>
      <c r="D265">
        <f t="shared" si="4"/>
        <v>0</v>
      </c>
      <c r="E265" t="s">
        <v>19</v>
      </c>
      <c r="F265" t="s">
        <v>2764</v>
      </c>
      <c r="G265" t="s">
        <v>322</v>
      </c>
      <c r="N265" s="107"/>
    </row>
    <row r="266" spans="1:14" hidden="1" x14ac:dyDescent="0.3">
      <c r="A266" t="s">
        <v>152</v>
      </c>
      <c r="B266" t="s">
        <v>1108</v>
      </c>
      <c r="C266" t="s">
        <v>1509</v>
      </c>
      <c r="D266">
        <f t="shared" si="4"/>
        <v>0</v>
      </c>
      <c r="E266" t="s">
        <v>19</v>
      </c>
      <c r="F266" t="s">
        <v>2765</v>
      </c>
      <c r="G266" t="s">
        <v>322</v>
      </c>
      <c r="N266" s="107"/>
    </row>
    <row r="267" spans="1:14" hidden="1" x14ac:dyDescent="0.3">
      <c r="A267" t="s">
        <v>152</v>
      </c>
      <c r="B267" t="s">
        <v>731</v>
      </c>
      <c r="C267" t="s">
        <v>1509</v>
      </c>
      <c r="D267">
        <f t="shared" si="4"/>
        <v>0</v>
      </c>
      <c r="E267" t="s">
        <v>19</v>
      </c>
      <c r="F267" t="s">
        <v>2766</v>
      </c>
      <c r="G267" t="s">
        <v>322</v>
      </c>
      <c r="N267" s="107"/>
    </row>
    <row r="268" spans="1:14" hidden="1" x14ac:dyDescent="0.3">
      <c r="A268" t="s">
        <v>152</v>
      </c>
      <c r="B268" t="s">
        <v>1109</v>
      </c>
      <c r="C268" t="s">
        <v>1509</v>
      </c>
      <c r="D268">
        <f t="shared" si="4"/>
        <v>0</v>
      </c>
      <c r="E268" t="s">
        <v>19</v>
      </c>
      <c r="F268" t="s">
        <v>2767</v>
      </c>
      <c r="G268" t="s">
        <v>322</v>
      </c>
      <c r="N268" s="107"/>
    </row>
    <row r="269" spans="1:14" hidden="1" x14ac:dyDescent="0.3">
      <c r="A269" t="s">
        <v>152</v>
      </c>
      <c r="B269" t="s">
        <v>1112</v>
      </c>
      <c r="C269" t="s">
        <v>1509</v>
      </c>
      <c r="D269">
        <f t="shared" si="4"/>
        <v>0</v>
      </c>
      <c r="E269" t="s">
        <v>19</v>
      </c>
      <c r="F269" t="s">
        <v>2780</v>
      </c>
      <c r="G269" t="s">
        <v>322</v>
      </c>
      <c r="N269" s="107"/>
    </row>
    <row r="270" spans="1:14" hidden="1" x14ac:dyDescent="0.3">
      <c r="A270" t="s">
        <v>152</v>
      </c>
      <c r="B270" t="s">
        <v>472</v>
      </c>
      <c r="C270" t="s">
        <v>1513</v>
      </c>
      <c r="D270">
        <f t="shared" si="4"/>
        <v>0</v>
      </c>
      <c r="E270" t="s">
        <v>19</v>
      </c>
      <c r="F270" t="s">
        <v>2803</v>
      </c>
      <c r="G270" t="s">
        <v>322</v>
      </c>
      <c r="N270" s="107"/>
    </row>
    <row r="271" spans="1:14" hidden="1" x14ac:dyDescent="0.3">
      <c r="A271" t="s">
        <v>152</v>
      </c>
      <c r="B271" t="s">
        <v>586</v>
      </c>
      <c r="C271" t="s">
        <v>1521</v>
      </c>
      <c r="D271">
        <f t="shared" si="4"/>
        <v>0</v>
      </c>
      <c r="E271" t="s">
        <v>19</v>
      </c>
      <c r="F271" t="s">
        <v>2821</v>
      </c>
      <c r="G271" t="s">
        <v>322</v>
      </c>
      <c r="N271" s="107"/>
    </row>
    <row r="272" spans="1:14" x14ac:dyDescent="0.3">
      <c r="A272" t="s">
        <v>153</v>
      </c>
      <c r="B272" t="s">
        <v>590</v>
      </c>
      <c r="C272" t="s">
        <v>1171</v>
      </c>
      <c r="D272">
        <f t="shared" si="4"/>
        <v>1</v>
      </c>
      <c r="E272" t="s">
        <v>19</v>
      </c>
      <c r="F272" t="s">
        <v>1777</v>
      </c>
      <c r="G272" t="s">
        <v>322</v>
      </c>
      <c r="N272" s="107"/>
    </row>
    <row r="273" spans="1:14" x14ac:dyDescent="0.3">
      <c r="A273" t="s">
        <v>153</v>
      </c>
      <c r="B273" t="s">
        <v>590</v>
      </c>
      <c r="C273" t="s">
        <v>1335</v>
      </c>
      <c r="D273">
        <f t="shared" si="4"/>
        <v>1</v>
      </c>
      <c r="E273" t="s">
        <v>19</v>
      </c>
      <c r="F273" t="s">
        <v>2259</v>
      </c>
      <c r="G273" t="s">
        <v>322</v>
      </c>
      <c r="N273" s="107"/>
    </row>
    <row r="274" spans="1:14" x14ac:dyDescent="0.3">
      <c r="A274" t="s">
        <v>153</v>
      </c>
      <c r="B274" t="s">
        <v>898</v>
      </c>
      <c r="C274" t="s">
        <v>1335</v>
      </c>
      <c r="D274">
        <f t="shared" si="4"/>
        <v>1</v>
      </c>
      <c r="E274" t="s">
        <v>19</v>
      </c>
      <c r="F274" t="s">
        <v>2260</v>
      </c>
      <c r="G274" t="s">
        <v>322</v>
      </c>
      <c r="N274" s="107"/>
    </row>
    <row r="275" spans="1:14" x14ac:dyDescent="0.3">
      <c r="A275" t="s">
        <v>153</v>
      </c>
      <c r="B275" t="s">
        <v>590</v>
      </c>
      <c r="C275" t="s">
        <v>1335</v>
      </c>
      <c r="D275">
        <f t="shared" si="4"/>
        <v>1</v>
      </c>
      <c r="E275" t="s">
        <v>19</v>
      </c>
      <c r="F275" t="s">
        <v>2263</v>
      </c>
      <c r="G275" t="s">
        <v>322</v>
      </c>
      <c r="N275" s="107"/>
    </row>
    <row r="276" spans="1:14" x14ac:dyDescent="0.3">
      <c r="A276" t="s">
        <v>153</v>
      </c>
      <c r="B276" t="s">
        <v>898</v>
      </c>
      <c r="C276" t="s">
        <v>1416</v>
      </c>
      <c r="D276">
        <f t="shared" si="4"/>
        <v>1</v>
      </c>
      <c r="E276" t="s">
        <v>19</v>
      </c>
      <c r="F276" t="s">
        <v>2517</v>
      </c>
      <c r="G276" t="s">
        <v>322</v>
      </c>
      <c r="N276" s="107"/>
    </row>
    <row r="277" spans="1:14" x14ac:dyDescent="0.3">
      <c r="A277" t="s">
        <v>153</v>
      </c>
      <c r="B277" t="s">
        <v>590</v>
      </c>
      <c r="C277" t="s">
        <v>1416</v>
      </c>
      <c r="D277">
        <f t="shared" si="4"/>
        <v>1</v>
      </c>
      <c r="E277" t="s">
        <v>19</v>
      </c>
      <c r="F277" t="s">
        <v>2528</v>
      </c>
      <c r="G277" t="s">
        <v>322</v>
      </c>
      <c r="N277" s="107"/>
    </row>
    <row r="278" spans="1:14" x14ac:dyDescent="0.3">
      <c r="A278" t="s">
        <v>153</v>
      </c>
      <c r="B278" t="s">
        <v>1014</v>
      </c>
      <c r="C278" t="s">
        <v>1416</v>
      </c>
      <c r="D278">
        <f t="shared" si="4"/>
        <v>1</v>
      </c>
      <c r="E278" t="s">
        <v>19</v>
      </c>
      <c r="F278" t="s">
        <v>2529</v>
      </c>
      <c r="G278" t="s">
        <v>322</v>
      </c>
      <c r="N278" s="107"/>
    </row>
    <row r="279" spans="1:14" x14ac:dyDescent="0.3">
      <c r="A279" t="s">
        <v>153</v>
      </c>
      <c r="B279" t="s">
        <v>590</v>
      </c>
      <c r="C279" t="s">
        <v>1475</v>
      </c>
      <c r="D279">
        <f t="shared" si="4"/>
        <v>1</v>
      </c>
      <c r="E279" t="s">
        <v>19</v>
      </c>
      <c r="F279" t="s">
        <v>1475</v>
      </c>
      <c r="G279" t="s">
        <v>322</v>
      </c>
      <c r="N279" s="107"/>
    </row>
    <row r="280" spans="1:14" hidden="1" x14ac:dyDescent="0.3">
      <c r="A280" t="s">
        <v>154</v>
      </c>
      <c r="B280" t="s">
        <v>541</v>
      </c>
      <c r="C280" t="s">
        <v>1137</v>
      </c>
      <c r="D280">
        <f t="shared" si="4"/>
        <v>0</v>
      </c>
      <c r="E280" t="s">
        <v>19</v>
      </c>
      <c r="F280" t="s">
        <v>1730</v>
      </c>
      <c r="G280" t="s">
        <v>322</v>
      </c>
      <c r="N280" s="107"/>
    </row>
    <row r="281" spans="1:14" hidden="1" x14ac:dyDescent="0.3">
      <c r="A281" t="s">
        <v>154</v>
      </c>
      <c r="B281" t="s">
        <v>559</v>
      </c>
      <c r="C281" t="s">
        <v>1163</v>
      </c>
      <c r="D281">
        <f t="shared" si="4"/>
        <v>0</v>
      </c>
      <c r="E281" t="s">
        <v>19</v>
      </c>
      <c r="F281" t="s">
        <v>1735</v>
      </c>
      <c r="G281" t="s">
        <v>322</v>
      </c>
      <c r="N281" s="107"/>
    </row>
    <row r="282" spans="1:14" hidden="1" x14ac:dyDescent="0.3">
      <c r="A282" t="s">
        <v>154</v>
      </c>
      <c r="B282" t="s">
        <v>564</v>
      </c>
      <c r="C282" t="s">
        <v>1164</v>
      </c>
      <c r="D282">
        <f t="shared" si="4"/>
        <v>0</v>
      </c>
      <c r="E282" t="s">
        <v>19</v>
      </c>
      <c r="F282" t="s">
        <v>1742</v>
      </c>
      <c r="G282" t="s">
        <v>322</v>
      </c>
      <c r="N282" s="107"/>
    </row>
    <row r="283" spans="1:14" hidden="1" x14ac:dyDescent="0.3">
      <c r="A283" t="s">
        <v>154</v>
      </c>
      <c r="B283" t="s">
        <v>642</v>
      </c>
      <c r="C283" t="s">
        <v>1192</v>
      </c>
      <c r="D283">
        <f t="shared" si="4"/>
        <v>0</v>
      </c>
      <c r="E283" t="s">
        <v>19</v>
      </c>
      <c r="F283" t="s">
        <v>1850</v>
      </c>
      <c r="G283" t="s">
        <v>322</v>
      </c>
      <c r="N283" s="107"/>
    </row>
    <row r="284" spans="1:14" hidden="1" x14ac:dyDescent="0.3">
      <c r="A284" t="s">
        <v>154</v>
      </c>
      <c r="B284" t="s">
        <v>643</v>
      </c>
      <c r="C284" t="s">
        <v>1192</v>
      </c>
      <c r="D284">
        <f t="shared" si="4"/>
        <v>0</v>
      </c>
      <c r="E284" t="s">
        <v>19</v>
      </c>
      <c r="F284" t="s">
        <v>1851</v>
      </c>
      <c r="G284" t="s">
        <v>322</v>
      </c>
      <c r="N284" s="107"/>
    </row>
    <row r="285" spans="1:14" hidden="1" x14ac:dyDescent="0.3">
      <c r="A285" t="s">
        <v>154</v>
      </c>
      <c r="B285" t="s">
        <v>668</v>
      </c>
      <c r="C285" t="s">
        <v>1211</v>
      </c>
      <c r="D285">
        <f t="shared" si="4"/>
        <v>0</v>
      </c>
      <c r="E285" t="s">
        <v>19</v>
      </c>
      <c r="F285" t="s">
        <v>1887</v>
      </c>
      <c r="G285" t="s">
        <v>322</v>
      </c>
      <c r="N285" s="107"/>
    </row>
    <row r="286" spans="1:14" hidden="1" x14ac:dyDescent="0.3">
      <c r="A286" t="s">
        <v>154</v>
      </c>
      <c r="B286" t="s">
        <v>680</v>
      </c>
      <c r="C286" t="s">
        <v>1227</v>
      </c>
      <c r="D286">
        <f t="shared" si="4"/>
        <v>0</v>
      </c>
      <c r="E286" t="s">
        <v>19</v>
      </c>
      <c r="F286" t="s">
        <v>1898</v>
      </c>
      <c r="G286" t="s">
        <v>322</v>
      </c>
      <c r="N286" s="107"/>
    </row>
    <row r="287" spans="1:14" hidden="1" x14ac:dyDescent="0.3">
      <c r="A287" t="s">
        <v>154</v>
      </c>
      <c r="B287" t="s">
        <v>681</v>
      </c>
      <c r="C287" t="s">
        <v>1227</v>
      </c>
      <c r="D287">
        <f t="shared" si="4"/>
        <v>0</v>
      </c>
      <c r="E287" t="s">
        <v>19</v>
      </c>
      <c r="F287" t="s">
        <v>1900</v>
      </c>
      <c r="G287" t="s">
        <v>322</v>
      </c>
      <c r="N287" s="107"/>
    </row>
    <row r="288" spans="1:14" hidden="1" x14ac:dyDescent="0.3">
      <c r="A288" t="s">
        <v>154</v>
      </c>
      <c r="B288" t="s">
        <v>682</v>
      </c>
      <c r="C288" t="s">
        <v>1227</v>
      </c>
      <c r="D288">
        <f t="shared" si="4"/>
        <v>0</v>
      </c>
      <c r="E288" t="s">
        <v>19</v>
      </c>
      <c r="F288" t="s">
        <v>1901</v>
      </c>
      <c r="G288" t="s">
        <v>322</v>
      </c>
      <c r="N288" s="107"/>
    </row>
    <row r="289" spans="1:14" hidden="1" x14ac:dyDescent="0.3">
      <c r="A289" t="s">
        <v>154</v>
      </c>
      <c r="B289" t="s">
        <v>683</v>
      </c>
      <c r="C289" t="s">
        <v>1227</v>
      </c>
      <c r="D289">
        <f t="shared" si="4"/>
        <v>0</v>
      </c>
      <c r="E289" t="s">
        <v>19</v>
      </c>
      <c r="F289" t="s">
        <v>1902</v>
      </c>
      <c r="G289" t="s">
        <v>322</v>
      </c>
      <c r="N289" s="107"/>
    </row>
    <row r="290" spans="1:14" hidden="1" x14ac:dyDescent="0.3">
      <c r="A290" t="s">
        <v>154</v>
      </c>
      <c r="B290" t="s">
        <v>699</v>
      </c>
      <c r="C290" t="s">
        <v>1227</v>
      </c>
      <c r="D290">
        <f t="shared" si="4"/>
        <v>0</v>
      </c>
      <c r="E290" t="s">
        <v>19</v>
      </c>
      <c r="F290" t="s">
        <v>1931</v>
      </c>
      <c r="G290" t="s">
        <v>322</v>
      </c>
      <c r="N290" s="107"/>
    </row>
    <row r="291" spans="1:14" hidden="1" x14ac:dyDescent="0.3">
      <c r="A291" t="s">
        <v>154</v>
      </c>
      <c r="B291" t="s">
        <v>727</v>
      </c>
      <c r="C291" t="s">
        <v>1231</v>
      </c>
      <c r="D291">
        <f t="shared" si="4"/>
        <v>0</v>
      </c>
      <c r="E291" t="s">
        <v>19</v>
      </c>
      <c r="F291" t="s">
        <v>1990</v>
      </c>
      <c r="G291" t="s">
        <v>322</v>
      </c>
      <c r="N291" s="107"/>
    </row>
    <row r="292" spans="1:14" hidden="1" x14ac:dyDescent="0.3">
      <c r="A292" t="s">
        <v>154</v>
      </c>
      <c r="B292" t="s">
        <v>760</v>
      </c>
      <c r="C292" t="s">
        <v>1252</v>
      </c>
      <c r="D292">
        <f t="shared" si="4"/>
        <v>0</v>
      </c>
      <c r="E292" t="s">
        <v>19</v>
      </c>
      <c r="F292" t="s">
        <v>2049</v>
      </c>
      <c r="G292" t="s">
        <v>322</v>
      </c>
      <c r="N292" s="107"/>
    </row>
    <row r="293" spans="1:14" hidden="1" x14ac:dyDescent="0.3">
      <c r="A293" t="s">
        <v>154</v>
      </c>
      <c r="B293" t="s">
        <v>765</v>
      </c>
      <c r="C293" t="s">
        <v>1254</v>
      </c>
      <c r="D293">
        <f t="shared" si="4"/>
        <v>0</v>
      </c>
      <c r="E293" t="s">
        <v>19</v>
      </c>
      <c r="F293" t="s">
        <v>2060</v>
      </c>
      <c r="G293" t="s">
        <v>322</v>
      </c>
      <c r="N293" s="107"/>
    </row>
    <row r="294" spans="1:14" hidden="1" x14ac:dyDescent="0.3">
      <c r="A294" t="s">
        <v>154</v>
      </c>
      <c r="B294" t="s">
        <v>760</v>
      </c>
      <c r="C294" t="s">
        <v>1251</v>
      </c>
      <c r="D294">
        <f t="shared" si="4"/>
        <v>0</v>
      </c>
      <c r="E294" t="s">
        <v>19</v>
      </c>
      <c r="F294" t="s">
        <v>2066</v>
      </c>
      <c r="G294" t="s">
        <v>322</v>
      </c>
      <c r="N294" s="107"/>
    </row>
    <row r="295" spans="1:14" hidden="1" x14ac:dyDescent="0.3">
      <c r="A295" t="s">
        <v>154</v>
      </c>
      <c r="B295" t="s">
        <v>668</v>
      </c>
      <c r="C295" t="s">
        <v>1287</v>
      </c>
      <c r="D295">
        <f t="shared" si="4"/>
        <v>0</v>
      </c>
      <c r="E295" t="s">
        <v>19</v>
      </c>
      <c r="F295" t="s">
        <v>2143</v>
      </c>
      <c r="G295" t="s">
        <v>322</v>
      </c>
      <c r="N295" s="107"/>
    </row>
    <row r="296" spans="1:14" hidden="1" x14ac:dyDescent="0.3">
      <c r="A296" t="s">
        <v>154</v>
      </c>
      <c r="B296" t="s">
        <v>834</v>
      </c>
      <c r="C296" t="s">
        <v>1302</v>
      </c>
      <c r="D296">
        <f t="shared" si="4"/>
        <v>0</v>
      </c>
      <c r="E296" t="s">
        <v>19</v>
      </c>
      <c r="F296" t="s">
        <v>2176</v>
      </c>
      <c r="G296" t="s">
        <v>322</v>
      </c>
      <c r="N296" s="107"/>
    </row>
    <row r="297" spans="1:14" hidden="1" x14ac:dyDescent="0.3">
      <c r="A297" t="s">
        <v>154</v>
      </c>
      <c r="B297" t="s">
        <v>847</v>
      </c>
      <c r="C297" t="s">
        <v>1302</v>
      </c>
      <c r="D297">
        <f t="shared" si="4"/>
        <v>0</v>
      </c>
      <c r="E297" t="s">
        <v>19</v>
      </c>
      <c r="F297" t="s">
        <v>2189</v>
      </c>
      <c r="G297" t="s">
        <v>322</v>
      </c>
      <c r="N297" s="107"/>
    </row>
    <row r="298" spans="1:14" hidden="1" x14ac:dyDescent="0.3">
      <c r="A298" t="s">
        <v>154</v>
      </c>
      <c r="B298" t="s">
        <v>867</v>
      </c>
      <c r="C298" t="s">
        <v>1311</v>
      </c>
      <c r="D298">
        <f t="shared" si="4"/>
        <v>0</v>
      </c>
      <c r="E298" t="s">
        <v>19</v>
      </c>
      <c r="F298" t="s">
        <v>1311</v>
      </c>
      <c r="G298" t="s">
        <v>322</v>
      </c>
      <c r="N298" s="107"/>
    </row>
    <row r="299" spans="1:14" hidden="1" x14ac:dyDescent="0.3">
      <c r="A299" t="s">
        <v>154</v>
      </c>
      <c r="B299" t="s">
        <v>868</v>
      </c>
      <c r="C299" t="s">
        <v>1313</v>
      </c>
      <c r="D299">
        <f t="shared" si="4"/>
        <v>0</v>
      </c>
      <c r="E299" t="s">
        <v>19</v>
      </c>
      <c r="F299" t="s">
        <v>2211</v>
      </c>
      <c r="G299" t="s">
        <v>322</v>
      </c>
      <c r="N299" s="107"/>
    </row>
    <row r="300" spans="1:14" hidden="1" x14ac:dyDescent="0.3">
      <c r="A300" t="s">
        <v>154</v>
      </c>
      <c r="B300" t="s">
        <v>869</v>
      </c>
      <c r="C300" t="s">
        <v>1314</v>
      </c>
      <c r="D300">
        <f t="shared" si="4"/>
        <v>0</v>
      </c>
      <c r="E300" t="s">
        <v>19</v>
      </c>
      <c r="F300" t="s">
        <v>2218</v>
      </c>
      <c r="G300" t="s">
        <v>322</v>
      </c>
      <c r="N300" s="107"/>
    </row>
    <row r="301" spans="1:14" hidden="1" x14ac:dyDescent="0.3">
      <c r="A301" t="s">
        <v>154</v>
      </c>
      <c r="B301" t="s">
        <v>875</v>
      </c>
      <c r="C301" t="s">
        <v>1322</v>
      </c>
      <c r="D301">
        <f t="shared" si="4"/>
        <v>0</v>
      </c>
      <c r="E301" t="s">
        <v>19</v>
      </c>
      <c r="F301" t="s">
        <v>2226</v>
      </c>
      <c r="G301" t="s">
        <v>322</v>
      </c>
      <c r="N301" s="107"/>
    </row>
    <row r="302" spans="1:14" hidden="1" x14ac:dyDescent="0.3">
      <c r="A302" t="s">
        <v>154</v>
      </c>
      <c r="B302" t="s">
        <v>877</v>
      </c>
      <c r="C302" t="s">
        <v>1322</v>
      </c>
      <c r="D302">
        <f t="shared" si="4"/>
        <v>0</v>
      </c>
      <c r="E302" t="s">
        <v>19</v>
      </c>
      <c r="F302" t="s">
        <v>2228</v>
      </c>
      <c r="G302" t="s">
        <v>322</v>
      </c>
      <c r="N302" s="107"/>
    </row>
    <row r="303" spans="1:14" hidden="1" x14ac:dyDescent="0.3">
      <c r="A303" t="s">
        <v>154</v>
      </c>
      <c r="B303" t="s">
        <v>880</v>
      </c>
      <c r="C303" t="s">
        <v>1322</v>
      </c>
      <c r="D303">
        <f t="shared" si="4"/>
        <v>0</v>
      </c>
      <c r="E303" t="s">
        <v>19</v>
      </c>
      <c r="F303" t="s">
        <v>2231</v>
      </c>
      <c r="G303" t="s">
        <v>322</v>
      </c>
      <c r="N303" s="107"/>
    </row>
    <row r="304" spans="1:14" hidden="1" x14ac:dyDescent="0.3">
      <c r="A304" t="s">
        <v>154</v>
      </c>
      <c r="B304" t="s">
        <v>882</v>
      </c>
      <c r="C304" t="s">
        <v>1322</v>
      </c>
      <c r="D304">
        <f t="shared" si="4"/>
        <v>0</v>
      </c>
      <c r="E304" t="s">
        <v>19</v>
      </c>
      <c r="F304" t="s">
        <v>2233</v>
      </c>
      <c r="G304" t="s">
        <v>322</v>
      </c>
      <c r="N304" s="107"/>
    </row>
    <row r="305" spans="1:14" hidden="1" x14ac:dyDescent="0.3">
      <c r="A305" t="s">
        <v>154</v>
      </c>
      <c r="B305" t="s">
        <v>474</v>
      </c>
      <c r="C305" t="s">
        <v>1347</v>
      </c>
      <c r="D305">
        <f t="shared" si="4"/>
        <v>0</v>
      </c>
      <c r="E305" t="s">
        <v>19</v>
      </c>
      <c r="F305" t="s">
        <v>2283</v>
      </c>
      <c r="G305" t="s">
        <v>322</v>
      </c>
      <c r="N305" s="107"/>
    </row>
    <row r="306" spans="1:14" hidden="1" x14ac:dyDescent="0.3">
      <c r="A306" t="s">
        <v>154</v>
      </c>
      <c r="B306" t="s">
        <v>760</v>
      </c>
      <c r="C306" t="s">
        <v>1357</v>
      </c>
      <c r="D306">
        <f t="shared" si="4"/>
        <v>0</v>
      </c>
      <c r="E306" t="s">
        <v>19</v>
      </c>
      <c r="F306" t="s">
        <v>1357</v>
      </c>
      <c r="G306" t="s">
        <v>322</v>
      </c>
      <c r="N306" s="107"/>
    </row>
    <row r="307" spans="1:14" hidden="1" x14ac:dyDescent="0.3">
      <c r="A307" t="s">
        <v>154</v>
      </c>
      <c r="B307" t="s">
        <v>921</v>
      </c>
      <c r="C307" t="s">
        <v>1358</v>
      </c>
      <c r="D307">
        <f t="shared" si="4"/>
        <v>0</v>
      </c>
      <c r="E307" t="s">
        <v>19</v>
      </c>
      <c r="F307" t="s">
        <v>2301</v>
      </c>
      <c r="G307" t="s">
        <v>322</v>
      </c>
      <c r="N307" s="107"/>
    </row>
    <row r="308" spans="1:14" hidden="1" x14ac:dyDescent="0.3">
      <c r="A308" t="s">
        <v>154</v>
      </c>
      <c r="B308" t="s">
        <v>882</v>
      </c>
      <c r="C308" t="s">
        <v>1360</v>
      </c>
      <c r="D308">
        <f t="shared" si="4"/>
        <v>0</v>
      </c>
      <c r="E308" t="s">
        <v>19</v>
      </c>
      <c r="F308" t="s">
        <v>1360</v>
      </c>
      <c r="G308" t="s">
        <v>322</v>
      </c>
      <c r="N308" s="107"/>
    </row>
    <row r="309" spans="1:14" hidden="1" x14ac:dyDescent="0.3">
      <c r="A309" t="s">
        <v>154</v>
      </c>
      <c r="B309" t="s">
        <v>928</v>
      </c>
      <c r="C309" t="s">
        <v>1366</v>
      </c>
      <c r="D309">
        <f t="shared" si="4"/>
        <v>0</v>
      </c>
      <c r="E309" t="s">
        <v>19</v>
      </c>
      <c r="F309" t="s">
        <v>2308</v>
      </c>
      <c r="G309" t="s">
        <v>322</v>
      </c>
      <c r="N309" s="107"/>
    </row>
    <row r="310" spans="1:14" hidden="1" x14ac:dyDescent="0.3">
      <c r="A310" t="s">
        <v>154</v>
      </c>
      <c r="B310" t="s">
        <v>929</v>
      </c>
      <c r="C310" t="s">
        <v>1368</v>
      </c>
      <c r="D310">
        <f t="shared" si="4"/>
        <v>0</v>
      </c>
      <c r="E310" t="s">
        <v>19</v>
      </c>
      <c r="F310" t="s">
        <v>1368</v>
      </c>
      <c r="G310" t="s">
        <v>322</v>
      </c>
      <c r="N310" s="107"/>
    </row>
    <row r="311" spans="1:14" hidden="1" x14ac:dyDescent="0.3">
      <c r="A311" t="s">
        <v>154</v>
      </c>
      <c r="B311" t="s">
        <v>945</v>
      </c>
      <c r="C311" t="s">
        <v>1386</v>
      </c>
      <c r="D311">
        <f t="shared" si="4"/>
        <v>0</v>
      </c>
      <c r="E311" t="s">
        <v>19</v>
      </c>
      <c r="F311" t="s">
        <v>1386</v>
      </c>
      <c r="G311" t="s">
        <v>322</v>
      </c>
      <c r="N311" s="107"/>
    </row>
    <row r="312" spans="1:14" hidden="1" x14ac:dyDescent="0.3">
      <c r="A312" t="s">
        <v>154</v>
      </c>
      <c r="B312" t="s">
        <v>559</v>
      </c>
      <c r="C312" t="s">
        <v>1382</v>
      </c>
      <c r="D312">
        <f t="shared" si="4"/>
        <v>0</v>
      </c>
      <c r="E312" t="s">
        <v>19</v>
      </c>
      <c r="F312" t="s">
        <v>2338</v>
      </c>
      <c r="G312" t="s">
        <v>322</v>
      </c>
      <c r="N312" s="107"/>
    </row>
    <row r="313" spans="1:14" hidden="1" x14ac:dyDescent="0.3">
      <c r="A313" t="s">
        <v>154</v>
      </c>
      <c r="B313" t="s">
        <v>947</v>
      </c>
      <c r="C313" t="s">
        <v>1389</v>
      </c>
      <c r="D313">
        <f t="shared" si="4"/>
        <v>0</v>
      </c>
      <c r="E313" t="s">
        <v>19</v>
      </c>
      <c r="F313" t="s">
        <v>1389</v>
      </c>
      <c r="G313" t="s">
        <v>322</v>
      </c>
      <c r="N313" s="107"/>
    </row>
    <row r="314" spans="1:14" hidden="1" x14ac:dyDescent="0.3">
      <c r="A314" t="s">
        <v>154</v>
      </c>
      <c r="B314" t="s">
        <v>948</v>
      </c>
      <c r="C314" t="s">
        <v>1382</v>
      </c>
      <c r="D314">
        <f t="shared" si="4"/>
        <v>0</v>
      </c>
      <c r="E314" t="s">
        <v>19</v>
      </c>
      <c r="F314" t="s">
        <v>2348</v>
      </c>
      <c r="G314" t="s">
        <v>322</v>
      </c>
      <c r="N314" s="107"/>
    </row>
    <row r="315" spans="1:14" hidden="1" x14ac:dyDescent="0.3">
      <c r="A315" t="s">
        <v>154</v>
      </c>
      <c r="B315" t="s">
        <v>949</v>
      </c>
      <c r="C315" t="s">
        <v>1382</v>
      </c>
      <c r="D315">
        <f t="shared" si="4"/>
        <v>0</v>
      </c>
      <c r="E315" t="s">
        <v>19</v>
      </c>
      <c r="F315" t="s">
        <v>2350</v>
      </c>
      <c r="G315" t="s">
        <v>322</v>
      </c>
      <c r="N315" s="107"/>
    </row>
    <row r="316" spans="1:14" hidden="1" x14ac:dyDescent="0.3">
      <c r="A316" t="s">
        <v>154</v>
      </c>
      <c r="B316" t="s">
        <v>960</v>
      </c>
      <c r="C316" t="s">
        <v>1404</v>
      </c>
      <c r="D316">
        <f t="shared" si="4"/>
        <v>0</v>
      </c>
      <c r="E316" t="s">
        <v>19</v>
      </c>
      <c r="F316" t="s">
        <v>2392</v>
      </c>
      <c r="G316" t="s">
        <v>322</v>
      </c>
      <c r="N316" s="107"/>
    </row>
    <row r="317" spans="1:14" hidden="1" x14ac:dyDescent="0.3">
      <c r="A317" t="s">
        <v>154</v>
      </c>
      <c r="B317" t="s">
        <v>760</v>
      </c>
      <c r="C317" t="s">
        <v>1413</v>
      </c>
      <c r="D317">
        <f t="shared" si="4"/>
        <v>0</v>
      </c>
      <c r="E317" t="s">
        <v>19</v>
      </c>
      <c r="F317" t="s">
        <v>2464</v>
      </c>
      <c r="G317" t="s">
        <v>322</v>
      </c>
      <c r="N317" s="107"/>
    </row>
    <row r="318" spans="1:14" hidden="1" x14ac:dyDescent="0.3">
      <c r="A318" t="s">
        <v>154</v>
      </c>
      <c r="B318" t="s">
        <v>1002</v>
      </c>
      <c r="C318" t="s">
        <v>1413</v>
      </c>
      <c r="D318">
        <f t="shared" si="4"/>
        <v>0</v>
      </c>
      <c r="E318" t="s">
        <v>19</v>
      </c>
      <c r="F318" t="s">
        <v>2465</v>
      </c>
      <c r="G318" t="s">
        <v>322</v>
      </c>
      <c r="N318" s="107"/>
    </row>
    <row r="319" spans="1:14" hidden="1" x14ac:dyDescent="0.3">
      <c r="A319" t="s">
        <v>154</v>
      </c>
      <c r="B319" t="s">
        <v>1007</v>
      </c>
      <c r="C319" t="s">
        <v>1414</v>
      </c>
      <c r="D319">
        <f t="shared" si="4"/>
        <v>0</v>
      </c>
      <c r="E319" t="s">
        <v>19</v>
      </c>
      <c r="F319" t="s">
        <v>2486</v>
      </c>
      <c r="G319" t="s">
        <v>322</v>
      </c>
      <c r="N319" s="107"/>
    </row>
    <row r="320" spans="1:14" hidden="1" x14ac:dyDescent="0.3">
      <c r="A320" t="s">
        <v>154</v>
      </c>
      <c r="B320" t="s">
        <v>1002</v>
      </c>
      <c r="C320" t="s">
        <v>1414</v>
      </c>
      <c r="D320">
        <f t="shared" si="4"/>
        <v>0</v>
      </c>
      <c r="E320" t="s">
        <v>19</v>
      </c>
      <c r="F320" t="s">
        <v>2499</v>
      </c>
      <c r="G320" t="s">
        <v>322</v>
      </c>
      <c r="N320" s="107"/>
    </row>
    <row r="321" spans="1:14" hidden="1" x14ac:dyDescent="0.3">
      <c r="A321" t="s">
        <v>154</v>
      </c>
      <c r="B321" t="s">
        <v>1025</v>
      </c>
      <c r="C321" t="s">
        <v>1424</v>
      </c>
      <c r="D321">
        <f t="shared" ref="D321:D384" si="5">SIGN(SUBTOTAL(3,E321))</f>
        <v>0</v>
      </c>
      <c r="E321" t="s">
        <v>19</v>
      </c>
      <c r="F321" t="s">
        <v>2552</v>
      </c>
      <c r="G321" t="s">
        <v>322</v>
      </c>
      <c r="N321" s="107"/>
    </row>
    <row r="322" spans="1:14" hidden="1" x14ac:dyDescent="0.3">
      <c r="A322" t="s">
        <v>154</v>
      </c>
      <c r="B322" t="s">
        <v>681</v>
      </c>
      <c r="C322" t="s">
        <v>1424</v>
      </c>
      <c r="D322">
        <f t="shared" si="5"/>
        <v>0</v>
      </c>
      <c r="E322" t="s">
        <v>19</v>
      </c>
      <c r="F322" t="s">
        <v>2553</v>
      </c>
      <c r="G322" t="s">
        <v>322</v>
      </c>
      <c r="N322" s="107"/>
    </row>
    <row r="323" spans="1:14" hidden="1" x14ac:dyDescent="0.3">
      <c r="A323" t="s">
        <v>154</v>
      </c>
      <c r="B323" t="s">
        <v>760</v>
      </c>
      <c r="C323" t="s">
        <v>1446</v>
      </c>
      <c r="D323">
        <f t="shared" si="5"/>
        <v>0</v>
      </c>
      <c r="E323" t="s">
        <v>19</v>
      </c>
      <c r="F323" t="s">
        <v>2617</v>
      </c>
      <c r="G323" t="s">
        <v>322</v>
      </c>
      <c r="N323" s="107"/>
    </row>
    <row r="324" spans="1:14" hidden="1" x14ac:dyDescent="0.3">
      <c r="A324" t="s">
        <v>154</v>
      </c>
      <c r="B324" t="s">
        <v>1061</v>
      </c>
      <c r="C324" t="s">
        <v>1449</v>
      </c>
      <c r="D324">
        <f t="shared" si="5"/>
        <v>0</v>
      </c>
      <c r="E324" t="s">
        <v>19</v>
      </c>
      <c r="F324" t="s">
        <v>2627</v>
      </c>
      <c r="G324" t="s">
        <v>322</v>
      </c>
      <c r="N324" s="107"/>
    </row>
    <row r="325" spans="1:14" hidden="1" x14ac:dyDescent="0.3">
      <c r="A325" t="s">
        <v>154</v>
      </c>
      <c r="B325" t="s">
        <v>1062</v>
      </c>
      <c r="C325" t="s">
        <v>1449</v>
      </c>
      <c r="D325">
        <f t="shared" si="5"/>
        <v>0</v>
      </c>
      <c r="E325" t="s">
        <v>19</v>
      </c>
      <c r="F325" t="s">
        <v>2628</v>
      </c>
      <c r="G325" t="s">
        <v>322</v>
      </c>
      <c r="N325" s="107"/>
    </row>
    <row r="326" spans="1:14" hidden="1" x14ac:dyDescent="0.3">
      <c r="A326" t="s">
        <v>154</v>
      </c>
      <c r="B326" t="s">
        <v>929</v>
      </c>
      <c r="C326" t="s">
        <v>1449</v>
      </c>
      <c r="D326">
        <f t="shared" si="5"/>
        <v>0</v>
      </c>
      <c r="E326" t="s">
        <v>19</v>
      </c>
      <c r="F326" t="s">
        <v>2629</v>
      </c>
      <c r="G326" t="s">
        <v>322</v>
      </c>
      <c r="N326" s="107"/>
    </row>
    <row r="327" spans="1:14" hidden="1" x14ac:dyDescent="0.3">
      <c r="A327" t="s">
        <v>154</v>
      </c>
      <c r="B327" t="s">
        <v>681</v>
      </c>
      <c r="C327" t="s">
        <v>1449</v>
      </c>
      <c r="D327">
        <f t="shared" si="5"/>
        <v>0</v>
      </c>
      <c r="E327" t="s">
        <v>19</v>
      </c>
      <c r="F327" t="s">
        <v>2630</v>
      </c>
      <c r="G327" t="s">
        <v>322</v>
      </c>
      <c r="N327" s="107"/>
    </row>
    <row r="328" spans="1:14" hidden="1" x14ac:dyDescent="0.3">
      <c r="A328" t="s">
        <v>154</v>
      </c>
      <c r="B328" t="s">
        <v>1025</v>
      </c>
      <c r="C328" t="s">
        <v>1461</v>
      </c>
      <c r="D328">
        <f t="shared" si="5"/>
        <v>0</v>
      </c>
      <c r="E328" t="s">
        <v>19</v>
      </c>
      <c r="F328" t="s">
        <v>2642</v>
      </c>
      <c r="G328" t="s">
        <v>322</v>
      </c>
      <c r="N328" s="107"/>
    </row>
    <row r="329" spans="1:14" hidden="1" x14ac:dyDescent="0.3">
      <c r="A329" t="s">
        <v>154</v>
      </c>
      <c r="B329" t="s">
        <v>867</v>
      </c>
      <c r="C329" t="s">
        <v>1461</v>
      </c>
      <c r="D329">
        <f t="shared" si="5"/>
        <v>0</v>
      </c>
      <c r="E329" t="s">
        <v>19</v>
      </c>
      <c r="F329" t="s">
        <v>2643</v>
      </c>
      <c r="G329" t="s">
        <v>322</v>
      </c>
      <c r="N329" s="107"/>
    </row>
    <row r="330" spans="1:14" hidden="1" x14ac:dyDescent="0.3">
      <c r="A330" t="s">
        <v>154</v>
      </c>
      <c r="B330" t="s">
        <v>869</v>
      </c>
      <c r="C330" t="s">
        <v>1461</v>
      </c>
      <c r="D330">
        <f t="shared" si="5"/>
        <v>0</v>
      </c>
      <c r="E330" t="s">
        <v>19</v>
      </c>
      <c r="F330" t="s">
        <v>2675</v>
      </c>
      <c r="G330" t="s">
        <v>322</v>
      </c>
      <c r="N330" s="107"/>
    </row>
    <row r="331" spans="1:14" hidden="1" x14ac:dyDescent="0.3">
      <c r="A331" t="s">
        <v>154</v>
      </c>
      <c r="B331" t="s">
        <v>867</v>
      </c>
      <c r="C331" t="s">
        <v>1478</v>
      </c>
      <c r="D331">
        <f t="shared" si="5"/>
        <v>0</v>
      </c>
      <c r="E331" t="s">
        <v>19</v>
      </c>
      <c r="F331" t="s">
        <v>2689</v>
      </c>
      <c r="G331" t="s">
        <v>322</v>
      </c>
      <c r="N331" s="107"/>
    </row>
    <row r="332" spans="1:14" hidden="1" x14ac:dyDescent="0.3">
      <c r="A332" t="s">
        <v>154</v>
      </c>
      <c r="B332" t="s">
        <v>1089</v>
      </c>
      <c r="C332" t="s">
        <v>1485</v>
      </c>
      <c r="D332">
        <f t="shared" si="5"/>
        <v>0</v>
      </c>
      <c r="E332" t="s">
        <v>19</v>
      </c>
      <c r="F332" t="s">
        <v>1485</v>
      </c>
      <c r="G332" t="s">
        <v>322</v>
      </c>
      <c r="N332" s="107"/>
    </row>
    <row r="333" spans="1:14" hidden="1" x14ac:dyDescent="0.3">
      <c r="A333" t="s">
        <v>154</v>
      </c>
      <c r="B333" t="s">
        <v>1120</v>
      </c>
      <c r="C333" t="s">
        <v>1513</v>
      </c>
      <c r="D333">
        <f t="shared" si="5"/>
        <v>0</v>
      </c>
      <c r="E333" t="s">
        <v>19</v>
      </c>
      <c r="F333" t="s">
        <v>2814</v>
      </c>
      <c r="G333" t="s">
        <v>322</v>
      </c>
      <c r="N333" s="107"/>
    </row>
    <row r="334" spans="1:14" hidden="1" x14ac:dyDescent="0.3">
      <c r="A334" t="s">
        <v>154</v>
      </c>
      <c r="B334" t="s">
        <v>1133</v>
      </c>
      <c r="C334" t="s">
        <v>1541</v>
      </c>
      <c r="D334">
        <f t="shared" si="5"/>
        <v>0</v>
      </c>
      <c r="E334" t="s">
        <v>19</v>
      </c>
      <c r="F334" t="s">
        <v>1541</v>
      </c>
      <c r="G334" t="s">
        <v>322</v>
      </c>
      <c r="N334" s="107"/>
    </row>
    <row r="335" spans="1:14" hidden="1" x14ac:dyDescent="0.3">
      <c r="A335" t="s">
        <v>155</v>
      </c>
      <c r="B335" t="s">
        <v>475</v>
      </c>
      <c r="C335" t="s">
        <v>1208</v>
      </c>
      <c r="D335">
        <f t="shared" si="5"/>
        <v>0</v>
      </c>
      <c r="E335" t="s">
        <v>19</v>
      </c>
      <c r="F335" t="s">
        <v>1873</v>
      </c>
      <c r="G335" t="s">
        <v>322</v>
      </c>
      <c r="N335" s="107"/>
    </row>
    <row r="336" spans="1:14" hidden="1" x14ac:dyDescent="0.3">
      <c r="A336" t="s">
        <v>155</v>
      </c>
      <c r="B336" t="s">
        <v>667</v>
      </c>
      <c r="C336" t="s">
        <v>1211</v>
      </c>
      <c r="D336">
        <f t="shared" si="5"/>
        <v>0</v>
      </c>
      <c r="E336" t="s">
        <v>19</v>
      </c>
      <c r="F336" t="s">
        <v>1886</v>
      </c>
      <c r="G336" t="s">
        <v>322</v>
      </c>
      <c r="N336" s="107"/>
    </row>
    <row r="337" spans="1:14" hidden="1" x14ac:dyDescent="0.3">
      <c r="A337" t="s">
        <v>155</v>
      </c>
      <c r="B337" t="s">
        <v>679</v>
      </c>
      <c r="C337" t="s">
        <v>1227</v>
      </c>
      <c r="D337">
        <f t="shared" si="5"/>
        <v>0</v>
      </c>
      <c r="E337" t="s">
        <v>19</v>
      </c>
      <c r="F337" t="s">
        <v>1896</v>
      </c>
      <c r="G337" t="s">
        <v>322</v>
      </c>
      <c r="N337" s="107"/>
    </row>
    <row r="338" spans="1:14" hidden="1" x14ac:dyDescent="0.3">
      <c r="A338" t="s">
        <v>155</v>
      </c>
      <c r="B338" t="s">
        <v>687</v>
      </c>
      <c r="C338" t="s">
        <v>1227</v>
      </c>
      <c r="D338">
        <f t="shared" si="5"/>
        <v>0</v>
      </c>
      <c r="E338" t="s">
        <v>19</v>
      </c>
      <c r="F338" t="s">
        <v>1906</v>
      </c>
      <c r="G338" t="s">
        <v>322</v>
      </c>
      <c r="N338" s="107"/>
    </row>
    <row r="339" spans="1:14" hidden="1" x14ac:dyDescent="0.3">
      <c r="A339" t="s">
        <v>155</v>
      </c>
      <c r="B339" t="s">
        <v>475</v>
      </c>
      <c r="C339" t="s">
        <v>1227</v>
      </c>
      <c r="D339">
        <f t="shared" si="5"/>
        <v>0</v>
      </c>
      <c r="E339" t="s">
        <v>19</v>
      </c>
      <c r="F339" t="s">
        <v>1909</v>
      </c>
      <c r="G339" t="s">
        <v>322</v>
      </c>
      <c r="N339" s="107"/>
    </row>
    <row r="340" spans="1:14" hidden="1" x14ac:dyDescent="0.3">
      <c r="A340" t="s">
        <v>155</v>
      </c>
      <c r="B340" t="s">
        <v>667</v>
      </c>
      <c r="C340" t="s">
        <v>1227</v>
      </c>
      <c r="D340">
        <f t="shared" si="5"/>
        <v>0</v>
      </c>
      <c r="E340" t="s">
        <v>19</v>
      </c>
      <c r="F340" t="s">
        <v>1913</v>
      </c>
      <c r="G340" t="s">
        <v>322</v>
      </c>
      <c r="N340" s="107"/>
    </row>
    <row r="341" spans="1:14" hidden="1" x14ac:dyDescent="0.3">
      <c r="A341" t="s">
        <v>155</v>
      </c>
      <c r="B341" t="s">
        <v>475</v>
      </c>
      <c r="C341" t="s">
        <v>1227</v>
      </c>
      <c r="D341">
        <f t="shared" si="5"/>
        <v>0</v>
      </c>
      <c r="E341" t="s">
        <v>19</v>
      </c>
      <c r="F341" t="s">
        <v>1926</v>
      </c>
      <c r="G341" t="s">
        <v>322</v>
      </c>
      <c r="N341" s="107"/>
    </row>
    <row r="342" spans="1:14" hidden="1" x14ac:dyDescent="0.3">
      <c r="A342" t="s">
        <v>155</v>
      </c>
      <c r="B342" t="s">
        <v>698</v>
      </c>
      <c r="C342" t="s">
        <v>1227</v>
      </c>
      <c r="D342">
        <f t="shared" si="5"/>
        <v>0</v>
      </c>
      <c r="E342" t="s">
        <v>19</v>
      </c>
      <c r="F342" t="s">
        <v>1930</v>
      </c>
      <c r="G342" t="s">
        <v>322</v>
      </c>
      <c r="N342" s="107"/>
    </row>
    <row r="343" spans="1:14" hidden="1" x14ac:dyDescent="0.3">
      <c r="A343" t="s">
        <v>155</v>
      </c>
      <c r="B343" t="s">
        <v>702</v>
      </c>
      <c r="C343" t="s">
        <v>1227</v>
      </c>
      <c r="D343">
        <f t="shared" si="5"/>
        <v>0</v>
      </c>
      <c r="E343" t="s">
        <v>19</v>
      </c>
      <c r="F343" t="s">
        <v>1934</v>
      </c>
      <c r="G343" t="s">
        <v>322</v>
      </c>
      <c r="N343" s="107"/>
    </row>
    <row r="344" spans="1:14" hidden="1" x14ac:dyDescent="0.3">
      <c r="A344" t="s">
        <v>155</v>
      </c>
      <c r="B344" t="s">
        <v>475</v>
      </c>
      <c r="C344" t="s">
        <v>1227</v>
      </c>
      <c r="D344">
        <f t="shared" si="5"/>
        <v>0</v>
      </c>
      <c r="E344" t="s">
        <v>19</v>
      </c>
      <c r="F344" t="s">
        <v>1937</v>
      </c>
      <c r="G344" t="s">
        <v>322</v>
      </c>
      <c r="N344" s="107"/>
    </row>
    <row r="345" spans="1:14" hidden="1" x14ac:dyDescent="0.3">
      <c r="A345" t="s">
        <v>155</v>
      </c>
      <c r="B345" t="s">
        <v>728</v>
      </c>
      <c r="C345" t="s">
        <v>1231</v>
      </c>
      <c r="D345">
        <f t="shared" si="5"/>
        <v>0</v>
      </c>
      <c r="E345" t="s">
        <v>19</v>
      </c>
      <c r="F345" t="s">
        <v>1991</v>
      </c>
      <c r="G345" t="s">
        <v>322</v>
      </c>
      <c r="N345" s="107"/>
    </row>
    <row r="346" spans="1:14" hidden="1" x14ac:dyDescent="0.3">
      <c r="A346" t="s">
        <v>155</v>
      </c>
      <c r="B346" t="s">
        <v>774</v>
      </c>
      <c r="C346" t="s">
        <v>1260</v>
      </c>
      <c r="D346">
        <f t="shared" si="5"/>
        <v>0</v>
      </c>
      <c r="E346" t="s">
        <v>19</v>
      </c>
      <c r="F346" t="s">
        <v>2072</v>
      </c>
      <c r="G346" t="s">
        <v>322</v>
      </c>
      <c r="N346" s="107"/>
    </row>
    <row r="347" spans="1:14" hidden="1" x14ac:dyDescent="0.3">
      <c r="A347" t="s">
        <v>155</v>
      </c>
      <c r="B347" t="s">
        <v>775</v>
      </c>
      <c r="C347" t="s">
        <v>1260</v>
      </c>
      <c r="D347">
        <f t="shared" si="5"/>
        <v>0</v>
      </c>
      <c r="E347" t="s">
        <v>19</v>
      </c>
      <c r="F347" t="s">
        <v>2073</v>
      </c>
      <c r="G347" t="s">
        <v>322</v>
      </c>
      <c r="N347" s="107"/>
    </row>
    <row r="348" spans="1:14" hidden="1" x14ac:dyDescent="0.3">
      <c r="A348" t="s">
        <v>155</v>
      </c>
      <c r="B348" t="s">
        <v>776</v>
      </c>
      <c r="C348" t="s">
        <v>1260</v>
      </c>
      <c r="D348">
        <f t="shared" si="5"/>
        <v>0</v>
      </c>
      <c r="E348" t="s">
        <v>19</v>
      </c>
      <c r="F348" t="s">
        <v>2074</v>
      </c>
      <c r="G348" t="s">
        <v>322</v>
      </c>
      <c r="N348" s="107"/>
    </row>
    <row r="349" spans="1:14" hidden="1" x14ac:dyDescent="0.3">
      <c r="A349" t="s">
        <v>155</v>
      </c>
      <c r="B349" t="s">
        <v>728</v>
      </c>
      <c r="C349" t="s">
        <v>1285</v>
      </c>
      <c r="D349">
        <f t="shared" si="5"/>
        <v>0</v>
      </c>
      <c r="E349" t="s">
        <v>19</v>
      </c>
      <c r="F349" t="s">
        <v>2105</v>
      </c>
      <c r="G349" t="s">
        <v>322</v>
      </c>
      <c r="N349" s="107"/>
    </row>
    <row r="350" spans="1:14" hidden="1" x14ac:dyDescent="0.3">
      <c r="A350" t="s">
        <v>155</v>
      </c>
      <c r="B350" t="s">
        <v>862</v>
      </c>
      <c r="C350" t="s">
        <v>1307</v>
      </c>
      <c r="D350">
        <f t="shared" si="5"/>
        <v>0</v>
      </c>
      <c r="E350" t="s">
        <v>19</v>
      </c>
      <c r="F350" t="s">
        <v>2207</v>
      </c>
      <c r="G350" t="s">
        <v>322</v>
      </c>
      <c r="N350" s="107"/>
    </row>
    <row r="351" spans="1:14" hidden="1" x14ac:dyDescent="0.3">
      <c r="A351" t="s">
        <v>155</v>
      </c>
      <c r="B351" t="s">
        <v>667</v>
      </c>
      <c r="C351" t="s">
        <v>1312</v>
      </c>
      <c r="D351">
        <f t="shared" si="5"/>
        <v>0</v>
      </c>
      <c r="E351" t="s">
        <v>19</v>
      </c>
      <c r="F351" t="s">
        <v>1312</v>
      </c>
      <c r="G351" t="s">
        <v>322</v>
      </c>
      <c r="N351" s="107"/>
    </row>
    <row r="352" spans="1:14" hidden="1" x14ac:dyDescent="0.3">
      <c r="A352" t="s">
        <v>155</v>
      </c>
      <c r="B352" t="s">
        <v>909</v>
      </c>
      <c r="C352" t="s">
        <v>1347</v>
      </c>
      <c r="D352">
        <f t="shared" si="5"/>
        <v>0</v>
      </c>
      <c r="E352" t="s">
        <v>19</v>
      </c>
      <c r="F352" t="s">
        <v>2285</v>
      </c>
      <c r="G352" t="s">
        <v>322</v>
      </c>
      <c r="N352" s="107"/>
    </row>
    <row r="353" spans="1:14" hidden="1" x14ac:dyDescent="0.3">
      <c r="A353" t="s">
        <v>155</v>
      </c>
      <c r="B353" t="s">
        <v>763</v>
      </c>
      <c r="C353" t="s">
        <v>1347</v>
      </c>
      <c r="D353">
        <f t="shared" si="5"/>
        <v>0</v>
      </c>
      <c r="E353" t="s">
        <v>19</v>
      </c>
      <c r="F353" t="s">
        <v>2286</v>
      </c>
      <c r="G353" t="s">
        <v>322</v>
      </c>
      <c r="N353" s="107"/>
    </row>
    <row r="354" spans="1:14" hidden="1" x14ac:dyDescent="0.3">
      <c r="A354" t="s">
        <v>155</v>
      </c>
      <c r="B354" t="s">
        <v>920</v>
      </c>
      <c r="C354" t="s">
        <v>1358</v>
      </c>
      <c r="D354">
        <f t="shared" si="5"/>
        <v>0</v>
      </c>
      <c r="E354" t="s">
        <v>19</v>
      </c>
      <c r="F354" t="s">
        <v>2299</v>
      </c>
      <c r="G354" t="s">
        <v>322</v>
      </c>
      <c r="N354" s="107"/>
    </row>
    <row r="355" spans="1:14" hidden="1" x14ac:dyDescent="0.3">
      <c r="A355" t="s">
        <v>155</v>
      </c>
      <c r="B355" t="s">
        <v>475</v>
      </c>
      <c r="C355" t="s">
        <v>1382</v>
      </c>
      <c r="D355">
        <f t="shared" si="5"/>
        <v>0</v>
      </c>
      <c r="E355" t="s">
        <v>19</v>
      </c>
      <c r="F355" t="s">
        <v>2347</v>
      </c>
      <c r="G355" t="s">
        <v>322</v>
      </c>
      <c r="N355" s="107"/>
    </row>
    <row r="356" spans="1:14" hidden="1" x14ac:dyDescent="0.3">
      <c r="A356" t="s">
        <v>155</v>
      </c>
      <c r="B356" t="s">
        <v>728</v>
      </c>
      <c r="C356" t="s">
        <v>1400</v>
      </c>
      <c r="D356">
        <f t="shared" si="5"/>
        <v>0</v>
      </c>
      <c r="E356" t="s">
        <v>19</v>
      </c>
      <c r="F356" t="s">
        <v>1400</v>
      </c>
      <c r="G356" t="s">
        <v>322</v>
      </c>
      <c r="N356" s="107"/>
    </row>
    <row r="357" spans="1:14" hidden="1" x14ac:dyDescent="0.3">
      <c r="A357" t="s">
        <v>155</v>
      </c>
      <c r="B357" t="s">
        <v>475</v>
      </c>
      <c r="C357" t="s">
        <v>1411</v>
      </c>
      <c r="D357">
        <f t="shared" si="5"/>
        <v>0</v>
      </c>
      <c r="E357" t="s">
        <v>19</v>
      </c>
      <c r="F357" t="s">
        <v>2456</v>
      </c>
      <c r="G357" t="s">
        <v>322</v>
      </c>
      <c r="N357" s="107"/>
    </row>
    <row r="358" spans="1:14" hidden="1" x14ac:dyDescent="0.3">
      <c r="A358" t="s">
        <v>155</v>
      </c>
      <c r="B358" t="s">
        <v>667</v>
      </c>
      <c r="C358" t="s">
        <v>1414</v>
      </c>
      <c r="D358">
        <f t="shared" si="5"/>
        <v>0</v>
      </c>
      <c r="E358" t="s">
        <v>19</v>
      </c>
      <c r="F358" t="s">
        <v>2466</v>
      </c>
      <c r="G358" t="s">
        <v>322</v>
      </c>
      <c r="N358" s="107"/>
    </row>
    <row r="359" spans="1:14" hidden="1" x14ac:dyDescent="0.3">
      <c r="A359" t="s">
        <v>155</v>
      </c>
      <c r="B359" t="s">
        <v>687</v>
      </c>
      <c r="C359" t="s">
        <v>1414</v>
      </c>
      <c r="D359">
        <f t="shared" si="5"/>
        <v>0</v>
      </c>
      <c r="E359" t="s">
        <v>19</v>
      </c>
      <c r="F359" t="s">
        <v>2476</v>
      </c>
      <c r="G359" t="s">
        <v>322</v>
      </c>
      <c r="N359" s="107"/>
    </row>
    <row r="360" spans="1:14" hidden="1" x14ac:dyDescent="0.3">
      <c r="A360" t="s">
        <v>155</v>
      </c>
      <c r="B360" t="s">
        <v>475</v>
      </c>
      <c r="C360" t="s">
        <v>1414</v>
      </c>
      <c r="D360">
        <f t="shared" si="5"/>
        <v>0</v>
      </c>
      <c r="E360" t="s">
        <v>19</v>
      </c>
      <c r="F360" t="s">
        <v>2480</v>
      </c>
      <c r="G360" t="s">
        <v>322</v>
      </c>
      <c r="N360" s="107"/>
    </row>
    <row r="361" spans="1:14" hidden="1" x14ac:dyDescent="0.3">
      <c r="A361" t="s">
        <v>155</v>
      </c>
      <c r="B361" t="s">
        <v>475</v>
      </c>
      <c r="C361" t="s">
        <v>1414</v>
      </c>
      <c r="D361">
        <f t="shared" si="5"/>
        <v>0</v>
      </c>
      <c r="E361" t="s">
        <v>19</v>
      </c>
      <c r="F361" t="s">
        <v>2481</v>
      </c>
      <c r="G361" t="s">
        <v>322</v>
      </c>
      <c r="N361" s="107"/>
    </row>
    <row r="362" spans="1:14" hidden="1" x14ac:dyDescent="0.3">
      <c r="A362" t="s">
        <v>155</v>
      </c>
      <c r="B362" t="s">
        <v>728</v>
      </c>
      <c r="C362" t="s">
        <v>1414</v>
      </c>
      <c r="D362">
        <f t="shared" si="5"/>
        <v>0</v>
      </c>
      <c r="E362" t="s">
        <v>19</v>
      </c>
      <c r="F362" t="s">
        <v>2490</v>
      </c>
      <c r="G362" t="s">
        <v>322</v>
      </c>
      <c r="N362" s="107"/>
    </row>
    <row r="363" spans="1:14" hidden="1" x14ac:dyDescent="0.3">
      <c r="A363" t="s">
        <v>155</v>
      </c>
      <c r="B363" t="s">
        <v>770</v>
      </c>
      <c r="C363" t="s">
        <v>1414</v>
      </c>
      <c r="D363">
        <f t="shared" si="5"/>
        <v>0</v>
      </c>
      <c r="E363" t="s">
        <v>19</v>
      </c>
      <c r="F363" t="s">
        <v>2497</v>
      </c>
      <c r="G363" t="s">
        <v>322</v>
      </c>
      <c r="N363" s="107"/>
    </row>
    <row r="364" spans="1:14" hidden="1" x14ac:dyDescent="0.3">
      <c r="A364" t="s">
        <v>155</v>
      </c>
      <c r="B364" t="s">
        <v>763</v>
      </c>
      <c r="C364" t="s">
        <v>1414</v>
      </c>
      <c r="D364">
        <f t="shared" si="5"/>
        <v>0</v>
      </c>
      <c r="E364" t="s">
        <v>19</v>
      </c>
      <c r="F364" t="s">
        <v>2510</v>
      </c>
      <c r="G364" t="s">
        <v>322</v>
      </c>
      <c r="N364" s="107"/>
    </row>
    <row r="365" spans="1:14" hidden="1" x14ac:dyDescent="0.3">
      <c r="A365" t="s">
        <v>155</v>
      </c>
      <c r="B365" t="s">
        <v>860</v>
      </c>
      <c r="C365" t="s">
        <v>1439</v>
      </c>
      <c r="D365">
        <f t="shared" si="5"/>
        <v>0</v>
      </c>
      <c r="E365" t="s">
        <v>19</v>
      </c>
      <c r="F365" t="s">
        <v>2568</v>
      </c>
      <c r="G365" t="s">
        <v>322</v>
      </c>
      <c r="N365" s="107"/>
    </row>
    <row r="366" spans="1:14" hidden="1" x14ac:dyDescent="0.3">
      <c r="A366" t="s">
        <v>155</v>
      </c>
      <c r="B366" t="s">
        <v>964</v>
      </c>
      <c r="C366" t="s">
        <v>1454</v>
      </c>
      <c r="D366">
        <f t="shared" si="5"/>
        <v>0</v>
      </c>
      <c r="E366" t="s">
        <v>19</v>
      </c>
      <c r="F366" t="s">
        <v>2638</v>
      </c>
      <c r="G366" t="s">
        <v>322</v>
      </c>
      <c r="N366" s="107"/>
    </row>
    <row r="367" spans="1:14" hidden="1" x14ac:dyDescent="0.3">
      <c r="A367" t="s">
        <v>155</v>
      </c>
      <c r="B367" t="s">
        <v>1067</v>
      </c>
      <c r="C367" t="s">
        <v>1459</v>
      </c>
      <c r="D367">
        <f t="shared" si="5"/>
        <v>0</v>
      </c>
      <c r="E367" t="s">
        <v>19</v>
      </c>
      <c r="F367" t="s">
        <v>1459</v>
      </c>
      <c r="G367" t="s">
        <v>322</v>
      </c>
      <c r="N367" s="107"/>
    </row>
    <row r="368" spans="1:14" hidden="1" x14ac:dyDescent="0.3">
      <c r="A368" t="s">
        <v>155</v>
      </c>
      <c r="B368" t="s">
        <v>728</v>
      </c>
      <c r="C368" t="s">
        <v>1461</v>
      </c>
      <c r="D368">
        <f t="shared" si="5"/>
        <v>0</v>
      </c>
      <c r="E368" t="s">
        <v>19</v>
      </c>
      <c r="F368" t="s">
        <v>2644</v>
      </c>
      <c r="G368" t="s">
        <v>322</v>
      </c>
      <c r="N368" s="107"/>
    </row>
    <row r="369" spans="1:14" hidden="1" x14ac:dyDescent="0.3">
      <c r="A369" t="s">
        <v>155</v>
      </c>
      <c r="B369" t="s">
        <v>698</v>
      </c>
      <c r="C369" t="s">
        <v>1463</v>
      </c>
      <c r="D369">
        <f t="shared" si="5"/>
        <v>0</v>
      </c>
      <c r="E369" t="s">
        <v>19</v>
      </c>
      <c r="F369" t="s">
        <v>2679</v>
      </c>
      <c r="G369" t="s">
        <v>322</v>
      </c>
      <c r="N369" s="107"/>
    </row>
    <row r="370" spans="1:14" hidden="1" x14ac:dyDescent="0.3">
      <c r="A370" t="s">
        <v>155</v>
      </c>
      <c r="B370" t="s">
        <v>1110</v>
      </c>
      <c r="C370" t="s">
        <v>1509</v>
      </c>
      <c r="D370">
        <f t="shared" si="5"/>
        <v>0</v>
      </c>
      <c r="E370" t="s">
        <v>19</v>
      </c>
      <c r="F370" t="s">
        <v>2768</v>
      </c>
      <c r="G370" t="s">
        <v>322</v>
      </c>
      <c r="N370" s="107"/>
    </row>
    <row r="371" spans="1:14" hidden="1" x14ac:dyDescent="0.3">
      <c r="A371" t="s">
        <v>155</v>
      </c>
      <c r="B371" t="s">
        <v>770</v>
      </c>
      <c r="C371" t="s">
        <v>1509</v>
      </c>
      <c r="D371">
        <f t="shared" si="5"/>
        <v>0</v>
      </c>
      <c r="E371" t="s">
        <v>19</v>
      </c>
      <c r="F371" t="s">
        <v>2790</v>
      </c>
      <c r="G371" t="s">
        <v>322</v>
      </c>
      <c r="N371" s="107"/>
    </row>
    <row r="372" spans="1:14" hidden="1" x14ac:dyDescent="0.3">
      <c r="A372" t="s">
        <v>155</v>
      </c>
      <c r="B372" t="s">
        <v>967</v>
      </c>
      <c r="C372" t="s">
        <v>1519</v>
      </c>
      <c r="D372">
        <f t="shared" si="5"/>
        <v>0</v>
      </c>
      <c r="E372" t="s">
        <v>19</v>
      </c>
      <c r="F372" t="s">
        <v>1519</v>
      </c>
      <c r="G372" t="s">
        <v>322</v>
      </c>
      <c r="N372" s="107"/>
    </row>
    <row r="373" spans="1:14" hidden="1" x14ac:dyDescent="0.3">
      <c r="A373" t="s">
        <v>155</v>
      </c>
      <c r="B373" t="s">
        <v>667</v>
      </c>
      <c r="C373" t="s">
        <v>1536</v>
      </c>
      <c r="D373">
        <f t="shared" si="5"/>
        <v>0</v>
      </c>
      <c r="E373" t="s">
        <v>19</v>
      </c>
      <c r="F373" t="s">
        <v>1536</v>
      </c>
      <c r="G373" t="s">
        <v>322</v>
      </c>
      <c r="N373" s="107"/>
    </row>
    <row r="374" spans="1:14" hidden="1" x14ac:dyDescent="0.3">
      <c r="A374" t="s">
        <v>156</v>
      </c>
      <c r="B374" t="s">
        <v>607</v>
      </c>
      <c r="C374" t="s">
        <v>1179</v>
      </c>
      <c r="D374">
        <f t="shared" si="5"/>
        <v>0</v>
      </c>
      <c r="E374" t="s">
        <v>19</v>
      </c>
      <c r="F374" t="s">
        <v>1805</v>
      </c>
      <c r="G374" t="s">
        <v>322</v>
      </c>
      <c r="N374" s="107"/>
    </row>
    <row r="375" spans="1:14" hidden="1" x14ac:dyDescent="0.3">
      <c r="A375" t="s">
        <v>156</v>
      </c>
      <c r="B375" t="s">
        <v>608</v>
      </c>
      <c r="C375" t="s">
        <v>1178</v>
      </c>
      <c r="D375">
        <f t="shared" si="5"/>
        <v>0</v>
      </c>
      <c r="E375" t="s">
        <v>19</v>
      </c>
      <c r="F375" t="s">
        <v>1806</v>
      </c>
      <c r="G375" t="s">
        <v>322</v>
      </c>
      <c r="N375" s="107"/>
    </row>
    <row r="376" spans="1:14" hidden="1" x14ac:dyDescent="0.3">
      <c r="A376" t="s">
        <v>156</v>
      </c>
      <c r="B376" t="s">
        <v>609</v>
      </c>
      <c r="C376" t="s">
        <v>1178</v>
      </c>
      <c r="D376">
        <f t="shared" si="5"/>
        <v>0</v>
      </c>
      <c r="E376" t="s">
        <v>19</v>
      </c>
      <c r="F376" t="s">
        <v>1807</v>
      </c>
      <c r="G376" t="s">
        <v>322</v>
      </c>
      <c r="N376" s="107"/>
    </row>
    <row r="377" spans="1:14" hidden="1" x14ac:dyDescent="0.3">
      <c r="A377" t="s">
        <v>156</v>
      </c>
      <c r="B377" t="s">
        <v>657</v>
      </c>
      <c r="C377" t="s">
        <v>1208</v>
      </c>
      <c r="D377">
        <f t="shared" si="5"/>
        <v>0</v>
      </c>
      <c r="E377" t="s">
        <v>19</v>
      </c>
      <c r="F377" t="s">
        <v>1866</v>
      </c>
      <c r="G377" t="s">
        <v>322</v>
      </c>
      <c r="N377" s="107"/>
    </row>
    <row r="378" spans="1:14" hidden="1" x14ac:dyDescent="0.3">
      <c r="A378" t="s">
        <v>156</v>
      </c>
      <c r="B378" t="s">
        <v>609</v>
      </c>
      <c r="C378" t="s">
        <v>1222</v>
      </c>
      <c r="D378">
        <f t="shared" si="5"/>
        <v>0</v>
      </c>
      <c r="E378" t="s">
        <v>19</v>
      </c>
      <c r="F378" t="s">
        <v>1222</v>
      </c>
      <c r="G378" t="s">
        <v>322</v>
      </c>
      <c r="N378" s="107"/>
    </row>
    <row r="379" spans="1:14" hidden="1" x14ac:dyDescent="0.3">
      <c r="A379" t="s">
        <v>156</v>
      </c>
      <c r="B379" t="s">
        <v>657</v>
      </c>
      <c r="C379" t="s">
        <v>1227</v>
      </c>
      <c r="D379">
        <f t="shared" si="5"/>
        <v>0</v>
      </c>
      <c r="E379" t="s">
        <v>19</v>
      </c>
      <c r="F379" t="s">
        <v>1944</v>
      </c>
      <c r="G379" t="s">
        <v>322</v>
      </c>
      <c r="N379" s="107"/>
    </row>
    <row r="380" spans="1:14" hidden="1" x14ac:dyDescent="0.3">
      <c r="A380" t="s">
        <v>156</v>
      </c>
      <c r="B380" t="s">
        <v>707</v>
      </c>
      <c r="C380" t="s">
        <v>1227</v>
      </c>
      <c r="D380">
        <f t="shared" si="5"/>
        <v>0</v>
      </c>
      <c r="E380" t="s">
        <v>19</v>
      </c>
      <c r="F380" t="s">
        <v>1945</v>
      </c>
      <c r="G380" t="s">
        <v>322</v>
      </c>
      <c r="N380" s="107"/>
    </row>
    <row r="381" spans="1:14" hidden="1" x14ac:dyDescent="0.3">
      <c r="A381" t="s">
        <v>156</v>
      </c>
      <c r="B381" t="s">
        <v>476</v>
      </c>
      <c r="C381" t="s">
        <v>1227</v>
      </c>
      <c r="D381">
        <f t="shared" si="5"/>
        <v>0</v>
      </c>
      <c r="E381" t="s">
        <v>19</v>
      </c>
      <c r="F381" t="s">
        <v>1946</v>
      </c>
      <c r="G381" t="s">
        <v>322</v>
      </c>
      <c r="N381" s="107"/>
    </row>
    <row r="382" spans="1:14" hidden="1" x14ac:dyDescent="0.3">
      <c r="A382" t="s">
        <v>156</v>
      </c>
      <c r="B382" t="s">
        <v>709</v>
      </c>
      <c r="C382" t="s">
        <v>1227</v>
      </c>
      <c r="D382">
        <f t="shared" si="5"/>
        <v>0</v>
      </c>
      <c r="E382" t="s">
        <v>19</v>
      </c>
      <c r="F382" t="s">
        <v>1950</v>
      </c>
      <c r="G382" t="s">
        <v>322</v>
      </c>
      <c r="N382" s="107"/>
    </row>
    <row r="383" spans="1:14" hidden="1" x14ac:dyDescent="0.3">
      <c r="A383" t="s">
        <v>156</v>
      </c>
      <c r="B383" t="s">
        <v>712</v>
      </c>
      <c r="C383" t="s">
        <v>1227</v>
      </c>
      <c r="D383">
        <f t="shared" si="5"/>
        <v>0</v>
      </c>
      <c r="E383" t="s">
        <v>19</v>
      </c>
      <c r="F383" t="s">
        <v>1961</v>
      </c>
      <c r="G383" t="s">
        <v>322</v>
      </c>
      <c r="N383" s="107"/>
    </row>
    <row r="384" spans="1:14" hidden="1" x14ac:dyDescent="0.3">
      <c r="A384" t="s">
        <v>156</v>
      </c>
      <c r="B384" t="s">
        <v>476</v>
      </c>
      <c r="C384" t="s">
        <v>1250</v>
      </c>
      <c r="D384">
        <f t="shared" si="5"/>
        <v>0</v>
      </c>
      <c r="E384" t="s">
        <v>19</v>
      </c>
      <c r="F384" t="s">
        <v>1250</v>
      </c>
      <c r="G384" t="s">
        <v>322</v>
      </c>
      <c r="N384" s="107"/>
    </row>
    <row r="385" spans="1:14" hidden="1" x14ac:dyDescent="0.3">
      <c r="A385" t="s">
        <v>156</v>
      </c>
      <c r="B385" t="s">
        <v>843</v>
      </c>
      <c r="C385" t="s">
        <v>1303</v>
      </c>
      <c r="D385">
        <f t="shared" ref="D385:D448" si="6">SIGN(SUBTOTAL(3,E385))</f>
        <v>0</v>
      </c>
      <c r="E385" t="s">
        <v>19</v>
      </c>
      <c r="F385" t="s">
        <v>1303</v>
      </c>
      <c r="G385" t="s">
        <v>322</v>
      </c>
      <c r="N385" s="107"/>
    </row>
    <row r="386" spans="1:14" hidden="1" x14ac:dyDescent="0.3">
      <c r="A386" t="s">
        <v>156</v>
      </c>
      <c r="B386" t="s">
        <v>844</v>
      </c>
      <c r="C386" t="s">
        <v>1302</v>
      </c>
      <c r="D386">
        <f t="shared" si="6"/>
        <v>0</v>
      </c>
      <c r="E386" t="s">
        <v>19</v>
      </c>
      <c r="F386" t="s">
        <v>2187</v>
      </c>
      <c r="G386" t="s">
        <v>322</v>
      </c>
      <c r="N386" s="107"/>
    </row>
    <row r="387" spans="1:14" hidden="1" x14ac:dyDescent="0.3">
      <c r="A387" t="s">
        <v>156</v>
      </c>
      <c r="B387" t="s">
        <v>846</v>
      </c>
      <c r="C387" t="s">
        <v>1302</v>
      </c>
      <c r="D387">
        <f t="shared" si="6"/>
        <v>0</v>
      </c>
      <c r="E387" t="s">
        <v>19</v>
      </c>
      <c r="F387" t="s">
        <v>2188</v>
      </c>
      <c r="G387" t="s">
        <v>322</v>
      </c>
      <c r="N387" s="107"/>
    </row>
    <row r="388" spans="1:14" hidden="1" x14ac:dyDescent="0.3">
      <c r="A388" t="s">
        <v>156</v>
      </c>
      <c r="B388" t="s">
        <v>852</v>
      </c>
      <c r="C388" t="s">
        <v>1302</v>
      </c>
      <c r="D388">
        <f t="shared" si="6"/>
        <v>0</v>
      </c>
      <c r="E388" t="s">
        <v>19</v>
      </c>
      <c r="F388" t="s">
        <v>2194</v>
      </c>
      <c r="G388" t="s">
        <v>322</v>
      </c>
      <c r="N388" s="107"/>
    </row>
    <row r="389" spans="1:14" hidden="1" x14ac:dyDescent="0.3">
      <c r="A389" t="s">
        <v>156</v>
      </c>
      <c r="B389" t="s">
        <v>853</v>
      </c>
      <c r="C389" t="s">
        <v>1302</v>
      </c>
      <c r="D389">
        <f t="shared" si="6"/>
        <v>0</v>
      </c>
      <c r="E389" t="s">
        <v>19</v>
      </c>
      <c r="F389" t="s">
        <v>2196</v>
      </c>
      <c r="G389" t="s">
        <v>322</v>
      </c>
      <c r="N389" s="107"/>
    </row>
    <row r="390" spans="1:14" hidden="1" x14ac:dyDescent="0.3">
      <c r="A390" t="s">
        <v>156</v>
      </c>
      <c r="B390" t="s">
        <v>854</v>
      </c>
      <c r="C390" t="s">
        <v>1302</v>
      </c>
      <c r="D390">
        <f t="shared" si="6"/>
        <v>0</v>
      </c>
      <c r="E390" t="s">
        <v>19</v>
      </c>
      <c r="F390" t="s">
        <v>2197</v>
      </c>
      <c r="G390" t="s">
        <v>322</v>
      </c>
      <c r="N390" s="107"/>
    </row>
    <row r="391" spans="1:14" hidden="1" x14ac:dyDescent="0.3">
      <c r="A391" t="s">
        <v>156</v>
      </c>
      <c r="B391" t="s">
        <v>876</v>
      </c>
      <c r="C391" t="s">
        <v>1322</v>
      </c>
      <c r="D391">
        <f t="shared" si="6"/>
        <v>0</v>
      </c>
      <c r="E391" t="s">
        <v>19</v>
      </c>
      <c r="F391" t="s">
        <v>2227</v>
      </c>
      <c r="G391" t="s">
        <v>322</v>
      </c>
      <c r="N391" s="107"/>
    </row>
    <row r="392" spans="1:14" hidden="1" x14ac:dyDescent="0.3">
      <c r="A392" t="s">
        <v>156</v>
      </c>
      <c r="B392" t="s">
        <v>879</v>
      </c>
      <c r="C392" t="s">
        <v>1322</v>
      </c>
      <c r="D392">
        <f t="shared" si="6"/>
        <v>0</v>
      </c>
      <c r="E392" t="s">
        <v>19</v>
      </c>
      <c r="F392" t="s">
        <v>2230</v>
      </c>
      <c r="G392" t="s">
        <v>322</v>
      </c>
      <c r="N392" s="107"/>
    </row>
    <row r="393" spans="1:14" hidden="1" x14ac:dyDescent="0.3">
      <c r="A393" t="s">
        <v>156</v>
      </c>
      <c r="B393" t="s">
        <v>881</v>
      </c>
      <c r="C393" t="s">
        <v>1322</v>
      </c>
      <c r="D393">
        <f t="shared" si="6"/>
        <v>0</v>
      </c>
      <c r="E393" t="s">
        <v>19</v>
      </c>
      <c r="F393" t="s">
        <v>2232</v>
      </c>
      <c r="G393" t="s">
        <v>322</v>
      </c>
      <c r="N393" s="107"/>
    </row>
    <row r="394" spans="1:14" hidden="1" x14ac:dyDescent="0.3">
      <c r="A394" t="s">
        <v>156</v>
      </c>
      <c r="B394" t="s">
        <v>881</v>
      </c>
      <c r="C394" t="s">
        <v>1335</v>
      </c>
      <c r="D394">
        <f t="shared" si="6"/>
        <v>0</v>
      </c>
      <c r="E394" t="s">
        <v>19</v>
      </c>
      <c r="F394" t="s">
        <v>2258</v>
      </c>
      <c r="G394" t="s">
        <v>322</v>
      </c>
      <c r="N394" s="107"/>
    </row>
    <row r="395" spans="1:14" hidden="1" x14ac:dyDescent="0.3">
      <c r="A395" t="s">
        <v>156</v>
      </c>
      <c r="B395" t="s">
        <v>930</v>
      </c>
      <c r="C395" t="s">
        <v>1369</v>
      </c>
      <c r="D395">
        <f t="shared" si="6"/>
        <v>0</v>
      </c>
      <c r="E395" t="s">
        <v>19</v>
      </c>
      <c r="F395" t="s">
        <v>1369</v>
      </c>
      <c r="G395" t="s">
        <v>322</v>
      </c>
      <c r="N395" s="107"/>
    </row>
    <row r="396" spans="1:14" hidden="1" x14ac:dyDescent="0.3">
      <c r="A396" t="s">
        <v>156</v>
      </c>
      <c r="B396" t="s">
        <v>932</v>
      </c>
      <c r="C396" t="s">
        <v>1371</v>
      </c>
      <c r="D396">
        <f t="shared" si="6"/>
        <v>0</v>
      </c>
      <c r="E396" t="s">
        <v>19</v>
      </c>
      <c r="F396" t="s">
        <v>2312</v>
      </c>
      <c r="G396" t="s">
        <v>322</v>
      </c>
      <c r="N396" s="107"/>
    </row>
    <row r="397" spans="1:14" hidden="1" x14ac:dyDescent="0.3">
      <c r="A397" t="s">
        <v>156</v>
      </c>
      <c r="B397" t="s">
        <v>476</v>
      </c>
      <c r="C397" t="s">
        <v>1404</v>
      </c>
      <c r="D397">
        <f t="shared" si="6"/>
        <v>0</v>
      </c>
      <c r="E397" t="s">
        <v>19</v>
      </c>
      <c r="F397" t="s">
        <v>2393</v>
      </c>
      <c r="G397" t="s">
        <v>322</v>
      </c>
      <c r="N397" s="107"/>
    </row>
    <row r="398" spans="1:14" hidden="1" x14ac:dyDescent="0.3">
      <c r="A398" t="s">
        <v>156</v>
      </c>
      <c r="B398" t="s">
        <v>843</v>
      </c>
      <c r="C398" t="s">
        <v>1404</v>
      </c>
      <c r="D398">
        <f t="shared" si="6"/>
        <v>0</v>
      </c>
      <c r="E398" t="s">
        <v>19</v>
      </c>
      <c r="F398" t="s">
        <v>2394</v>
      </c>
      <c r="G398" t="s">
        <v>322</v>
      </c>
      <c r="N398" s="107"/>
    </row>
    <row r="399" spans="1:14" hidden="1" x14ac:dyDescent="0.3">
      <c r="A399" t="s">
        <v>156</v>
      </c>
      <c r="B399" t="s">
        <v>963</v>
      </c>
      <c r="C399" t="s">
        <v>1404</v>
      </c>
      <c r="D399">
        <f t="shared" si="6"/>
        <v>0</v>
      </c>
      <c r="E399" t="s">
        <v>19</v>
      </c>
      <c r="F399" t="s">
        <v>2399</v>
      </c>
      <c r="G399" t="s">
        <v>322</v>
      </c>
      <c r="N399" s="107"/>
    </row>
    <row r="400" spans="1:14" hidden="1" x14ac:dyDescent="0.3">
      <c r="A400" t="s">
        <v>156</v>
      </c>
      <c r="B400" t="s">
        <v>964</v>
      </c>
      <c r="C400" t="s">
        <v>1404</v>
      </c>
      <c r="D400">
        <f t="shared" si="6"/>
        <v>0</v>
      </c>
      <c r="E400" t="s">
        <v>19</v>
      </c>
      <c r="F400" t="s">
        <v>2400</v>
      </c>
      <c r="G400" t="s">
        <v>322</v>
      </c>
      <c r="N400" s="107"/>
    </row>
    <row r="401" spans="1:14" hidden="1" x14ac:dyDescent="0.3">
      <c r="A401" t="s">
        <v>156</v>
      </c>
      <c r="B401" t="s">
        <v>932</v>
      </c>
      <c r="C401" t="s">
        <v>1404</v>
      </c>
      <c r="D401">
        <f t="shared" si="6"/>
        <v>0</v>
      </c>
      <c r="E401" t="s">
        <v>19</v>
      </c>
      <c r="F401" t="s">
        <v>2403</v>
      </c>
      <c r="G401" t="s">
        <v>322</v>
      </c>
      <c r="N401" s="107"/>
    </row>
    <row r="402" spans="1:14" hidden="1" x14ac:dyDescent="0.3">
      <c r="A402" t="s">
        <v>156</v>
      </c>
      <c r="B402" t="s">
        <v>967</v>
      </c>
      <c r="C402" t="s">
        <v>1404</v>
      </c>
      <c r="D402">
        <f t="shared" si="6"/>
        <v>0</v>
      </c>
      <c r="E402" t="s">
        <v>19</v>
      </c>
      <c r="F402" t="s">
        <v>2406</v>
      </c>
      <c r="G402" t="s">
        <v>322</v>
      </c>
      <c r="N402" s="107"/>
    </row>
    <row r="403" spans="1:14" hidden="1" x14ac:dyDescent="0.3">
      <c r="A403" t="s">
        <v>156</v>
      </c>
      <c r="B403" t="s">
        <v>609</v>
      </c>
      <c r="C403" t="s">
        <v>1405</v>
      </c>
      <c r="D403">
        <f t="shared" si="6"/>
        <v>0</v>
      </c>
      <c r="E403" t="s">
        <v>19</v>
      </c>
      <c r="F403" t="s">
        <v>2423</v>
      </c>
      <c r="G403" t="s">
        <v>322</v>
      </c>
      <c r="N403" s="107"/>
    </row>
    <row r="404" spans="1:14" hidden="1" x14ac:dyDescent="0.3">
      <c r="A404" t="s">
        <v>156</v>
      </c>
      <c r="B404" t="s">
        <v>985</v>
      </c>
      <c r="C404" t="s">
        <v>1404</v>
      </c>
      <c r="D404">
        <f t="shared" si="6"/>
        <v>0</v>
      </c>
      <c r="E404" t="s">
        <v>19</v>
      </c>
      <c r="F404" t="s">
        <v>2431</v>
      </c>
      <c r="G404" t="s">
        <v>322</v>
      </c>
      <c r="N404" s="107"/>
    </row>
    <row r="405" spans="1:14" hidden="1" x14ac:dyDescent="0.3">
      <c r="A405" t="s">
        <v>156</v>
      </c>
      <c r="B405" t="s">
        <v>1037</v>
      </c>
      <c r="C405" t="s">
        <v>1443</v>
      </c>
      <c r="D405">
        <f t="shared" si="6"/>
        <v>0</v>
      </c>
      <c r="E405" t="s">
        <v>19</v>
      </c>
      <c r="F405" t="s">
        <v>2578</v>
      </c>
      <c r="G405" t="s">
        <v>322</v>
      </c>
      <c r="N405" s="107"/>
    </row>
    <row r="406" spans="1:14" hidden="1" x14ac:dyDescent="0.3">
      <c r="A406" t="s">
        <v>156</v>
      </c>
      <c r="B406" t="s">
        <v>1042</v>
      </c>
      <c r="C406" t="s">
        <v>1443</v>
      </c>
      <c r="D406">
        <f t="shared" si="6"/>
        <v>0</v>
      </c>
      <c r="E406" t="s">
        <v>19</v>
      </c>
      <c r="F406" t="s">
        <v>2584</v>
      </c>
      <c r="G406" t="s">
        <v>322</v>
      </c>
      <c r="N406" s="107"/>
    </row>
    <row r="407" spans="1:14" hidden="1" x14ac:dyDescent="0.3">
      <c r="A407" t="s">
        <v>156</v>
      </c>
      <c r="B407" t="s">
        <v>964</v>
      </c>
      <c r="C407" t="s">
        <v>1443</v>
      </c>
      <c r="D407">
        <f t="shared" si="6"/>
        <v>0</v>
      </c>
      <c r="E407" t="s">
        <v>19</v>
      </c>
      <c r="F407" t="s">
        <v>2585</v>
      </c>
      <c r="G407" t="s">
        <v>322</v>
      </c>
      <c r="N407" s="107"/>
    </row>
    <row r="408" spans="1:14" hidden="1" x14ac:dyDescent="0.3">
      <c r="A408" t="s">
        <v>156</v>
      </c>
      <c r="B408" t="s">
        <v>709</v>
      </c>
      <c r="C408" t="s">
        <v>1443</v>
      </c>
      <c r="D408">
        <f t="shared" si="6"/>
        <v>0</v>
      </c>
      <c r="E408" t="s">
        <v>19</v>
      </c>
      <c r="F408" t="s">
        <v>2615</v>
      </c>
      <c r="G408" t="s">
        <v>322</v>
      </c>
      <c r="N408" s="107"/>
    </row>
    <row r="409" spans="1:14" hidden="1" x14ac:dyDescent="0.3">
      <c r="A409" t="s">
        <v>156</v>
      </c>
      <c r="B409" t="s">
        <v>1058</v>
      </c>
      <c r="C409" t="s">
        <v>1449</v>
      </c>
      <c r="D409">
        <f t="shared" si="6"/>
        <v>0</v>
      </c>
      <c r="E409" t="s">
        <v>19</v>
      </c>
      <c r="F409" t="s">
        <v>2624</v>
      </c>
      <c r="G409" t="s">
        <v>322</v>
      </c>
      <c r="N409" s="107"/>
    </row>
    <row r="410" spans="1:14" hidden="1" x14ac:dyDescent="0.3">
      <c r="A410" t="s">
        <v>156</v>
      </c>
      <c r="B410" t="s">
        <v>1059</v>
      </c>
      <c r="C410" t="s">
        <v>1449</v>
      </c>
      <c r="D410">
        <f t="shared" si="6"/>
        <v>0</v>
      </c>
      <c r="E410" t="s">
        <v>19</v>
      </c>
      <c r="F410" t="s">
        <v>2625</v>
      </c>
      <c r="G410" t="s">
        <v>322</v>
      </c>
      <c r="N410" s="107"/>
    </row>
    <row r="411" spans="1:14" hidden="1" x14ac:dyDescent="0.3">
      <c r="A411" t="s">
        <v>156</v>
      </c>
      <c r="B411" t="s">
        <v>1060</v>
      </c>
      <c r="C411" t="s">
        <v>1449</v>
      </c>
      <c r="D411">
        <f t="shared" si="6"/>
        <v>0</v>
      </c>
      <c r="E411" t="s">
        <v>19</v>
      </c>
      <c r="F411" t="s">
        <v>2626</v>
      </c>
      <c r="G411" t="s">
        <v>322</v>
      </c>
      <c r="N411" s="107"/>
    </row>
    <row r="412" spans="1:14" hidden="1" x14ac:dyDescent="0.3">
      <c r="A412" t="s">
        <v>156</v>
      </c>
      <c r="B412" t="s">
        <v>608</v>
      </c>
      <c r="C412" t="s">
        <v>1456</v>
      </c>
      <c r="D412">
        <f t="shared" si="6"/>
        <v>0</v>
      </c>
      <c r="E412" t="s">
        <v>19</v>
      </c>
      <c r="F412" t="s">
        <v>1456</v>
      </c>
      <c r="G412" t="s">
        <v>322</v>
      </c>
      <c r="N412" s="107"/>
    </row>
    <row r="413" spans="1:14" hidden="1" x14ac:dyDescent="0.3">
      <c r="A413" t="s">
        <v>157</v>
      </c>
      <c r="B413" t="s">
        <v>486</v>
      </c>
      <c r="C413" t="s">
        <v>1171</v>
      </c>
      <c r="D413">
        <f t="shared" si="6"/>
        <v>0</v>
      </c>
      <c r="E413" t="s">
        <v>19</v>
      </c>
      <c r="F413" t="s">
        <v>1756</v>
      </c>
      <c r="G413" t="s">
        <v>322</v>
      </c>
      <c r="N413" s="107"/>
    </row>
    <row r="414" spans="1:14" hidden="1" x14ac:dyDescent="0.3">
      <c r="A414" t="s">
        <v>157</v>
      </c>
      <c r="B414" t="s">
        <v>576</v>
      </c>
      <c r="C414" t="s">
        <v>1172</v>
      </c>
      <c r="D414">
        <f t="shared" si="6"/>
        <v>0</v>
      </c>
      <c r="E414" t="s">
        <v>19</v>
      </c>
      <c r="F414" t="s">
        <v>1761</v>
      </c>
      <c r="G414" t="s">
        <v>322</v>
      </c>
      <c r="N414" s="107"/>
    </row>
    <row r="415" spans="1:14" hidden="1" x14ac:dyDescent="0.3">
      <c r="A415" t="s">
        <v>157</v>
      </c>
      <c r="B415" t="s">
        <v>577</v>
      </c>
      <c r="C415" t="s">
        <v>1172</v>
      </c>
      <c r="D415">
        <f t="shared" si="6"/>
        <v>0</v>
      </c>
      <c r="E415" t="s">
        <v>19</v>
      </c>
      <c r="F415" t="s">
        <v>1762</v>
      </c>
      <c r="G415" t="s">
        <v>322</v>
      </c>
      <c r="N415" s="107"/>
    </row>
    <row r="416" spans="1:14" hidden="1" x14ac:dyDescent="0.3">
      <c r="A416" t="s">
        <v>157</v>
      </c>
      <c r="B416" t="s">
        <v>580</v>
      </c>
      <c r="C416" t="s">
        <v>1172</v>
      </c>
      <c r="D416">
        <f t="shared" si="6"/>
        <v>0</v>
      </c>
      <c r="E416" t="s">
        <v>19</v>
      </c>
      <c r="F416" t="s">
        <v>1765</v>
      </c>
      <c r="G416" t="s">
        <v>322</v>
      </c>
      <c r="N416" s="107"/>
    </row>
    <row r="417" spans="1:14" hidden="1" x14ac:dyDescent="0.3">
      <c r="A417" t="s">
        <v>157</v>
      </c>
      <c r="B417" t="s">
        <v>584</v>
      </c>
      <c r="C417" t="s">
        <v>1172</v>
      </c>
      <c r="D417">
        <f t="shared" si="6"/>
        <v>0</v>
      </c>
      <c r="E417" t="s">
        <v>19</v>
      </c>
      <c r="F417" t="s">
        <v>1770</v>
      </c>
      <c r="G417" t="s">
        <v>322</v>
      </c>
      <c r="N417" s="107"/>
    </row>
    <row r="418" spans="1:14" hidden="1" x14ac:dyDescent="0.3">
      <c r="A418" t="s">
        <v>157</v>
      </c>
      <c r="B418" t="s">
        <v>665</v>
      </c>
      <c r="C418" t="s">
        <v>1210</v>
      </c>
      <c r="D418">
        <f t="shared" si="6"/>
        <v>0</v>
      </c>
      <c r="E418" t="s">
        <v>19</v>
      </c>
      <c r="F418" t="s">
        <v>1884</v>
      </c>
      <c r="G418" t="s">
        <v>322</v>
      </c>
      <c r="N418" s="107"/>
    </row>
    <row r="419" spans="1:14" hidden="1" x14ac:dyDescent="0.3">
      <c r="A419" t="s">
        <v>157</v>
      </c>
      <c r="B419" t="s">
        <v>477</v>
      </c>
      <c r="C419" t="s">
        <v>1251</v>
      </c>
      <c r="D419">
        <f t="shared" si="6"/>
        <v>0</v>
      </c>
      <c r="E419" t="s">
        <v>19</v>
      </c>
      <c r="F419" t="s">
        <v>2058</v>
      </c>
      <c r="G419" t="s">
        <v>322</v>
      </c>
      <c r="N419" s="107"/>
    </row>
    <row r="420" spans="1:14" hidden="1" x14ac:dyDescent="0.3">
      <c r="A420" t="s">
        <v>157</v>
      </c>
      <c r="B420" t="s">
        <v>477</v>
      </c>
      <c r="C420" t="s">
        <v>1257</v>
      </c>
      <c r="D420">
        <f t="shared" si="6"/>
        <v>0</v>
      </c>
      <c r="E420" t="s">
        <v>19</v>
      </c>
      <c r="F420" t="s">
        <v>2069</v>
      </c>
      <c r="G420" t="s">
        <v>322</v>
      </c>
      <c r="N420" s="107"/>
    </row>
    <row r="421" spans="1:14" hidden="1" x14ac:dyDescent="0.3">
      <c r="A421" t="s">
        <v>157</v>
      </c>
      <c r="B421" t="s">
        <v>486</v>
      </c>
      <c r="C421" t="s">
        <v>1257</v>
      </c>
      <c r="D421">
        <f t="shared" si="6"/>
        <v>0</v>
      </c>
      <c r="E421" t="s">
        <v>19</v>
      </c>
      <c r="F421" t="s">
        <v>2070</v>
      </c>
      <c r="G421" t="s">
        <v>322</v>
      </c>
      <c r="N421" s="107"/>
    </row>
    <row r="422" spans="1:14" hidden="1" x14ac:dyDescent="0.3">
      <c r="A422" t="s">
        <v>157</v>
      </c>
      <c r="B422" t="s">
        <v>772</v>
      </c>
      <c r="C422" t="s">
        <v>1257</v>
      </c>
      <c r="D422">
        <f t="shared" si="6"/>
        <v>0</v>
      </c>
      <c r="E422" t="s">
        <v>19</v>
      </c>
      <c r="F422" t="s">
        <v>2071</v>
      </c>
      <c r="G422" t="s">
        <v>322</v>
      </c>
      <c r="N422" s="107"/>
    </row>
    <row r="423" spans="1:14" hidden="1" x14ac:dyDescent="0.3">
      <c r="A423" t="s">
        <v>157</v>
      </c>
      <c r="B423" t="s">
        <v>824</v>
      </c>
      <c r="C423" t="s">
        <v>1298</v>
      </c>
      <c r="D423">
        <f t="shared" si="6"/>
        <v>0</v>
      </c>
      <c r="E423" t="s">
        <v>19</v>
      </c>
      <c r="F423" t="s">
        <v>2163</v>
      </c>
      <c r="G423" t="s">
        <v>322</v>
      </c>
      <c r="N423" s="107"/>
    </row>
    <row r="424" spans="1:14" hidden="1" x14ac:dyDescent="0.3">
      <c r="A424" t="s">
        <v>157</v>
      </c>
      <c r="B424" t="s">
        <v>845</v>
      </c>
      <c r="C424" t="s">
        <v>1304</v>
      </c>
      <c r="D424">
        <f t="shared" si="6"/>
        <v>0</v>
      </c>
      <c r="E424" t="s">
        <v>19</v>
      </c>
      <c r="F424" t="s">
        <v>1304</v>
      </c>
      <c r="G424" t="s">
        <v>322</v>
      </c>
      <c r="N424" s="107"/>
    </row>
    <row r="425" spans="1:14" hidden="1" x14ac:dyDescent="0.3">
      <c r="A425" t="s">
        <v>157</v>
      </c>
      <c r="B425" t="s">
        <v>878</v>
      </c>
      <c r="C425" t="s">
        <v>1322</v>
      </c>
      <c r="D425">
        <f t="shared" si="6"/>
        <v>0</v>
      </c>
      <c r="E425" t="s">
        <v>19</v>
      </c>
      <c r="F425" t="s">
        <v>2229</v>
      </c>
      <c r="G425" t="s">
        <v>322</v>
      </c>
      <c r="N425" s="107"/>
    </row>
    <row r="426" spans="1:14" hidden="1" x14ac:dyDescent="0.3">
      <c r="A426" t="s">
        <v>157</v>
      </c>
      <c r="B426" t="s">
        <v>486</v>
      </c>
      <c r="C426" t="s">
        <v>1335</v>
      </c>
      <c r="D426">
        <f t="shared" si="6"/>
        <v>0</v>
      </c>
      <c r="E426" t="s">
        <v>19</v>
      </c>
      <c r="F426" t="s">
        <v>2256</v>
      </c>
      <c r="G426" t="s">
        <v>322</v>
      </c>
      <c r="N426" s="107"/>
    </row>
    <row r="427" spans="1:14" hidden="1" x14ac:dyDescent="0.3">
      <c r="A427" t="s">
        <v>157</v>
      </c>
      <c r="B427" t="s">
        <v>486</v>
      </c>
      <c r="C427" t="s">
        <v>1404</v>
      </c>
      <c r="D427">
        <f t="shared" si="6"/>
        <v>0</v>
      </c>
      <c r="E427" t="s">
        <v>19</v>
      </c>
      <c r="F427" t="s">
        <v>2395</v>
      </c>
      <c r="G427" t="s">
        <v>322</v>
      </c>
      <c r="N427" s="107"/>
    </row>
    <row r="428" spans="1:14" hidden="1" x14ac:dyDescent="0.3">
      <c r="A428" t="s">
        <v>157</v>
      </c>
      <c r="B428" t="s">
        <v>966</v>
      </c>
      <c r="C428" t="s">
        <v>1404</v>
      </c>
      <c r="D428">
        <f t="shared" si="6"/>
        <v>0</v>
      </c>
      <c r="E428" t="s">
        <v>19</v>
      </c>
      <c r="F428" t="s">
        <v>2405</v>
      </c>
      <c r="G428" t="s">
        <v>322</v>
      </c>
      <c r="N428" s="107"/>
    </row>
    <row r="429" spans="1:14" hidden="1" x14ac:dyDescent="0.3">
      <c r="A429" t="s">
        <v>157</v>
      </c>
      <c r="B429" t="s">
        <v>977</v>
      </c>
      <c r="C429" t="s">
        <v>1404</v>
      </c>
      <c r="D429">
        <f t="shared" si="6"/>
        <v>0</v>
      </c>
      <c r="E429" t="s">
        <v>19</v>
      </c>
      <c r="F429" t="s">
        <v>2420</v>
      </c>
      <c r="G429" t="s">
        <v>322</v>
      </c>
      <c r="N429" s="107"/>
    </row>
    <row r="430" spans="1:14" hidden="1" x14ac:dyDescent="0.3">
      <c r="A430" t="s">
        <v>157</v>
      </c>
      <c r="B430" t="s">
        <v>978</v>
      </c>
      <c r="C430" t="s">
        <v>1404</v>
      </c>
      <c r="D430">
        <f t="shared" si="6"/>
        <v>0</v>
      </c>
      <c r="E430" t="s">
        <v>19</v>
      </c>
      <c r="F430" t="s">
        <v>2421</v>
      </c>
      <c r="G430" t="s">
        <v>322</v>
      </c>
      <c r="N430" s="107"/>
    </row>
    <row r="431" spans="1:14" hidden="1" x14ac:dyDescent="0.3">
      <c r="A431" t="s">
        <v>157</v>
      </c>
      <c r="B431" t="s">
        <v>861</v>
      </c>
      <c r="C431" t="s">
        <v>1405</v>
      </c>
      <c r="D431">
        <f t="shared" si="6"/>
        <v>0</v>
      </c>
      <c r="E431" t="s">
        <v>19</v>
      </c>
      <c r="F431" t="s">
        <v>2424</v>
      </c>
      <c r="G431" t="s">
        <v>322</v>
      </c>
      <c r="N431" s="107"/>
    </row>
    <row r="432" spans="1:14" hidden="1" x14ac:dyDescent="0.3">
      <c r="A432" t="s">
        <v>157</v>
      </c>
      <c r="B432" t="s">
        <v>982</v>
      </c>
      <c r="C432" t="s">
        <v>1404</v>
      </c>
      <c r="D432">
        <f t="shared" si="6"/>
        <v>0</v>
      </c>
      <c r="E432" t="s">
        <v>19</v>
      </c>
      <c r="F432" t="s">
        <v>2429</v>
      </c>
      <c r="G432" t="s">
        <v>322</v>
      </c>
      <c r="N432" s="107"/>
    </row>
    <row r="433" spans="1:14" hidden="1" x14ac:dyDescent="0.3">
      <c r="A433" t="s">
        <v>157</v>
      </c>
      <c r="B433" t="s">
        <v>584</v>
      </c>
      <c r="C433" t="s">
        <v>1443</v>
      </c>
      <c r="D433">
        <f t="shared" si="6"/>
        <v>0</v>
      </c>
      <c r="E433" t="s">
        <v>19</v>
      </c>
      <c r="F433" t="s">
        <v>2590</v>
      </c>
      <c r="G433" t="s">
        <v>322</v>
      </c>
      <c r="N433" s="107"/>
    </row>
    <row r="434" spans="1:14" hidden="1" x14ac:dyDescent="0.3">
      <c r="A434" t="s">
        <v>157</v>
      </c>
      <c r="B434" t="s">
        <v>824</v>
      </c>
      <c r="C434" t="s">
        <v>1443</v>
      </c>
      <c r="D434">
        <f t="shared" si="6"/>
        <v>0</v>
      </c>
      <c r="E434" t="s">
        <v>19</v>
      </c>
      <c r="F434" t="s">
        <v>2592</v>
      </c>
      <c r="G434" t="s">
        <v>322</v>
      </c>
      <c r="N434" s="107"/>
    </row>
    <row r="435" spans="1:14" hidden="1" x14ac:dyDescent="0.3">
      <c r="A435" t="s">
        <v>157</v>
      </c>
      <c r="B435" t="s">
        <v>1045</v>
      </c>
      <c r="C435" t="s">
        <v>1443</v>
      </c>
      <c r="D435">
        <f t="shared" si="6"/>
        <v>0</v>
      </c>
      <c r="E435" t="s">
        <v>19</v>
      </c>
      <c r="F435" t="s">
        <v>2593</v>
      </c>
      <c r="G435" t="s">
        <v>322</v>
      </c>
      <c r="N435" s="107"/>
    </row>
    <row r="436" spans="1:14" hidden="1" x14ac:dyDescent="0.3">
      <c r="A436" t="s">
        <v>157</v>
      </c>
      <c r="B436" t="s">
        <v>577</v>
      </c>
      <c r="C436" t="s">
        <v>1443</v>
      </c>
      <c r="D436">
        <f t="shared" si="6"/>
        <v>0</v>
      </c>
      <c r="E436" t="s">
        <v>19</v>
      </c>
      <c r="F436" t="s">
        <v>2599</v>
      </c>
      <c r="G436" t="s">
        <v>322</v>
      </c>
      <c r="N436" s="107"/>
    </row>
    <row r="437" spans="1:14" hidden="1" x14ac:dyDescent="0.3">
      <c r="A437" t="s">
        <v>157</v>
      </c>
      <c r="B437" t="s">
        <v>1049</v>
      </c>
      <c r="C437" t="s">
        <v>1443</v>
      </c>
      <c r="D437">
        <f t="shared" si="6"/>
        <v>0</v>
      </c>
      <c r="E437" t="s">
        <v>19</v>
      </c>
      <c r="F437" t="s">
        <v>2603</v>
      </c>
      <c r="G437" t="s">
        <v>322</v>
      </c>
      <c r="N437" s="107"/>
    </row>
    <row r="438" spans="1:14" hidden="1" x14ac:dyDescent="0.3">
      <c r="A438" t="s">
        <v>157</v>
      </c>
      <c r="B438" t="s">
        <v>1055</v>
      </c>
      <c r="C438" t="s">
        <v>1447</v>
      </c>
      <c r="D438">
        <f t="shared" si="6"/>
        <v>0</v>
      </c>
      <c r="E438" t="s">
        <v>19</v>
      </c>
      <c r="F438" t="s">
        <v>2620</v>
      </c>
      <c r="G438" t="s">
        <v>322</v>
      </c>
      <c r="N438" s="107"/>
    </row>
    <row r="439" spans="1:14" hidden="1" x14ac:dyDescent="0.3">
      <c r="A439" t="s">
        <v>157</v>
      </c>
      <c r="B439" t="s">
        <v>824</v>
      </c>
      <c r="C439" t="s">
        <v>1447</v>
      </c>
      <c r="D439">
        <f t="shared" si="6"/>
        <v>0</v>
      </c>
      <c r="E439" t="s">
        <v>19</v>
      </c>
      <c r="F439" t="s">
        <v>2621</v>
      </c>
      <c r="G439" t="s">
        <v>322</v>
      </c>
      <c r="N439" s="107"/>
    </row>
    <row r="440" spans="1:14" hidden="1" x14ac:dyDescent="0.3">
      <c r="A440" t="s">
        <v>157</v>
      </c>
      <c r="B440" t="s">
        <v>1049</v>
      </c>
      <c r="C440" t="s">
        <v>1447</v>
      </c>
      <c r="D440">
        <f t="shared" si="6"/>
        <v>0</v>
      </c>
      <c r="E440" t="s">
        <v>19</v>
      </c>
      <c r="F440" t="s">
        <v>2622</v>
      </c>
      <c r="G440" t="s">
        <v>322</v>
      </c>
      <c r="N440" s="107"/>
    </row>
    <row r="441" spans="1:14" hidden="1" x14ac:dyDescent="0.3">
      <c r="A441" t="s">
        <v>157</v>
      </c>
      <c r="B441" t="s">
        <v>477</v>
      </c>
      <c r="C441" t="s">
        <v>1449</v>
      </c>
      <c r="D441">
        <f t="shared" si="6"/>
        <v>0</v>
      </c>
      <c r="E441" t="s">
        <v>19</v>
      </c>
      <c r="F441" t="s">
        <v>2631</v>
      </c>
      <c r="G441" t="s">
        <v>322</v>
      </c>
      <c r="N441" s="107"/>
    </row>
    <row r="442" spans="1:14" hidden="1" x14ac:dyDescent="0.3">
      <c r="A442" t="s">
        <v>157</v>
      </c>
      <c r="B442" t="s">
        <v>1131</v>
      </c>
      <c r="C442" t="s">
        <v>1534</v>
      </c>
      <c r="D442">
        <f t="shared" si="6"/>
        <v>0</v>
      </c>
      <c r="E442" t="s">
        <v>19</v>
      </c>
      <c r="F442" t="s">
        <v>1534</v>
      </c>
      <c r="G442" t="s">
        <v>322</v>
      </c>
      <c r="N442" s="107"/>
    </row>
    <row r="443" spans="1:14" hidden="1" x14ac:dyDescent="0.3">
      <c r="A443" t="s">
        <v>157</v>
      </c>
      <c r="B443" t="s">
        <v>824</v>
      </c>
      <c r="C443" t="s">
        <v>1535</v>
      </c>
      <c r="D443">
        <f t="shared" si="6"/>
        <v>0</v>
      </c>
      <c r="E443" t="s">
        <v>19</v>
      </c>
      <c r="F443" t="s">
        <v>1535</v>
      </c>
      <c r="G443" t="s">
        <v>322</v>
      </c>
      <c r="N443" s="107"/>
    </row>
    <row r="444" spans="1:14" hidden="1" x14ac:dyDescent="0.3">
      <c r="A444" t="s">
        <v>158</v>
      </c>
      <c r="B444" t="s">
        <v>651</v>
      </c>
      <c r="C444" t="s">
        <v>1204</v>
      </c>
      <c r="D444">
        <f t="shared" si="6"/>
        <v>0</v>
      </c>
      <c r="E444" t="s">
        <v>19</v>
      </c>
      <c r="F444" t="s">
        <v>1204</v>
      </c>
      <c r="G444" t="s">
        <v>322</v>
      </c>
      <c r="N444" s="107"/>
    </row>
    <row r="445" spans="1:14" hidden="1" x14ac:dyDescent="0.3">
      <c r="A445" t="s">
        <v>158</v>
      </c>
      <c r="B445" t="s">
        <v>479</v>
      </c>
      <c r="C445" t="s">
        <v>1212</v>
      </c>
      <c r="D445">
        <f t="shared" si="6"/>
        <v>0</v>
      </c>
      <c r="E445" t="s">
        <v>19</v>
      </c>
      <c r="F445" t="s">
        <v>1888</v>
      </c>
      <c r="G445" t="s">
        <v>322</v>
      </c>
      <c r="N445" s="107"/>
    </row>
    <row r="446" spans="1:14" hidden="1" x14ac:dyDescent="0.3">
      <c r="A446" t="s">
        <v>158</v>
      </c>
      <c r="B446" t="s">
        <v>669</v>
      </c>
      <c r="C446" t="s">
        <v>1212</v>
      </c>
      <c r="D446">
        <f t="shared" si="6"/>
        <v>0</v>
      </c>
      <c r="E446" t="s">
        <v>19</v>
      </c>
      <c r="F446" t="s">
        <v>1889</v>
      </c>
      <c r="G446" t="s">
        <v>322</v>
      </c>
      <c r="N446" s="107"/>
    </row>
    <row r="447" spans="1:14" hidden="1" x14ac:dyDescent="0.3">
      <c r="A447" t="s">
        <v>158</v>
      </c>
      <c r="B447" t="s">
        <v>675</v>
      </c>
      <c r="C447" t="s">
        <v>1221</v>
      </c>
      <c r="D447">
        <f t="shared" si="6"/>
        <v>0</v>
      </c>
      <c r="E447" t="s">
        <v>19</v>
      </c>
      <c r="F447" t="s">
        <v>1221</v>
      </c>
      <c r="G447" t="s">
        <v>322</v>
      </c>
      <c r="N447" s="107"/>
    </row>
    <row r="448" spans="1:14" hidden="1" x14ac:dyDescent="0.3">
      <c r="A448" t="s">
        <v>158</v>
      </c>
      <c r="B448" t="s">
        <v>479</v>
      </c>
      <c r="C448" t="s">
        <v>1227</v>
      </c>
      <c r="D448">
        <f t="shared" si="6"/>
        <v>0</v>
      </c>
      <c r="E448" t="s">
        <v>19</v>
      </c>
      <c r="F448" t="s">
        <v>1943</v>
      </c>
      <c r="G448" t="s">
        <v>322</v>
      </c>
      <c r="N448" s="107"/>
    </row>
    <row r="449" spans="1:14" hidden="1" x14ac:dyDescent="0.3">
      <c r="A449" t="s">
        <v>158</v>
      </c>
      <c r="B449" t="s">
        <v>993</v>
      </c>
      <c r="C449" t="s">
        <v>1411</v>
      </c>
      <c r="D449">
        <f t="shared" ref="D449:D512" si="7">SIGN(SUBTOTAL(3,E449))</f>
        <v>0</v>
      </c>
      <c r="E449" t="s">
        <v>19</v>
      </c>
      <c r="F449" t="s">
        <v>2445</v>
      </c>
      <c r="G449" t="s">
        <v>322</v>
      </c>
      <c r="N449" s="107"/>
    </row>
    <row r="450" spans="1:14" hidden="1" x14ac:dyDescent="0.3">
      <c r="A450" t="s">
        <v>158</v>
      </c>
      <c r="B450" t="s">
        <v>996</v>
      </c>
      <c r="C450" t="s">
        <v>1411</v>
      </c>
      <c r="D450">
        <f t="shared" si="7"/>
        <v>0</v>
      </c>
      <c r="E450" t="s">
        <v>19</v>
      </c>
      <c r="F450" t="s">
        <v>2451</v>
      </c>
      <c r="G450" t="s">
        <v>322</v>
      </c>
      <c r="N450" s="107"/>
    </row>
    <row r="451" spans="1:14" hidden="1" x14ac:dyDescent="0.3">
      <c r="A451" t="s">
        <v>158</v>
      </c>
      <c r="B451" t="s">
        <v>999</v>
      </c>
      <c r="C451" t="s">
        <v>1411</v>
      </c>
      <c r="D451">
        <f t="shared" si="7"/>
        <v>0</v>
      </c>
      <c r="E451" t="s">
        <v>19</v>
      </c>
      <c r="F451" t="s">
        <v>2458</v>
      </c>
      <c r="G451" t="s">
        <v>322</v>
      </c>
      <c r="N451" s="107"/>
    </row>
    <row r="452" spans="1:14" hidden="1" x14ac:dyDescent="0.3">
      <c r="A452" t="s">
        <v>158</v>
      </c>
      <c r="B452" t="s">
        <v>479</v>
      </c>
      <c r="C452" t="s">
        <v>1411</v>
      </c>
      <c r="D452">
        <f t="shared" si="7"/>
        <v>0</v>
      </c>
      <c r="E452" t="s">
        <v>19</v>
      </c>
      <c r="F452" t="s">
        <v>2459</v>
      </c>
      <c r="G452" t="s">
        <v>322</v>
      </c>
      <c r="N452" s="107"/>
    </row>
    <row r="453" spans="1:14" hidden="1" x14ac:dyDescent="0.3">
      <c r="A453" t="s">
        <v>158</v>
      </c>
      <c r="B453" t="s">
        <v>479</v>
      </c>
      <c r="C453" t="s">
        <v>1414</v>
      </c>
      <c r="D453">
        <f t="shared" si="7"/>
        <v>0</v>
      </c>
      <c r="E453" t="s">
        <v>19</v>
      </c>
      <c r="F453" t="s">
        <v>2467</v>
      </c>
      <c r="G453" t="s">
        <v>322</v>
      </c>
      <c r="N453" s="107"/>
    </row>
    <row r="454" spans="1:14" hidden="1" x14ac:dyDescent="0.3">
      <c r="A454" t="s">
        <v>158</v>
      </c>
      <c r="B454" t="s">
        <v>478</v>
      </c>
      <c r="C454" t="s">
        <v>1414</v>
      </c>
      <c r="D454">
        <f t="shared" si="7"/>
        <v>0</v>
      </c>
      <c r="E454" t="s">
        <v>19</v>
      </c>
      <c r="F454" t="s">
        <v>2468</v>
      </c>
      <c r="G454" t="s">
        <v>322</v>
      </c>
      <c r="N454" s="107"/>
    </row>
    <row r="455" spans="1:14" hidden="1" x14ac:dyDescent="0.3">
      <c r="A455" t="s">
        <v>158</v>
      </c>
      <c r="B455" t="s">
        <v>996</v>
      </c>
      <c r="C455" t="s">
        <v>1414</v>
      </c>
      <c r="D455">
        <f t="shared" si="7"/>
        <v>0</v>
      </c>
      <c r="E455" t="s">
        <v>19</v>
      </c>
      <c r="F455" t="s">
        <v>2470</v>
      </c>
      <c r="G455" t="s">
        <v>322</v>
      </c>
      <c r="N455" s="107"/>
    </row>
    <row r="456" spans="1:14" hidden="1" x14ac:dyDescent="0.3">
      <c r="A456" t="s">
        <v>158</v>
      </c>
      <c r="B456" t="s">
        <v>669</v>
      </c>
      <c r="C456" t="s">
        <v>1414</v>
      </c>
      <c r="D456">
        <f t="shared" si="7"/>
        <v>0</v>
      </c>
      <c r="E456" t="s">
        <v>19</v>
      </c>
      <c r="F456" t="s">
        <v>2478</v>
      </c>
      <c r="G456" t="s">
        <v>322</v>
      </c>
      <c r="N456" s="107"/>
    </row>
    <row r="457" spans="1:14" hidden="1" x14ac:dyDescent="0.3">
      <c r="A457" t="s">
        <v>158</v>
      </c>
      <c r="B457" t="s">
        <v>479</v>
      </c>
      <c r="C457" t="s">
        <v>1414</v>
      </c>
      <c r="D457">
        <f t="shared" si="7"/>
        <v>0</v>
      </c>
      <c r="E457" t="s">
        <v>19</v>
      </c>
      <c r="F457" t="s">
        <v>2488</v>
      </c>
      <c r="G457" t="s">
        <v>322</v>
      </c>
      <c r="N457" s="107"/>
    </row>
    <row r="458" spans="1:14" hidden="1" x14ac:dyDescent="0.3">
      <c r="A458" t="s">
        <v>158</v>
      </c>
      <c r="B458" t="s">
        <v>1054</v>
      </c>
      <c r="C458" t="s">
        <v>1446</v>
      </c>
      <c r="D458">
        <f t="shared" si="7"/>
        <v>0</v>
      </c>
      <c r="E458" t="s">
        <v>19</v>
      </c>
      <c r="F458" t="s">
        <v>2618</v>
      </c>
      <c r="G458" t="s">
        <v>322</v>
      </c>
      <c r="N458" s="107"/>
    </row>
    <row r="459" spans="1:14" hidden="1" x14ac:dyDescent="0.3">
      <c r="A459" t="s">
        <v>158</v>
      </c>
      <c r="B459" t="s">
        <v>1054</v>
      </c>
      <c r="C459" t="s">
        <v>1509</v>
      </c>
      <c r="D459">
        <f t="shared" si="7"/>
        <v>0</v>
      </c>
      <c r="E459" t="s">
        <v>19</v>
      </c>
      <c r="F459" t="s">
        <v>2769</v>
      </c>
      <c r="G459" t="s">
        <v>322</v>
      </c>
      <c r="N459" s="107"/>
    </row>
    <row r="460" spans="1:14" hidden="1" x14ac:dyDescent="0.3">
      <c r="A460" t="s">
        <v>158</v>
      </c>
      <c r="B460" t="s">
        <v>479</v>
      </c>
      <c r="C460" t="s">
        <v>1509</v>
      </c>
      <c r="D460">
        <f t="shared" si="7"/>
        <v>0</v>
      </c>
      <c r="E460" t="s">
        <v>19</v>
      </c>
      <c r="F460" t="s">
        <v>2770</v>
      </c>
      <c r="G460" t="s">
        <v>322</v>
      </c>
      <c r="N460" s="107"/>
    </row>
    <row r="461" spans="1:14" hidden="1" x14ac:dyDescent="0.3">
      <c r="A461" t="s">
        <v>158</v>
      </c>
      <c r="B461" t="s">
        <v>651</v>
      </c>
      <c r="C461" t="s">
        <v>1510</v>
      </c>
      <c r="D461">
        <f t="shared" si="7"/>
        <v>0</v>
      </c>
      <c r="E461" t="s">
        <v>19</v>
      </c>
      <c r="F461" t="s">
        <v>1510</v>
      </c>
      <c r="G461" t="s">
        <v>322</v>
      </c>
      <c r="N461" s="107"/>
    </row>
    <row r="462" spans="1:14" hidden="1" x14ac:dyDescent="0.3">
      <c r="A462" t="s">
        <v>158</v>
      </c>
      <c r="B462" t="s">
        <v>993</v>
      </c>
      <c r="C462" t="s">
        <v>1509</v>
      </c>
      <c r="D462">
        <f t="shared" si="7"/>
        <v>0</v>
      </c>
      <c r="E462" t="s">
        <v>19</v>
      </c>
      <c r="F462" t="s">
        <v>2771</v>
      </c>
      <c r="G462" t="s">
        <v>322</v>
      </c>
      <c r="N462" s="107"/>
    </row>
    <row r="463" spans="1:14" hidden="1" x14ac:dyDescent="0.3">
      <c r="A463" t="s">
        <v>158</v>
      </c>
      <c r="B463" t="s">
        <v>478</v>
      </c>
      <c r="C463" t="s">
        <v>1511</v>
      </c>
      <c r="D463">
        <f t="shared" si="7"/>
        <v>0</v>
      </c>
      <c r="E463" t="s">
        <v>19</v>
      </c>
      <c r="F463" t="s">
        <v>2800</v>
      </c>
      <c r="G463" t="s">
        <v>322</v>
      </c>
      <c r="N463" s="107"/>
    </row>
    <row r="464" spans="1:14" hidden="1" x14ac:dyDescent="0.3">
      <c r="A464" t="s">
        <v>159</v>
      </c>
      <c r="B464" t="s">
        <v>545</v>
      </c>
      <c r="C464" t="s">
        <v>1141</v>
      </c>
      <c r="D464">
        <f t="shared" si="7"/>
        <v>0</v>
      </c>
      <c r="E464" t="s">
        <v>19</v>
      </c>
      <c r="F464" t="s">
        <v>1141</v>
      </c>
      <c r="G464" t="s">
        <v>322</v>
      </c>
      <c r="N464" s="107"/>
    </row>
    <row r="465" spans="1:14" hidden="1" x14ac:dyDescent="0.3">
      <c r="A465" t="s">
        <v>159</v>
      </c>
      <c r="B465" t="s">
        <v>560</v>
      </c>
      <c r="C465" t="s">
        <v>1162</v>
      </c>
      <c r="D465">
        <f t="shared" si="7"/>
        <v>0</v>
      </c>
      <c r="E465" t="s">
        <v>19</v>
      </c>
      <c r="F465" t="s">
        <v>1736</v>
      </c>
      <c r="G465" t="s">
        <v>322</v>
      </c>
      <c r="N465" s="107"/>
    </row>
    <row r="466" spans="1:14" hidden="1" x14ac:dyDescent="0.3">
      <c r="A466" t="s">
        <v>159</v>
      </c>
      <c r="B466" t="s">
        <v>565</v>
      </c>
      <c r="C466" t="s">
        <v>1164</v>
      </c>
      <c r="D466">
        <f t="shared" si="7"/>
        <v>0</v>
      </c>
      <c r="E466" t="s">
        <v>19</v>
      </c>
      <c r="F466" t="s">
        <v>1743</v>
      </c>
      <c r="G466" t="s">
        <v>322</v>
      </c>
      <c r="N466" s="107"/>
    </row>
    <row r="467" spans="1:14" hidden="1" x14ac:dyDescent="0.3">
      <c r="A467" t="s">
        <v>159</v>
      </c>
      <c r="B467" t="s">
        <v>640</v>
      </c>
      <c r="C467" t="s">
        <v>1190</v>
      </c>
      <c r="D467">
        <f t="shared" si="7"/>
        <v>0</v>
      </c>
      <c r="E467" t="s">
        <v>19</v>
      </c>
      <c r="F467" t="s">
        <v>1190</v>
      </c>
      <c r="G467" t="s">
        <v>322</v>
      </c>
      <c r="N467" s="107"/>
    </row>
    <row r="468" spans="1:14" hidden="1" x14ac:dyDescent="0.3">
      <c r="A468" t="s">
        <v>159</v>
      </c>
      <c r="B468" t="s">
        <v>641</v>
      </c>
      <c r="C468" t="s">
        <v>1191</v>
      </c>
      <c r="D468">
        <f t="shared" si="7"/>
        <v>0</v>
      </c>
      <c r="E468" t="s">
        <v>19</v>
      </c>
      <c r="F468" t="s">
        <v>1191</v>
      </c>
      <c r="G468" t="s">
        <v>322</v>
      </c>
      <c r="N468" s="107"/>
    </row>
    <row r="469" spans="1:14" hidden="1" x14ac:dyDescent="0.3">
      <c r="A469" t="s">
        <v>159</v>
      </c>
      <c r="B469" t="s">
        <v>663</v>
      </c>
      <c r="C469" t="s">
        <v>1209</v>
      </c>
      <c r="D469">
        <f t="shared" si="7"/>
        <v>0</v>
      </c>
      <c r="E469" t="s">
        <v>19</v>
      </c>
      <c r="F469" t="s">
        <v>1209</v>
      </c>
      <c r="G469" t="s">
        <v>322</v>
      </c>
      <c r="N469" s="107"/>
    </row>
    <row r="470" spans="1:14" hidden="1" x14ac:dyDescent="0.3">
      <c r="A470" t="s">
        <v>159</v>
      </c>
      <c r="B470" t="s">
        <v>673</v>
      </c>
      <c r="C470" t="s">
        <v>1220</v>
      </c>
      <c r="D470">
        <f t="shared" si="7"/>
        <v>0</v>
      </c>
      <c r="E470" t="s">
        <v>19</v>
      </c>
      <c r="F470" t="s">
        <v>1894</v>
      </c>
      <c r="G470" t="s">
        <v>322</v>
      </c>
      <c r="N470" s="107"/>
    </row>
    <row r="471" spans="1:14" hidden="1" x14ac:dyDescent="0.3">
      <c r="A471" t="s">
        <v>159</v>
      </c>
      <c r="B471" t="s">
        <v>674</v>
      </c>
      <c r="C471" t="s">
        <v>1220</v>
      </c>
      <c r="D471">
        <f t="shared" si="7"/>
        <v>0</v>
      </c>
      <c r="E471" t="s">
        <v>19</v>
      </c>
      <c r="F471" t="s">
        <v>1895</v>
      </c>
      <c r="G471" t="s">
        <v>322</v>
      </c>
      <c r="N471" s="107"/>
    </row>
    <row r="472" spans="1:14" hidden="1" x14ac:dyDescent="0.3">
      <c r="A472" t="s">
        <v>159</v>
      </c>
      <c r="B472" t="s">
        <v>676</v>
      </c>
      <c r="C472" t="s">
        <v>1223</v>
      </c>
      <c r="D472">
        <f t="shared" si="7"/>
        <v>0</v>
      </c>
      <c r="E472" t="s">
        <v>19</v>
      </c>
      <c r="F472" t="s">
        <v>1223</v>
      </c>
      <c r="G472" t="s">
        <v>322</v>
      </c>
      <c r="N472" s="107"/>
    </row>
    <row r="473" spans="1:14" hidden="1" x14ac:dyDescent="0.3">
      <c r="A473" t="s">
        <v>159</v>
      </c>
      <c r="B473" t="s">
        <v>700</v>
      </c>
      <c r="C473" t="s">
        <v>1227</v>
      </c>
      <c r="D473">
        <f t="shared" si="7"/>
        <v>0</v>
      </c>
      <c r="E473" t="s">
        <v>19</v>
      </c>
      <c r="F473" t="s">
        <v>1932</v>
      </c>
      <c r="G473" t="s">
        <v>322</v>
      </c>
      <c r="N473" s="107"/>
    </row>
    <row r="474" spans="1:14" hidden="1" x14ac:dyDescent="0.3">
      <c r="A474" t="s">
        <v>159</v>
      </c>
      <c r="B474" t="s">
        <v>722</v>
      </c>
      <c r="C474" t="s">
        <v>1227</v>
      </c>
      <c r="D474">
        <f t="shared" si="7"/>
        <v>0</v>
      </c>
      <c r="E474" t="s">
        <v>19</v>
      </c>
      <c r="F474" t="s">
        <v>1984</v>
      </c>
      <c r="G474" t="s">
        <v>322</v>
      </c>
      <c r="N474" s="107"/>
    </row>
    <row r="475" spans="1:14" hidden="1" x14ac:dyDescent="0.3">
      <c r="A475" t="s">
        <v>159</v>
      </c>
      <c r="B475" t="s">
        <v>733</v>
      </c>
      <c r="C475" t="s">
        <v>1235</v>
      </c>
      <c r="D475">
        <f t="shared" si="7"/>
        <v>0</v>
      </c>
      <c r="E475" t="s">
        <v>19</v>
      </c>
      <c r="F475" t="s">
        <v>2011</v>
      </c>
      <c r="G475" t="s">
        <v>322</v>
      </c>
      <c r="N475" s="107"/>
    </row>
    <row r="476" spans="1:14" hidden="1" x14ac:dyDescent="0.3">
      <c r="A476" t="s">
        <v>159</v>
      </c>
      <c r="B476" t="s">
        <v>733</v>
      </c>
      <c r="C476" t="s">
        <v>1235</v>
      </c>
      <c r="D476">
        <f t="shared" si="7"/>
        <v>0</v>
      </c>
      <c r="E476" t="s">
        <v>19</v>
      </c>
      <c r="F476" t="s">
        <v>2012</v>
      </c>
      <c r="G476" t="s">
        <v>322</v>
      </c>
      <c r="N476" s="107"/>
    </row>
    <row r="477" spans="1:14" hidden="1" x14ac:dyDescent="0.3">
      <c r="A477" t="s">
        <v>159</v>
      </c>
      <c r="B477" t="s">
        <v>565</v>
      </c>
      <c r="C477" t="s">
        <v>1247</v>
      </c>
      <c r="D477">
        <f t="shared" si="7"/>
        <v>0</v>
      </c>
      <c r="E477" t="s">
        <v>19</v>
      </c>
      <c r="F477" t="s">
        <v>1247</v>
      </c>
      <c r="G477" t="s">
        <v>322</v>
      </c>
      <c r="N477" s="107"/>
    </row>
    <row r="478" spans="1:14" hidden="1" x14ac:dyDescent="0.3">
      <c r="A478" t="s">
        <v>159</v>
      </c>
      <c r="B478" t="s">
        <v>755</v>
      </c>
      <c r="C478" t="s">
        <v>1251</v>
      </c>
      <c r="D478">
        <f t="shared" si="7"/>
        <v>0</v>
      </c>
      <c r="E478" t="s">
        <v>19</v>
      </c>
      <c r="F478" t="s">
        <v>2040</v>
      </c>
      <c r="G478" t="s">
        <v>322</v>
      </c>
      <c r="N478" s="107"/>
    </row>
    <row r="479" spans="1:14" hidden="1" x14ac:dyDescent="0.3">
      <c r="A479" t="s">
        <v>159</v>
      </c>
      <c r="B479" t="s">
        <v>674</v>
      </c>
      <c r="C479" t="s">
        <v>1252</v>
      </c>
      <c r="D479">
        <f t="shared" si="7"/>
        <v>0</v>
      </c>
      <c r="E479" t="s">
        <v>19</v>
      </c>
      <c r="F479" t="s">
        <v>2048</v>
      </c>
      <c r="G479" t="s">
        <v>322</v>
      </c>
      <c r="N479" s="107"/>
    </row>
    <row r="480" spans="1:14" hidden="1" x14ac:dyDescent="0.3">
      <c r="A480" t="s">
        <v>159</v>
      </c>
      <c r="B480" t="s">
        <v>673</v>
      </c>
      <c r="C480" t="s">
        <v>1277</v>
      </c>
      <c r="D480">
        <f t="shared" si="7"/>
        <v>0</v>
      </c>
      <c r="E480" t="s">
        <v>19</v>
      </c>
      <c r="F480" t="s">
        <v>2089</v>
      </c>
      <c r="G480" t="s">
        <v>322</v>
      </c>
      <c r="N480" s="107"/>
    </row>
    <row r="481" spans="1:14" hidden="1" x14ac:dyDescent="0.3">
      <c r="A481" t="s">
        <v>159</v>
      </c>
      <c r="B481" t="s">
        <v>789</v>
      </c>
      <c r="C481" t="s">
        <v>1278</v>
      </c>
      <c r="D481">
        <f t="shared" si="7"/>
        <v>0</v>
      </c>
      <c r="E481" t="s">
        <v>19</v>
      </c>
      <c r="F481" t="s">
        <v>1278</v>
      </c>
      <c r="G481" t="s">
        <v>322</v>
      </c>
      <c r="N481" s="107"/>
    </row>
    <row r="482" spans="1:14" hidden="1" x14ac:dyDescent="0.3">
      <c r="A482" t="s">
        <v>159</v>
      </c>
      <c r="B482" t="s">
        <v>565</v>
      </c>
      <c r="C482" t="s">
        <v>1282</v>
      </c>
      <c r="D482">
        <f t="shared" si="7"/>
        <v>0</v>
      </c>
      <c r="E482" t="s">
        <v>19</v>
      </c>
      <c r="F482" t="s">
        <v>1282</v>
      </c>
      <c r="G482" t="s">
        <v>322</v>
      </c>
      <c r="N482" s="107"/>
    </row>
    <row r="483" spans="1:14" hidden="1" x14ac:dyDescent="0.3">
      <c r="A483" t="s">
        <v>159</v>
      </c>
      <c r="B483" t="s">
        <v>545</v>
      </c>
      <c r="C483" t="s">
        <v>1285</v>
      </c>
      <c r="D483">
        <f t="shared" si="7"/>
        <v>0</v>
      </c>
      <c r="E483" t="s">
        <v>19</v>
      </c>
      <c r="F483" t="s">
        <v>2114</v>
      </c>
      <c r="G483" t="s">
        <v>322</v>
      </c>
      <c r="N483" s="107"/>
    </row>
    <row r="484" spans="1:14" hidden="1" x14ac:dyDescent="0.3">
      <c r="A484" t="s">
        <v>159</v>
      </c>
      <c r="B484" t="s">
        <v>821</v>
      </c>
      <c r="C484" t="s">
        <v>1296</v>
      </c>
      <c r="D484">
        <f t="shared" si="7"/>
        <v>0</v>
      </c>
      <c r="E484" t="s">
        <v>19</v>
      </c>
      <c r="F484" t="s">
        <v>1296</v>
      </c>
      <c r="G484" t="s">
        <v>322</v>
      </c>
      <c r="N484" s="107"/>
    </row>
    <row r="485" spans="1:14" hidden="1" x14ac:dyDescent="0.3">
      <c r="A485" t="s">
        <v>159</v>
      </c>
      <c r="B485" t="s">
        <v>821</v>
      </c>
      <c r="C485" t="s">
        <v>1298</v>
      </c>
      <c r="D485">
        <f t="shared" si="7"/>
        <v>0</v>
      </c>
      <c r="E485" t="s">
        <v>19</v>
      </c>
      <c r="F485" t="s">
        <v>2161</v>
      </c>
      <c r="G485" t="s">
        <v>322</v>
      </c>
      <c r="N485" s="107"/>
    </row>
    <row r="486" spans="1:14" hidden="1" x14ac:dyDescent="0.3">
      <c r="A486" t="s">
        <v>159</v>
      </c>
      <c r="B486" t="s">
        <v>863</v>
      </c>
      <c r="C486" t="s">
        <v>1307</v>
      </c>
      <c r="D486">
        <f t="shared" si="7"/>
        <v>0</v>
      </c>
      <c r="E486" t="s">
        <v>19</v>
      </c>
      <c r="F486" t="s">
        <v>2209</v>
      </c>
      <c r="G486" t="s">
        <v>322</v>
      </c>
      <c r="N486" s="107"/>
    </row>
    <row r="487" spans="1:14" hidden="1" x14ac:dyDescent="0.3">
      <c r="A487" t="s">
        <v>159</v>
      </c>
      <c r="B487" t="s">
        <v>565</v>
      </c>
      <c r="C487" t="s">
        <v>1314</v>
      </c>
      <c r="D487">
        <f t="shared" si="7"/>
        <v>0</v>
      </c>
      <c r="E487" t="s">
        <v>19</v>
      </c>
      <c r="F487" t="s">
        <v>2212</v>
      </c>
      <c r="G487" t="s">
        <v>322</v>
      </c>
      <c r="N487" s="107"/>
    </row>
    <row r="488" spans="1:14" hidden="1" x14ac:dyDescent="0.3">
      <c r="A488" t="s">
        <v>159</v>
      </c>
      <c r="B488" t="s">
        <v>676</v>
      </c>
      <c r="C488" t="s">
        <v>1315</v>
      </c>
      <c r="D488">
        <f t="shared" si="7"/>
        <v>0</v>
      </c>
      <c r="E488" t="s">
        <v>19</v>
      </c>
      <c r="F488" t="s">
        <v>1315</v>
      </c>
      <c r="G488" t="s">
        <v>322</v>
      </c>
      <c r="N488" s="107"/>
    </row>
    <row r="489" spans="1:14" hidden="1" x14ac:dyDescent="0.3">
      <c r="A489" t="s">
        <v>159</v>
      </c>
      <c r="B489" t="s">
        <v>676</v>
      </c>
      <c r="C489" t="s">
        <v>1316</v>
      </c>
      <c r="D489">
        <f t="shared" si="7"/>
        <v>0</v>
      </c>
      <c r="E489" t="s">
        <v>19</v>
      </c>
      <c r="F489" t="s">
        <v>1316</v>
      </c>
      <c r="G489" t="s">
        <v>322</v>
      </c>
      <c r="N489" s="107"/>
    </row>
    <row r="490" spans="1:14" hidden="1" x14ac:dyDescent="0.3">
      <c r="A490" t="s">
        <v>159</v>
      </c>
      <c r="B490" t="s">
        <v>873</v>
      </c>
      <c r="C490" t="s">
        <v>1313</v>
      </c>
      <c r="D490">
        <f t="shared" si="7"/>
        <v>0</v>
      </c>
      <c r="E490" t="s">
        <v>19</v>
      </c>
      <c r="F490" t="s">
        <v>2225</v>
      </c>
      <c r="G490" t="s">
        <v>322</v>
      </c>
      <c r="N490" s="107"/>
    </row>
    <row r="491" spans="1:14" hidden="1" x14ac:dyDescent="0.3">
      <c r="A491" t="s">
        <v>159</v>
      </c>
      <c r="B491" t="s">
        <v>884</v>
      </c>
      <c r="C491" t="s">
        <v>1325</v>
      </c>
      <c r="D491">
        <f t="shared" si="7"/>
        <v>0</v>
      </c>
      <c r="E491" t="s">
        <v>19</v>
      </c>
      <c r="F491" t="s">
        <v>1325</v>
      </c>
      <c r="G491" t="s">
        <v>322</v>
      </c>
      <c r="N491" s="107"/>
    </row>
    <row r="492" spans="1:14" hidden="1" x14ac:dyDescent="0.3">
      <c r="A492" t="s">
        <v>159</v>
      </c>
      <c r="B492" t="s">
        <v>885</v>
      </c>
      <c r="C492" t="s">
        <v>1327</v>
      </c>
      <c r="D492">
        <f t="shared" si="7"/>
        <v>0</v>
      </c>
      <c r="E492" t="s">
        <v>19</v>
      </c>
      <c r="F492" t="s">
        <v>1327</v>
      </c>
      <c r="G492" t="s">
        <v>322</v>
      </c>
      <c r="N492" s="107"/>
    </row>
    <row r="493" spans="1:14" hidden="1" x14ac:dyDescent="0.3">
      <c r="A493" t="s">
        <v>159</v>
      </c>
      <c r="B493" t="s">
        <v>910</v>
      </c>
      <c r="C493" t="s">
        <v>1348</v>
      </c>
      <c r="D493">
        <f t="shared" si="7"/>
        <v>0</v>
      </c>
      <c r="E493" t="s">
        <v>19</v>
      </c>
      <c r="F493" t="s">
        <v>1348</v>
      </c>
      <c r="G493" t="s">
        <v>322</v>
      </c>
      <c r="N493" s="107"/>
    </row>
    <row r="494" spans="1:14" hidden="1" x14ac:dyDescent="0.3">
      <c r="A494" t="s">
        <v>159</v>
      </c>
      <c r="B494" t="s">
        <v>926</v>
      </c>
      <c r="C494" t="s">
        <v>1365</v>
      </c>
      <c r="D494">
        <f t="shared" si="7"/>
        <v>0</v>
      </c>
      <c r="E494" t="s">
        <v>19</v>
      </c>
      <c r="F494" t="s">
        <v>1365</v>
      </c>
      <c r="G494" t="s">
        <v>322</v>
      </c>
      <c r="N494" s="107"/>
    </row>
    <row r="495" spans="1:14" hidden="1" x14ac:dyDescent="0.3">
      <c r="A495" t="s">
        <v>159</v>
      </c>
      <c r="B495" t="s">
        <v>927</v>
      </c>
      <c r="C495" t="s">
        <v>1366</v>
      </c>
      <c r="D495">
        <f t="shared" si="7"/>
        <v>0</v>
      </c>
      <c r="E495" t="s">
        <v>19</v>
      </c>
      <c r="F495" t="s">
        <v>2305</v>
      </c>
      <c r="G495" t="s">
        <v>322</v>
      </c>
      <c r="N495" s="107"/>
    </row>
    <row r="496" spans="1:14" hidden="1" x14ac:dyDescent="0.3">
      <c r="A496" t="s">
        <v>159</v>
      </c>
      <c r="B496" t="s">
        <v>934</v>
      </c>
      <c r="C496" t="s">
        <v>1374</v>
      </c>
      <c r="D496">
        <f t="shared" si="7"/>
        <v>0</v>
      </c>
      <c r="E496" t="s">
        <v>19</v>
      </c>
      <c r="F496" t="s">
        <v>2316</v>
      </c>
      <c r="G496" t="s">
        <v>322</v>
      </c>
      <c r="N496" s="107"/>
    </row>
    <row r="497" spans="1:14" hidden="1" x14ac:dyDescent="0.3">
      <c r="A497" t="s">
        <v>159</v>
      </c>
      <c r="B497" t="s">
        <v>935</v>
      </c>
      <c r="C497" t="s">
        <v>1375</v>
      </c>
      <c r="D497">
        <f t="shared" si="7"/>
        <v>0</v>
      </c>
      <c r="E497" t="s">
        <v>19</v>
      </c>
      <c r="F497" t="s">
        <v>1375</v>
      </c>
      <c r="G497" t="s">
        <v>322</v>
      </c>
      <c r="N497" s="107"/>
    </row>
    <row r="498" spans="1:14" hidden="1" x14ac:dyDescent="0.3">
      <c r="A498" t="s">
        <v>159</v>
      </c>
      <c r="B498" t="s">
        <v>910</v>
      </c>
      <c r="C498" t="s">
        <v>1374</v>
      </c>
      <c r="D498">
        <f t="shared" si="7"/>
        <v>0</v>
      </c>
      <c r="E498" t="s">
        <v>19</v>
      </c>
      <c r="F498" t="s">
        <v>2317</v>
      </c>
      <c r="G498" t="s">
        <v>322</v>
      </c>
      <c r="N498" s="107"/>
    </row>
    <row r="499" spans="1:14" hidden="1" x14ac:dyDescent="0.3">
      <c r="A499" t="s">
        <v>159</v>
      </c>
      <c r="B499" t="s">
        <v>953</v>
      </c>
      <c r="C499" t="s">
        <v>1385</v>
      </c>
      <c r="D499">
        <f t="shared" si="7"/>
        <v>0</v>
      </c>
      <c r="E499" t="s">
        <v>19</v>
      </c>
      <c r="F499" t="s">
        <v>2381</v>
      </c>
      <c r="G499" t="s">
        <v>322</v>
      </c>
      <c r="N499" s="107"/>
    </row>
    <row r="500" spans="1:14" hidden="1" x14ac:dyDescent="0.3">
      <c r="A500" t="s">
        <v>159</v>
      </c>
      <c r="B500" t="s">
        <v>998</v>
      </c>
      <c r="C500" t="s">
        <v>1411</v>
      </c>
      <c r="D500">
        <f t="shared" si="7"/>
        <v>0</v>
      </c>
      <c r="E500" t="s">
        <v>19</v>
      </c>
      <c r="F500" t="s">
        <v>2455</v>
      </c>
      <c r="G500" t="s">
        <v>322</v>
      </c>
      <c r="N500" s="107"/>
    </row>
    <row r="501" spans="1:14" hidden="1" x14ac:dyDescent="0.3">
      <c r="A501" t="s">
        <v>159</v>
      </c>
      <c r="B501" t="s">
        <v>998</v>
      </c>
      <c r="C501" t="s">
        <v>1414</v>
      </c>
      <c r="D501">
        <f t="shared" si="7"/>
        <v>0</v>
      </c>
      <c r="E501" t="s">
        <v>19</v>
      </c>
      <c r="F501" t="s">
        <v>2507</v>
      </c>
      <c r="G501" t="s">
        <v>322</v>
      </c>
      <c r="N501" s="107"/>
    </row>
    <row r="502" spans="1:14" hidden="1" x14ac:dyDescent="0.3">
      <c r="A502" t="s">
        <v>159</v>
      </c>
      <c r="B502" t="s">
        <v>560</v>
      </c>
      <c r="C502" t="s">
        <v>1414</v>
      </c>
      <c r="D502">
        <f t="shared" si="7"/>
        <v>0</v>
      </c>
      <c r="E502" t="s">
        <v>19</v>
      </c>
      <c r="F502" t="s">
        <v>2514</v>
      </c>
      <c r="G502" t="s">
        <v>322</v>
      </c>
      <c r="N502" s="107"/>
    </row>
    <row r="503" spans="1:14" hidden="1" x14ac:dyDescent="0.3">
      <c r="A503" t="s">
        <v>159</v>
      </c>
      <c r="B503" t="s">
        <v>733</v>
      </c>
      <c r="C503" t="s">
        <v>1419</v>
      </c>
      <c r="D503">
        <f t="shared" si="7"/>
        <v>0</v>
      </c>
      <c r="E503" t="s">
        <v>19</v>
      </c>
      <c r="F503" t="s">
        <v>2543</v>
      </c>
      <c r="G503" t="s">
        <v>322</v>
      </c>
      <c r="N503" s="107"/>
    </row>
    <row r="504" spans="1:14" hidden="1" x14ac:dyDescent="0.3">
      <c r="A504" t="s">
        <v>159</v>
      </c>
      <c r="B504" t="s">
        <v>1020</v>
      </c>
      <c r="C504" t="s">
        <v>1419</v>
      </c>
      <c r="D504">
        <f t="shared" si="7"/>
        <v>0</v>
      </c>
      <c r="E504" t="s">
        <v>19</v>
      </c>
      <c r="F504" t="s">
        <v>2546</v>
      </c>
      <c r="G504" t="s">
        <v>322</v>
      </c>
      <c r="N504" s="107"/>
    </row>
    <row r="505" spans="1:14" hidden="1" x14ac:dyDescent="0.3">
      <c r="A505" t="s">
        <v>159</v>
      </c>
      <c r="B505" t="s">
        <v>1021</v>
      </c>
      <c r="C505" t="s">
        <v>1419</v>
      </c>
      <c r="D505">
        <f t="shared" si="7"/>
        <v>0</v>
      </c>
      <c r="E505" t="s">
        <v>19</v>
      </c>
      <c r="F505" t="s">
        <v>2547</v>
      </c>
      <c r="G505" t="s">
        <v>322</v>
      </c>
      <c r="N505" s="107"/>
    </row>
    <row r="506" spans="1:14" hidden="1" x14ac:dyDescent="0.3">
      <c r="A506" t="s">
        <v>159</v>
      </c>
      <c r="B506" t="s">
        <v>1021</v>
      </c>
      <c r="C506" t="s">
        <v>1419</v>
      </c>
      <c r="D506">
        <f t="shared" si="7"/>
        <v>0</v>
      </c>
      <c r="E506" t="s">
        <v>19</v>
      </c>
      <c r="F506" t="s">
        <v>2548</v>
      </c>
      <c r="G506" t="s">
        <v>322</v>
      </c>
      <c r="N506" s="107"/>
    </row>
    <row r="507" spans="1:14" hidden="1" x14ac:dyDescent="0.3">
      <c r="A507" t="s">
        <v>159</v>
      </c>
      <c r="B507" t="s">
        <v>1022</v>
      </c>
      <c r="C507" t="s">
        <v>1419</v>
      </c>
      <c r="D507">
        <f t="shared" si="7"/>
        <v>0</v>
      </c>
      <c r="E507" t="s">
        <v>19</v>
      </c>
      <c r="F507" t="s">
        <v>2550</v>
      </c>
      <c r="G507" t="s">
        <v>322</v>
      </c>
      <c r="N507" s="107"/>
    </row>
    <row r="508" spans="1:14" hidden="1" x14ac:dyDescent="0.3">
      <c r="A508" t="s">
        <v>159</v>
      </c>
      <c r="B508" t="s">
        <v>1023</v>
      </c>
      <c r="C508" t="s">
        <v>1419</v>
      </c>
      <c r="D508">
        <f t="shared" si="7"/>
        <v>0</v>
      </c>
      <c r="E508" t="s">
        <v>19</v>
      </c>
      <c r="F508" t="s">
        <v>2551</v>
      </c>
      <c r="G508" t="s">
        <v>322</v>
      </c>
      <c r="N508" s="107"/>
    </row>
    <row r="509" spans="1:14" hidden="1" x14ac:dyDescent="0.3">
      <c r="A509" t="s">
        <v>159</v>
      </c>
      <c r="B509" t="s">
        <v>480</v>
      </c>
      <c r="C509" t="s">
        <v>1433</v>
      </c>
      <c r="D509">
        <f t="shared" si="7"/>
        <v>0</v>
      </c>
      <c r="E509" t="s">
        <v>19</v>
      </c>
      <c r="F509" t="s">
        <v>1433</v>
      </c>
      <c r="G509" t="s">
        <v>322</v>
      </c>
      <c r="N509" s="107"/>
    </row>
    <row r="510" spans="1:14" hidden="1" x14ac:dyDescent="0.3">
      <c r="A510" t="s">
        <v>159</v>
      </c>
      <c r="B510" t="s">
        <v>1074</v>
      </c>
      <c r="C510" t="s">
        <v>1465</v>
      </c>
      <c r="D510">
        <f t="shared" si="7"/>
        <v>0</v>
      </c>
      <c r="E510" t="s">
        <v>19</v>
      </c>
      <c r="F510" t="s">
        <v>1465</v>
      </c>
      <c r="G510" t="s">
        <v>322</v>
      </c>
      <c r="N510" s="107"/>
    </row>
    <row r="511" spans="1:14" hidden="1" x14ac:dyDescent="0.3">
      <c r="A511" t="s">
        <v>159</v>
      </c>
      <c r="B511" t="s">
        <v>1085</v>
      </c>
      <c r="C511" t="s">
        <v>1479</v>
      </c>
      <c r="D511">
        <f t="shared" si="7"/>
        <v>0</v>
      </c>
      <c r="E511" t="s">
        <v>19</v>
      </c>
      <c r="F511" t="s">
        <v>2704</v>
      </c>
      <c r="G511" t="s">
        <v>322</v>
      </c>
      <c r="N511" s="107"/>
    </row>
    <row r="512" spans="1:14" hidden="1" x14ac:dyDescent="0.3">
      <c r="A512" t="s">
        <v>159</v>
      </c>
      <c r="B512" t="s">
        <v>1096</v>
      </c>
      <c r="C512" t="s">
        <v>1493</v>
      </c>
      <c r="D512">
        <f t="shared" si="7"/>
        <v>0</v>
      </c>
      <c r="E512" t="s">
        <v>19</v>
      </c>
      <c r="F512" t="s">
        <v>1493</v>
      </c>
      <c r="G512" t="s">
        <v>322</v>
      </c>
      <c r="N512" s="107"/>
    </row>
    <row r="513" spans="1:14" hidden="1" x14ac:dyDescent="0.3">
      <c r="A513" t="s">
        <v>159</v>
      </c>
      <c r="B513" t="s">
        <v>1100</v>
      </c>
      <c r="C513" t="s">
        <v>1500</v>
      </c>
      <c r="D513">
        <f t="shared" ref="D513:D576" si="8">SIGN(SUBTOTAL(3,E513))</f>
        <v>0</v>
      </c>
      <c r="E513" t="s">
        <v>19</v>
      </c>
      <c r="F513" t="s">
        <v>2743</v>
      </c>
      <c r="G513" t="s">
        <v>322</v>
      </c>
      <c r="N513" s="107"/>
    </row>
    <row r="514" spans="1:14" hidden="1" x14ac:dyDescent="0.3">
      <c r="A514" t="s">
        <v>159</v>
      </c>
      <c r="B514" t="s">
        <v>1103</v>
      </c>
      <c r="C514" t="s">
        <v>1502</v>
      </c>
      <c r="D514">
        <f t="shared" si="8"/>
        <v>0</v>
      </c>
      <c r="E514" t="s">
        <v>19</v>
      </c>
      <c r="F514" t="s">
        <v>2749</v>
      </c>
      <c r="G514" t="s">
        <v>322</v>
      </c>
      <c r="N514" s="107"/>
    </row>
    <row r="515" spans="1:14" hidden="1" x14ac:dyDescent="0.3">
      <c r="A515" t="s">
        <v>159</v>
      </c>
      <c r="B515" t="s">
        <v>676</v>
      </c>
      <c r="C515" t="s">
        <v>1532</v>
      </c>
      <c r="D515">
        <f t="shared" si="8"/>
        <v>0</v>
      </c>
      <c r="E515" t="s">
        <v>19</v>
      </c>
      <c r="F515" t="s">
        <v>2822</v>
      </c>
      <c r="G515" t="s">
        <v>322</v>
      </c>
      <c r="N515" s="107"/>
    </row>
    <row r="516" spans="1:14" hidden="1" x14ac:dyDescent="0.3">
      <c r="A516" t="s">
        <v>159</v>
      </c>
      <c r="B516" t="s">
        <v>935</v>
      </c>
      <c r="C516" t="s">
        <v>1532</v>
      </c>
      <c r="D516">
        <f t="shared" si="8"/>
        <v>0</v>
      </c>
      <c r="E516" t="s">
        <v>19</v>
      </c>
      <c r="F516" t="s">
        <v>2827</v>
      </c>
      <c r="G516" t="s">
        <v>322</v>
      </c>
      <c r="N516" s="107"/>
    </row>
    <row r="517" spans="1:14" hidden="1" x14ac:dyDescent="0.3">
      <c r="A517" t="s">
        <v>160</v>
      </c>
      <c r="B517" t="s">
        <v>628</v>
      </c>
      <c r="C517" t="s">
        <v>1182</v>
      </c>
      <c r="D517">
        <f t="shared" si="8"/>
        <v>0</v>
      </c>
      <c r="E517" t="s">
        <v>19</v>
      </c>
      <c r="F517" t="s">
        <v>1830</v>
      </c>
      <c r="G517" t="s">
        <v>322</v>
      </c>
      <c r="N517" s="107"/>
    </row>
    <row r="518" spans="1:14" hidden="1" x14ac:dyDescent="0.3">
      <c r="A518" t="s">
        <v>160</v>
      </c>
      <c r="B518" t="s">
        <v>713</v>
      </c>
      <c r="C518" t="s">
        <v>1227</v>
      </c>
      <c r="D518">
        <f t="shared" si="8"/>
        <v>0</v>
      </c>
      <c r="E518" t="s">
        <v>19</v>
      </c>
      <c r="F518" t="s">
        <v>1962</v>
      </c>
      <c r="G518" t="s">
        <v>322</v>
      </c>
      <c r="N518" s="107"/>
    </row>
    <row r="519" spans="1:14" hidden="1" x14ac:dyDescent="0.3">
      <c r="A519" t="s">
        <v>160</v>
      </c>
      <c r="B519" t="s">
        <v>748</v>
      </c>
      <c r="C519" t="s">
        <v>1244</v>
      </c>
      <c r="D519">
        <f t="shared" si="8"/>
        <v>0</v>
      </c>
      <c r="E519" t="s">
        <v>19</v>
      </c>
      <c r="F519" t="s">
        <v>1244</v>
      </c>
      <c r="G519" t="s">
        <v>322</v>
      </c>
      <c r="N519" s="107"/>
    </row>
    <row r="520" spans="1:14" hidden="1" x14ac:dyDescent="0.3">
      <c r="A520" t="s">
        <v>160</v>
      </c>
      <c r="B520" t="s">
        <v>510</v>
      </c>
      <c r="C520" t="s">
        <v>1329</v>
      </c>
      <c r="D520">
        <f t="shared" si="8"/>
        <v>0</v>
      </c>
      <c r="E520" t="s">
        <v>19</v>
      </c>
      <c r="F520" t="s">
        <v>2237</v>
      </c>
      <c r="G520" t="s">
        <v>322</v>
      </c>
      <c r="N520" s="107"/>
    </row>
    <row r="521" spans="1:14" hidden="1" x14ac:dyDescent="0.3">
      <c r="A521" t="s">
        <v>160</v>
      </c>
      <c r="B521" t="s">
        <v>628</v>
      </c>
      <c r="C521" t="s">
        <v>1342</v>
      </c>
      <c r="D521">
        <f t="shared" si="8"/>
        <v>0</v>
      </c>
      <c r="E521" t="s">
        <v>19</v>
      </c>
      <c r="F521" t="s">
        <v>2269</v>
      </c>
      <c r="G521" t="s">
        <v>322</v>
      </c>
      <c r="N521" s="107"/>
    </row>
    <row r="522" spans="1:14" hidden="1" x14ac:dyDescent="0.3">
      <c r="A522" t="s">
        <v>160</v>
      </c>
      <c r="B522" t="s">
        <v>906</v>
      </c>
      <c r="C522" t="s">
        <v>1342</v>
      </c>
      <c r="D522">
        <f t="shared" si="8"/>
        <v>0</v>
      </c>
      <c r="E522" t="s">
        <v>19</v>
      </c>
      <c r="F522" t="s">
        <v>2270</v>
      </c>
      <c r="G522" t="s">
        <v>322</v>
      </c>
      <c r="N522" s="107"/>
    </row>
    <row r="523" spans="1:14" hidden="1" x14ac:dyDescent="0.3">
      <c r="A523" t="s">
        <v>160</v>
      </c>
      <c r="B523" t="s">
        <v>906</v>
      </c>
      <c r="C523" t="s">
        <v>1370</v>
      </c>
      <c r="D523">
        <f t="shared" si="8"/>
        <v>0</v>
      </c>
      <c r="E523" t="s">
        <v>19</v>
      </c>
      <c r="F523" t="s">
        <v>2311</v>
      </c>
      <c r="G523" t="s">
        <v>322</v>
      </c>
      <c r="N523" s="107"/>
    </row>
    <row r="524" spans="1:14" hidden="1" x14ac:dyDescent="0.3">
      <c r="A524" t="s">
        <v>160</v>
      </c>
      <c r="B524" t="s">
        <v>628</v>
      </c>
      <c r="C524" t="s">
        <v>1461</v>
      </c>
      <c r="D524">
        <f t="shared" si="8"/>
        <v>0</v>
      </c>
      <c r="E524" t="s">
        <v>19</v>
      </c>
      <c r="F524" t="s">
        <v>2670</v>
      </c>
      <c r="G524" t="s">
        <v>322</v>
      </c>
      <c r="N524" s="107"/>
    </row>
    <row r="525" spans="1:14" hidden="1" x14ac:dyDescent="0.3">
      <c r="A525" t="s">
        <v>160</v>
      </c>
      <c r="B525" t="s">
        <v>628</v>
      </c>
      <c r="C525" t="s">
        <v>1489</v>
      </c>
      <c r="D525">
        <f t="shared" si="8"/>
        <v>0</v>
      </c>
      <c r="E525" t="s">
        <v>19</v>
      </c>
      <c r="F525" t="s">
        <v>1489</v>
      </c>
      <c r="G525" t="s">
        <v>322</v>
      </c>
      <c r="N525" s="107"/>
    </row>
    <row r="526" spans="1:14" hidden="1" x14ac:dyDescent="0.3">
      <c r="A526" t="s">
        <v>160</v>
      </c>
      <c r="B526" t="s">
        <v>1128</v>
      </c>
      <c r="C526" t="s">
        <v>1530</v>
      </c>
      <c r="D526">
        <f t="shared" si="8"/>
        <v>0</v>
      </c>
      <c r="E526" t="s">
        <v>19</v>
      </c>
      <c r="F526" t="s">
        <v>1530</v>
      </c>
      <c r="G526" t="s">
        <v>322</v>
      </c>
      <c r="N526" s="107"/>
    </row>
    <row r="527" spans="1:14" hidden="1" x14ac:dyDescent="0.3">
      <c r="A527" t="s">
        <v>161</v>
      </c>
      <c r="B527" t="s">
        <v>481</v>
      </c>
      <c r="C527" t="s">
        <v>1163</v>
      </c>
      <c r="D527">
        <f t="shared" si="8"/>
        <v>0</v>
      </c>
      <c r="E527" t="s">
        <v>19</v>
      </c>
      <c r="F527" t="s">
        <v>1732</v>
      </c>
      <c r="G527" t="s">
        <v>322</v>
      </c>
      <c r="N527" s="107"/>
    </row>
    <row r="528" spans="1:14" hidden="1" x14ac:dyDescent="0.3">
      <c r="A528" t="s">
        <v>161</v>
      </c>
      <c r="B528" t="s">
        <v>481</v>
      </c>
      <c r="C528" t="s">
        <v>1163</v>
      </c>
      <c r="D528">
        <f t="shared" si="8"/>
        <v>0</v>
      </c>
      <c r="E528" t="s">
        <v>19</v>
      </c>
      <c r="F528" t="s">
        <v>1734</v>
      </c>
      <c r="G528" t="s">
        <v>322</v>
      </c>
      <c r="N528" s="107"/>
    </row>
    <row r="529" spans="1:14" hidden="1" x14ac:dyDescent="0.3">
      <c r="A529" t="s">
        <v>161</v>
      </c>
      <c r="B529" t="s">
        <v>481</v>
      </c>
      <c r="C529" t="s">
        <v>1164</v>
      </c>
      <c r="D529">
        <f t="shared" si="8"/>
        <v>0</v>
      </c>
      <c r="E529" t="s">
        <v>19</v>
      </c>
      <c r="F529" t="s">
        <v>1737</v>
      </c>
      <c r="G529" t="s">
        <v>322</v>
      </c>
      <c r="N529" s="107"/>
    </row>
    <row r="530" spans="1:14" hidden="1" x14ac:dyDescent="0.3">
      <c r="A530" t="s">
        <v>161</v>
      </c>
      <c r="B530" t="s">
        <v>570</v>
      </c>
      <c r="C530" t="s">
        <v>1164</v>
      </c>
      <c r="D530">
        <f t="shared" si="8"/>
        <v>0</v>
      </c>
      <c r="E530" t="s">
        <v>19</v>
      </c>
      <c r="F530" t="s">
        <v>1751</v>
      </c>
      <c r="G530" t="s">
        <v>322</v>
      </c>
      <c r="N530" s="107"/>
    </row>
    <row r="531" spans="1:14" hidden="1" x14ac:dyDescent="0.3">
      <c r="A531" t="s">
        <v>161</v>
      </c>
      <c r="B531" t="s">
        <v>481</v>
      </c>
      <c r="C531" t="s">
        <v>1187</v>
      </c>
      <c r="D531">
        <f t="shared" si="8"/>
        <v>0</v>
      </c>
      <c r="E531" t="s">
        <v>19</v>
      </c>
      <c r="F531" t="s">
        <v>1187</v>
      </c>
      <c r="G531" t="s">
        <v>322</v>
      </c>
      <c r="N531" s="107"/>
    </row>
    <row r="532" spans="1:14" hidden="1" x14ac:dyDescent="0.3">
      <c r="A532" t="s">
        <v>161</v>
      </c>
      <c r="B532" t="s">
        <v>481</v>
      </c>
      <c r="C532" t="s">
        <v>1227</v>
      </c>
      <c r="D532">
        <f t="shared" si="8"/>
        <v>0</v>
      </c>
      <c r="E532" t="s">
        <v>19</v>
      </c>
      <c r="F532" t="s">
        <v>1975</v>
      </c>
      <c r="G532" t="s">
        <v>322</v>
      </c>
      <c r="N532" s="107"/>
    </row>
    <row r="533" spans="1:14" hidden="1" x14ac:dyDescent="0.3">
      <c r="A533" t="s">
        <v>161</v>
      </c>
      <c r="B533" t="s">
        <v>481</v>
      </c>
      <c r="C533" t="s">
        <v>1285</v>
      </c>
      <c r="D533">
        <f t="shared" si="8"/>
        <v>0</v>
      </c>
      <c r="E533" t="s">
        <v>19</v>
      </c>
      <c r="F533" t="s">
        <v>2125</v>
      </c>
      <c r="G533" t="s">
        <v>322</v>
      </c>
      <c r="N533" s="107"/>
    </row>
    <row r="534" spans="1:14" hidden="1" x14ac:dyDescent="0.3">
      <c r="A534" t="s">
        <v>161</v>
      </c>
      <c r="B534" t="s">
        <v>570</v>
      </c>
      <c r="C534" t="s">
        <v>1288</v>
      </c>
      <c r="D534">
        <f t="shared" si="8"/>
        <v>0</v>
      </c>
      <c r="E534" t="s">
        <v>19</v>
      </c>
      <c r="F534" t="s">
        <v>1288</v>
      </c>
      <c r="G534" t="s">
        <v>322</v>
      </c>
      <c r="N534" s="107"/>
    </row>
    <row r="535" spans="1:14" hidden="1" x14ac:dyDescent="0.3">
      <c r="A535" t="s">
        <v>161</v>
      </c>
      <c r="B535" t="s">
        <v>481</v>
      </c>
      <c r="C535" t="s">
        <v>1287</v>
      </c>
      <c r="D535">
        <f t="shared" si="8"/>
        <v>0</v>
      </c>
      <c r="E535" t="s">
        <v>19</v>
      </c>
      <c r="F535" t="s">
        <v>2142</v>
      </c>
      <c r="G535" t="s">
        <v>322</v>
      </c>
      <c r="N535" s="107"/>
    </row>
    <row r="536" spans="1:14" hidden="1" x14ac:dyDescent="0.3">
      <c r="A536" t="s">
        <v>161</v>
      </c>
      <c r="B536" t="s">
        <v>946</v>
      </c>
      <c r="C536" t="s">
        <v>1382</v>
      </c>
      <c r="D536">
        <f t="shared" si="8"/>
        <v>0</v>
      </c>
      <c r="E536" t="s">
        <v>19</v>
      </c>
      <c r="F536" t="s">
        <v>2343</v>
      </c>
      <c r="G536" t="s">
        <v>322</v>
      </c>
      <c r="N536" s="107"/>
    </row>
    <row r="537" spans="1:14" hidden="1" x14ac:dyDescent="0.3">
      <c r="A537" t="s">
        <v>161</v>
      </c>
      <c r="B537" t="s">
        <v>481</v>
      </c>
      <c r="C537" t="s">
        <v>1461</v>
      </c>
      <c r="D537">
        <f t="shared" si="8"/>
        <v>0</v>
      </c>
      <c r="E537" t="s">
        <v>19</v>
      </c>
      <c r="F537" t="s">
        <v>2648</v>
      </c>
      <c r="G537" t="s">
        <v>322</v>
      </c>
      <c r="N537" s="107"/>
    </row>
    <row r="538" spans="1:14" hidden="1" x14ac:dyDescent="0.3">
      <c r="A538" t="s">
        <v>161</v>
      </c>
      <c r="B538" t="s">
        <v>481</v>
      </c>
      <c r="C538" t="s">
        <v>1483</v>
      </c>
      <c r="D538">
        <f t="shared" si="8"/>
        <v>0</v>
      </c>
      <c r="E538" t="s">
        <v>19</v>
      </c>
      <c r="F538" t="s">
        <v>2712</v>
      </c>
      <c r="G538" t="s">
        <v>322</v>
      </c>
      <c r="N538" s="107"/>
    </row>
    <row r="539" spans="1:14" hidden="1" x14ac:dyDescent="0.3">
      <c r="A539" t="s">
        <v>162</v>
      </c>
      <c r="B539" t="s">
        <v>626</v>
      </c>
      <c r="C539" t="s">
        <v>1182</v>
      </c>
      <c r="D539">
        <f t="shared" si="8"/>
        <v>0</v>
      </c>
      <c r="E539" t="s">
        <v>19</v>
      </c>
      <c r="F539" t="s">
        <v>1827</v>
      </c>
      <c r="G539" t="s">
        <v>322</v>
      </c>
      <c r="N539" s="107"/>
    </row>
    <row r="540" spans="1:14" hidden="1" x14ac:dyDescent="0.3">
      <c r="A540" t="s">
        <v>162</v>
      </c>
      <c r="B540" t="s">
        <v>719</v>
      </c>
      <c r="C540" t="s">
        <v>1227</v>
      </c>
      <c r="D540">
        <f t="shared" si="8"/>
        <v>0</v>
      </c>
      <c r="E540" t="s">
        <v>19</v>
      </c>
      <c r="F540" t="s">
        <v>1979</v>
      </c>
      <c r="G540" t="s">
        <v>322</v>
      </c>
      <c r="N540" s="107"/>
    </row>
    <row r="541" spans="1:14" hidden="1" x14ac:dyDescent="0.3">
      <c r="A541" t="s">
        <v>162</v>
      </c>
      <c r="B541" t="s">
        <v>806</v>
      </c>
      <c r="C541" t="s">
        <v>1285</v>
      </c>
      <c r="D541">
        <f t="shared" si="8"/>
        <v>0</v>
      </c>
      <c r="E541" t="s">
        <v>19</v>
      </c>
      <c r="F541" t="s">
        <v>2123</v>
      </c>
      <c r="G541" t="s">
        <v>322</v>
      </c>
      <c r="N541" s="107"/>
    </row>
    <row r="542" spans="1:14" hidden="1" x14ac:dyDescent="0.3">
      <c r="A542" t="s">
        <v>162</v>
      </c>
      <c r="B542" t="s">
        <v>626</v>
      </c>
      <c r="C542" t="s">
        <v>1329</v>
      </c>
      <c r="D542">
        <f t="shared" si="8"/>
        <v>0</v>
      </c>
      <c r="E542" t="s">
        <v>19</v>
      </c>
      <c r="F542" t="s">
        <v>2235</v>
      </c>
      <c r="G542" t="s">
        <v>322</v>
      </c>
      <c r="N542" s="107"/>
    </row>
    <row r="543" spans="1:14" hidden="1" x14ac:dyDescent="0.3">
      <c r="A543" t="s">
        <v>162</v>
      </c>
      <c r="B543" t="s">
        <v>886</v>
      </c>
      <c r="C543" t="s">
        <v>1329</v>
      </c>
      <c r="D543">
        <f t="shared" si="8"/>
        <v>0</v>
      </c>
      <c r="E543" t="s">
        <v>19</v>
      </c>
      <c r="F543" t="s">
        <v>2236</v>
      </c>
      <c r="G543" t="s">
        <v>322</v>
      </c>
      <c r="N543" s="107"/>
    </row>
    <row r="544" spans="1:14" hidden="1" x14ac:dyDescent="0.3">
      <c r="A544" t="s">
        <v>162</v>
      </c>
      <c r="B544" t="s">
        <v>889</v>
      </c>
      <c r="C544" t="s">
        <v>1328</v>
      </c>
      <c r="D544">
        <f t="shared" si="8"/>
        <v>0</v>
      </c>
      <c r="E544" t="s">
        <v>19</v>
      </c>
      <c r="F544" t="s">
        <v>2242</v>
      </c>
      <c r="G544" t="s">
        <v>322</v>
      </c>
      <c r="N544" s="107"/>
    </row>
    <row r="545" spans="1:14" hidden="1" x14ac:dyDescent="0.3">
      <c r="A545" t="s">
        <v>162</v>
      </c>
      <c r="B545" t="s">
        <v>902</v>
      </c>
      <c r="C545" t="s">
        <v>1338</v>
      </c>
      <c r="D545">
        <f t="shared" si="8"/>
        <v>0</v>
      </c>
      <c r="E545" t="s">
        <v>19</v>
      </c>
      <c r="F545" t="s">
        <v>1338</v>
      </c>
      <c r="G545" t="s">
        <v>322</v>
      </c>
      <c r="N545" s="107"/>
    </row>
    <row r="546" spans="1:14" hidden="1" x14ac:dyDescent="0.3">
      <c r="A546" t="s">
        <v>162</v>
      </c>
      <c r="B546" t="s">
        <v>905</v>
      </c>
      <c r="C546" t="s">
        <v>1342</v>
      </c>
      <c r="D546">
        <f t="shared" si="8"/>
        <v>0</v>
      </c>
      <c r="E546" t="s">
        <v>19</v>
      </c>
      <c r="F546" t="s">
        <v>2267</v>
      </c>
      <c r="G546" t="s">
        <v>322</v>
      </c>
      <c r="N546" s="107"/>
    </row>
    <row r="547" spans="1:14" hidden="1" x14ac:dyDescent="0.3">
      <c r="A547" t="s">
        <v>162</v>
      </c>
      <c r="B547" t="s">
        <v>905</v>
      </c>
      <c r="C547" t="s">
        <v>1342</v>
      </c>
      <c r="D547">
        <f t="shared" si="8"/>
        <v>0</v>
      </c>
      <c r="E547" t="s">
        <v>19</v>
      </c>
      <c r="F547" t="s">
        <v>2268</v>
      </c>
      <c r="G547" t="s">
        <v>322</v>
      </c>
      <c r="N547" s="107"/>
    </row>
    <row r="548" spans="1:14" hidden="1" x14ac:dyDescent="0.3">
      <c r="A548" t="s">
        <v>162</v>
      </c>
      <c r="B548" t="s">
        <v>719</v>
      </c>
      <c r="C548" t="s">
        <v>1342</v>
      </c>
      <c r="D548">
        <f t="shared" si="8"/>
        <v>0</v>
      </c>
      <c r="E548" t="s">
        <v>19</v>
      </c>
      <c r="F548" t="s">
        <v>2277</v>
      </c>
      <c r="G548" t="s">
        <v>322</v>
      </c>
      <c r="N548" s="107"/>
    </row>
    <row r="549" spans="1:14" hidden="1" x14ac:dyDescent="0.3">
      <c r="A549" t="s">
        <v>162</v>
      </c>
      <c r="B549" t="s">
        <v>719</v>
      </c>
      <c r="C549" t="s">
        <v>1342</v>
      </c>
      <c r="D549">
        <f t="shared" si="8"/>
        <v>0</v>
      </c>
      <c r="E549" t="s">
        <v>19</v>
      </c>
      <c r="F549" t="s">
        <v>2278</v>
      </c>
      <c r="G549" t="s">
        <v>322</v>
      </c>
      <c r="N549" s="107"/>
    </row>
    <row r="550" spans="1:14" hidden="1" x14ac:dyDescent="0.3">
      <c r="A550" t="s">
        <v>162</v>
      </c>
      <c r="B550" t="s">
        <v>889</v>
      </c>
      <c r="C550" t="s">
        <v>1370</v>
      </c>
      <c r="D550">
        <f t="shared" si="8"/>
        <v>0</v>
      </c>
      <c r="E550" t="s">
        <v>19</v>
      </c>
      <c r="F550" t="s">
        <v>2309</v>
      </c>
      <c r="G550" t="s">
        <v>322</v>
      </c>
      <c r="N550" s="107"/>
    </row>
    <row r="551" spans="1:14" hidden="1" x14ac:dyDescent="0.3">
      <c r="A551" t="s">
        <v>162</v>
      </c>
      <c r="B551" t="s">
        <v>719</v>
      </c>
      <c r="C551" t="s">
        <v>1455</v>
      </c>
      <c r="D551">
        <f t="shared" si="8"/>
        <v>0</v>
      </c>
      <c r="E551" t="s">
        <v>19</v>
      </c>
      <c r="F551" t="s">
        <v>1455</v>
      </c>
      <c r="G551" t="s">
        <v>322</v>
      </c>
      <c r="N551" s="107"/>
    </row>
    <row r="552" spans="1:14" hidden="1" x14ac:dyDescent="0.3">
      <c r="A552" t="s">
        <v>162</v>
      </c>
      <c r="B552" t="s">
        <v>1070</v>
      </c>
      <c r="C552" t="s">
        <v>1461</v>
      </c>
      <c r="D552">
        <f t="shared" si="8"/>
        <v>0</v>
      </c>
      <c r="E552" t="s">
        <v>19</v>
      </c>
      <c r="F552" t="s">
        <v>2649</v>
      </c>
      <c r="G552" t="s">
        <v>322</v>
      </c>
      <c r="N552" s="107"/>
    </row>
    <row r="553" spans="1:14" hidden="1" x14ac:dyDescent="0.3">
      <c r="A553" t="s">
        <v>162</v>
      </c>
      <c r="B553" t="s">
        <v>719</v>
      </c>
      <c r="C553" t="s">
        <v>1490</v>
      </c>
      <c r="D553">
        <f t="shared" si="8"/>
        <v>0</v>
      </c>
      <c r="E553" t="s">
        <v>19</v>
      </c>
      <c r="F553" t="s">
        <v>2735</v>
      </c>
      <c r="G553" t="s">
        <v>322</v>
      </c>
      <c r="N553" s="107"/>
    </row>
    <row r="554" spans="1:14" hidden="1" x14ac:dyDescent="0.3">
      <c r="A554" t="s">
        <v>162</v>
      </c>
      <c r="B554" t="s">
        <v>719</v>
      </c>
      <c r="C554" t="s">
        <v>1490</v>
      </c>
      <c r="D554">
        <f t="shared" si="8"/>
        <v>0</v>
      </c>
      <c r="E554" t="s">
        <v>19</v>
      </c>
      <c r="F554" t="s">
        <v>2736</v>
      </c>
      <c r="G554" t="s">
        <v>322</v>
      </c>
      <c r="N554" s="107"/>
    </row>
    <row r="555" spans="1:14" hidden="1" x14ac:dyDescent="0.3">
      <c r="A555" t="s">
        <v>162</v>
      </c>
      <c r="B555" t="s">
        <v>719</v>
      </c>
      <c r="C555" t="s">
        <v>1499</v>
      </c>
      <c r="D555">
        <f t="shared" si="8"/>
        <v>0</v>
      </c>
      <c r="E555" t="s">
        <v>19</v>
      </c>
      <c r="F555" t="s">
        <v>1499</v>
      </c>
      <c r="G555" t="s">
        <v>322</v>
      </c>
      <c r="N555" s="107"/>
    </row>
    <row r="556" spans="1:14" hidden="1" x14ac:dyDescent="0.3">
      <c r="A556" t="s">
        <v>163</v>
      </c>
      <c r="B556" t="s">
        <v>656</v>
      </c>
      <c r="C556" t="s">
        <v>1208</v>
      </c>
      <c r="D556">
        <f t="shared" si="8"/>
        <v>0</v>
      </c>
      <c r="E556" t="s">
        <v>19</v>
      </c>
      <c r="F556" t="s">
        <v>1862</v>
      </c>
      <c r="G556" t="s">
        <v>322</v>
      </c>
      <c r="N556" s="107"/>
    </row>
    <row r="557" spans="1:14" hidden="1" x14ac:dyDescent="0.3">
      <c r="A557" t="s">
        <v>163</v>
      </c>
      <c r="B557" t="s">
        <v>659</v>
      </c>
      <c r="C557" t="s">
        <v>1208</v>
      </c>
      <c r="D557">
        <f t="shared" si="8"/>
        <v>0</v>
      </c>
      <c r="E557" t="s">
        <v>19</v>
      </c>
      <c r="F557" t="s">
        <v>1871</v>
      </c>
      <c r="G557" t="s">
        <v>322</v>
      </c>
      <c r="N557" s="107"/>
    </row>
    <row r="558" spans="1:14" hidden="1" x14ac:dyDescent="0.3">
      <c r="A558" t="s">
        <v>163</v>
      </c>
      <c r="B558" t="s">
        <v>684</v>
      </c>
      <c r="C558" t="s">
        <v>1227</v>
      </c>
      <c r="D558">
        <f t="shared" si="8"/>
        <v>0</v>
      </c>
      <c r="E558" t="s">
        <v>19</v>
      </c>
      <c r="F558" t="s">
        <v>1903</v>
      </c>
      <c r="G558" t="s">
        <v>322</v>
      </c>
      <c r="N558" s="107"/>
    </row>
    <row r="559" spans="1:14" hidden="1" x14ac:dyDescent="0.3">
      <c r="A559" t="s">
        <v>163</v>
      </c>
      <c r="B559" t="s">
        <v>610</v>
      </c>
      <c r="C559" t="s">
        <v>1227</v>
      </c>
      <c r="D559">
        <f t="shared" si="8"/>
        <v>0</v>
      </c>
      <c r="E559" t="s">
        <v>19</v>
      </c>
      <c r="F559" t="s">
        <v>1908</v>
      </c>
      <c r="G559" t="s">
        <v>322</v>
      </c>
      <c r="N559" s="107"/>
    </row>
    <row r="560" spans="1:14" hidden="1" x14ac:dyDescent="0.3">
      <c r="A560" t="s">
        <v>163</v>
      </c>
      <c r="B560" t="s">
        <v>483</v>
      </c>
      <c r="C560" t="s">
        <v>1227</v>
      </c>
      <c r="D560">
        <f t="shared" si="8"/>
        <v>0</v>
      </c>
      <c r="E560" t="s">
        <v>19</v>
      </c>
      <c r="F560" t="s">
        <v>1922</v>
      </c>
      <c r="G560" t="s">
        <v>322</v>
      </c>
      <c r="N560" s="107"/>
    </row>
    <row r="561" spans="1:14" hidden="1" x14ac:dyDescent="0.3">
      <c r="A561" t="s">
        <v>163</v>
      </c>
      <c r="B561" t="s">
        <v>694</v>
      </c>
      <c r="C561" t="s">
        <v>1227</v>
      </c>
      <c r="D561">
        <f t="shared" si="8"/>
        <v>0</v>
      </c>
      <c r="E561" t="s">
        <v>19</v>
      </c>
      <c r="F561" t="s">
        <v>1923</v>
      </c>
      <c r="G561" t="s">
        <v>322</v>
      </c>
      <c r="N561" s="107"/>
    </row>
    <row r="562" spans="1:14" hidden="1" x14ac:dyDescent="0.3">
      <c r="A562" t="s">
        <v>163</v>
      </c>
      <c r="B562" t="s">
        <v>695</v>
      </c>
      <c r="C562" t="s">
        <v>1227</v>
      </c>
      <c r="D562">
        <f t="shared" si="8"/>
        <v>0</v>
      </c>
      <c r="E562" t="s">
        <v>19</v>
      </c>
      <c r="F562" t="s">
        <v>1924</v>
      </c>
      <c r="G562" t="s">
        <v>322</v>
      </c>
      <c r="N562" s="107"/>
    </row>
    <row r="563" spans="1:14" hidden="1" x14ac:dyDescent="0.3">
      <c r="A563" t="s">
        <v>163</v>
      </c>
      <c r="B563" t="s">
        <v>695</v>
      </c>
      <c r="C563" t="s">
        <v>1227</v>
      </c>
      <c r="D563">
        <f t="shared" si="8"/>
        <v>0</v>
      </c>
      <c r="E563" t="s">
        <v>19</v>
      </c>
      <c r="F563" t="s">
        <v>1925</v>
      </c>
      <c r="G563" t="s">
        <v>322</v>
      </c>
      <c r="N563" s="107"/>
    </row>
    <row r="564" spans="1:14" hidden="1" x14ac:dyDescent="0.3">
      <c r="A564" t="s">
        <v>163</v>
      </c>
      <c r="B564" t="s">
        <v>618</v>
      </c>
      <c r="C564" t="s">
        <v>1227</v>
      </c>
      <c r="D564">
        <f t="shared" si="8"/>
        <v>0</v>
      </c>
      <c r="E564" t="s">
        <v>19</v>
      </c>
      <c r="F564" t="s">
        <v>1927</v>
      </c>
      <c r="G564" t="s">
        <v>322</v>
      </c>
      <c r="N564" s="107"/>
    </row>
    <row r="565" spans="1:14" hidden="1" x14ac:dyDescent="0.3">
      <c r="A565" t="s">
        <v>163</v>
      </c>
      <c r="B565" t="s">
        <v>696</v>
      </c>
      <c r="C565" t="s">
        <v>1227</v>
      </c>
      <c r="D565">
        <f t="shared" si="8"/>
        <v>0</v>
      </c>
      <c r="E565" t="s">
        <v>19</v>
      </c>
      <c r="F565" t="s">
        <v>1928</v>
      </c>
      <c r="G565" t="s">
        <v>322</v>
      </c>
      <c r="N565" s="107"/>
    </row>
    <row r="566" spans="1:14" hidden="1" x14ac:dyDescent="0.3">
      <c r="A566" t="s">
        <v>163</v>
      </c>
      <c r="B566" t="s">
        <v>703</v>
      </c>
      <c r="C566" t="s">
        <v>1227</v>
      </c>
      <c r="D566">
        <f t="shared" si="8"/>
        <v>0</v>
      </c>
      <c r="E566" t="s">
        <v>19</v>
      </c>
      <c r="F566" t="s">
        <v>1935</v>
      </c>
      <c r="G566" t="s">
        <v>322</v>
      </c>
      <c r="N566" s="107"/>
    </row>
    <row r="567" spans="1:14" hidden="1" x14ac:dyDescent="0.3">
      <c r="A567" t="s">
        <v>163</v>
      </c>
      <c r="B567" t="s">
        <v>711</v>
      </c>
      <c r="C567" t="s">
        <v>1227</v>
      </c>
      <c r="D567">
        <f t="shared" si="8"/>
        <v>0</v>
      </c>
      <c r="E567" t="s">
        <v>19</v>
      </c>
      <c r="F567" t="s">
        <v>1955</v>
      </c>
      <c r="G567" t="s">
        <v>322</v>
      </c>
      <c r="N567" s="107"/>
    </row>
    <row r="568" spans="1:14" hidden="1" x14ac:dyDescent="0.3">
      <c r="A568" t="s">
        <v>163</v>
      </c>
      <c r="B568" t="s">
        <v>618</v>
      </c>
      <c r="C568" t="s">
        <v>1227</v>
      </c>
      <c r="D568">
        <f t="shared" si="8"/>
        <v>0</v>
      </c>
      <c r="E568" t="s">
        <v>19</v>
      </c>
      <c r="F568" t="s">
        <v>1960</v>
      </c>
      <c r="G568" t="s">
        <v>322</v>
      </c>
      <c r="N568" s="107"/>
    </row>
    <row r="569" spans="1:14" hidden="1" x14ac:dyDescent="0.3">
      <c r="A569" t="s">
        <v>163</v>
      </c>
      <c r="B569" t="s">
        <v>618</v>
      </c>
      <c r="C569" t="s">
        <v>1230</v>
      </c>
      <c r="D569">
        <f t="shared" si="8"/>
        <v>0</v>
      </c>
      <c r="E569" t="s">
        <v>19</v>
      </c>
      <c r="F569" t="s">
        <v>1230</v>
      </c>
      <c r="G569" t="s">
        <v>322</v>
      </c>
      <c r="N569" s="107"/>
    </row>
    <row r="570" spans="1:14" hidden="1" x14ac:dyDescent="0.3">
      <c r="A570" t="s">
        <v>163</v>
      </c>
      <c r="B570" t="s">
        <v>747</v>
      </c>
      <c r="C570" t="s">
        <v>1243</v>
      </c>
      <c r="D570">
        <f t="shared" si="8"/>
        <v>0</v>
      </c>
      <c r="E570" t="s">
        <v>19</v>
      </c>
      <c r="F570" t="s">
        <v>2025</v>
      </c>
      <c r="G570" t="s">
        <v>322</v>
      </c>
      <c r="N570" s="107"/>
    </row>
    <row r="571" spans="1:14" hidden="1" x14ac:dyDescent="0.3">
      <c r="A571" t="s">
        <v>163</v>
      </c>
      <c r="B571" t="s">
        <v>779</v>
      </c>
      <c r="C571" t="s">
        <v>1263</v>
      </c>
      <c r="D571">
        <f t="shared" si="8"/>
        <v>0</v>
      </c>
      <c r="E571" t="s">
        <v>19</v>
      </c>
      <c r="F571" t="s">
        <v>1263</v>
      </c>
      <c r="G571" t="s">
        <v>322</v>
      </c>
      <c r="N571" s="107"/>
    </row>
    <row r="572" spans="1:14" hidden="1" x14ac:dyDescent="0.3">
      <c r="A572" t="s">
        <v>163</v>
      </c>
      <c r="B572" t="s">
        <v>483</v>
      </c>
      <c r="C572" t="s">
        <v>1285</v>
      </c>
      <c r="D572">
        <f t="shared" si="8"/>
        <v>0</v>
      </c>
      <c r="E572" t="s">
        <v>19</v>
      </c>
      <c r="F572" t="s">
        <v>2103</v>
      </c>
      <c r="G572" t="s">
        <v>322</v>
      </c>
      <c r="N572" s="107"/>
    </row>
    <row r="573" spans="1:14" hidden="1" x14ac:dyDescent="0.3">
      <c r="A573" t="s">
        <v>163</v>
      </c>
      <c r="B573" t="s">
        <v>797</v>
      </c>
      <c r="C573" t="s">
        <v>1285</v>
      </c>
      <c r="D573">
        <f t="shared" si="8"/>
        <v>0</v>
      </c>
      <c r="E573" t="s">
        <v>19</v>
      </c>
      <c r="F573" t="s">
        <v>2104</v>
      </c>
      <c r="G573" t="s">
        <v>322</v>
      </c>
      <c r="N573" s="107"/>
    </row>
    <row r="574" spans="1:14" hidden="1" x14ac:dyDescent="0.3">
      <c r="A574" t="s">
        <v>163</v>
      </c>
      <c r="B574" t="s">
        <v>803</v>
      </c>
      <c r="C574" t="s">
        <v>1285</v>
      </c>
      <c r="D574">
        <f t="shared" si="8"/>
        <v>0</v>
      </c>
      <c r="E574" t="s">
        <v>19</v>
      </c>
      <c r="F574" t="s">
        <v>2119</v>
      </c>
      <c r="G574" t="s">
        <v>322</v>
      </c>
      <c r="N574" s="107"/>
    </row>
    <row r="575" spans="1:14" hidden="1" x14ac:dyDescent="0.3">
      <c r="A575" t="s">
        <v>163</v>
      </c>
      <c r="B575" t="s">
        <v>804</v>
      </c>
      <c r="C575" t="s">
        <v>1285</v>
      </c>
      <c r="D575">
        <f t="shared" si="8"/>
        <v>0</v>
      </c>
      <c r="E575" t="s">
        <v>19</v>
      </c>
      <c r="F575" t="s">
        <v>2121</v>
      </c>
      <c r="G575" t="s">
        <v>322</v>
      </c>
      <c r="N575" s="107"/>
    </row>
    <row r="576" spans="1:14" hidden="1" x14ac:dyDescent="0.3">
      <c r="A576" t="s">
        <v>163</v>
      </c>
      <c r="B576" t="s">
        <v>483</v>
      </c>
      <c r="C576" t="s">
        <v>1411</v>
      </c>
      <c r="D576">
        <f t="shared" si="8"/>
        <v>0</v>
      </c>
      <c r="E576" t="s">
        <v>19</v>
      </c>
      <c r="F576" t="s">
        <v>2453</v>
      </c>
      <c r="G576" t="s">
        <v>322</v>
      </c>
      <c r="N576" s="107"/>
    </row>
    <row r="577" spans="1:14" hidden="1" x14ac:dyDescent="0.3">
      <c r="A577" t="s">
        <v>163</v>
      </c>
      <c r="B577" t="s">
        <v>695</v>
      </c>
      <c r="C577" t="s">
        <v>1411</v>
      </c>
      <c r="D577">
        <f t="shared" ref="D577:D640" si="9">SIGN(SUBTOTAL(3,E577))</f>
        <v>0</v>
      </c>
      <c r="E577" t="s">
        <v>19</v>
      </c>
      <c r="F577" t="s">
        <v>2461</v>
      </c>
      <c r="G577" t="s">
        <v>322</v>
      </c>
      <c r="N577" s="107"/>
    </row>
    <row r="578" spans="1:14" hidden="1" x14ac:dyDescent="0.3">
      <c r="A578" t="s">
        <v>163</v>
      </c>
      <c r="B578" t="s">
        <v>696</v>
      </c>
      <c r="C578" t="s">
        <v>1413</v>
      </c>
      <c r="D578">
        <f t="shared" si="9"/>
        <v>0</v>
      </c>
      <c r="E578" t="s">
        <v>19</v>
      </c>
      <c r="F578" t="s">
        <v>2463</v>
      </c>
      <c r="G578" t="s">
        <v>322</v>
      </c>
      <c r="N578" s="107"/>
    </row>
    <row r="579" spans="1:14" hidden="1" x14ac:dyDescent="0.3">
      <c r="A579" t="s">
        <v>163</v>
      </c>
      <c r="B579" t="s">
        <v>1003</v>
      </c>
      <c r="C579" t="s">
        <v>1414</v>
      </c>
      <c r="D579">
        <f t="shared" si="9"/>
        <v>0</v>
      </c>
      <c r="E579" t="s">
        <v>19</v>
      </c>
      <c r="F579" t="s">
        <v>2469</v>
      </c>
      <c r="G579" t="s">
        <v>322</v>
      </c>
      <c r="N579" s="107"/>
    </row>
    <row r="580" spans="1:14" hidden="1" x14ac:dyDescent="0.3">
      <c r="A580" t="s">
        <v>163</v>
      </c>
      <c r="B580" t="s">
        <v>1004</v>
      </c>
      <c r="C580" t="s">
        <v>1414</v>
      </c>
      <c r="D580">
        <f t="shared" si="9"/>
        <v>0</v>
      </c>
      <c r="E580" t="s">
        <v>19</v>
      </c>
      <c r="F580" t="s">
        <v>2471</v>
      </c>
      <c r="G580" t="s">
        <v>322</v>
      </c>
      <c r="N580" s="107"/>
    </row>
    <row r="581" spans="1:14" hidden="1" x14ac:dyDescent="0.3">
      <c r="A581" t="s">
        <v>163</v>
      </c>
      <c r="B581" t="s">
        <v>804</v>
      </c>
      <c r="C581" t="s">
        <v>1414</v>
      </c>
      <c r="D581">
        <f t="shared" si="9"/>
        <v>0</v>
      </c>
      <c r="E581" t="s">
        <v>19</v>
      </c>
      <c r="F581" t="s">
        <v>2472</v>
      </c>
      <c r="G581" t="s">
        <v>322</v>
      </c>
      <c r="N581" s="107"/>
    </row>
    <row r="582" spans="1:14" hidden="1" x14ac:dyDescent="0.3">
      <c r="A582" t="s">
        <v>163</v>
      </c>
      <c r="B582" t="s">
        <v>1005</v>
      </c>
      <c r="C582" t="s">
        <v>1414</v>
      </c>
      <c r="D582">
        <f t="shared" si="9"/>
        <v>0</v>
      </c>
      <c r="E582" t="s">
        <v>19</v>
      </c>
      <c r="F582" t="s">
        <v>2474</v>
      </c>
      <c r="G582" t="s">
        <v>322</v>
      </c>
      <c r="N582" s="107"/>
    </row>
    <row r="583" spans="1:14" hidden="1" x14ac:dyDescent="0.3">
      <c r="A583" t="s">
        <v>163</v>
      </c>
      <c r="B583" t="s">
        <v>695</v>
      </c>
      <c r="C583" t="s">
        <v>1414</v>
      </c>
      <c r="D583">
        <f t="shared" si="9"/>
        <v>0</v>
      </c>
      <c r="E583" t="s">
        <v>19</v>
      </c>
      <c r="F583" t="s">
        <v>2475</v>
      </c>
      <c r="G583" t="s">
        <v>322</v>
      </c>
      <c r="N583" s="107"/>
    </row>
    <row r="584" spans="1:14" hidden="1" x14ac:dyDescent="0.3">
      <c r="A584" t="s">
        <v>163</v>
      </c>
      <c r="B584" t="s">
        <v>711</v>
      </c>
      <c r="C584" t="s">
        <v>1414</v>
      </c>
      <c r="D584">
        <f t="shared" si="9"/>
        <v>0</v>
      </c>
      <c r="E584" t="s">
        <v>19</v>
      </c>
      <c r="F584" t="s">
        <v>2479</v>
      </c>
      <c r="G584" t="s">
        <v>322</v>
      </c>
      <c r="N584" s="107"/>
    </row>
    <row r="585" spans="1:14" hidden="1" x14ac:dyDescent="0.3">
      <c r="A585" t="s">
        <v>163</v>
      </c>
      <c r="B585" t="s">
        <v>1009</v>
      </c>
      <c r="C585" t="s">
        <v>1414</v>
      </c>
      <c r="D585">
        <f t="shared" si="9"/>
        <v>0</v>
      </c>
      <c r="E585" t="s">
        <v>19</v>
      </c>
      <c r="F585" t="s">
        <v>2489</v>
      </c>
      <c r="G585" t="s">
        <v>322</v>
      </c>
      <c r="N585" s="107"/>
    </row>
    <row r="586" spans="1:14" hidden="1" x14ac:dyDescent="0.3">
      <c r="A586" t="s">
        <v>163</v>
      </c>
      <c r="B586" t="s">
        <v>483</v>
      </c>
      <c r="C586" t="s">
        <v>1414</v>
      </c>
      <c r="D586">
        <f t="shared" si="9"/>
        <v>0</v>
      </c>
      <c r="E586" t="s">
        <v>19</v>
      </c>
      <c r="F586" t="s">
        <v>2491</v>
      </c>
      <c r="G586" t="s">
        <v>322</v>
      </c>
      <c r="N586" s="107"/>
    </row>
    <row r="587" spans="1:14" hidden="1" x14ac:dyDescent="0.3">
      <c r="A587" t="s">
        <v>163</v>
      </c>
      <c r="B587" t="s">
        <v>703</v>
      </c>
      <c r="C587" t="s">
        <v>1427</v>
      </c>
      <c r="D587">
        <f t="shared" si="9"/>
        <v>0</v>
      </c>
      <c r="E587" t="s">
        <v>19</v>
      </c>
      <c r="F587" t="s">
        <v>1427</v>
      </c>
      <c r="G587" t="s">
        <v>322</v>
      </c>
      <c r="N587" s="107"/>
    </row>
    <row r="588" spans="1:14" hidden="1" x14ac:dyDescent="0.3">
      <c r="A588" t="s">
        <v>163</v>
      </c>
      <c r="B588" t="s">
        <v>1071</v>
      </c>
      <c r="C588" t="s">
        <v>1461</v>
      </c>
      <c r="D588">
        <f t="shared" si="9"/>
        <v>0</v>
      </c>
      <c r="E588" t="s">
        <v>19</v>
      </c>
      <c r="F588" t="s">
        <v>2651</v>
      </c>
      <c r="G588" t="s">
        <v>322</v>
      </c>
      <c r="N588" s="107"/>
    </row>
    <row r="589" spans="1:14" hidden="1" x14ac:dyDescent="0.3">
      <c r="A589" t="s">
        <v>163</v>
      </c>
      <c r="B589" t="s">
        <v>711</v>
      </c>
      <c r="C589" t="s">
        <v>1461</v>
      </c>
      <c r="D589">
        <f t="shared" si="9"/>
        <v>0</v>
      </c>
      <c r="E589" t="s">
        <v>19</v>
      </c>
      <c r="F589" t="s">
        <v>2652</v>
      </c>
      <c r="G589" t="s">
        <v>322</v>
      </c>
      <c r="N589" s="107"/>
    </row>
    <row r="590" spans="1:14" hidden="1" x14ac:dyDescent="0.3">
      <c r="A590" t="s">
        <v>163</v>
      </c>
      <c r="B590" t="s">
        <v>695</v>
      </c>
      <c r="C590" t="s">
        <v>1461</v>
      </c>
      <c r="D590">
        <f t="shared" si="9"/>
        <v>0</v>
      </c>
      <c r="E590" t="s">
        <v>19</v>
      </c>
      <c r="F590" t="s">
        <v>2653</v>
      </c>
      <c r="G590" t="s">
        <v>322</v>
      </c>
      <c r="N590" s="107"/>
    </row>
    <row r="591" spans="1:14" hidden="1" x14ac:dyDescent="0.3">
      <c r="A591" t="s">
        <v>163</v>
      </c>
      <c r="B591" t="s">
        <v>1079</v>
      </c>
      <c r="C591" t="s">
        <v>1471</v>
      </c>
      <c r="D591">
        <f t="shared" si="9"/>
        <v>0</v>
      </c>
      <c r="E591" t="s">
        <v>19</v>
      </c>
      <c r="F591" t="s">
        <v>2684</v>
      </c>
      <c r="G591" t="s">
        <v>322</v>
      </c>
      <c r="N591" s="107"/>
    </row>
    <row r="592" spans="1:14" hidden="1" x14ac:dyDescent="0.3">
      <c r="A592" t="s">
        <v>163</v>
      </c>
      <c r="B592" t="s">
        <v>1082</v>
      </c>
      <c r="C592" t="s">
        <v>1476</v>
      </c>
      <c r="D592">
        <f t="shared" si="9"/>
        <v>0</v>
      </c>
      <c r="E592" t="s">
        <v>19</v>
      </c>
      <c r="F592" t="s">
        <v>1476</v>
      </c>
      <c r="G592" t="s">
        <v>322</v>
      </c>
      <c r="N592" s="107"/>
    </row>
    <row r="593" spans="1:14" hidden="1" x14ac:dyDescent="0.3">
      <c r="A593" t="s">
        <v>163</v>
      </c>
      <c r="B593" t="s">
        <v>703</v>
      </c>
      <c r="C593" t="s">
        <v>1479</v>
      </c>
      <c r="D593">
        <f t="shared" si="9"/>
        <v>0</v>
      </c>
      <c r="E593" t="s">
        <v>19</v>
      </c>
      <c r="F593" t="s">
        <v>2692</v>
      </c>
      <c r="G593" t="s">
        <v>322</v>
      </c>
      <c r="N593" s="107"/>
    </row>
    <row r="594" spans="1:14" hidden="1" x14ac:dyDescent="0.3">
      <c r="A594" t="s">
        <v>163</v>
      </c>
      <c r="B594" t="s">
        <v>1123</v>
      </c>
      <c r="C594" t="s">
        <v>1517</v>
      </c>
      <c r="D594">
        <f t="shared" si="9"/>
        <v>0</v>
      </c>
      <c r="E594" t="s">
        <v>19</v>
      </c>
      <c r="F594" t="s">
        <v>1517</v>
      </c>
      <c r="G594" t="s">
        <v>322</v>
      </c>
      <c r="N594" s="107"/>
    </row>
    <row r="595" spans="1:14" hidden="1" x14ac:dyDescent="0.3">
      <c r="A595" t="s">
        <v>163</v>
      </c>
      <c r="B595" t="s">
        <v>1126</v>
      </c>
      <c r="C595" t="s">
        <v>1527</v>
      </c>
      <c r="D595">
        <f t="shared" si="9"/>
        <v>0</v>
      </c>
      <c r="E595" t="s">
        <v>19</v>
      </c>
      <c r="F595" t="s">
        <v>1527</v>
      </c>
      <c r="G595" t="s">
        <v>322</v>
      </c>
      <c r="N595" s="107"/>
    </row>
    <row r="596" spans="1:14" hidden="1" x14ac:dyDescent="0.3">
      <c r="A596" t="s">
        <v>163</v>
      </c>
      <c r="B596" t="s">
        <v>483</v>
      </c>
      <c r="C596" t="s">
        <v>1528</v>
      </c>
      <c r="D596">
        <f t="shared" si="9"/>
        <v>0</v>
      </c>
      <c r="E596" t="s">
        <v>19</v>
      </c>
      <c r="F596" t="s">
        <v>1528</v>
      </c>
      <c r="G596" t="s">
        <v>322</v>
      </c>
      <c r="N596" s="107"/>
    </row>
    <row r="597" spans="1:14" hidden="1" x14ac:dyDescent="0.3">
      <c r="A597" t="s">
        <v>163</v>
      </c>
      <c r="B597" t="s">
        <v>1132</v>
      </c>
      <c r="C597" t="s">
        <v>1537</v>
      </c>
      <c r="D597">
        <f t="shared" si="9"/>
        <v>0</v>
      </c>
      <c r="E597" t="s">
        <v>19</v>
      </c>
      <c r="F597" t="s">
        <v>1537</v>
      </c>
      <c r="G597" t="s">
        <v>322</v>
      </c>
      <c r="N597" s="107"/>
    </row>
    <row r="598" spans="1:14" hidden="1" x14ac:dyDescent="0.3">
      <c r="A598" t="s">
        <v>164</v>
      </c>
      <c r="B598" t="s">
        <v>537</v>
      </c>
      <c r="C598" t="s">
        <v>1135</v>
      </c>
      <c r="D598">
        <f t="shared" si="9"/>
        <v>0</v>
      </c>
      <c r="E598" t="s">
        <v>19</v>
      </c>
      <c r="F598" t="s">
        <v>1135</v>
      </c>
      <c r="G598" t="s">
        <v>322</v>
      </c>
      <c r="N598" s="107"/>
    </row>
    <row r="599" spans="1:14" hidden="1" x14ac:dyDescent="0.3">
      <c r="A599" t="s">
        <v>164</v>
      </c>
      <c r="B599" t="s">
        <v>610</v>
      </c>
      <c r="C599" t="s">
        <v>1178</v>
      </c>
      <c r="D599">
        <f t="shared" si="9"/>
        <v>0</v>
      </c>
      <c r="E599" t="s">
        <v>19</v>
      </c>
      <c r="F599" t="s">
        <v>1808</v>
      </c>
      <c r="G599" t="s">
        <v>322</v>
      </c>
      <c r="N599" s="107"/>
    </row>
    <row r="600" spans="1:14" hidden="1" x14ac:dyDescent="0.3">
      <c r="A600" t="s">
        <v>164</v>
      </c>
      <c r="B600" t="s">
        <v>611</v>
      </c>
      <c r="C600" t="s">
        <v>1179</v>
      </c>
      <c r="D600">
        <f t="shared" si="9"/>
        <v>0</v>
      </c>
      <c r="E600" t="s">
        <v>19</v>
      </c>
      <c r="F600" t="s">
        <v>1809</v>
      </c>
      <c r="G600" t="s">
        <v>322</v>
      </c>
      <c r="N600" s="107"/>
    </row>
    <row r="601" spans="1:14" hidden="1" x14ac:dyDescent="0.3">
      <c r="A601" t="s">
        <v>164</v>
      </c>
      <c r="B601" t="s">
        <v>612</v>
      </c>
      <c r="C601" t="s">
        <v>1179</v>
      </c>
      <c r="D601">
        <f t="shared" si="9"/>
        <v>0</v>
      </c>
      <c r="E601" t="s">
        <v>19</v>
      </c>
      <c r="F601" t="s">
        <v>1810</v>
      </c>
      <c r="G601" t="s">
        <v>322</v>
      </c>
      <c r="N601" s="107"/>
    </row>
    <row r="602" spans="1:14" hidden="1" x14ac:dyDescent="0.3">
      <c r="A602" t="s">
        <v>164</v>
      </c>
      <c r="B602" t="s">
        <v>617</v>
      </c>
      <c r="C602" t="s">
        <v>1178</v>
      </c>
      <c r="D602">
        <f t="shared" si="9"/>
        <v>0</v>
      </c>
      <c r="E602" t="s">
        <v>19</v>
      </c>
      <c r="F602" t="s">
        <v>1817</v>
      </c>
      <c r="G602" t="s">
        <v>322</v>
      </c>
      <c r="N602" s="107"/>
    </row>
    <row r="603" spans="1:14" hidden="1" x14ac:dyDescent="0.3">
      <c r="A603" t="s">
        <v>164</v>
      </c>
      <c r="B603" t="s">
        <v>739</v>
      </c>
      <c r="C603" t="s">
        <v>1240</v>
      </c>
      <c r="D603">
        <f t="shared" si="9"/>
        <v>0</v>
      </c>
      <c r="E603" t="s">
        <v>19</v>
      </c>
      <c r="F603" t="s">
        <v>2019</v>
      </c>
      <c r="G603" t="s">
        <v>322</v>
      </c>
      <c r="N603" s="107"/>
    </row>
    <row r="604" spans="1:14" hidden="1" x14ac:dyDescent="0.3">
      <c r="A604" t="s">
        <v>164</v>
      </c>
      <c r="B604" t="s">
        <v>740</v>
      </c>
      <c r="C604" t="s">
        <v>1240</v>
      </c>
      <c r="D604">
        <f t="shared" si="9"/>
        <v>0</v>
      </c>
      <c r="E604" t="s">
        <v>19</v>
      </c>
      <c r="F604" t="s">
        <v>2020</v>
      </c>
      <c r="G604" t="s">
        <v>322</v>
      </c>
      <c r="N604" s="107"/>
    </row>
    <row r="605" spans="1:14" hidden="1" x14ac:dyDescent="0.3">
      <c r="A605" t="s">
        <v>164</v>
      </c>
      <c r="B605" t="s">
        <v>825</v>
      </c>
      <c r="C605" t="s">
        <v>1299</v>
      </c>
      <c r="D605">
        <f t="shared" si="9"/>
        <v>0</v>
      </c>
      <c r="E605" t="s">
        <v>19</v>
      </c>
      <c r="F605" t="s">
        <v>1299</v>
      </c>
      <c r="G605" t="s">
        <v>322</v>
      </c>
      <c r="N605" s="107"/>
    </row>
    <row r="606" spans="1:14" hidden="1" x14ac:dyDescent="0.3">
      <c r="A606" t="s">
        <v>164</v>
      </c>
      <c r="B606" t="s">
        <v>711</v>
      </c>
      <c r="C606" t="s">
        <v>1298</v>
      </c>
      <c r="D606">
        <f t="shared" si="9"/>
        <v>0</v>
      </c>
      <c r="E606" t="s">
        <v>19</v>
      </c>
      <c r="F606" t="s">
        <v>2164</v>
      </c>
      <c r="G606" t="s">
        <v>322</v>
      </c>
      <c r="N606" s="107"/>
    </row>
    <row r="607" spans="1:14" hidden="1" x14ac:dyDescent="0.3">
      <c r="A607" t="s">
        <v>164</v>
      </c>
      <c r="B607" t="s">
        <v>850</v>
      </c>
      <c r="C607" t="s">
        <v>1302</v>
      </c>
      <c r="D607">
        <f t="shared" si="9"/>
        <v>0</v>
      </c>
      <c r="E607" t="s">
        <v>19</v>
      </c>
      <c r="F607" t="s">
        <v>2192</v>
      </c>
      <c r="G607" t="s">
        <v>322</v>
      </c>
      <c r="N607" s="107"/>
    </row>
    <row r="608" spans="1:14" hidden="1" x14ac:dyDescent="0.3">
      <c r="A608" t="s">
        <v>164</v>
      </c>
      <c r="B608" t="s">
        <v>825</v>
      </c>
      <c r="C608" t="s">
        <v>1302</v>
      </c>
      <c r="D608">
        <f t="shared" si="9"/>
        <v>0</v>
      </c>
      <c r="E608" t="s">
        <v>19</v>
      </c>
      <c r="F608" t="s">
        <v>2195</v>
      </c>
      <c r="G608" t="s">
        <v>322</v>
      </c>
      <c r="N608" s="107"/>
    </row>
    <row r="609" spans="1:14" hidden="1" x14ac:dyDescent="0.3">
      <c r="A609" t="s">
        <v>164</v>
      </c>
      <c r="B609" t="s">
        <v>866</v>
      </c>
      <c r="C609" t="s">
        <v>1310</v>
      </c>
      <c r="D609">
        <f t="shared" si="9"/>
        <v>0</v>
      </c>
      <c r="E609" t="s">
        <v>19</v>
      </c>
      <c r="F609" t="s">
        <v>1310</v>
      </c>
      <c r="G609" t="s">
        <v>322</v>
      </c>
      <c r="N609" s="107"/>
    </row>
    <row r="610" spans="1:14" hidden="1" x14ac:dyDescent="0.3">
      <c r="A610" t="s">
        <v>164</v>
      </c>
      <c r="B610" t="s">
        <v>950</v>
      </c>
      <c r="C610" t="s">
        <v>1382</v>
      </c>
      <c r="D610">
        <f t="shared" si="9"/>
        <v>0</v>
      </c>
      <c r="E610" t="s">
        <v>19</v>
      </c>
      <c r="F610" t="s">
        <v>2351</v>
      </c>
      <c r="G610" t="s">
        <v>322</v>
      </c>
      <c r="N610" s="107"/>
    </row>
    <row r="611" spans="1:14" hidden="1" x14ac:dyDescent="0.3">
      <c r="A611" t="s">
        <v>164</v>
      </c>
      <c r="B611" t="s">
        <v>640</v>
      </c>
      <c r="C611" t="s">
        <v>1404</v>
      </c>
      <c r="D611">
        <f t="shared" si="9"/>
        <v>0</v>
      </c>
      <c r="E611" t="s">
        <v>19</v>
      </c>
      <c r="F611" t="s">
        <v>2389</v>
      </c>
      <c r="G611" t="s">
        <v>322</v>
      </c>
      <c r="N611" s="107"/>
    </row>
    <row r="612" spans="1:14" hidden="1" x14ac:dyDescent="0.3">
      <c r="A612" t="s">
        <v>164</v>
      </c>
      <c r="B612" t="s">
        <v>962</v>
      </c>
      <c r="C612" t="s">
        <v>1404</v>
      </c>
      <c r="D612">
        <f t="shared" si="9"/>
        <v>0</v>
      </c>
      <c r="E612" t="s">
        <v>19</v>
      </c>
      <c r="F612" t="s">
        <v>2397</v>
      </c>
      <c r="G612" t="s">
        <v>322</v>
      </c>
      <c r="N612" s="107"/>
    </row>
    <row r="613" spans="1:14" hidden="1" x14ac:dyDescent="0.3">
      <c r="A613" t="s">
        <v>164</v>
      </c>
      <c r="B613" t="s">
        <v>610</v>
      </c>
      <c r="C613" t="s">
        <v>1404</v>
      </c>
      <c r="D613">
        <f t="shared" si="9"/>
        <v>0</v>
      </c>
      <c r="E613" t="s">
        <v>19</v>
      </c>
      <c r="F613" t="s">
        <v>2398</v>
      </c>
      <c r="G613" t="s">
        <v>322</v>
      </c>
      <c r="N613" s="107"/>
    </row>
    <row r="614" spans="1:14" hidden="1" x14ac:dyDescent="0.3">
      <c r="A614" t="s">
        <v>164</v>
      </c>
      <c r="B614" t="s">
        <v>497</v>
      </c>
      <c r="C614" t="s">
        <v>1404</v>
      </c>
      <c r="D614">
        <f t="shared" si="9"/>
        <v>0</v>
      </c>
      <c r="E614" t="s">
        <v>19</v>
      </c>
      <c r="F614" t="s">
        <v>2402</v>
      </c>
      <c r="G614" t="s">
        <v>322</v>
      </c>
      <c r="N614" s="107"/>
    </row>
    <row r="615" spans="1:14" hidden="1" x14ac:dyDescent="0.3">
      <c r="A615" t="s">
        <v>164</v>
      </c>
      <c r="B615" t="s">
        <v>485</v>
      </c>
      <c r="C615" t="s">
        <v>1404</v>
      </c>
      <c r="D615">
        <f t="shared" si="9"/>
        <v>0</v>
      </c>
      <c r="E615" t="s">
        <v>19</v>
      </c>
      <c r="F615" t="s">
        <v>2410</v>
      </c>
      <c r="G615" t="s">
        <v>322</v>
      </c>
      <c r="N615" s="107"/>
    </row>
    <row r="616" spans="1:14" hidden="1" x14ac:dyDescent="0.3">
      <c r="A616" t="s">
        <v>164</v>
      </c>
      <c r="B616" t="s">
        <v>983</v>
      </c>
      <c r="C616" t="s">
        <v>1407</v>
      </c>
      <c r="D616">
        <f t="shared" si="9"/>
        <v>0</v>
      </c>
      <c r="E616" t="s">
        <v>19</v>
      </c>
      <c r="F616" t="s">
        <v>1407</v>
      </c>
      <c r="G616" t="s">
        <v>322</v>
      </c>
      <c r="N616" s="107"/>
    </row>
    <row r="617" spans="1:14" hidden="1" x14ac:dyDescent="0.3">
      <c r="A617" t="s">
        <v>164</v>
      </c>
      <c r="B617" t="s">
        <v>617</v>
      </c>
      <c r="C617" t="s">
        <v>1439</v>
      </c>
      <c r="D617">
        <f t="shared" si="9"/>
        <v>0</v>
      </c>
      <c r="E617" t="s">
        <v>19</v>
      </c>
      <c r="F617" t="s">
        <v>2566</v>
      </c>
      <c r="G617" t="s">
        <v>322</v>
      </c>
      <c r="N617" s="107"/>
    </row>
    <row r="618" spans="1:14" hidden="1" x14ac:dyDescent="0.3">
      <c r="A618" t="s">
        <v>164</v>
      </c>
      <c r="B618" t="s">
        <v>1035</v>
      </c>
      <c r="C618" t="s">
        <v>1443</v>
      </c>
      <c r="D618">
        <f t="shared" si="9"/>
        <v>0</v>
      </c>
      <c r="E618" t="s">
        <v>19</v>
      </c>
      <c r="F618" t="s">
        <v>2576</v>
      </c>
      <c r="G618" t="s">
        <v>322</v>
      </c>
      <c r="N618" s="107"/>
    </row>
    <row r="619" spans="1:14" hidden="1" x14ac:dyDescent="0.3">
      <c r="A619" t="s">
        <v>164</v>
      </c>
      <c r="B619" t="s">
        <v>1038</v>
      </c>
      <c r="C619" t="s">
        <v>1443</v>
      </c>
      <c r="D619">
        <f t="shared" si="9"/>
        <v>0</v>
      </c>
      <c r="E619" t="s">
        <v>19</v>
      </c>
      <c r="F619" t="s">
        <v>2579</v>
      </c>
      <c r="G619" t="s">
        <v>322</v>
      </c>
      <c r="N619" s="107"/>
    </row>
    <row r="620" spans="1:14" hidden="1" x14ac:dyDescent="0.3">
      <c r="A620" t="s">
        <v>164</v>
      </c>
      <c r="B620" t="s">
        <v>1039</v>
      </c>
      <c r="C620" t="s">
        <v>1443</v>
      </c>
      <c r="D620">
        <f t="shared" si="9"/>
        <v>0</v>
      </c>
      <c r="E620" t="s">
        <v>19</v>
      </c>
      <c r="F620" t="s">
        <v>2580</v>
      </c>
      <c r="G620" t="s">
        <v>322</v>
      </c>
      <c r="N620" s="107"/>
    </row>
    <row r="621" spans="1:14" hidden="1" x14ac:dyDescent="0.3">
      <c r="A621" t="s">
        <v>164</v>
      </c>
      <c r="B621" t="s">
        <v>962</v>
      </c>
      <c r="C621" t="s">
        <v>1454</v>
      </c>
      <c r="D621">
        <f t="shared" si="9"/>
        <v>0</v>
      </c>
      <c r="E621" t="s">
        <v>19</v>
      </c>
      <c r="F621" t="s">
        <v>2637</v>
      </c>
      <c r="G621" t="s">
        <v>322</v>
      </c>
      <c r="N621" s="107"/>
    </row>
    <row r="622" spans="1:14" hidden="1" x14ac:dyDescent="0.3">
      <c r="A622" t="s">
        <v>164</v>
      </c>
      <c r="B622" t="s">
        <v>497</v>
      </c>
      <c r="C622" t="s">
        <v>1457</v>
      </c>
      <c r="D622">
        <f t="shared" si="9"/>
        <v>0</v>
      </c>
      <c r="E622" t="s">
        <v>19</v>
      </c>
      <c r="F622" t="s">
        <v>1457</v>
      </c>
      <c r="G622" t="s">
        <v>322</v>
      </c>
      <c r="N622" s="107"/>
    </row>
    <row r="623" spans="1:14" hidden="1" x14ac:dyDescent="0.3">
      <c r="A623" t="s">
        <v>164</v>
      </c>
      <c r="B623" t="s">
        <v>612</v>
      </c>
      <c r="C623" t="s">
        <v>1506</v>
      </c>
      <c r="D623">
        <f t="shared" si="9"/>
        <v>0</v>
      </c>
      <c r="E623" t="s">
        <v>19</v>
      </c>
      <c r="F623" t="s">
        <v>1506</v>
      </c>
      <c r="G623" t="s">
        <v>322</v>
      </c>
      <c r="N623" s="107"/>
    </row>
    <row r="624" spans="1:14" hidden="1" x14ac:dyDescent="0.3">
      <c r="A624" t="s">
        <v>164</v>
      </c>
      <c r="B624" t="s">
        <v>485</v>
      </c>
      <c r="C624" t="s">
        <v>1513</v>
      </c>
      <c r="D624">
        <f t="shared" si="9"/>
        <v>0</v>
      </c>
      <c r="E624" t="s">
        <v>19</v>
      </c>
      <c r="F624" t="s">
        <v>2812</v>
      </c>
      <c r="G624" t="s">
        <v>322</v>
      </c>
      <c r="N624" s="107"/>
    </row>
    <row r="625" spans="1:14" hidden="1" x14ac:dyDescent="0.3">
      <c r="A625" t="s">
        <v>164</v>
      </c>
      <c r="B625" t="s">
        <v>612</v>
      </c>
      <c r="C625" t="s">
        <v>1532</v>
      </c>
      <c r="D625">
        <f t="shared" si="9"/>
        <v>0</v>
      </c>
      <c r="E625" t="s">
        <v>19</v>
      </c>
      <c r="F625" t="s">
        <v>2825</v>
      </c>
      <c r="G625" t="s">
        <v>322</v>
      </c>
      <c r="N625" s="107"/>
    </row>
    <row r="626" spans="1:14" hidden="1" x14ac:dyDescent="0.3">
      <c r="A626" t="s">
        <v>165</v>
      </c>
      <c r="B626" t="s">
        <v>546</v>
      </c>
      <c r="C626" t="s">
        <v>1142</v>
      </c>
      <c r="D626">
        <f t="shared" si="9"/>
        <v>0</v>
      </c>
      <c r="E626" t="s">
        <v>19</v>
      </c>
      <c r="F626" t="s">
        <v>1142</v>
      </c>
      <c r="G626" t="s">
        <v>322</v>
      </c>
      <c r="N626" s="107"/>
    </row>
    <row r="627" spans="1:14" hidden="1" x14ac:dyDescent="0.3">
      <c r="A627" t="s">
        <v>165</v>
      </c>
      <c r="B627" t="s">
        <v>547</v>
      </c>
      <c r="C627" t="s">
        <v>1143</v>
      </c>
      <c r="D627">
        <f t="shared" si="9"/>
        <v>0</v>
      </c>
      <c r="E627" t="s">
        <v>19</v>
      </c>
      <c r="F627" t="s">
        <v>1143</v>
      </c>
      <c r="G627" t="s">
        <v>322</v>
      </c>
      <c r="N627" s="107"/>
    </row>
    <row r="628" spans="1:14" hidden="1" x14ac:dyDescent="0.3">
      <c r="A628" t="s">
        <v>165</v>
      </c>
      <c r="B628" t="s">
        <v>574</v>
      </c>
      <c r="C628" t="s">
        <v>1171</v>
      </c>
      <c r="D628">
        <f t="shared" si="9"/>
        <v>0</v>
      </c>
      <c r="E628" t="s">
        <v>19</v>
      </c>
      <c r="F628" t="s">
        <v>1759</v>
      </c>
      <c r="G628" t="s">
        <v>322</v>
      </c>
      <c r="N628" s="107"/>
    </row>
    <row r="629" spans="1:14" hidden="1" x14ac:dyDescent="0.3">
      <c r="A629" t="s">
        <v>165</v>
      </c>
      <c r="B629" t="s">
        <v>625</v>
      </c>
      <c r="C629" t="s">
        <v>1180</v>
      </c>
      <c r="D629">
        <f t="shared" si="9"/>
        <v>0</v>
      </c>
      <c r="E629" t="s">
        <v>19</v>
      </c>
      <c r="F629" t="s">
        <v>1826</v>
      </c>
      <c r="G629" t="s">
        <v>322</v>
      </c>
      <c r="N629" s="107"/>
    </row>
    <row r="630" spans="1:14" hidden="1" x14ac:dyDescent="0.3">
      <c r="A630" t="s">
        <v>165</v>
      </c>
      <c r="B630" t="s">
        <v>785</v>
      </c>
      <c r="C630" t="s">
        <v>1270</v>
      </c>
      <c r="D630">
        <f t="shared" si="9"/>
        <v>0</v>
      </c>
      <c r="E630" t="s">
        <v>19</v>
      </c>
      <c r="F630" t="s">
        <v>1270</v>
      </c>
      <c r="G630" t="s">
        <v>322</v>
      </c>
      <c r="N630" s="107"/>
    </row>
    <row r="631" spans="1:14" hidden="1" x14ac:dyDescent="0.3">
      <c r="A631" t="s">
        <v>165</v>
      </c>
      <c r="B631" t="s">
        <v>546</v>
      </c>
      <c r="C631" t="s">
        <v>1271</v>
      </c>
      <c r="D631">
        <f t="shared" si="9"/>
        <v>0</v>
      </c>
      <c r="E631" t="s">
        <v>19</v>
      </c>
      <c r="F631" t="s">
        <v>1271</v>
      </c>
      <c r="G631" t="s">
        <v>322</v>
      </c>
      <c r="N631" s="107"/>
    </row>
    <row r="632" spans="1:14" hidden="1" x14ac:dyDescent="0.3">
      <c r="A632" t="s">
        <v>165</v>
      </c>
      <c r="B632" t="s">
        <v>815</v>
      </c>
      <c r="C632" t="s">
        <v>1292</v>
      </c>
      <c r="D632">
        <f t="shared" si="9"/>
        <v>0</v>
      </c>
      <c r="E632" t="s">
        <v>19</v>
      </c>
      <c r="F632" t="s">
        <v>1292</v>
      </c>
      <c r="G632" t="s">
        <v>322</v>
      </c>
      <c r="N632" s="107"/>
    </row>
    <row r="633" spans="1:14" hidden="1" x14ac:dyDescent="0.3">
      <c r="A633" t="s">
        <v>165</v>
      </c>
      <c r="B633" t="s">
        <v>822</v>
      </c>
      <c r="C633" t="s">
        <v>1298</v>
      </c>
      <c r="D633">
        <f t="shared" si="9"/>
        <v>0</v>
      </c>
      <c r="E633" t="s">
        <v>19</v>
      </c>
      <c r="F633" t="s">
        <v>2160</v>
      </c>
      <c r="G633" t="s">
        <v>322</v>
      </c>
      <c r="N633" s="107"/>
    </row>
    <row r="634" spans="1:14" hidden="1" x14ac:dyDescent="0.3">
      <c r="A634" t="s">
        <v>165</v>
      </c>
      <c r="B634" t="s">
        <v>859</v>
      </c>
      <c r="C634" t="s">
        <v>1307</v>
      </c>
      <c r="D634">
        <f t="shared" si="9"/>
        <v>0</v>
      </c>
      <c r="E634" t="s">
        <v>19</v>
      </c>
      <c r="F634" t="s">
        <v>2204</v>
      </c>
      <c r="G634" t="s">
        <v>322</v>
      </c>
      <c r="N634" s="107"/>
    </row>
    <row r="635" spans="1:14" hidden="1" x14ac:dyDescent="0.3">
      <c r="A635" t="s">
        <v>165</v>
      </c>
      <c r="B635" t="s">
        <v>918</v>
      </c>
      <c r="C635" t="s">
        <v>1355</v>
      </c>
      <c r="D635">
        <f t="shared" si="9"/>
        <v>0</v>
      </c>
      <c r="E635" t="s">
        <v>19</v>
      </c>
      <c r="F635" t="s">
        <v>1355</v>
      </c>
      <c r="G635" t="s">
        <v>322</v>
      </c>
      <c r="N635" s="107"/>
    </row>
    <row r="636" spans="1:14" hidden="1" x14ac:dyDescent="0.3">
      <c r="A636" t="s">
        <v>165</v>
      </c>
      <c r="B636" t="s">
        <v>919</v>
      </c>
      <c r="C636" t="s">
        <v>1356</v>
      </c>
      <c r="D636">
        <f t="shared" si="9"/>
        <v>0</v>
      </c>
      <c r="E636" t="s">
        <v>19</v>
      </c>
      <c r="F636" t="s">
        <v>1356</v>
      </c>
      <c r="G636" t="s">
        <v>322</v>
      </c>
      <c r="N636" s="107"/>
    </row>
    <row r="637" spans="1:14" hidden="1" x14ac:dyDescent="0.3">
      <c r="A637" t="s">
        <v>165</v>
      </c>
      <c r="B637" t="s">
        <v>546</v>
      </c>
      <c r="C637" t="s">
        <v>1392</v>
      </c>
      <c r="D637">
        <f t="shared" si="9"/>
        <v>0</v>
      </c>
      <c r="E637" t="s">
        <v>19</v>
      </c>
      <c r="F637" t="s">
        <v>2379</v>
      </c>
      <c r="G637" t="s">
        <v>322</v>
      </c>
      <c r="N637" s="107"/>
    </row>
    <row r="638" spans="1:14" hidden="1" x14ac:dyDescent="0.3">
      <c r="A638" t="s">
        <v>165</v>
      </c>
      <c r="B638" t="s">
        <v>955</v>
      </c>
      <c r="C638" t="s">
        <v>1401</v>
      </c>
      <c r="D638">
        <f t="shared" si="9"/>
        <v>0</v>
      </c>
      <c r="E638" t="s">
        <v>19</v>
      </c>
      <c r="F638" t="s">
        <v>1401</v>
      </c>
      <c r="G638" t="s">
        <v>322</v>
      </c>
      <c r="N638" s="107"/>
    </row>
    <row r="639" spans="1:14" hidden="1" x14ac:dyDescent="0.3">
      <c r="A639" t="s">
        <v>165</v>
      </c>
      <c r="B639" t="s">
        <v>625</v>
      </c>
      <c r="C639" t="s">
        <v>1410</v>
      </c>
      <c r="D639">
        <f t="shared" si="9"/>
        <v>0</v>
      </c>
      <c r="E639" t="s">
        <v>19</v>
      </c>
      <c r="F639" t="s">
        <v>1410</v>
      </c>
      <c r="G639" t="s">
        <v>322</v>
      </c>
      <c r="N639" s="107"/>
    </row>
    <row r="640" spans="1:14" hidden="1" x14ac:dyDescent="0.3">
      <c r="A640" t="s">
        <v>165</v>
      </c>
      <c r="B640" t="s">
        <v>547</v>
      </c>
      <c r="C640" t="s">
        <v>1419</v>
      </c>
      <c r="D640">
        <f t="shared" si="9"/>
        <v>0</v>
      </c>
      <c r="E640" t="s">
        <v>19</v>
      </c>
      <c r="F640" t="s">
        <v>2542</v>
      </c>
      <c r="G640" t="s">
        <v>322</v>
      </c>
      <c r="N640" s="107"/>
    </row>
    <row r="641" spans="1:14" hidden="1" x14ac:dyDescent="0.3">
      <c r="A641" t="s">
        <v>165</v>
      </c>
      <c r="B641" t="s">
        <v>625</v>
      </c>
      <c r="C641" t="s">
        <v>1462</v>
      </c>
      <c r="D641">
        <f t="shared" ref="D641:D704" si="10">SIGN(SUBTOTAL(3,E641))</f>
        <v>0</v>
      </c>
      <c r="E641" t="s">
        <v>19</v>
      </c>
      <c r="F641" t="s">
        <v>2657</v>
      </c>
      <c r="G641" t="s">
        <v>322</v>
      </c>
      <c r="N641" s="107"/>
    </row>
    <row r="642" spans="1:14" hidden="1" x14ac:dyDescent="0.3">
      <c r="A642" t="s">
        <v>165</v>
      </c>
      <c r="B642" t="s">
        <v>918</v>
      </c>
      <c r="C642" t="s">
        <v>1462</v>
      </c>
      <c r="D642">
        <f t="shared" si="10"/>
        <v>0</v>
      </c>
      <c r="E642" t="s">
        <v>19</v>
      </c>
      <c r="F642" t="s">
        <v>2658</v>
      </c>
      <c r="G642" t="s">
        <v>322</v>
      </c>
      <c r="N642" s="107"/>
    </row>
    <row r="643" spans="1:14" hidden="1" x14ac:dyDescent="0.3">
      <c r="A643" t="s">
        <v>165</v>
      </c>
      <c r="B643" t="s">
        <v>546</v>
      </c>
      <c r="C643" t="s">
        <v>1479</v>
      </c>
      <c r="D643">
        <f t="shared" si="10"/>
        <v>0</v>
      </c>
      <c r="E643" t="s">
        <v>19</v>
      </c>
      <c r="F643" t="s">
        <v>2706</v>
      </c>
      <c r="G643" t="s">
        <v>322</v>
      </c>
      <c r="N643" s="107"/>
    </row>
    <row r="644" spans="1:14" hidden="1" x14ac:dyDescent="0.3">
      <c r="A644" t="s">
        <v>165</v>
      </c>
      <c r="B644" t="s">
        <v>785</v>
      </c>
      <c r="C644" t="s">
        <v>1486</v>
      </c>
      <c r="D644">
        <f t="shared" si="10"/>
        <v>0</v>
      </c>
      <c r="E644" t="s">
        <v>19</v>
      </c>
      <c r="F644" t="s">
        <v>1486</v>
      </c>
      <c r="G644" t="s">
        <v>322</v>
      </c>
      <c r="N644" s="107"/>
    </row>
    <row r="645" spans="1:14" hidden="1" x14ac:dyDescent="0.3">
      <c r="A645" t="s">
        <v>165</v>
      </c>
      <c r="B645" t="s">
        <v>785</v>
      </c>
      <c r="C645" t="s">
        <v>1500</v>
      </c>
      <c r="D645">
        <f t="shared" si="10"/>
        <v>0</v>
      </c>
      <c r="E645" t="s">
        <v>19</v>
      </c>
      <c r="F645" t="s">
        <v>2739</v>
      </c>
      <c r="G645" t="s">
        <v>322</v>
      </c>
      <c r="N645" s="107"/>
    </row>
    <row r="646" spans="1:14" hidden="1" x14ac:dyDescent="0.3">
      <c r="A646" t="s">
        <v>165</v>
      </c>
      <c r="B646" t="s">
        <v>822</v>
      </c>
      <c r="C646" t="s">
        <v>1500</v>
      </c>
      <c r="D646">
        <f t="shared" si="10"/>
        <v>0</v>
      </c>
      <c r="E646" t="s">
        <v>19</v>
      </c>
      <c r="F646" t="s">
        <v>2742</v>
      </c>
      <c r="G646" t="s">
        <v>322</v>
      </c>
      <c r="N646" s="107"/>
    </row>
    <row r="647" spans="1:14" hidden="1" x14ac:dyDescent="0.3">
      <c r="A647" t="s">
        <v>165</v>
      </c>
      <c r="B647" t="s">
        <v>785</v>
      </c>
      <c r="C647" t="s">
        <v>1509</v>
      </c>
      <c r="D647">
        <f t="shared" si="10"/>
        <v>0</v>
      </c>
      <c r="E647" t="s">
        <v>19</v>
      </c>
      <c r="F647" t="s">
        <v>2772</v>
      </c>
      <c r="G647" t="s">
        <v>322</v>
      </c>
      <c r="N647" s="107"/>
    </row>
    <row r="648" spans="1:14" hidden="1" x14ac:dyDescent="0.3">
      <c r="A648" t="s">
        <v>165</v>
      </c>
      <c r="B648" t="s">
        <v>625</v>
      </c>
      <c r="C648" t="s">
        <v>1509</v>
      </c>
      <c r="D648">
        <f t="shared" si="10"/>
        <v>0</v>
      </c>
      <c r="E648" t="s">
        <v>19</v>
      </c>
      <c r="F648" t="s">
        <v>2773</v>
      </c>
      <c r="G648" t="s">
        <v>322</v>
      </c>
      <c r="N648" s="107"/>
    </row>
    <row r="649" spans="1:14" hidden="1" x14ac:dyDescent="0.3">
      <c r="A649" t="s">
        <v>165</v>
      </c>
      <c r="B649" t="s">
        <v>546</v>
      </c>
      <c r="C649" t="s">
        <v>1509</v>
      </c>
      <c r="D649">
        <f t="shared" si="10"/>
        <v>0</v>
      </c>
      <c r="E649" t="s">
        <v>19</v>
      </c>
      <c r="F649" t="s">
        <v>2794</v>
      </c>
      <c r="G649" t="s">
        <v>322</v>
      </c>
      <c r="N649" s="107"/>
    </row>
    <row r="650" spans="1:14" hidden="1" x14ac:dyDescent="0.3">
      <c r="A650" t="s">
        <v>165</v>
      </c>
      <c r="B650" t="s">
        <v>1116</v>
      </c>
      <c r="C650" t="s">
        <v>1509</v>
      </c>
      <c r="D650">
        <f t="shared" si="10"/>
        <v>0</v>
      </c>
      <c r="E650" t="s">
        <v>19</v>
      </c>
      <c r="F650" t="s">
        <v>2799</v>
      </c>
      <c r="G650" t="s">
        <v>322</v>
      </c>
      <c r="N650" s="107"/>
    </row>
    <row r="651" spans="1:14" hidden="1" x14ac:dyDescent="0.3">
      <c r="A651" t="s">
        <v>166</v>
      </c>
      <c r="B651" t="s">
        <v>540</v>
      </c>
      <c r="C651" t="s">
        <v>1137</v>
      </c>
      <c r="D651">
        <f t="shared" si="10"/>
        <v>0</v>
      </c>
      <c r="E651" t="s">
        <v>19</v>
      </c>
      <c r="F651" t="s">
        <v>1729</v>
      </c>
      <c r="G651" t="s">
        <v>322</v>
      </c>
      <c r="N651" s="107"/>
    </row>
    <row r="652" spans="1:14" hidden="1" x14ac:dyDescent="0.3">
      <c r="A652" t="s">
        <v>166</v>
      </c>
      <c r="B652" t="s">
        <v>540</v>
      </c>
      <c r="C652" t="s">
        <v>1164</v>
      </c>
      <c r="D652">
        <f t="shared" si="10"/>
        <v>0</v>
      </c>
      <c r="E652" t="s">
        <v>19</v>
      </c>
      <c r="F652" t="s">
        <v>1745</v>
      </c>
      <c r="G652" t="s">
        <v>322</v>
      </c>
      <c r="N652" s="107"/>
    </row>
    <row r="653" spans="1:14" hidden="1" x14ac:dyDescent="0.3">
      <c r="A653" t="s">
        <v>166</v>
      </c>
      <c r="B653" t="s">
        <v>540</v>
      </c>
      <c r="C653" t="s">
        <v>1175</v>
      </c>
      <c r="D653">
        <f t="shared" si="10"/>
        <v>0</v>
      </c>
      <c r="E653" t="s">
        <v>19</v>
      </c>
      <c r="F653" t="s">
        <v>1789</v>
      </c>
      <c r="G653" t="s">
        <v>322</v>
      </c>
      <c r="N653" s="107"/>
    </row>
    <row r="654" spans="1:14" hidden="1" x14ac:dyDescent="0.3">
      <c r="A654" t="s">
        <v>166</v>
      </c>
      <c r="B654" t="s">
        <v>540</v>
      </c>
      <c r="C654" t="s">
        <v>1181</v>
      </c>
      <c r="D654">
        <f t="shared" si="10"/>
        <v>0</v>
      </c>
      <c r="E654" t="s">
        <v>19</v>
      </c>
      <c r="F654" t="s">
        <v>1181</v>
      </c>
      <c r="G654" t="s">
        <v>322</v>
      </c>
      <c r="N654" s="107"/>
    </row>
    <row r="655" spans="1:14" hidden="1" x14ac:dyDescent="0.3">
      <c r="A655" t="s">
        <v>166</v>
      </c>
      <c r="B655" t="s">
        <v>652</v>
      </c>
      <c r="C655" t="s">
        <v>1205</v>
      </c>
      <c r="D655">
        <f t="shared" si="10"/>
        <v>0</v>
      </c>
      <c r="E655" t="s">
        <v>19</v>
      </c>
      <c r="F655" t="s">
        <v>1205</v>
      </c>
      <c r="G655" t="s">
        <v>322</v>
      </c>
      <c r="N655" s="107"/>
    </row>
    <row r="656" spans="1:14" hidden="1" x14ac:dyDescent="0.3">
      <c r="A656" t="s">
        <v>166</v>
      </c>
      <c r="B656" t="s">
        <v>678</v>
      </c>
      <c r="C656" t="s">
        <v>1225</v>
      </c>
      <c r="D656">
        <f t="shared" si="10"/>
        <v>0</v>
      </c>
      <c r="E656" t="s">
        <v>19</v>
      </c>
      <c r="F656" t="s">
        <v>1225</v>
      </c>
      <c r="G656" t="s">
        <v>322</v>
      </c>
      <c r="N656" s="107"/>
    </row>
    <row r="657" spans="1:14" hidden="1" x14ac:dyDescent="0.3">
      <c r="A657" t="s">
        <v>166</v>
      </c>
      <c r="B657" t="s">
        <v>540</v>
      </c>
      <c r="C657" t="s">
        <v>1227</v>
      </c>
      <c r="D657">
        <f t="shared" si="10"/>
        <v>0</v>
      </c>
      <c r="E657" t="s">
        <v>19</v>
      </c>
      <c r="F657" t="s">
        <v>1897</v>
      </c>
      <c r="G657" t="s">
        <v>322</v>
      </c>
      <c r="N657" s="107"/>
    </row>
    <row r="658" spans="1:14" hidden="1" x14ac:dyDescent="0.3">
      <c r="A658" t="s">
        <v>166</v>
      </c>
      <c r="B658" t="s">
        <v>701</v>
      </c>
      <c r="C658" t="s">
        <v>1227</v>
      </c>
      <c r="D658">
        <f t="shared" si="10"/>
        <v>0</v>
      </c>
      <c r="E658" t="s">
        <v>19</v>
      </c>
      <c r="F658" t="s">
        <v>1933</v>
      </c>
      <c r="G658" t="s">
        <v>322</v>
      </c>
      <c r="N658" s="107"/>
    </row>
    <row r="659" spans="1:14" hidden="1" x14ac:dyDescent="0.3">
      <c r="A659" t="s">
        <v>166</v>
      </c>
      <c r="B659" t="s">
        <v>732</v>
      </c>
      <c r="C659" t="s">
        <v>1233</v>
      </c>
      <c r="D659">
        <f t="shared" si="10"/>
        <v>0</v>
      </c>
      <c r="E659" t="s">
        <v>19</v>
      </c>
      <c r="F659" t="s">
        <v>2008</v>
      </c>
      <c r="G659" t="s">
        <v>322</v>
      </c>
      <c r="N659" s="107"/>
    </row>
    <row r="660" spans="1:14" hidden="1" x14ac:dyDescent="0.3">
      <c r="A660" t="s">
        <v>166</v>
      </c>
      <c r="B660" t="s">
        <v>763</v>
      </c>
      <c r="C660" t="s">
        <v>1251</v>
      </c>
      <c r="D660">
        <f t="shared" si="10"/>
        <v>0</v>
      </c>
      <c r="E660" t="s">
        <v>19</v>
      </c>
      <c r="F660" t="s">
        <v>2055</v>
      </c>
      <c r="G660" t="s">
        <v>322</v>
      </c>
      <c r="N660" s="107"/>
    </row>
    <row r="661" spans="1:14" hidden="1" x14ac:dyDescent="0.3">
      <c r="A661" t="s">
        <v>166</v>
      </c>
      <c r="B661" t="s">
        <v>771</v>
      </c>
      <c r="C661" t="s">
        <v>1257</v>
      </c>
      <c r="D661">
        <f t="shared" si="10"/>
        <v>0</v>
      </c>
      <c r="E661" t="s">
        <v>19</v>
      </c>
      <c r="F661" t="s">
        <v>2068</v>
      </c>
      <c r="G661" t="s">
        <v>322</v>
      </c>
      <c r="N661" s="107"/>
    </row>
    <row r="662" spans="1:14" hidden="1" x14ac:dyDescent="0.3">
      <c r="A662" t="s">
        <v>166</v>
      </c>
      <c r="B662" t="s">
        <v>784</v>
      </c>
      <c r="C662" t="s">
        <v>1269</v>
      </c>
      <c r="D662">
        <f t="shared" si="10"/>
        <v>0</v>
      </c>
      <c r="E662" t="s">
        <v>19</v>
      </c>
      <c r="F662" t="s">
        <v>1269</v>
      </c>
      <c r="G662" t="s">
        <v>322</v>
      </c>
      <c r="N662" s="107"/>
    </row>
    <row r="663" spans="1:14" hidden="1" x14ac:dyDescent="0.3">
      <c r="A663" t="s">
        <v>166</v>
      </c>
      <c r="B663" t="s">
        <v>849</v>
      </c>
      <c r="C663" t="s">
        <v>1302</v>
      </c>
      <c r="D663">
        <f t="shared" si="10"/>
        <v>0</v>
      </c>
      <c r="E663" t="s">
        <v>19</v>
      </c>
      <c r="F663" t="s">
        <v>2191</v>
      </c>
      <c r="G663" t="s">
        <v>322</v>
      </c>
      <c r="N663" s="107"/>
    </row>
    <row r="664" spans="1:14" hidden="1" x14ac:dyDescent="0.3">
      <c r="A664" t="s">
        <v>166</v>
      </c>
      <c r="B664" t="s">
        <v>851</v>
      </c>
      <c r="C664" t="s">
        <v>1302</v>
      </c>
      <c r="D664">
        <f t="shared" si="10"/>
        <v>0</v>
      </c>
      <c r="E664" t="s">
        <v>19</v>
      </c>
      <c r="F664" t="s">
        <v>2193</v>
      </c>
      <c r="G664" t="s">
        <v>322</v>
      </c>
      <c r="N664" s="107"/>
    </row>
    <row r="665" spans="1:14" hidden="1" x14ac:dyDescent="0.3">
      <c r="A665" t="s">
        <v>166</v>
      </c>
      <c r="B665" t="s">
        <v>861</v>
      </c>
      <c r="C665" t="s">
        <v>1307</v>
      </c>
      <c r="D665">
        <f t="shared" si="10"/>
        <v>0</v>
      </c>
      <c r="E665" t="s">
        <v>19</v>
      </c>
      <c r="F665" t="s">
        <v>2206</v>
      </c>
      <c r="G665" t="s">
        <v>322</v>
      </c>
      <c r="N665" s="107"/>
    </row>
    <row r="666" spans="1:14" hidden="1" x14ac:dyDescent="0.3">
      <c r="A666" t="s">
        <v>166</v>
      </c>
      <c r="B666" t="s">
        <v>897</v>
      </c>
      <c r="C666" t="s">
        <v>1335</v>
      </c>
      <c r="D666">
        <f t="shared" si="10"/>
        <v>0</v>
      </c>
      <c r="E666" t="s">
        <v>19</v>
      </c>
      <c r="F666" t="s">
        <v>2255</v>
      </c>
      <c r="G666" t="s">
        <v>322</v>
      </c>
      <c r="N666" s="107"/>
    </row>
    <row r="667" spans="1:14" hidden="1" x14ac:dyDescent="0.3">
      <c r="A667" t="s">
        <v>166</v>
      </c>
      <c r="B667" t="s">
        <v>540</v>
      </c>
      <c r="C667" t="s">
        <v>1379</v>
      </c>
      <c r="D667">
        <f t="shared" si="10"/>
        <v>0</v>
      </c>
      <c r="E667" t="s">
        <v>19</v>
      </c>
      <c r="F667" t="s">
        <v>2331</v>
      </c>
      <c r="G667" t="s">
        <v>322</v>
      </c>
      <c r="N667" s="107"/>
    </row>
    <row r="668" spans="1:14" hidden="1" x14ac:dyDescent="0.3">
      <c r="A668" t="s">
        <v>166</v>
      </c>
      <c r="B668" t="s">
        <v>516</v>
      </c>
      <c r="C668" t="s">
        <v>1404</v>
      </c>
      <c r="D668">
        <f t="shared" si="10"/>
        <v>0</v>
      </c>
      <c r="E668" t="s">
        <v>19</v>
      </c>
      <c r="F668" t="s">
        <v>2414</v>
      </c>
      <c r="G668" t="s">
        <v>322</v>
      </c>
      <c r="N668" s="107"/>
    </row>
    <row r="669" spans="1:14" hidden="1" x14ac:dyDescent="0.3">
      <c r="A669" t="s">
        <v>166</v>
      </c>
      <c r="B669" t="s">
        <v>973</v>
      </c>
      <c r="C669" t="s">
        <v>1404</v>
      </c>
      <c r="D669">
        <f t="shared" si="10"/>
        <v>0</v>
      </c>
      <c r="E669" t="s">
        <v>19</v>
      </c>
      <c r="F669" t="s">
        <v>2415</v>
      </c>
      <c r="G669" t="s">
        <v>322</v>
      </c>
      <c r="N669" s="107"/>
    </row>
    <row r="670" spans="1:14" hidden="1" x14ac:dyDescent="0.3">
      <c r="A670" t="s">
        <v>166</v>
      </c>
      <c r="B670" t="s">
        <v>975</v>
      </c>
      <c r="C670" t="s">
        <v>1404</v>
      </c>
      <c r="D670">
        <f t="shared" si="10"/>
        <v>0</v>
      </c>
      <c r="E670" t="s">
        <v>19</v>
      </c>
      <c r="F670" t="s">
        <v>2417</v>
      </c>
      <c r="G670" t="s">
        <v>322</v>
      </c>
      <c r="N670" s="107"/>
    </row>
    <row r="671" spans="1:14" hidden="1" x14ac:dyDescent="0.3">
      <c r="A671" t="s">
        <v>166</v>
      </c>
      <c r="B671" t="s">
        <v>976</v>
      </c>
      <c r="C671" t="s">
        <v>1404</v>
      </c>
      <c r="D671">
        <f t="shared" si="10"/>
        <v>0</v>
      </c>
      <c r="E671" t="s">
        <v>19</v>
      </c>
      <c r="F671" t="s">
        <v>2419</v>
      </c>
      <c r="G671" t="s">
        <v>322</v>
      </c>
      <c r="N671" s="107"/>
    </row>
    <row r="672" spans="1:14" hidden="1" x14ac:dyDescent="0.3">
      <c r="A672" t="s">
        <v>166</v>
      </c>
      <c r="B672" t="s">
        <v>763</v>
      </c>
      <c r="C672" t="s">
        <v>1404</v>
      </c>
      <c r="D672">
        <f t="shared" si="10"/>
        <v>0</v>
      </c>
      <c r="E672" t="s">
        <v>19</v>
      </c>
      <c r="F672" t="s">
        <v>2441</v>
      </c>
      <c r="G672" t="s">
        <v>322</v>
      </c>
      <c r="N672" s="107"/>
    </row>
    <row r="673" spans="1:14" hidden="1" x14ac:dyDescent="0.3">
      <c r="A673" t="s">
        <v>166</v>
      </c>
      <c r="B673" t="s">
        <v>1029</v>
      </c>
      <c r="C673" t="s">
        <v>1439</v>
      </c>
      <c r="D673">
        <f t="shared" si="10"/>
        <v>0</v>
      </c>
      <c r="E673" t="s">
        <v>19</v>
      </c>
      <c r="F673" t="s">
        <v>2563</v>
      </c>
      <c r="G673" t="s">
        <v>322</v>
      </c>
      <c r="N673" s="107"/>
    </row>
    <row r="674" spans="1:14" hidden="1" x14ac:dyDescent="0.3">
      <c r="A674" t="s">
        <v>166</v>
      </c>
      <c r="B674" t="s">
        <v>540</v>
      </c>
      <c r="C674" t="s">
        <v>1495</v>
      </c>
      <c r="D674">
        <f t="shared" si="10"/>
        <v>0</v>
      </c>
      <c r="E674" t="s">
        <v>19</v>
      </c>
      <c r="F674" t="s">
        <v>1495</v>
      </c>
      <c r="G674" t="s">
        <v>322</v>
      </c>
      <c r="N674" s="107"/>
    </row>
    <row r="675" spans="1:14" hidden="1" x14ac:dyDescent="0.3">
      <c r="A675" t="s">
        <v>166</v>
      </c>
      <c r="B675" t="s">
        <v>1097</v>
      </c>
      <c r="C675" t="s">
        <v>1496</v>
      </c>
      <c r="D675">
        <f t="shared" si="10"/>
        <v>0</v>
      </c>
      <c r="E675" t="s">
        <v>19</v>
      </c>
      <c r="F675" t="s">
        <v>1496</v>
      </c>
      <c r="G675" t="s">
        <v>322</v>
      </c>
      <c r="N675" s="107"/>
    </row>
    <row r="676" spans="1:14" hidden="1" x14ac:dyDescent="0.3">
      <c r="A676" t="s">
        <v>166</v>
      </c>
      <c r="B676" t="s">
        <v>1114</v>
      </c>
      <c r="C676" t="s">
        <v>1509</v>
      </c>
      <c r="D676">
        <f t="shared" si="10"/>
        <v>0</v>
      </c>
      <c r="E676" t="s">
        <v>19</v>
      </c>
      <c r="F676" t="s">
        <v>2791</v>
      </c>
      <c r="G676" t="s">
        <v>322</v>
      </c>
      <c r="N676" s="107"/>
    </row>
    <row r="677" spans="1:14" hidden="1" x14ac:dyDescent="0.3">
      <c r="A677" t="s">
        <v>166</v>
      </c>
      <c r="B677" t="s">
        <v>486</v>
      </c>
      <c r="C677" t="s">
        <v>1520</v>
      </c>
      <c r="D677">
        <f t="shared" si="10"/>
        <v>0</v>
      </c>
      <c r="E677" t="s">
        <v>19</v>
      </c>
      <c r="F677" t="s">
        <v>1520</v>
      </c>
      <c r="G677" t="s">
        <v>322</v>
      </c>
      <c r="N677" s="107"/>
    </row>
    <row r="678" spans="1:14" hidden="1" x14ac:dyDescent="0.3">
      <c r="A678" t="s">
        <v>167</v>
      </c>
      <c r="B678" t="s">
        <v>736</v>
      </c>
      <c r="C678" t="s">
        <v>1238</v>
      </c>
      <c r="D678">
        <f t="shared" si="10"/>
        <v>0</v>
      </c>
      <c r="E678" t="s">
        <v>19</v>
      </c>
      <c r="F678" t="s">
        <v>2016</v>
      </c>
      <c r="G678" t="s">
        <v>322</v>
      </c>
      <c r="N678" s="107"/>
    </row>
    <row r="679" spans="1:14" hidden="1" x14ac:dyDescent="0.3">
      <c r="A679" t="s">
        <v>167</v>
      </c>
      <c r="B679" t="s">
        <v>737</v>
      </c>
      <c r="C679" t="s">
        <v>1239</v>
      </c>
      <c r="D679">
        <f t="shared" si="10"/>
        <v>0</v>
      </c>
      <c r="E679" t="s">
        <v>19</v>
      </c>
      <c r="F679" t="s">
        <v>2017</v>
      </c>
      <c r="G679" t="s">
        <v>322</v>
      </c>
      <c r="N679" s="107"/>
    </row>
    <row r="680" spans="1:14" hidden="1" x14ac:dyDescent="0.3">
      <c r="A680" t="s">
        <v>167</v>
      </c>
      <c r="B680" t="s">
        <v>738</v>
      </c>
      <c r="C680" t="s">
        <v>1239</v>
      </c>
      <c r="D680">
        <f t="shared" si="10"/>
        <v>0</v>
      </c>
      <c r="E680" t="s">
        <v>19</v>
      </c>
      <c r="F680" t="s">
        <v>2018</v>
      </c>
      <c r="G680" t="s">
        <v>322</v>
      </c>
      <c r="N680" s="107"/>
    </row>
    <row r="681" spans="1:14" hidden="1" x14ac:dyDescent="0.3">
      <c r="A681" t="s">
        <v>167</v>
      </c>
      <c r="B681" t="s">
        <v>488</v>
      </c>
      <c r="C681" t="s">
        <v>1251</v>
      </c>
      <c r="D681">
        <f t="shared" si="10"/>
        <v>0</v>
      </c>
      <c r="E681" t="s">
        <v>19</v>
      </c>
      <c r="F681" t="s">
        <v>2042</v>
      </c>
      <c r="G681" t="s">
        <v>322</v>
      </c>
      <c r="N681" s="107"/>
    </row>
    <row r="682" spans="1:14" hidden="1" x14ac:dyDescent="0.3">
      <c r="A682" t="s">
        <v>167</v>
      </c>
      <c r="B682" t="s">
        <v>756</v>
      </c>
      <c r="C682" t="s">
        <v>1251</v>
      </c>
      <c r="D682">
        <f t="shared" si="10"/>
        <v>0</v>
      </c>
      <c r="E682" t="s">
        <v>19</v>
      </c>
      <c r="F682" t="s">
        <v>2043</v>
      </c>
      <c r="G682" t="s">
        <v>322</v>
      </c>
      <c r="N682" s="107"/>
    </row>
    <row r="683" spans="1:14" hidden="1" x14ac:dyDescent="0.3">
      <c r="A683" t="s">
        <v>167</v>
      </c>
      <c r="B683" t="s">
        <v>757</v>
      </c>
      <c r="C683" t="s">
        <v>1251</v>
      </c>
      <c r="D683">
        <f t="shared" si="10"/>
        <v>0</v>
      </c>
      <c r="E683" t="s">
        <v>19</v>
      </c>
      <c r="F683" t="s">
        <v>2044</v>
      </c>
      <c r="G683" t="s">
        <v>322</v>
      </c>
      <c r="N683" s="107"/>
    </row>
    <row r="684" spans="1:14" hidden="1" x14ac:dyDescent="0.3">
      <c r="A684" t="s">
        <v>167</v>
      </c>
      <c r="B684" t="s">
        <v>758</v>
      </c>
      <c r="C684" t="s">
        <v>1251</v>
      </c>
      <c r="D684">
        <f t="shared" si="10"/>
        <v>0</v>
      </c>
      <c r="E684" t="s">
        <v>19</v>
      </c>
      <c r="F684" t="s">
        <v>2045</v>
      </c>
      <c r="G684" t="s">
        <v>322</v>
      </c>
      <c r="N684" s="107"/>
    </row>
    <row r="685" spans="1:14" hidden="1" x14ac:dyDescent="0.3">
      <c r="A685" t="s">
        <v>167</v>
      </c>
      <c r="B685" t="s">
        <v>757</v>
      </c>
      <c r="C685" t="s">
        <v>1314</v>
      </c>
      <c r="D685">
        <f t="shared" si="10"/>
        <v>0</v>
      </c>
      <c r="E685" t="s">
        <v>19</v>
      </c>
      <c r="F685" t="s">
        <v>2213</v>
      </c>
      <c r="G685" t="s">
        <v>322</v>
      </c>
      <c r="N685" s="107"/>
    </row>
    <row r="686" spans="1:14" hidden="1" x14ac:dyDescent="0.3">
      <c r="A686" t="s">
        <v>167</v>
      </c>
      <c r="B686" t="s">
        <v>757</v>
      </c>
      <c r="C686" t="s">
        <v>1359</v>
      </c>
      <c r="D686">
        <f t="shared" si="10"/>
        <v>0</v>
      </c>
      <c r="E686" t="s">
        <v>19</v>
      </c>
      <c r="F686" t="s">
        <v>2302</v>
      </c>
      <c r="G686" t="s">
        <v>322</v>
      </c>
      <c r="N686" s="107"/>
    </row>
    <row r="687" spans="1:14" hidden="1" x14ac:dyDescent="0.3">
      <c r="A687" t="s">
        <v>167</v>
      </c>
      <c r="B687" t="s">
        <v>1056</v>
      </c>
      <c r="C687" t="s">
        <v>1448</v>
      </c>
      <c r="D687">
        <f t="shared" si="10"/>
        <v>0</v>
      </c>
      <c r="E687" t="s">
        <v>19</v>
      </c>
      <c r="F687" t="s">
        <v>1448</v>
      </c>
      <c r="G687" t="s">
        <v>322</v>
      </c>
      <c r="N687" s="107"/>
    </row>
    <row r="688" spans="1:14" hidden="1" x14ac:dyDescent="0.3">
      <c r="A688" t="s">
        <v>167</v>
      </c>
      <c r="B688" t="s">
        <v>737</v>
      </c>
      <c r="C688" t="s">
        <v>1451</v>
      </c>
      <c r="D688">
        <f t="shared" si="10"/>
        <v>0</v>
      </c>
      <c r="E688" t="s">
        <v>19</v>
      </c>
      <c r="F688" t="s">
        <v>2632</v>
      </c>
      <c r="G688" t="s">
        <v>322</v>
      </c>
      <c r="N688" s="107"/>
    </row>
    <row r="689" spans="1:14" hidden="1" x14ac:dyDescent="0.3">
      <c r="A689" t="s">
        <v>167</v>
      </c>
      <c r="B689" t="s">
        <v>488</v>
      </c>
      <c r="C689" t="s">
        <v>1451</v>
      </c>
      <c r="D689">
        <f t="shared" si="10"/>
        <v>0</v>
      </c>
      <c r="E689" t="s">
        <v>19</v>
      </c>
      <c r="F689" t="s">
        <v>2635</v>
      </c>
      <c r="G689" t="s">
        <v>322</v>
      </c>
      <c r="N689" s="107"/>
    </row>
    <row r="690" spans="1:14" hidden="1" x14ac:dyDescent="0.3">
      <c r="A690" t="s">
        <v>167</v>
      </c>
      <c r="B690" t="s">
        <v>758</v>
      </c>
      <c r="C690" t="s">
        <v>1451</v>
      </c>
      <c r="D690">
        <f t="shared" si="10"/>
        <v>0</v>
      </c>
      <c r="E690" t="s">
        <v>19</v>
      </c>
      <c r="F690" t="s">
        <v>2636</v>
      </c>
      <c r="G690" t="s">
        <v>322</v>
      </c>
      <c r="N690" s="107"/>
    </row>
    <row r="691" spans="1:14" hidden="1" x14ac:dyDescent="0.3">
      <c r="A691" t="s">
        <v>168</v>
      </c>
      <c r="B691" t="s">
        <v>593</v>
      </c>
      <c r="C691" t="s">
        <v>1175</v>
      </c>
      <c r="D691">
        <f t="shared" si="10"/>
        <v>0</v>
      </c>
      <c r="E691" t="s">
        <v>19</v>
      </c>
      <c r="F691" t="s">
        <v>1782</v>
      </c>
      <c r="G691" t="s">
        <v>322</v>
      </c>
      <c r="N691" s="107"/>
    </row>
    <row r="692" spans="1:14" hidden="1" x14ac:dyDescent="0.3">
      <c r="A692" t="s">
        <v>168</v>
      </c>
      <c r="B692" t="s">
        <v>489</v>
      </c>
      <c r="C692" t="s">
        <v>1178</v>
      </c>
      <c r="D692">
        <f t="shared" si="10"/>
        <v>0</v>
      </c>
      <c r="E692" t="s">
        <v>19</v>
      </c>
      <c r="F692" t="s">
        <v>1812</v>
      </c>
      <c r="G692" t="s">
        <v>322</v>
      </c>
      <c r="N692" s="107"/>
    </row>
    <row r="693" spans="1:14" hidden="1" x14ac:dyDescent="0.3">
      <c r="A693" t="s">
        <v>168</v>
      </c>
      <c r="B693" t="s">
        <v>761</v>
      </c>
      <c r="C693" t="s">
        <v>1251</v>
      </c>
      <c r="D693">
        <f t="shared" si="10"/>
        <v>0</v>
      </c>
      <c r="E693" t="s">
        <v>19</v>
      </c>
      <c r="F693" t="s">
        <v>2052</v>
      </c>
      <c r="G693" t="s">
        <v>322</v>
      </c>
      <c r="N693" s="107"/>
    </row>
    <row r="694" spans="1:14" hidden="1" x14ac:dyDescent="0.3">
      <c r="A694" t="s">
        <v>168</v>
      </c>
      <c r="B694" t="s">
        <v>841</v>
      </c>
      <c r="C694" t="s">
        <v>1302</v>
      </c>
      <c r="D694">
        <f t="shared" si="10"/>
        <v>0</v>
      </c>
      <c r="E694" t="s">
        <v>19</v>
      </c>
      <c r="F694" t="s">
        <v>2185</v>
      </c>
      <c r="G694" t="s">
        <v>322</v>
      </c>
      <c r="N694" s="107"/>
    </row>
    <row r="695" spans="1:14" hidden="1" x14ac:dyDescent="0.3">
      <c r="A695" t="s">
        <v>168</v>
      </c>
      <c r="B695" t="s">
        <v>915</v>
      </c>
      <c r="C695" t="s">
        <v>1349</v>
      </c>
      <c r="D695">
        <f t="shared" si="10"/>
        <v>0</v>
      </c>
      <c r="E695" t="s">
        <v>19</v>
      </c>
      <c r="F695" t="s">
        <v>2295</v>
      </c>
      <c r="G695" t="s">
        <v>322</v>
      </c>
      <c r="N695" s="107"/>
    </row>
    <row r="696" spans="1:14" hidden="1" x14ac:dyDescent="0.3">
      <c r="A696" t="s">
        <v>168</v>
      </c>
      <c r="B696" t="s">
        <v>959</v>
      </c>
      <c r="C696" t="s">
        <v>1404</v>
      </c>
      <c r="D696">
        <f t="shared" si="10"/>
        <v>0</v>
      </c>
      <c r="E696" t="s">
        <v>19</v>
      </c>
      <c r="F696" t="s">
        <v>2390</v>
      </c>
      <c r="G696" t="s">
        <v>322</v>
      </c>
      <c r="N696" s="107"/>
    </row>
    <row r="697" spans="1:14" hidden="1" x14ac:dyDescent="0.3">
      <c r="A697" t="s">
        <v>168</v>
      </c>
      <c r="B697" t="s">
        <v>961</v>
      </c>
      <c r="C697" t="s">
        <v>1404</v>
      </c>
      <c r="D697">
        <f t="shared" si="10"/>
        <v>0</v>
      </c>
      <c r="E697" t="s">
        <v>19</v>
      </c>
      <c r="F697" t="s">
        <v>2396</v>
      </c>
      <c r="G697" t="s">
        <v>322</v>
      </c>
      <c r="N697" s="107"/>
    </row>
    <row r="698" spans="1:14" hidden="1" x14ac:dyDescent="0.3">
      <c r="A698" t="s">
        <v>168</v>
      </c>
      <c r="B698" t="s">
        <v>489</v>
      </c>
      <c r="C698" t="s">
        <v>1404</v>
      </c>
      <c r="D698">
        <f t="shared" si="10"/>
        <v>0</v>
      </c>
      <c r="E698" t="s">
        <v>19</v>
      </c>
      <c r="F698" t="s">
        <v>2401</v>
      </c>
      <c r="G698" t="s">
        <v>322</v>
      </c>
      <c r="N698" s="107"/>
    </row>
    <row r="699" spans="1:14" hidden="1" x14ac:dyDescent="0.3">
      <c r="A699" t="s">
        <v>168</v>
      </c>
      <c r="B699" t="s">
        <v>972</v>
      </c>
      <c r="C699" t="s">
        <v>1404</v>
      </c>
      <c r="D699">
        <f t="shared" si="10"/>
        <v>0</v>
      </c>
      <c r="E699" t="s">
        <v>19</v>
      </c>
      <c r="F699" t="s">
        <v>2413</v>
      </c>
      <c r="G699" t="s">
        <v>322</v>
      </c>
      <c r="N699" s="107"/>
    </row>
    <row r="700" spans="1:14" hidden="1" x14ac:dyDescent="0.3">
      <c r="A700" t="s">
        <v>168</v>
      </c>
      <c r="B700" t="s">
        <v>1036</v>
      </c>
      <c r="C700" t="s">
        <v>1443</v>
      </c>
      <c r="D700">
        <f t="shared" si="10"/>
        <v>0</v>
      </c>
      <c r="E700" t="s">
        <v>19</v>
      </c>
      <c r="F700" t="s">
        <v>2577</v>
      </c>
      <c r="G700" t="s">
        <v>322</v>
      </c>
      <c r="N700" s="107"/>
    </row>
    <row r="701" spans="1:14" hidden="1" x14ac:dyDescent="0.3">
      <c r="A701" t="s">
        <v>168</v>
      </c>
      <c r="B701" t="s">
        <v>506</v>
      </c>
      <c r="C701" t="s">
        <v>1443</v>
      </c>
      <c r="D701">
        <f t="shared" si="10"/>
        <v>0</v>
      </c>
      <c r="E701" t="s">
        <v>19</v>
      </c>
      <c r="F701" t="s">
        <v>2581</v>
      </c>
      <c r="G701" t="s">
        <v>322</v>
      </c>
      <c r="N701" s="107"/>
    </row>
    <row r="702" spans="1:14" hidden="1" x14ac:dyDescent="0.3">
      <c r="A702" t="s">
        <v>168</v>
      </c>
      <c r="B702" t="s">
        <v>1040</v>
      </c>
      <c r="C702" t="s">
        <v>1443</v>
      </c>
      <c r="D702">
        <f t="shared" si="10"/>
        <v>0</v>
      </c>
      <c r="E702" t="s">
        <v>19</v>
      </c>
      <c r="F702" t="s">
        <v>2582</v>
      </c>
      <c r="G702" t="s">
        <v>322</v>
      </c>
      <c r="N702" s="107"/>
    </row>
    <row r="703" spans="1:14" hidden="1" x14ac:dyDescent="0.3">
      <c r="A703" t="s">
        <v>168</v>
      </c>
      <c r="B703" t="s">
        <v>531</v>
      </c>
      <c r="C703" t="s">
        <v>1443</v>
      </c>
      <c r="D703">
        <f t="shared" si="10"/>
        <v>0</v>
      </c>
      <c r="E703" t="s">
        <v>19</v>
      </c>
      <c r="F703" t="s">
        <v>2587</v>
      </c>
      <c r="G703" t="s">
        <v>322</v>
      </c>
      <c r="N703" s="107"/>
    </row>
    <row r="704" spans="1:14" hidden="1" x14ac:dyDescent="0.3">
      <c r="A704" t="s">
        <v>168</v>
      </c>
      <c r="B704" t="s">
        <v>1050</v>
      </c>
      <c r="C704" t="s">
        <v>1443</v>
      </c>
      <c r="D704">
        <f t="shared" si="10"/>
        <v>0</v>
      </c>
      <c r="E704" t="s">
        <v>19</v>
      </c>
      <c r="F704" t="s">
        <v>2604</v>
      </c>
      <c r="G704" t="s">
        <v>322</v>
      </c>
      <c r="N704" s="107"/>
    </row>
    <row r="705" spans="1:14" hidden="1" x14ac:dyDescent="0.3">
      <c r="A705" t="s">
        <v>168</v>
      </c>
      <c r="B705" t="s">
        <v>1057</v>
      </c>
      <c r="C705" t="s">
        <v>1449</v>
      </c>
      <c r="D705">
        <f t="shared" ref="D705:D768" si="11">SIGN(SUBTOTAL(3,E705))</f>
        <v>0</v>
      </c>
      <c r="E705" t="s">
        <v>19</v>
      </c>
      <c r="F705" t="s">
        <v>2623</v>
      </c>
      <c r="G705" t="s">
        <v>322</v>
      </c>
      <c r="N705" s="107"/>
    </row>
    <row r="706" spans="1:14" hidden="1" x14ac:dyDescent="0.3">
      <c r="A706" t="s">
        <v>169</v>
      </c>
      <c r="B706" t="s">
        <v>490</v>
      </c>
      <c r="C706" t="s">
        <v>1172</v>
      </c>
      <c r="D706">
        <f t="shared" si="11"/>
        <v>0</v>
      </c>
      <c r="E706" t="s">
        <v>19</v>
      </c>
      <c r="F706" t="s">
        <v>1766</v>
      </c>
      <c r="G706" t="s">
        <v>322</v>
      </c>
      <c r="N706" s="107"/>
    </row>
    <row r="707" spans="1:14" hidden="1" x14ac:dyDescent="0.3">
      <c r="A707" t="s">
        <v>169</v>
      </c>
      <c r="B707" t="s">
        <v>490</v>
      </c>
      <c r="C707" t="s">
        <v>1172</v>
      </c>
      <c r="D707">
        <f t="shared" si="11"/>
        <v>0</v>
      </c>
      <c r="E707" t="s">
        <v>19</v>
      </c>
      <c r="F707" t="s">
        <v>1772</v>
      </c>
      <c r="G707" t="s">
        <v>322</v>
      </c>
      <c r="N707" s="107"/>
    </row>
    <row r="708" spans="1:14" hidden="1" x14ac:dyDescent="0.3">
      <c r="A708" t="s">
        <v>169</v>
      </c>
      <c r="B708" t="s">
        <v>490</v>
      </c>
      <c r="C708" t="s">
        <v>1189</v>
      </c>
      <c r="D708">
        <f t="shared" si="11"/>
        <v>0</v>
      </c>
      <c r="E708" t="s">
        <v>19</v>
      </c>
      <c r="F708" t="s">
        <v>1849</v>
      </c>
      <c r="G708" t="s">
        <v>322</v>
      </c>
      <c r="N708" s="107"/>
    </row>
    <row r="709" spans="1:14" hidden="1" x14ac:dyDescent="0.3">
      <c r="A709" t="s">
        <v>169</v>
      </c>
      <c r="B709" t="s">
        <v>900</v>
      </c>
      <c r="C709" t="s">
        <v>1336</v>
      </c>
      <c r="D709">
        <f t="shared" si="11"/>
        <v>0</v>
      </c>
      <c r="E709" t="s">
        <v>19</v>
      </c>
      <c r="F709" t="s">
        <v>2264</v>
      </c>
      <c r="G709" t="s">
        <v>322</v>
      </c>
      <c r="N709" s="107"/>
    </row>
    <row r="710" spans="1:14" hidden="1" x14ac:dyDescent="0.3">
      <c r="A710" t="s">
        <v>169</v>
      </c>
      <c r="B710" t="s">
        <v>491</v>
      </c>
      <c r="C710" t="s">
        <v>1378</v>
      </c>
      <c r="D710">
        <f t="shared" si="11"/>
        <v>0</v>
      </c>
      <c r="E710" t="s">
        <v>19</v>
      </c>
      <c r="F710" t="s">
        <v>2320</v>
      </c>
      <c r="G710" t="s">
        <v>322</v>
      </c>
      <c r="N710" s="107"/>
    </row>
    <row r="711" spans="1:14" hidden="1" x14ac:dyDescent="0.3">
      <c r="A711" t="s">
        <v>169</v>
      </c>
      <c r="B711" t="s">
        <v>490</v>
      </c>
      <c r="C711" t="s">
        <v>1390</v>
      </c>
      <c r="D711">
        <f t="shared" si="11"/>
        <v>0</v>
      </c>
      <c r="E711" t="s">
        <v>19</v>
      </c>
      <c r="F711" t="s">
        <v>2352</v>
      </c>
      <c r="G711" t="s">
        <v>322</v>
      </c>
      <c r="N711" s="107"/>
    </row>
    <row r="712" spans="1:14" hidden="1" x14ac:dyDescent="0.3">
      <c r="A712" t="s">
        <v>169</v>
      </c>
      <c r="B712" t="s">
        <v>1017</v>
      </c>
      <c r="C712" t="s">
        <v>1416</v>
      </c>
      <c r="D712">
        <f t="shared" si="11"/>
        <v>0</v>
      </c>
      <c r="E712" t="s">
        <v>19</v>
      </c>
      <c r="F712" t="s">
        <v>2537</v>
      </c>
      <c r="G712" t="s">
        <v>322</v>
      </c>
      <c r="N712" s="107"/>
    </row>
    <row r="713" spans="1:14" hidden="1" x14ac:dyDescent="0.3">
      <c r="A713" t="s">
        <v>169</v>
      </c>
      <c r="B713" t="s">
        <v>1063</v>
      </c>
      <c r="C713" t="s">
        <v>1450</v>
      </c>
      <c r="D713">
        <f t="shared" si="11"/>
        <v>0</v>
      </c>
      <c r="E713" t="s">
        <v>19</v>
      </c>
      <c r="F713" t="s">
        <v>1450</v>
      </c>
      <c r="G713" t="s">
        <v>322</v>
      </c>
      <c r="N713" s="107"/>
    </row>
    <row r="714" spans="1:14" hidden="1" x14ac:dyDescent="0.3">
      <c r="A714" t="s">
        <v>169</v>
      </c>
      <c r="B714" t="s">
        <v>490</v>
      </c>
      <c r="C714" t="s">
        <v>1477</v>
      </c>
      <c r="D714">
        <f t="shared" si="11"/>
        <v>0</v>
      </c>
      <c r="E714" t="s">
        <v>19</v>
      </c>
      <c r="F714" t="s">
        <v>1477</v>
      </c>
      <c r="G714" t="s">
        <v>322</v>
      </c>
      <c r="N714" s="107"/>
    </row>
    <row r="715" spans="1:14" hidden="1" x14ac:dyDescent="0.3">
      <c r="A715" t="s">
        <v>170</v>
      </c>
      <c r="B715" t="s">
        <v>672</v>
      </c>
      <c r="C715" t="s">
        <v>1216</v>
      </c>
      <c r="D715">
        <f t="shared" si="11"/>
        <v>0</v>
      </c>
      <c r="E715" t="s">
        <v>19</v>
      </c>
      <c r="F715" t="s">
        <v>1216</v>
      </c>
      <c r="G715" t="s">
        <v>322</v>
      </c>
      <c r="N715" s="107"/>
    </row>
    <row r="716" spans="1:14" hidden="1" x14ac:dyDescent="0.3">
      <c r="A716" t="s">
        <v>170</v>
      </c>
      <c r="B716" t="s">
        <v>672</v>
      </c>
      <c r="C716" t="s">
        <v>1342</v>
      </c>
      <c r="D716">
        <f t="shared" si="11"/>
        <v>0</v>
      </c>
      <c r="E716" t="s">
        <v>19</v>
      </c>
      <c r="F716" t="s">
        <v>2271</v>
      </c>
      <c r="G716" t="s">
        <v>322</v>
      </c>
      <c r="N716" s="107"/>
    </row>
    <row r="717" spans="1:14" hidden="1" x14ac:dyDescent="0.3">
      <c r="A717" t="s">
        <v>170</v>
      </c>
      <c r="B717" t="s">
        <v>672</v>
      </c>
      <c r="C717" t="s">
        <v>1342</v>
      </c>
      <c r="D717">
        <f t="shared" si="11"/>
        <v>0</v>
      </c>
      <c r="E717" t="s">
        <v>19</v>
      </c>
      <c r="F717" t="s">
        <v>2272</v>
      </c>
      <c r="G717" t="s">
        <v>322</v>
      </c>
      <c r="N717" s="107"/>
    </row>
    <row r="718" spans="1:14" hidden="1" x14ac:dyDescent="0.3">
      <c r="A718" t="s">
        <v>170</v>
      </c>
      <c r="B718" t="s">
        <v>931</v>
      </c>
      <c r="C718" t="s">
        <v>1370</v>
      </c>
      <c r="D718">
        <f t="shared" si="11"/>
        <v>0</v>
      </c>
      <c r="E718" t="s">
        <v>19</v>
      </c>
      <c r="F718" t="s">
        <v>2310</v>
      </c>
      <c r="G718" t="s">
        <v>322</v>
      </c>
      <c r="N718" s="107"/>
    </row>
    <row r="719" spans="1:14" hidden="1" x14ac:dyDescent="0.3">
      <c r="A719" t="s">
        <v>171</v>
      </c>
      <c r="B719" t="s">
        <v>492</v>
      </c>
      <c r="C719" t="s">
        <v>1164</v>
      </c>
      <c r="D719">
        <f t="shared" si="11"/>
        <v>0</v>
      </c>
      <c r="E719" t="s">
        <v>19</v>
      </c>
      <c r="F719" t="s">
        <v>1752</v>
      </c>
      <c r="G719" t="s">
        <v>322</v>
      </c>
      <c r="N719" s="107"/>
    </row>
    <row r="720" spans="1:14" hidden="1" x14ac:dyDescent="0.3">
      <c r="A720" t="s">
        <v>171</v>
      </c>
      <c r="B720" t="s">
        <v>592</v>
      </c>
      <c r="C720" t="s">
        <v>1175</v>
      </c>
      <c r="D720">
        <f t="shared" si="11"/>
        <v>0</v>
      </c>
      <c r="E720" t="s">
        <v>19</v>
      </c>
      <c r="F720" t="s">
        <v>1781</v>
      </c>
      <c r="G720" t="s">
        <v>322</v>
      </c>
      <c r="N720" s="107"/>
    </row>
    <row r="721" spans="1:14" hidden="1" x14ac:dyDescent="0.3">
      <c r="A721" t="s">
        <v>171</v>
      </c>
      <c r="B721" t="s">
        <v>627</v>
      </c>
      <c r="C721" t="s">
        <v>1182</v>
      </c>
      <c r="D721">
        <f t="shared" si="11"/>
        <v>0</v>
      </c>
      <c r="E721" t="s">
        <v>19</v>
      </c>
      <c r="F721" t="s">
        <v>1828</v>
      </c>
      <c r="G721" t="s">
        <v>322</v>
      </c>
      <c r="N721" s="107"/>
    </row>
    <row r="722" spans="1:14" hidden="1" x14ac:dyDescent="0.3">
      <c r="A722" t="s">
        <v>171</v>
      </c>
      <c r="B722" t="s">
        <v>629</v>
      </c>
      <c r="C722" t="s">
        <v>1182</v>
      </c>
      <c r="D722">
        <f t="shared" si="11"/>
        <v>0</v>
      </c>
      <c r="E722" t="s">
        <v>19</v>
      </c>
      <c r="F722" t="s">
        <v>1831</v>
      </c>
      <c r="G722" t="s">
        <v>322</v>
      </c>
      <c r="N722" s="107"/>
    </row>
    <row r="723" spans="1:14" hidden="1" x14ac:dyDescent="0.3">
      <c r="A723" t="s">
        <v>171</v>
      </c>
      <c r="B723" t="s">
        <v>714</v>
      </c>
      <c r="C723" t="s">
        <v>1227</v>
      </c>
      <c r="D723">
        <f t="shared" si="11"/>
        <v>0</v>
      </c>
      <c r="E723" t="s">
        <v>19</v>
      </c>
      <c r="F723" t="s">
        <v>1963</v>
      </c>
      <c r="G723" t="s">
        <v>322</v>
      </c>
      <c r="N723" s="107"/>
    </row>
    <row r="724" spans="1:14" hidden="1" x14ac:dyDescent="0.3">
      <c r="A724" t="s">
        <v>171</v>
      </c>
      <c r="B724" t="s">
        <v>714</v>
      </c>
      <c r="C724" t="s">
        <v>1227</v>
      </c>
      <c r="D724">
        <f t="shared" si="11"/>
        <v>0</v>
      </c>
      <c r="E724" t="s">
        <v>19</v>
      </c>
      <c r="F724" t="s">
        <v>1970</v>
      </c>
      <c r="G724" t="s">
        <v>322</v>
      </c>
      <c r="N724" s="107"/>
    </row>
    <row r="725" spans="1:14" hidden="1" x14ac:dyDescent="0.3">
      <c r="A725" t="s">
        <v>171</v>
      </c>
      <c r="B725" t="s">
        <v>715</v>
      </c>
      <c r="C725" t="s">
        <v>1227</v>
      </c>
      <c r="D725">
        <f t="shared" si="11"/>
        <v>0</v>
      </c>
      <c r="E725" t="s">
        <v>19</v>
      </c>
      <c r="F725" t="s">
        <v>1971</v>
      </c>
      <c r="G725" t="s">
        <v>322</v>
      </c>
      <c r="N725" s="107"/>
    </row>
    <row r="726" spans="1:14" hidden="1" x14ac:dyDescent="0.3">
      <c r="A726" t="s">
        <v>171</v>
      </c>
      <c r="B726" t="s">
        <v>716</v>
      </c>
      <c r="C726" t="s">
        <v>1227</v>
      </c>
      <c r="D726">
        <f t="shared" si="11"/>
        <v>0</v>
      </c>
      <c r="E726" t="s">
        <v>19</v>
      </c>
      <c r="F726" t="s">
        <v>1974</v>
      </c>
      <c r="G726" t="s">
        <v>322</v>
      </c>
      <c r="N726" s="107"/>
    </row>
    <row r="727" spans="1:14" hidden="1" x14ac:dyDescent="0.3">
      <c r="A727" t="s">
        <v>171</v>
      </c>
      <c r="B727" t="s">
        <v>718</v>
      </c>
      <c r="C727" t="s">
        <v>1227</v>
      </c>
      <c r="D727">
        <f t="shared" si="11"/>
        <v>0</v>
      </c>
      <c r="E727" t="s">
        <v>19</v>
      </c>
      <c r="F727" t="s">
        <v>1977</v>
      </c>
      <c r="G727" t="s">
        <v>322</v>
      </c>
      <c r="N727" s="107"/>
    </row>
    <row r="728" spans="1:14" hidden="1" x14ac:dyDescent="0.3">
      <c r="A728" t="s">
        <v>171</v>
      </c>
      <c r="B728" t="s">
        <v>721</v>
      </c>
      <c r="C728" t="s">
        <v>1227</v>
      </c>
      <c r="D728">
        <f t="shared" si="11"/>
        <v>0</v>
      </c>
      <c r="E728" t="s">
        <v>19</v>
      </c>
      <c r="F728" t="s">
        <v>1981</v>
      </c>
      <c r="G728" t="s">
        <v>322</v>
      </c>
      <c r="N728" s="107"/>
    </row>
    <row r="729" spans="1:14" hidden="1" x14ac:dyDescent="0.3">
      <c r="A729" t="s">
        <v>171</v>
      </c>
      <c r="B729" t="s">
        <v>627</v>
      </c>
      <c r="C729" t="s">
        <v>1251</v>
      </c>
      <c r="D729">
        <f t="shared" si="11"/>
        <v>0</v>
      </c>
      <c r="E729" t="s">
        <v>19</v>
      </c>
      <c r="F729" t="s">
        <v>2031</v>
      </c>
      <c r="G729" t="s">
        <v>322</v>
      </c>
      <c r="N729" s="107"/>
    </row>
    <row r="730" spans="1:14" hidden="1" x14ac:dyDescent="0.3">
      <c r="A730" t="s">
        <v>171</v>
      </c>
      <c r="B730" t="s">
        <v>627</v>
      </c>
      <c r="C730" t="s">
        <v>1251</v>
      </c>
      <c r="D730">
        <f t="shared" si="11"/>
        <v>0</v>
      </c>
      <c r="E730" t="s">
        <v>19</v>
      </c>
      <c r="F730" t="s">
        <v>2032</v>
      </c>
      <c r="G730" t="s">
        <v>322</v>
      </c>
      <c r="N730" s="107"/>
    </row>
    <row r="731" spans="1:14" hidden="1" x14ac:dyDescent="0.3">
      <c r="A731" t="s">
        <v>171</v>
      </c>
      <c r="B731" t="s">
        <v>721</v>
      </c>
      <c r="C731" t="s">
        <v>1259</v>
      </c>
      <c r="D731">
        <f t="shared" si="11"/>
        <v>0</v>
      </c>
      <c r="E731" t="s">
        <v>19</v>
      </c>
      <c r="F731" t="s">
        <v>1259</v>
      </c>
      <c r="G731" t="s">
        <v>322</v>
      </c>
      <c r="N731" s="107"/>
    </row>
    <row r="732" spans="1:14" hidden="1" x14ac:dyDescent="0.3">
      <c r="A732" t="s">
        <v>171</v>
      </c>
      <c r="B732" t="s">
        <v>786</v>
      </c>
      <c r="C732" t="s">
        <v>1272</v>
      </c>
      <c r="D732">
        <f t="shared" si="11"/>
        <v>0</v>
      </c>
      <c r="E732" t="s">
        <v>19</v>
      </c>
      <c r="F732" t="s">
        <v>2083</v>
      </c>
      <c r="G732" t="s">
        <v>322</v>
      </c>
      <c r="N732" s="107"/>
    </row>
    <row r="733" spans="1:14" hidden="1" x14ac:dyDescent="0.3">
      <c r="A733" t="s">
        <v>171</v>
      </c>
      <c r="B733" t="s">
        <v>786</v>
      </c>
      <c r="C733" t="s">
        <v>1274</v>
      </c>
      <c r="D733">
        <f t="shared" si="11"/>
        <v>0</v>
      </c>
      <c r="E733" t="s">
        <v>19</v>
      </c>
      <c r="F733" t="s">
        <v>1274</v>
      </c>
      <c r="G733" t="s">
        <v>322</v>
      </c>
      <c r="N733" s="107"/>
    </row>
    <row r="734" spans="1:14" hidden="1" x14ac:dyDescent="0.3">
      <c r="A734" t="s">
        <v>171</v>
      </c>
      <c r="B734" t="s">
        <v>805</v>
      </c>
      <c r="C734" t="s">
        <v>1285</v>
      </c>
      <c r="D734">
        <f t="shared" si="11"/>
        <v>0</v>
      </c>
      <c r="E734" t="s">
        <v>19</v>
      </c>
      <c r="F734" t="s">
        <v>2122</v>
      </c>
      <c r="G734" t="s">
        <v>322</v>
      </c>
      <c r="N734" s="107"/>
    </row>
    <row r="735" spans="1:14" hidden="1" x14ac:dyDescent="0.3">
      <c r="A735" t="s">
        <v>171</v>
      </c>
      <c r="B735" t="s">
        <v>492</v>
      </c>
      <c r="C735" t="s">
        <v>1285</v>
      </c>
      <c r="D735">
        <f t="shared" si="11"/>
        <v>0</v>
      </c>
      <c r="E735" t="s">
        <v>19</v>
      </c>
      <c r="F735" t="s">
        <v>2128</v>
      </c>
      <c r="G735" t="s">
        <v>322</v>
      </c>
      <c r="N735" s="107"/>
    </row>
    <row r="736" spans="1:14" hidden="1" x14ac:dyDescent="0.3">
      <c r="A736" t="s">
        <v>171</v>
      </c>
      <c r="B736" t="s">
        <v>805</v>
      </c>
      <c r="C736" t="s">
        <v>1285</v>
      </c>
      <c r="D736">
        <f t="shared" si="11"/>
        <v>0</v>
      </c>
      <c r="E736" t="s">
        <v>19</v>
      </c>
      <c r="F736" t="s">
        <v>2130</v>
      </c>
      <c r="G736" t="s">
        <v>322</v>
      </c>
      <c r="N736" s="107"/>
    </row>
    <row r="737" spans="1:14" hidden="1" x14ac:dyDescent="0.3">
      <c r="A737" t="s">
        <v>171</v>
      </c>
      <c r="B737" t="s">
        <v>786</v>
      </c>
      <c r="C737" t="s">
        <v>1287</v>
      </c>
      <c r="D737">
        <f t="shared" si="11"/>
        <v>0</v>
      </c>
      <c r="E737" t="s">
        <v>19</v>
      </c>
      <c r="F737" t="s">
        <v>2141</v>
      </c>
      <c r="G737" t="s">
        <v>322</v>
      </c>
      <c r="N737" s="107"/>
    </row>
    <row r="738" spans="1:14" hidden="1" x14ac:dyDescent="0.3">
      <c r="A738" t="s">
        <v>171</v>
      </c>
      <c r="B738" t="s">
        <v>627</v>
      </c>
      <c r="C738" t="s">
        <v>1287</v>
      </c>
      <c r="D738">
        <f t="shared" si="11"/>
        <v>0</v>
      </c>
      <c r="E738" t="s">
        <v>19</v>
      </c>
      <c r="F738" t="s">
        <v>2145</v>
      </c>
      <c r="G738" t="s">
        <v>322</v>
      </c>
      <c r="N738" s="107"/>
    </row>
    <row r="739" spans="1:14" hidden="1" x14ac:dyDescent="0.3">
      <c r="A739" t="s">
        <v>171</v>
      </c>
      <c r="B739" t="s">
        <v>786</v>
      </c>
      <c r="C739" t="s">
        <v>1314</v>
      </c>
      <c r="D739">
        <f t="shared" si="11"/>
        <v>0</v>
      </c>
      <c r="E739" t="s">
        <v>19</v>
      </c>
      <c r="F739" t="s">
        <v>2215</v>
      </c>
      <c r="G739" t="s">
        <v>322</v>
      </c>
      <c r="N739" s="107"/>
    </row>
    <row r="740" spans="1:14" hidden="1" x14ac:dyDescent="0.3">
      <c r="A740" t="s">
        <v>171</v>
      </c>
      <c r="B740" t="s">
        <v>874</v>
      </c>
      <c r="C740" t="s">
        <v>1321</v>
      </c>
      <c r="D740">
        <f t="shared" si="11"/>
        <v>0</v>
      </c>
      <c r="E740" t="s">
        <v>19</v>
      </c>
      <c r="F740" t="s">
        <v>1321</v>
      </c>
      <c r="G740" t="s">
        <v>322</v>
      </c>
      <c r="N740" s="107"/>
    </row>
    <row r="741" spans="1:14" hidden="1" x14ac:dyDescent="0.3">
      <c r="A741" t="s">
        <v>171</v>
      </c>
      <c r="B741" t="s">
        <v>718</v>
      </c>
      <c r="C741" t="s">
        <v>1332</v>
      </c>
      <c r="D741">
        <f t="shared" si="11"/>
        <v>0</v>
      </c>
      <c r="E741" t="s">
        <v>19</v>
      </c>
      <c r="F741" t="s">
        <v>2254</v>
      </c>
      <c r="G741" t="s">
        <v>322</v>
      </c>
      <c r="N741" s="107"/>
    </row>
    <row r="742" spans="1:14" hidden="1" x14ac:dyDescent="0.3">
      <c r="A742" t="s">
        <v>171</v>
      </c>
      <c r="B742" t="s">
        <v>718</v>
      </c>
      <c r="C742" t="s">
        <v>1364</v>
      </c>
      <c r="D742">
        <f t="shared" si="11"/>
        <v>0</v>
      </c>
      <c r="E742" t="s">
        <v>19</v>
      </c>
      <c r="F742" t="s">
        <v>1364</v>
      </c>
      <c r="G742" t="s">
        <v>322</v>
      </c>
      <c r="N742" s="107"/>
    </row>
    <row r="743" spans="1:14" hidden="1" x14ac:dyDescent="0.3">
      <c r="A743" t="s">
        <v>171</v>
      </c>
      <c r="B743" t="s">
        <v>714</v>
      </c>
      <c r="C743" t="s">
        <v>1380</v>
      </c>
      <c r="D743">
        <f t="shared" si="11"/>
        <v>0</v>
      </c>
      <c r="E743" t="s">
        <v>19</v>
      </c>
      <c r="F743" t="s">
        <v>2333</v>
      </c>
      <c r="G743" t="s">
        <v>322</v>
      </c>
      <c r="N743" s="107"/>
    </row>
    <row r="744" spans="1:14" hidden="1" x14ac:dyDescent="0.3">
      <c r="A744" t="s">
        <v>171</v>
      </c>
      <c r="B744" t="s">
        <v>944</v>
      </c>
      <c r="C744" t="s">
        <v>1385</v>
      </c>
      <c r="D744">
        <f t="shared" si="11"/>
        <v>0</v>
      </c>
      <c r="E744" t="s">
        <v>19</v>
      </c>
      <c r="F744" t="s">
        <v>2335</v>
      </c>
      <c r="G744" t="s">
        <v>322</v>
      </c>
      <c r="N744" s="107"/>
    </row>
    <row r="745" spans="1:14" hidden="1" x14ac:dyDescent="0.3">
      <c r="A745" t="s">
        <v>171</v>
      </c>
      <c r="B745" t="s">
        <v>944</v>
      </c>
      <c r="C745" t="s">
        <v>1382</v>
      </c>
      <c r="D745">
        <f t="shared" si="11"/>
        <v>0</v>
      </c>
      <c r="E745" t="s">
        <v>19</v>
      </c>
      <c r="F745" t="s">
        <v>2340</v>
      </c>
      <c r="G745" t="s">
        <v>322</v>
      </c>
      <c r="N745" s="107"/>
    </row>
    <row r="746" spans="1:14" hidden="1" x14ac:dyDescent="0.3">
      <c r="A746" t="s">
        <v>171</v>
      </c>
      <c r="B746" t="s">
        <v>627</v>
      </c>
      <c r="C746" t="s">
        <v>1463</v>
      </c>
      <c r="D746">
        <f t="shared" si="11"/>
        <v>0</v>
      </c>
      <c r="E746" t="s">
        <v>19</v>
      </c>
      <c r="F746" t="s">
        <v>2676</v>
      </c>
      <c r="G746" t="s">
        <v>322</v>
      </c>
      <c r="N746" s="107"/>
    </row>
    <row r="747" spans="1:14" hidden="1" x14ac:dyDescent="0.3">
      <c r="A747" t="s">
        <v>171</v>
      </c>
      <c r="B747" t="s">
        <v>1084</v>
      </c>
      <c r="C747" t="s">
        <v>1479</v>
      </c>
      <c r="D747">
        <f t="shared" si="11"/>
        <v>0</v>
      </c>
      <c r="E747" t="s">
        <v>19</v>
      </c>
      <c r="F747" t="s">
        <v>2700</v>
      </c>
      <c r="G747" t="s">
        <v>322</v>
      </c>
      <c r="N747" s="107"/>
    </row>
    <row r="748" spans="1:14" hidden="1" x14ac:dyDescent="0.3">
      <c r="A748" t="s">
        <v>171</v>
      </c>
      <c r="B748" t="s">
        <v>492</v>
      </c>
      <c r="C748" t="s">
        <v>1479</v>
      </c>
      <c r="D748">
        <f t="shared" si="11"/>
        <v>0</v>
      </c>
      <c r="E748" t="s">
        <v>19</v>
      </c>
      <c r="F748" t="s">
        <v>2702</v>
      </c>
      <c r="G748" t="s">
        <v>322</v>
      </c>
      <c r="N748" s="107"/>
    </row>
    <row r="749" spans="1:14" hidden="1" x14ac:dyDescent="0.3">
      <c r="A749" t="s">
        <v>171</v>
      </c>
      <c r="B749" t="s">
        <v>1118</v>
      </c>
      <c r="C749" t="s">
        <v>1513</v>
      </c>
      <c r="D749">
        <f t="shared" si="11"/>
        <v>0</v>
      </c>
      <c r="E749" t="s">
        <v>19</v>
      </c>
      <c r="F749" t="s">
        <v>2808</v>
      </c>
      <c r="G749" t="s">
        <v>322</v>
      </c>
      <c r="N749" s="107"/>
    </row>
    <row r="750" spans="1:14" hidden="1" x14ac:dyDescent="0.3">
      <c r="A750" t="s">
        <v>172</v>
      </c>
      <c r="B750" t="s">
        <v>493</v>
      </c>
      <c r="C750" t="s">
        <v>1254</v>
      </c>
      <c r="D750">
        <f t="shared" si="11"/>
        <v>0</v>
      </c>
      <c r="E750" t="s">
        <v>19</v>
      </c>
      <c r="F750" t="s">
        <v>2059</v>
      </c>
      <c r="G750" t="s">
        <v>322</v>
      </c>
      <c r="N750" s="107"/>
    </row>
    <row r="751" spans="1:14" hidden="1" x14ac:dyDescent="0.3">
      <c r="A751" t="s">
        <v>172</v>
      </c>
      <c r="B751" t="s">
        <v>787</v>
      </c>
      <c r="C751" t="s">
        <v>1276</v>
      </c>
      <c r="D751">
        <f t="shared" si="11"/>
        <v>0</v>
      </c>
      <c r="E751" t="s">
        <v>19</v>
      </c>
      <c r="F751" t="s">
        <v>1276</v>
      </c>
      <c r="G751" t="s">
        <v>322</v>
      </c>
      <c r="N751" s="107"/>
    </row>
    <row r="752" spans="1:14" hidden="1" x14ac:dyDescent="0.3">
      <c r="A752" t="s">
        <v>172</v>
      </c>
      <c r="B752" t="s">
        <v>911</v>
      </c>
      <c r="C752" t="s">
        <v>1349</v>
      </c>
      <c r="D752">
        <f t="shared" si="11"/>
        <v>0</v>
      </c>
      <c r="E752" t="s">
        <v>19</v>
      </c>
      <c r="F752" t="s">
        <v>2289</v>
      </c>
      <c r="G752" t="s">
        <v>322</v>
      </c>
      <c r="N752" s="107"/>
    </row>
    <row r="753" spans="1:14" hidden="1" x14ac:dyDescent="0.3">
      <c r="A753" t="s">
        <v>172</v>
      </c>
      <c r="B753" t="s">
        <v>913</v>
      </c>
      <c r="C753" t="s">
        <v>1350</v>
      </c>
      <c r="D753">
        <f t="shared" si="11"/>
        <v>0</v>
      </c>
      <c r="E753" t="s">
        <v>19</v>
      </c>
      <c r="F753" t="s">
        <v>2292</v>
      </c>
      <c r="G753" t="s">
        <v>322</v>
      </c>
      <c r="N753" s="107"/>
    </row>
    <row r="754" spans="1:14" hidden="1" x14ac:dyDescent="0.3">
      <c r="A754" t="s">
        <v>172</v>
      </c>
      <c r="B754" t="s">
        <v>493</v>
      </c>
      <c r="C754" t="s">
        <v>1350</v>
      </c>
      <c r="D754">
        <f t="shared" si="11"/>
        <v>0</v>
      </c>
      <c r="E754" t="s">
        <v>19</v>
      </c>
      <c r="F754" t="s">
        <v>2293</v>
      </c>
      <c r="G754" t="s">
        <v>322</v>
      </c>
      <c r="N754" s="107"/>
    </row>
    <row r="755" spans="1:14" hidden="1" x14ac:dyDescent="0.3">
      <c r="A755" t="s">
        <v>172</v>
      </c>
      <c r="B755" t="s">
        <v>958</v>
      </c>
      <c r="C755" t="s">
        <v>1403</v>
      </c>
      <c r="D755">
        <f t="shared" si="11"/>
        <v>0</v>
      </c>
      <c r="E755" t="s">
        <v>19</v>
      </c>
      <c r="F755" t="s">
        <v>2388</v>
      </c>
      <c r="G755" t="s">
        <v>322</v>
      </c>
      <c r="N755" s="107"/>
    </row>
    <row r="756" spans="1:14" hidden="1" x14ac:dyDescent="0.3">
      <c r="A756" t="s">
        <v>172</v>
      </c>
      <c r="B756" t="s">
        <v>493</v>
      </c>
      <c r="C756" t="s">
        <v>1416</v>
      </c>
      <c r="D756">
        <f t="shared" si="11"/>
        <v>0</v>
      </c>
      <c r="E756" t="s">
        <v>19</v>
      </c>
      <c r="F756" t="s">
        <v>2532</v>
      </c>
      <c r="G756" t="s">
        <v>322</v>
      </c>
      <c r="N756" s="107"/>
    </row>
    <row r="757" spans="1:14" hidden="1" x14ac:dyDescent="0.3">
      <c r="A757" t="s">
        <v>172</v>
      </c>
      <c r="B757" t="s">
        <v>1015</v>
      </c>
      <c r="C757" t="s">
        <v>1416</v>
      </c>
      <c r="D757">
        <f t="shared" si="11"/>
        <v>0</v>
      </c>
      <c r="E757" t="s">
        <v>19</v>
      </c>
      <c r="F757" t="s">
        <v>2533</v>
      </c>
      <c r="G757" t="s">
        <v>322</v>
      </c>
      <c r="N757" s="107"/>
    </row>
    <row r="758" spans="1:14" hidden="1" x14ac:dyDescent="0.3">
      <c r="A758" t="s">
        <v>172</v>
      </c>
      <c r="B758" t="s">
        <v>1016</v>
      </c>
      <c r="C758" t="s">
        <v>1416</v>
      </c>
      <c r="D758">
        <f t="shared" si="11"/>
        <v>0</v>
      </c>
      <c r="E758" t="s">
        <v>19</v>
      </c>
      <c r="F758" t="s">
        <v>2535</v>
      </c>
      <c r="G758" t="s">
        <v>322</v>
      </c>
      <c r="N758" s="107"/>
    </row>
    <row r="759" spans="1:14" hidden="1" x14ac:dyDescent="0.3">
      <c r="A759" t="s">
        <v>172</v>
      </c>
      <c r="B759" t="s">
        <v>493</v>
      </c>
      <c r="C759" t="s">
        <v>1434</v>
      </c>
      <c r="D759">
        <f t="shared" si="11"/>
        <v>0</v>
      </c>
      <c r="E759" t="s">
        <v>19</v>
      </c>
      <c r="F759" t="s">
        <v>2560</v>
      </c>
      <c r="G759" t="s">
        <v>322</v>
      </c>
      <c r="N759" s="107"/>
    </row>
    <row r="760" spans="1:14" hidden="1" x14ac:dyDescent="0.3">
      <c r="A760" t="s">
        <v>172</v>
      </c>
      <c r="B760" t="s">
        <v>493</v>
      </c>
      <c r="C760" t="s">
        <v>1443</v>
      </c>
      <c r="D760">
        <f t="shared" si="11"/>
        <v>0</v>
      </c>
      <c r="E760" t="s">
        <v>19</v>
      </c>
      <c r="F760" t="s">
        <v>2571</v>
      </c>
      <c r="G760" t="s">
        <v>322</v>
      </c>
      <c r="N760" s="107"/>
    </row>
    <row r="761" spans="1:14" hidden="1" x14ac:dyDescent="0.3">
      <c r="A761" t="s">
        <v>172</v>
      </c>
      <c r="B761" t="s">
        <v>1051</v>
      </c>
      <c r="C761" t="s">
        <v>1443</v>
      </c>
      <c r="D761">
        <f t="shared" si="11"/>
        <v>0</v>
      </c>
      <c r="E761" t="s">
        <v>19</v>
      </c>
      <c r="F761" t="s">
        <v>2606</v>
      </c>
      <c r="G761" t="s">
        <v>322</v>
      </c>
      <c r="N761" s="107"/>
    </row>
    <row r="762" spans="1:14" hidden="1" x14ac:dyDescent="0.3">
      <c r="A762" t="s">
        <v>173</v>
      </c>
      <c r="B762" t="s">
        <v>558</v>
      </c>
      <c r="C762" t="s">
        <v>1163</v>
      </c>
      <c r="D762">
        <f t="shared" si="11"/>
        <v>0</v>
      </c>
      <c r="E762" t="s">
        <v>19</v>
      </c>
      <c r="F762" t="s">
        <v>1733</v>
      </c>
      <c r="G762" t="s">
        <v>322</v>
      </c>
      <c r="N762" s="107"/>
    </row>
    <row r="763" spans="1:14" hidden="1" x14ac:dyDescent="0.3">
      <c r="A763" t="s">
        <v>173</v>
      </c>
      <c r="B763" t="s">
        <v>497</v>
      </c>
      <c r="C763" t="s">
        <v>1164</v>
      </c>
      <c r="D763">
        <f t="shared" si="11"/>
        <v>0</v>
      </c>
      <c r="E763" t="s">
        <v>19</v>
      </c>
      <c r="F763" t="s">
        <v>1739</v>
      </c>
      <c r="G763" t="s">
        <v>322</v>
      </c>
      <c r="N763" s="107"/>
    </row>
    <row r="764" spans="1:14" hidden="1" x14ac:dyDescent="0.3">
      <c r="A764" t="s">
        <v>173</v>
      </c>
      <c r="B764" t="s">
        <v>562</v>
      </c>
      <c r="C764" t="s">
        <v>1164</v>
      </c>
      <c r="D764">
        <f t="shared" si="11"/>
        <v>0</v>
      </c>
      <c r="E764" t="s">
        <v>19</v>
      </c>
      <c r="F764" t="s">
        <v>1740</v>
      </c>
      <c r="G764" t="s">
        <v>322</v>
      </c>
      <c r="N764" s="107"/>
    </row>
    <row r="765" spans="1:14" hidden="1" x14ac:dyDescent="0.3">
      <c r="A765" t="s">
        <v>173</v>
      </c>
      <c r="B765" t="s">
        <v>671</v>
      </c>
      <c r="C765" t="s">
        <v>1214</v>
      </c>
      <c r="D765">
        <f t="shared" si="11"/>
        <v>0</v>
      </c>
      <c r="E765" t="s">
        <v>19</v>
      </c>
      <c r="F765" t="s">
        <v>1892</v>
      </c>
      <c r="G765" t="s">
        <v>322</v>
      </c>
      <c r="N765" s="107"/>
    </row>
    <row r="766" spans="1:14" hidden="1" x14ac:dyDescent="0.3">
      <c r="A766" t="s">
        <v>173</v>
      </c>
      <c r="B766" t="s">
        <v>671</v>
      </c>
      <c r="C766" t="s">
        <v>1214</v>
      </c>
      <c r="D766">
        <f t="shared" si="11"/>
        <v>0</v>
      </c>
      <c r="E766" t="s">
        <v>19</v>
      </c>
      <c r="F766" t="s">
        <v>1893</v>
      </c>
      <c r="G766" t="s">
        <v>322</v>
      </c>
      <c r="N766" s="107"/>
    </row>
    <row r="767" spans="1:14" hidden="1" x14ac:dyDescent="0.3">
      <c r="A767" t="s">
        <v>173</v>
      </c>
      <c r="B767" t="s">
        <v>690</v>
      </c>
      <c r="C767" t="s">
        <v>1227</v>
      </c>
      <c r="D767">
        <f t="shared" si="11"/>
        <v>0</v>
      </c>
      <c r="E767" t="s">
        <v>19</v>
      </c>
      <c r="F767" t="s">
        <v>1914</v>
      </c>
      <c r="G767" t="s">
        <v>322</v>
      </c>
      <c r="N767" s="107"/>
    </row>
    <row r="768" spans="1:14" hidden="1" x14ac:dyDescent="0.3">
      <c r="A768" t="s">
        <v>173</v>
      </c>
      <c r="B768" t="s">
        <v>691</v>
      </c>
      <c r="C768" t="s">
        <v>1227</v>
      </c>
      <c r="D768">
        <f t="shared" si="11"/>
        <v>0</v>
      </c>
      <c r="E768" t="s">
        <v>19</v>
      </c>
      <c r="F768" t="s">
        <v>1915</v>
      </c>
      <c r="G768" t="s">
        <v>322</v>
      </c>
      <c r="N768" s="107"/>
    </row>
    <row r="769" spans="1:14" hidden="1" x14ac:dyDescent="0.3">
      <c r="A769" t="s">
        <v>173</v>
      </c>
      <c r="B769" t="s">
        <v>497</v>
      </c>
      <c r="C769" t="s">
        <v>1227</v>
      </c>
      <c r="D769">
        <f t="shared" ref="D769:D832" si="12">SIGN(SUBTOTAL(3,E769))</f>
        <v>0</v>
      </c>
      <c r="E769" t="s">
        <v>19</v>
      </c>
      <c r="F769" t="s">
        <v>1916</v>
      </c>
      <c r="G769" t="s">
        <v>322</v>
      </c>
      <c r="N769" s="107"/>
    </row>
    <row r="770" spans="1:14" hidden="1" x14ac:dyDescent="0.3">
      <c r="A770" t="s">
        <v>173</v>
      </c>
      <c r="B770" t="s">
        <v>692</v>
      </c>
      <c r="C770" t="s">
        <v>1227</v>
      </c>
      <c r="D770">
        <f t="shared" si="12"/>
        <v>0</v>
      </c>
      <c r="E770" t="s">
        <v>19</v>
      </c>
      <c r="F770" t="s">
        <v>1917</v>
      </c>
      <c r="G770" t="s">
        <v>322</v>
      </c>
      <c r="N770" s="107"/>
    </row>
    <row r="771" spans="1:14" hidden="1" x14ac:dyDescent="0.3">
      <c r="A771" t="s">
        <v>173</v>
      </c>
      <c r="B771" t="s">
        <v>693</v>
      </c>
      <c r="C771" t="s">
        <v>1227</v>
      </c>
      <c r="D771">
        <f t="shared" si="12"/>
        <v>0</v>
      </c>
      <c r="E771" t="s">
        <v>19</v>
      </c>
      <c r="F771" t="s">
        <v>1918</v>
      </c>
      <c r="G771" t="s">
        <v>322</v>
      </c>
      <c r="N771" s="107"/>
    </row>
    <row r="772" spans="1:14" hidden="1" x14ac:dyDescent="0.3">
      <c r="A772" t="s">
        <v>173</v>
      </c>
      <c r="B772" t="s">
        <v>495</v>
      </c>
      <c r="C772" t="s">
        <v>1227</v>
      </c>
      <c r="D772">
        <f t="shared" si="12"/>
        <v>0</v>
      </c>
      <c r="E772" t="s">
        <v>19</v>
      </c>
      <c r="F772" t="s">
        <v>1919</v>
      </c>
      <c r="G772" t="s">
        <v>322</v>
      </c>
      <c r="N772" s="107"/>
    </row>
    <row r="773" spans="1:14" hidden="1" x14ac:dyDescent="0.3">
      <c r="A773" t="s">
        <v>173</v>
      </c>
      <c r="B773" t="s">
        <v>497</v>
      </c>
      <c r="C773" t="s">
        <v>1227</v>
      </c>
      <c r="D773">
        <f t="shared" si="12"/>
        <v>0</v>
      </c>
      <c r="E773" t="s">
        <v>19</v>
      </c>
      <c r="F773" t="s">
        <v>1920</v>
      </c>
      <c r="G773" t="s">
        <v>322</v>
      </c>
      <c r="N773" s="107"/>
    </row>
    <row r="774" spans="1:14" hidden="1" x14ac:dyDescent="0.3">
      <c r="A774" t="s">
        <v>173</v>
      </c>
      <c r="B774" t="s">
        <v>498</v>
      </c>
      <c r="C774" t="s">
        <v>1227</v>
      </c>
      <c r="D774">
        <f t="shared" si="12"/>
        <v>0</v>
      </c>
      <c r="E774" t="s">
        <v>19</v>
      </c>
      <c r="F774" t="s">
        <v>1964</v>
      </c>
      <c r="G774" t="s">
        <v>322</v>
      </c>
      <c r="N774" s="107"/>
    </row>
    <row r="775" spans="1:14" hidden="1" x14ac:dyDescent="0.3">
      <c r="A775" t="s">
        <v>173</v>
      </c>
      <c r="B775" t="s">
        <v>497</v>
      </c>
      <c r="C775" t="s">
        <v>1227</v>
      </c>
      <c r="D775">
        <f t="shared" si="12"/>
        <v>0</v>
      </c>
      <c r="E775" t="s">
        <v>19</v>
      </c>
      <c r="F775" t="s">
        <v>1967</v>
      </c>
      <c r="G775" t="s">
        <v>322</v>
      </c>
      <c r="N775" s="107"/>
    </row>
    <row r="776" spans="1:14" hidden="1" x14ac:dyDescent="0.3">
      <c r="A776" t="s">
        <v>173</v>
      </c>
      <c r="B776" t="s">
        <v>558</v>
      </c>
      <c r="C776" t="s">
        <v>1227</v>
      </c>
      <c r="D776">
        <f t="shared" si="12"/>
        <v>0</v>
      </c>
      <c r="E776" t="s">
        <v>19</v>
      </c>
      <c r="F776" t="s">
        <v>1978</v>
      </c>
      <c r="G776" t="s">
        <v>322</v>
      </c>
      <c r="N776" s="107"/>
    </row>
    <row r="777" spans="1:14" hidden="1" x14ac:dyDescent="0.3">
      <c r="A777" t="s">
        <v>173</v>
      </c>
      <c r="B777" t="s">
        <v>494</v>
      </c>
      <c r="C777" t="s">
        <v>1229</v>
      </c>
      <c r="D777">
        <f t="shared" si="12"/>
        <v>0</v>
      </c>
      <c r="E777" t="s">
        <v>19</v>
      </c>
      <c r="F777" t="s">
        <v>1229</v>
      </c>
      <c r="G777" t="s">
        <v>322</v>
      </c>
      <c r="N777" s="107"/>
    </row>
    <row r="778" spans="1:14" hidden="1" x14ac:dyDescent="0.3">
      <c r="A778" t="s">
        <v>173</v>
      </c>
      <c r="B778" t="s">
        <v>744</v>
      </c>
      <c r="C778" t="s">
        <v>1242</v>
      </c>
      <c r="D778">
        <f t="shared" si="12"/>
        <v>0</v>
      </c>
      <c r="E778" t="s">
        <v>19</v>
      </c>
      <c r="F778" t="s">
        <v>1242</v>
      </c>
      <c r="G778" t="s">
        <v>322</v>
      </c>
      <c r="N778" s="107"/>
    </row>
    <row r="779" spans="1:14" hidden="1" x14ac:dyDescent="0.3">
      <c r="A779" t="s">
        <v>173</v>
      </c>
      <c r="B779" t="s">
        <v>795</v>
      </c>
      <c r="C779" t="s">
        <v>1284</v>
      </c>
      <c r="D779">
        <f t="shared" si="12"/>
        <v>0</v>
      </c>
      <c r="E779" t="s">
        <v>19</v>
      </c>
      <c r="F779" t="s">
        <v>1284</v>
      </c>
      <c r="G779" t="s">
        <v>322</v>
      </c>
      <c r="N779" s="107"/>
    </row>
    <row r="780" spans="1:14" hidden="1" x14ac:dyDescent="0.3">
      <c r="A780" t="s">
        <v>173</v>
      </c>
      <c r="B780" t="s">
        <v>495</v>
      </c>
      <c r="C780" t="s">
        <v>1285</v>
      </c>
      <c r="D780">
        <f t="shared" si="12"/>
        <v>0</v>
      </c>
      <c r="E780" t="s">
        <v>19</v>
      </c>
      <c r="F780" t="s">
        <v>2097</v>
      </c>
      <c r="G780" t="s">
        <v>322</v>
      </c>
      <c r="N780" s="107"/>
    </row>
    <row r="781" spans="1:14" hidden="1" x14ac:dyDescent="0.3">
      <c r="A781" t="s">
        <v>173</v>
      </c>
      <c r="B781" t="s">
        <v>497</v>
      </c>
      <c r="C781" t="s">
        <v>1285</v>
      </c>
      <c r="D781">
        <f t="shared" si="12"/>
        <v>0</v>
      </c>
      <c r="E781" t="s">
        <v>19</v>
      </c>
      <c r="F781" t="s">
        <v>2111</v>
      </c>
      <c r="G781" t="s">
        <v>322</v>
      </c>
      <c r="N781" s="107"/>
    </row>
    <row r="782" spans="1:14" hidden="1" x14ac:dyDescent="0.3">
      <c r="A782" t="s">
        <v>173</v>
      </c>
      <c r="B782" t="s">
        <v>809</v>
      </c>
      <c r="C782" t="s">
        <v>1285</v>
      </c>
      <c r="D782">
        <f t="shared" si="12"/>
        <v>0</v>
      </c>
      <c r="E782" t="s">
        <v>19</v>
      </c>
      <c r="F782" t="s">
        <v>2131</v>
      </c>
      <c r="G782" t="s">
        <v>322</v>
      </c>
      <c r="N782" s="107"/>
    </row>
    <row r="783" spans="1:14" hidden="1" x14ac:dyDescent="0.3">
      <c r="A783" t="s">
        <v>173</v>
      </c>
      <c r="B783" t="s">
        <v>811</v>
      </c>
      <c r="C783" t="s">
        <v>1287</v>
      </c>
      <c r="D783">
        <f t="shared" si="12"/>
        <v>0</v>
      </c>
      <c r="E783" t="s">
        <v>19</v>
      </c>
      <c r="F783" t="s">
        <v>2133</v>
      </c>
      <c r="G783" t="s">
        <v>322</v>
      </c>
      <c r="N783" s="107"/>
    </row>
    <row r="784" spans="1:14" hidden="1" x14ac:dyDescent="0.3">
      <c r="A784" t="s">
        <v>173</v>
      </c>
      <c r="B784" t="s">
        <v>497</v>
      </c>
      <c r="C784" t="s">
        <v>1287</v>
      </c>
      <c r="D784">
        <f t="shared" si="12"/>
        <v>0</v>
      </c>
      <c r="E784" t="s">
        <v>19</v>
      </c>
      <c r="F784" t="s">
        <v>2134</v>
      </c>
      <c r="G784" t="s">
        <v>322</v>
      </c>
      <c r="N784" s="107"/>
    </row>
    <row r="785" spans="1:14" hidden="1" x14ac:dyDescent="0.3">
      <c r="A785" t="s">
        <v>173</v>
      </c>
      <c r="B785" t="s">
        <v>691</v>
      </c>
      <c r="C785" t="s">
        <v>1287</v>
      </c>
      <c r="D785">
        <f t="shared" si="12"/>
        <v>0</v>
      </c>
      <c r="E785" t="s">
        <v>19</v>
      </c>
      <c r="F785" t="s">
        <v>2135</v>
      </c>
      <c r="G785" t="s">
        <v>322</v>
      </c>
      <c r="N785" s="107"/>
    </row>
    <row r="786" spans="1:14" hidden="1" x14ac:dyDescent="0.3">
      <c r="A786" t="s">
        <v>173</v>
      </c>
      <c r="B786" t="s">
        <v>558</v>
      </c>
      <c r="C786" t="s">
        <v>1287</v>
      </c>
      <c r="D786">
        <f t="shared" si="12"/>
        <v>0</v>
      </c>
      <c r="E786" t="s">
        <v>19</v>
      </c>
      <c r="F786" t="s">
        <v>2140</v>
      </c>
      <c r="G786" t="s">
        <v>322</v>
      </c>
      <c r="N786" s="107"/>
    </row>
    <row r="787" spans="1:14" hidden="1" x14ac:dyDescent="0.3">
      <c r="A787" t="s">
        <v>173</v>
      </c>
      <c r="B787" t="s">
        <v>671</v>
      </c>
      <c r="C787" t="s">
        <v>1293</v>
      </c>
      <c r="D787">
        <f t="shared" si="12"/>
        <v>0</v>
      </c>
      <c r="E787" t="s">
        <v>19</v>
      </c>
      <c r="F787" t="s">
        <v>2149</v>
      </c>
      <c r="G787" t="s">
        <v>322</v>
      </c>
      <c r="N787" s="107"/>
    </row>
    <row r="788" spans="1:14" hidden="1" x14ac:dyDescent="0.3">
      <c r="A788" t="s">
        <v>173</v>
      </c>
      <c r="B788" t="s">
        <v>837</v>
      </c>
      <c r="C788" t="s">
        <v>1302</v>
      </c>
      <c r="D788">
        <f t="shared" si="12"/>
        <v>0</v>
      </c>
      <c r="E788" t="s">
        <v>19</v>
      </c>
      <c r="F788" t="s">
        <v>2181</v>
      </c>
      <c r="G788" t="s">
        <v>322</v>
      </c>
      <c r="N788" s="107"/>
    </row>
    <row r="789" spans="1:14" hidden="1" x14ac:dyDescent="0.3">
      <c r="A789" t="s">
        <v>173</v>
      </c>
      <c r="B789" t="s">
        <v>838</v>
      </c>
      <c r="C789" t="s">
        <v>1302</v>
      </c>
      <c r="D789">
        <f t="shared" si="12"/>
        <v>0</v>
      </c>
      <c r="E789" t="s">
        <v>19</v>
      </c>
      <c r="F789" t="s">
        <v>2182</v>
      </c>
      <c r="G789" t="s">
        <v>322</v>
      </c>
      <c r="N789" s="107"/>
    </row>
    <row r="790" spans="1:14" hidden="1" x14ac:dyDescent="0.3">
      <c r="A790" t="s">
        <v>173</v>
      </c>
      <c r="B790" t="s">
        <v>839</v>
      </c>
      <c r="C790" t="s">
        <v>1302</v>
      </c>
      <c r="D790">
        <f t="shared" si="12"/>
        <v>0</v>
      </c>
      <c r="E790" t="s">
        <v>19</v>
      </c>
      <c r="F790" t="s">
        <v>2183</v>
      </c>
      <c r="G790" t="s">
        <v>322</v>
      </c>
      <c r="N790" s="107"/>
    </row>
    <row r="791" spans="1:14" hidden="1" x14ac:dyDescent="0.3">
      <c r="A791" t="s">
        <v>173</v>
      </c>
      <c r="B791" t="s">
        <v>840</v>
      </c>
      <c r="C791" t="s">
        <v>1302</v>
      </c>
      <c r="D791">
        <f t="shared" si="12"/>
        <v>0</v>
      </c>
      <c r="E791" t="s">
        <v>19</v>
      </c>
      <c r="F791" t="s">
        <v>2184</v>
      </c>
      <c r="G791" t="s">
        <v>322</v>
      </c>
      <c r="N791" s="107"/>
    </row>
    <row r="792" spans="1:14" hidden="1" x14ac:dyDescent="0.3">
      <c r="A792" t="s">
        <v>173</v>
      </c>
      <c r="B792" t="s">
        <v>494</v>
      </c>
      <c r="C792" t="s">
        <v>1328</v>
      </c>
      <c r="D792">
        <f t="shared" si="12"/>
        <v>0</v>
      </c>
      <c r="E792" t="s">
        <v>19</v>
      </c>
      <c r="F792" t="s">
        <v>2234</v>
      </c>
      <c r="G792" t="s">
        <v>322</v>
      </c>
      <c r="N792" s="107"/>
    </row>
    <row r="793" spans="1:14" hidden="1" x14ac:dyDescent="0.3">
      <c r="A793" t="s">
        <v>173</v>
      </c>
      <c r="B793" t="s">
        <v>890</v>
      </c>
      <c r="C793" t="s">
        <v>1328</v>
      </c>
      <c r="D793">
        <f t="shared" si="12"/>
        <v>0</v>
      </c>
      <c r="E793" t="s">
        <v>19</v>
      </c>
      <c r="F793" t="s">
        <v>2243</v>
      </c>
      <c r="G793" t="s">
        <v>322</v>
      </c>
      <c r="N793" s="107"/>
    </row>
    <row r="794" spans="1:14" hidden="1" x14ac:dyDescent="0.3">
      <c r="A794" t="s">
        <v>173</v>
      </c>
      <c r="B794" t="s">
        <v>891</v>
      </c>
      <c r="C794" t="s">
        <v>1328</v>
      </c>
      <c r="D794">
        <f t="shared" si="12"/>
        <v>0</v>
      </c>
      <c r="E794" t="s">
        <v>19</v>
      </c>
      <c r="F794" t="s">
        <v>2244</v>
      </c>
      <c r="G794" t="s">
        <v>322</v>
      </c>
      <c r="N794" s="107"/>
    </row>
    <row r="795" spans="1:14" hidden="1" x14ac:dyDescent="0.3">
      <c r="A795" t="s">
        <v>173</v>
      </c>
      <c r="B795" t="s">
        <v>892</v>
      </c>
      <c r="C795" t="s">
        <v>1328</v>
      </c>
      <c r="D795">
        <f t="shared" si="12"/>
        <v>0</v>
      </c>
      <c r="E795" t="s">
        <v>19</v>
      </c>
      <c r="F795" t="s">
        <v>2245</v>
      </c>
      <c r="G795" t="s">
        <v>322</v>
      </c>
      <c r="N795" s="107"/>
    </row>
    <row r="796" spans="1:14" hidden="1" x14ac:dyDescent="0.3">
      <c r="A796" t="s">
        <v>173</v>
      </c>
      <c r="B796" t="s">
        <v>498</v>
      </c>
      <c r="C796" t="s">
        <v>1329</v>
      </c>
      <c r="D796">
        <f t="shared" si="12"/>
        <v>0</v>
      </c>
      <c r="E796" t="s">
        <v>19</v>
      </c>
      <c r="F796" t="s">
        <v>2246</v>
      </c>
      <c r="G796" t="s">
        <v>322</v>
      </c>
      <c r="N796" s="107"/>
    </row>
    <row r="797" spans="1:14" hidden="1" x14ac:dyDescent="0.3">
      <c r="A797" t="s">
        <v>173</v>
      </c>
      <c r="B797" t="s">
        <v>890</v>
      </c>
      <c r="C797" t="s">
        <v>1329</v>
      </c>
      <c r="D797">
        <f t="shared" si="12"/>
        <v>0</v>
      </c>
      <c r="E797" t="s">
        <v>19</v>
      </c>
      <c r="F797" t="s">
        <v>2247</v>
      </c>
      <c r="G797" t="s">
        <v>322</v>
      </c>
      <c r="N797" s="107"/>
    </row>
    <row r="798" spans="1:14" hidden="1" x14ac:dyDescent="0.3">
      <c r="A798" t="s">
        <v>173</v>
      </c>
      <c r="B798" t="s">
        <v>498</v>
      </c>
      <c r="C798" t="s">
        <v>1329</v>
      </c>
      <c r="D798">
        <f t="shared" si="12"/>
        <v>0</v>
      </c>
      <c r="E798" t="s">
        <v>19</v>
      </c>
      <c r="F798" t="s">
        <v>2248</v>
      </c>
      <c r="G798" t="s">
        <v>322</v>
      </c>
      <c r="N798" s="107"/>
    </row>
    <row r="799" spans="1:14" hidden="1" x14ac:dyDescent="0.3">
      <c r="A799" t="s">
        <v>173</v>
      </c>
      <c r="B799" t="s">
        <v>494</v>
      </c>
      <c r="C799" t="s">
        <v>1328</v>
      </c>
      <c r="D799">
        <f t="shared" si="12"/>
        <v>0</v>
      </c>
      <c r="E799" t="s">
        <v>19</v>
      </c>
      <c r="F799" t="s">
        <v>2249</v>
      </c>
      <c r="G799" t="s">
        <v>322</v>
      </c>
      <c r="N799" s="107"/>
    </row>
    <row r="800" spans="1:14" hidden="1" x14ac:dyDescent="0.3">
      <c r="A800" t="s">
        <v>173</v>
      </c>
      <c r="B800" t="s">
        <v>903</v>
      </c>
      <c r="C800" t="s">
        <v>1340</v>
      </c>
      <c r="D800">
        <f t="shared" si="12"/>
        <v>0</v>
      </c>
      <c r="E800" t="s">
        <v>19</v>
      </c>
      <c r="F800" t="s">
        <v>1340</v>
      </c>
      <c r="G800" t="s">
        <v>322</v>
      </c>
      <c r="N800" s="107"/>
    </row>
    <row r="801" spans="1:14" hidden="1" x14ac:dyDescent="0.3">
      <c r="A801" t="s">
        <v>173</v>
      </c>
      <c r="B801" t="s">
        <v>558</v>
      </c>
      <c r="C801" t="s">
        <v>1342</v>
      </c>
      <c r="D801">
        <f t="shared" si="12"/>
        <v>0</v>
      </c>
      <c r="E801" t="s">
        <v>19</v>
      </c>
      <c r="F801" t="s">
        <v>2273</v>
      </c>
      <c r="G801" t="s">
        <v>322</v>
      </c>
      <c r="N801" s="107"/>
    </row>
    <row r="802" spans="1:14" hidden="1" x14ac:dyDescent="0.3">
      <c r="A802" t="s">
        <v>173</v>
      </c>
      <c r="B802" t="s">
        <v>907</v>
      </c>
      <c r="C802" t="s">
        <v>1343</v>
      </c>
      <c r="D802">
        <f t="shared" si="12"/>
        <v>0</v>
      </c>
      <c r="E802" t="s">
        <v>19</v>
      </c>
      <c r="F802" t="s">
        <v>2276</v>
      </c>
      <c r="G802" t="s">
        <v>322</v>
      </c>
      <c r="N802" s="107"/>
    </row>
    <row r="803" spans="1:14" hidden="1" x14ac:dyDescent="0.3">
      <c r="A803" t="s">
        <v>173</v>
      </c>
      <c r="B803" t="s">
        <v>908</v>
      </c>
      <c r="C803" t="s">
        <v>1343</v>
      </c>
      <c r="D803">
        <f t="shared" si="12"/>
        <v>0</v>
      </c>
      <c r="E803" t="s">
        <v>19</v>
      </c>
      <c r="F803" t="s">
        <v>2280</v>
      </c>
      <c r="G803" t="s">
        <v>322</v>
      </c>
      <c r="N803" s="107"/>
    </row>
    <row r="804" spans="1:14" hidden="1" x14ac:dyDescent="0.3">
      <c r="A804" t="s">
        <v>173</v>
      </c>
      <c r="B804" t="s">
        <v>892</v>
      </c>
      <c r="C804" t="s">
        <v>1343</v>
      </c>
      <c r="D804">
        <f t="shared" si="12"/>
        <v>0</v>
      </c>
      <c r="E804" t="s">
        <v>19</v>
      </c>
      <c r="F804" t="s">
        <v>2281</v>
      </c>
      <c r="G804" t="s">
        <v>322</v>
      </c>
      <c r="N804" s="107"/>
    </row>
    <row r="805" spans="1:14" hidden="1" x14ac:dyDescent="0.3">
      <c r="A805" t="s">
        <v>173</v>
      </c>
      <c r="B805" t="s">
        <v>907</v>
      </c>
      <c r="C805" t="s">
        <v>1343</v>
      </c>
      <c r="D805">
        <f t="shared" si="12"/>
        <v>0</v>
      </c>
      <c r="E805" t="s">
        <v>19</v>
      </c>
      <c r="F805" t="s">
        <v>2282</v>
      </c>
      <c r="G805" t="s">
        <v>322</v>
      </c>
      <c r="N805" s="107"/>
    </row>
    <row r="806" spans="1:14" hidden="1" x14ac:dyDescent="0.3">
      <c r="A806" t="s">
        <v>173</v>
      </c>
      <c r="B806" t="s">
        <v>799</v>
      </c>
      <c r="C806" t="s">
        <v>1351</v>
      </c>
      <c r="D806">
        <f t="shared" si="12"/>
        <v>0</v>
      </c>
      <c r="E806" t="s">
        <v>19</v>
      </c>
      <c r="F806" t="s">
        <v>2298</v>
      </c>
      <c r="G806" t="s">
        <v>322</v>
      </c>
      <c r="N806" s="107"/>
    </row>
    <row r="807" spans="1:14" hidden="1" x14ac:dyDescent="0.3">
      <c r="A807" t="s">
        <v>173</v>
      </c>
      <c r="B807" t="s">
        <v>671</v>
      </c>
      <c r="C807" t="s">
        <v>1382</v>
      </c>
      <c r="D807">
        <f t="shared" si="12"/>
        <v>0</v>
      </c>
      <c r="E807" t="s">
        <v>19</v>
      </c>
      <c r="F807" t="s">
        <v>2339</v>
      </c>
      <c r="G807" t="s">
        <v>322</v>
      </c>
      <c r="N807" s="107"/>
    </row>
    <row r="808" spans="1:14" hidden="1" x14ac:dyDescent="0.3">
      <c r="A808" t="s">
        <v>173</v>
      </c>
      <c r="B808" t="s">
        <v>1001</v>
      </c>
      <c r="C808" t="s">
        <v>1412</v>
      </c>
      <c r="D808">
        <f t="shared" si="12"/>
        <v>0</v>
      </c>
      <c r="E808" t="s">
        <v>19</v>
      </c>
      <c r="F808" t="s">
        <v>1412</v>
      </c>
      <c r="G808" t="s">
        <v>322</v>
      </c>
      <c r="N808" s="107"/>
    </row>
    <row r="809" spans="1:14" hidden="1" x14ac:dyDescent="0.3">
      <c r="A809" t="s">
        <v>173</v>
      </c>
      <c r="B809" t="s">
        <v>1001</v>
      </c>
      <c r="C809" t="s">
        <v>1437</v>
      </c>
      <c r="D809">
        <f t="shared" si="12"/>
        <v>0</v>
      </c>
      <c r="E809" t="s">
        <v>19</v>
      </c>
      <c r="F809" t="s">
        <v>1437</v>
      </c>
      <c r="G809" t="s">
        <v>322</v>
      </c>
      <c r="N809" s="107"/>
    </row>
    <row r="810" spans="1:14" hidden="1" x14ac:dyDescent="0.3">
      <c r="A810" t="s">
        <v>173</v>
      </c>
      <c r="B810" t="s">
        <v>1032</v>
      </c>
      <c r="C810" t="s">
        <v>1441</v>
      </c>
      <c r="D810">
        <f t="shared" si="12"/>
        <v>0</v>
      </c>
      <c r="E810" t="s">
        <v>19</v>
      </c>
      <c r="F810" t="s">
        <v>1441</v>
      </c>
      <c r="G810" t="s">
        <v>322</v>
      </c>
      <c r="N810" s="107"/>
    </row>
    <row r="811" spans="1:14" hidden="1" x14ac:dyDescent="0.3">
      <c r="A811" t="s">
        <v>173</v>
      </c>
      <c r="B811" t="s">
        <v>1033</v>
      </c>
      <c r="C811" t="s">
        <v>1442</v>
      </c>
      <c r="D811">
        <f t="shared" si="12"/>
        <v>0</v>
      </c>
      <c r="E811" t="s">
        <v>19</v>
      </c>
      <c r="F811" t="s">
        <v>1442</v>
      </c>
      <c r="G811" t="s">
        <v>322</v>
      </c>
      <c r="N811" s="107"/>
    </row>
    <row r="812" spans="1:14" hidden="1" x14ac:dyDescent="0.3">
      <c r="A812" t="s">
        <v>173</v>
      </c>
      <c r="B812" t="s">
        <v>693</v>
      </c>
      <c r="C812" t="s">
        <v>1462</v>
      </c>
      <c r="D812">
        <f t="shared" si="12"/>
        <v>0</v>
      </c>
      <c r="E812" t="s">
        <v>19</v>
      </c>
      <c r="F812" t="s">
        <v>2663</v>
      </c>
      <c r="G812" t="s">
        <v>322</v>
      </c>
      <c r="N812" s="107"/>
    </row>
    <row r="813" spans="1:14" hidden="1" x14ac:dyDescent="0.3">
      <c r="A813" t="s">
        <v>173</v>
      </c>
      <c r="B813" t="s">
        <v>562</v>
      </c>
      <c r="C813" t="s">
        <v>1463</v>
      </c>
      <c r="D813">
        <f t="shared" si="12"/>
        <v>0</v>
      </c>
      <c r="E813" t="s">
        <v>19</v>
      </c>
      <c r="F813" t="s">
        <v>2680</v>
      </c>
      <c r="G813" t="s">
        <v>322</v>
      </c>
      <c r="N813" s="107"/>
    </row>
    <row r="814" spans="1:14" hidden="1" x14ac:dyDescent="0.3">
      <c r="A814" t="s">
        <v>173</v>
      </c>
      <c r="B814" t="s">
        <v>908</v>
      </c>
      <c r="C814" t="s">
        <v>1479</v>
      </c>
      <c r="D814">
        <f t="shared" si="12"/>
        <v>0</v>
      </c>
      <c r="E814" t="s">
        <v>19</v>
      </c>
      <c r="F814" t="s">
        <v>2697</v>
      </c>
      <c r="G814" t="s">
        <v>322</v>
      </c>
      <c r="N814" s="107"/>
    </row>
    <row r="815" spans="1:14" hidden="1" x14ac:dyDescent="0.3">
      <c r="A815" t="s">
        <v>173</v>
      </c>
      <c r="B815" t="s">
        <v>1093</v>
      </c>
      <c r="C815" t="s">
        <v>1491</v>
      </c>
      <c r="D815">
        <f t="shared" si="12"/>
        <v>0</v>
      </c>
      <c r="E815" t="s">
        <v>19</v>
      </c>
      <c r="F815" t="s">
        <v>2737</v>
      </c>
      <c r="G815" t="s">
        <v>322</v>
      </c>
      <c r="N815" s="107"/>
    </row>
    <row r="816" spans="1:14" hidden="1" x14ac:dyDescent="0.3">
      <c r="A816" t="s">
        <v>173</v>
      </c>
      <c r="B816" t="s">
        <v>1094</v>
      </c>
      <c r="C816" t="s">
        <v>1491</v>
      </c>
      <c r="D816">
        <f t="shared" si="12"/>
        <v>0</v>
      </c>
      <c r="E816" t="s">
        <v>19</v>
      </c>
      <c r="F816" t="s">
        <v>2738</v>
      </c>
      <c r="G816" t="s">
        <v>322</v>
      </c>
      <c r="N816" s="107"/>
    </row>
    <row r="817" spans="1:14" hidden="1" x14ac:dyDescent="0.3">
      <c r="A817" t="s">
        <v>173</v>
      </c>
      <c r="B817" t="s">
        <v>671</v>
      </c>
      <c r="C817" t="s">
        <v>1515</v>
      </c>
      <c r="D817">
        <f t="shared" si="12"/>
        <v>0</v>
      </c>
      <c r="E817" t="s">
        <v>19</v>
      </c>
      <c r="F817" t="s">
        <v>1515</v>
      </c>
      <c r="G817" t="s">
        <v>322</v>
      </c>
      <c r="N817" s="107"/>
    </row>
    <row r="818" spans="1:14" hidden="1" x14ac:dyDescent="0.3">
      <c r="A818" t="s">
        <v>173</v>
      </c>
      <c r="B818" t="s">
        <v>1001</v>
      </c>
      <c r="C818" t="s">
        <v>1516</v>
      </c>
      <c r="D818">
        <f t="shared" si="12"/>
        <v>0</v>
      </c>
      <c r="E818" t="s">
        <v>19</v>
      </c>
      <c r="F818" t="s">
        <v>2817</v>
      </c>
      <c r="G818" t="s">
        <v>322</v>
      </c>
      <c r="N818" s="107"/>
    </row>
    <row r="819" spans="1:14" hidden="1" x14ac:dyDescent="0.3">
      <c r="A819" t="s">
        <v>173</v>
      </c>
      <c r="B819" t="s">
        <v>497</v>
      </c>
      <c r="C819" t="s">
        <v>1516</v>
      </c>
      <c r="D819">
        <f t="shared" si="12"/>
        <v>0</v>
      </c>
      <c r="E819" t="s">
        <v>19</v>
      </c>
      <c r="F819" t="s">
        <v>2818</v>
      </c>
      <c r="G819" t="s">
        <v>322</v>
      </c>
      <c r="N819" s="107"/>
    </row>
    <row r="820" spans="1:14" hidden="1" x14ac:dyDescent="0.3">
      <c r="A820" t="s">
        <v>173</v>
      </c>
      <c r="B820" t="s">
        <v>1122</v>
      </c>
      <c r="C820" t="s">
        <v>1516</v>
      </c>
      <c r="D820">
        <f t="shared" si="12"/>
        <v>0</v>
      </c>
      <c r="E820" t="s">
        <v>19</v>
      </c>
      <c r="F820" t="s">
        <v>2819</v>
      </c>
      <c r="G820" t="s">
        <v>322</v>
      </c>
      <c r="N820" s="107"/>
    </row>
    <row r="821" spans="1:14" hidden="1" x14ac:dyDescent="0.3">
      <c r="A821" t="s">
        <v>173</v>
      </c>
      <c r="B821" t="s">
        <v>1124</v>
      </c>
      <c r="C821" t="s">
        <v>1524</v>
      </c>
      <c r="D821">
        <f t="shared" si="12"/>
        <v>0</v>
      </c>
      <c r="E821" t="s">
        <v>19</v>
      </c>
      <c r="F821" t="s">
        <v>1524</v>
      </c>
      <c r="G821" t="s">
        <v>322</v>
      </c>
      <c r="N821" s="107"/>
    </row>
    <row r="822" spans="1:14" hidden="1" x14ac:dyDescent="0.3">
      <c r="A822" t="s">
        <v>173</v>
      </c>
      <c r="B822" t="s">
        <v>1129</v>
      </c>
      <c r="C822" t="s">
        <v>1531</v>
      </c>
      <c r="D822">
        <f t="shared" si="12"/>
        <v>0</v>
      </c>
      <c r="E822" t="s">
        <v>19</v>
      </c>
      <c r="F822" t="s">
        <v>1531</v>
      </c>
      <c r="G822" t="s">
        <v>322</v>
      </c>
      <c r="N822" s="107"/>
    </row>
    <row r="823" spans="1:14" hidden="1" x14ac:dyDescent="0.3">
      <c r="A823" t="s">
        <v>174</v>
      </c>
      <c r="B823" t="s">
        <v>557</v>
      </c>
      <c r="C823" t="s">
        <v>1162</v>
      </c>
      <c r="D823">
        <f t="shared" si="12"/>
        <v>0</v>
      </c>
      <c r="E823" t="s">
        <v>19</v>
      </c>
      <c r="F823" t="s">
        <v>1731</v>
      </c>
      <c r="G823" t="s">
        <v>322</v>
      </c>
      <c r="N823" s="107"/>
    </row>
    <row r="824" spans="1:14" hidden="1" x14ac:dyDescent="0.3">
      <c r="A824" t="s">
        <v>174</v>
      </c>
      <c r="B824" t="s">
        <v>502</v>
      </c>
      <c r="C824" t="s">
        <v>1164</v>
      </c>
      <c r="D824">
        <f t="shared" si="12"/>
        <v>0</v>
      </c>
      <c r="E824" t="s">
        <v>19</v>
      </c>
      <c r="F824" t="s">
        <v>1750</v>
      </c>
      <c r="G824" t="s">
        <v>322</v>
      </c>
      <c r="N824" s="107"/>
    </row>
    <row r="825" spans="1:14" hidden="1" x14ac:dyDescent="0.3">
      <c r="A825" t="s">
        <v>174</v>
      </c>
      <c r="B825" t="s">
        <v>557</v>
      </c>
      <c r="C825" t="s">
        <v>1167</v>
      </c>
      <c r="D825">
        <f t="shared" si="12"/>
        <v>0</v>
      </c>
      <c r="E825" t="s">
        <v>19</v>
      </c>
      <c r="F825" t="s">
        <v>1167</v>
      </c>
      <c r="G825" t="s">
        <v>322</v>
      </c>
      <c r="N825" s="107"/>
    </row>
    <row r="826" spans="1:14" hidden="1" x14ac:dyDescent="0.3">
      <c r="A826" t="s">
        <v>174</v>
      </c>
      <c r="B826" t="s">
        <v>557</v>
      </c>
      <c r="C826" t="s">
        <v>1175</v>
      </c>
      <c r="D826">
        <f t="shared" si="12"/>
        <v>0</v>
      </c>
      <c r="E826" t="s">
        <v>19</v>
      </c>
      <c r="F826" t="s">
        <v>1788</v>
      </c>
      <c r="G826" t="s">
        <v>322</v>
      </c>
      <c r="N826" s="107"/>
    </row>
    <row r="827" spans="1:14" hidden="1" x14ac:dyDescent="0.3">
      <c r="A827" t="s">
        <v>174</v>
      </c>
      <c r="B827" t="s">
        <v>501</v>
      </c>
      <c r="C827" t="s">
        <v>1195</v>
      </c>
      <c r="D827">
        <f t="shared" si="12"/>
        <v>0</v>
      </c>
      <c r="E827" t="s">
        <v>19</v>
      </c>
      <c r="F827" t="s">
        <v>1195</v>
      </c>
      <c r="G827" t="s">
        <v>322</v>
      </c>
      <c r="N827" s="107"/>
    </row>
    <row r="828" spans="1:14" hidden="1" x14ac:dyDescent="0.3">
      <c r="A828" t="s">
        <v>174</v>
      </c>
      <c r="B828" t="s">
        <v>570</v>
      </c>
      <c r="C828" t="s">
        <v>1199</v>
      </c>
      <c r="D828">
        <f t="shared" si="12"/>
        <v>0</v>
      </c>
      <c r="E828" t="s">
        <v>19</v>
      </c>
      <c r="F828" t="s">
        <v>1199</v>
      </c>
      <c r="G828" t="s">
        <v>322</v>
      </c>
      <c r="N828" s="107"/>
    </row>
    <row r="829" spans="1:14" hidden="1" x14ac:dyDescent="0.3">
      <c r="A829" t="s">
        <v>174</v>
      </c>
      <c r="B829" t="s">
        <v>502</v>
      </c>
      <c r="C829" t="s">
        <v>1200</v>
      </c>
      <c r="D829">
        <f t="shared" si="12"/>
        <v>0</v>
      </c>
      <c r="E829" t="s">
        <v>19</v>
      </c>
      <c r="F829" t="s">
        <v>1200</v>
      </c>
      <c r="G829" t="s">
        <v>322</v>
      </c>
      <c r="N829" s="107"/>
    </row>
    <row r="830" spans="1:14" hidden="1" x14ac:dyDescent="0.3">
      <c r="A830" t="s">
        <v>174</v>
      </c>
      <c r="B830" t="s">
        <v>557</v>
      </c>
      <c r="C830" t="s">
        <v>1227</v>
      </c>
      <c r="D830">
        <f t="shared" si="12"/>
        <v>0</v>
      </c>
      <c r="E830" t="s">
        <v>19</v>
      </c>
      <c r="F830" t="s">
        <v>1969</v>
      </c>
      <c r="G830" t="s">
        <v>322</v>
      </c>
      <c r="N830" s="107"/>
    </row>
    <row r="831" spans="1:14" hidden="1" x14ac:dyDescent="0.3">
      <c r="A831" t="s">
        <v>174</v>
      </c>
      <c r="B831" t="s">
        <v>730</v>
      </c>
      <c r="C831" t="s">
        <v>1233</v>
      </c>
      <c r="D831">
        <f t="shared" si="12"/>
        <v>0</v>
      </c>
      <c r="E831" t="s">
        <v>19</v>
      </c>
      <c r="F831" t="s">
        <v>1998</v>
      </c>
      <c r="G831" t="s">
        <v>322</v>
      </c>
      <c r="N831" s="107"/>
    </row>
    <row r="832" spans="1:14" hidden="1" x14ac:dyDescent="0.3">
      <c r="A832" t="s">
        <v>174</v>
      </c>
      <c r="B832" t="s">
        <v>502</v>
      </c>
      <c r="C832" t="s">
        <v>1233</v>
      </c>
      <c r="D832">
        <f t="shared" si="12"/>
        <v>0</v>
      </c>
      <c r="E832" t="s">
        <v>19</v>
      </c>
      <c r="F832" t="s">
        <v>1999</v>
      </c>
      <c r="G832" t="s">
        <v>322</v>
      </c>
      <c r="N832" s="107"/>
    </row>
    <row r="833" spans="1:14" hidden="1" x14ac:dyDescent="0.3">
      <c r="A833" t="s">
        <v>174</v>
      </c>
      <c r="B833" t="s">
        <v>501</v>
      </c>
      <c r="C833" t="s">
        <v>1233</v>
      </c>
      <c r="D833">
        <f t="shared" ref="D833:D896" si="13">SIGN(SUBTOTAL(3,E833))</f>
        <v>0</v>
      </c>
      <c r="E833" t="s">
        <v>19</v>
      </c>
      <c r="F833" t="s">
        <v>2003</v>
      </c>
      <c r="G833" t="s">
        <v>322</v>
      </c>
      <c r="N833" s="107"/>
    </row>
    <row r="834" spans="1:14" hidden="1" x14ac:dyDescent="0.3">
      <c r="A834" t="s">
        <v>174</v>
      </c>
      <c r="B834" t="s">
        <v>501</v>
      </c>
      <c r="C834" t="s">
        <v>1233</v>
      </c>
      <c r="D834">
        <f t="shared" si="13"/>
        <v>0</v>
      </c>
      <c r="E834" t="s">
        <v>19</v>
      </c>
      <c r="F834" t="s">
        <v>2004</v>
      </c>
      <c r="G834" t="s">
        <v>322</v>
      </c>
      <c r="N834" s="107"/>
    </row>
    <row r="835" spans="1:14" hidden="1" x14ac:dyDescent="0.3">
      <c r="A835" t="s">
        <v>174</v>
      </c>
      <c r="B835" t="s">
        <v>502</v>
      </c>
      <c r="C835" t="s">
        <v>1233</v>
      </c>
      <c r="D835">
        <f t="shared" si="13"/>
        <v>0</v>
      </c>
      <c r="E835" t="s">
        <v>19</v>
      </c>
      <c r="F835" t="s">
        <v>2009</v>
      </c>
      <c r="G835" t="s">
        <v>322</v>
      </c>
      <c r="N835" s="107"/>
    </row>
    <row r="836" spans="1:14" hidden="1" x14ac:dyDescent="0.3">
      <c r="A836" t="s">
        <v>174</v>
      </c>
      <c r="B836" t="s">
        <v>501</v>
      </c>
      <c r="C836" t="s">
        <v>1245</v>
      </c>
      <c r="D836">
        <f t="shared" si="13"/>
        <v>0</v>
      </c>
      <c r="E836" t="s">
        <v>19</v>
      </c>
      <c r="F836" t="s">
        <v>2026</v>
      </c>
      <c r="G836" t="s">
        <v>322</v>
      </c>
      <c r="N836" s="107"/>
    </row>
    <row r="837" spans="1:14" hidden="1" x14ac:dyDescent="0.3">
      <c r="A837" t="s">
        <v>174</v>
      </c>
      <c r="B837" t="s">
        <v>502</v>
      </c>
      <c r="C837" t="s">
        <v>1249</v>
      </c>
      <c r="D837">
        <f t="shared" si="13"/>
        <v>0</v>
      </c>
      <c r="E837" t="s">
        <v>19</v>
      </c>
      <c r="F837" t="s">
        <v>1249</v>
      </c>
      <c r="G837" t="s">
        <v>322</v>
      </c>
      <c r="N837" s="107"/>
    </row>
    <row r="838" spans="1:14" hidden="1" x14ac:dyDescent="0.3">
      <c r="A838" t="s">
        <v>174</v>
      </c>
      <c r="B838" t="s">
        <v>791</v>
      </c>
      <c r="C838" t="s">
        <v>1280</v>
      </c>
      <c r="D838">
        <f t="shared" si="13"/>
        <v>0</v>
      </c>
      <c r="E838" t="s">
        <v>19</v>
      </c>
      <c r="F838" t="s">
        <v>2092</v>
      </c>
      <c r="G838" t="s">
        <v>322</v>
      </c>
      <c r="N838" s="107"/>
    </row>
    <row r="839" spans="1:14" hidden="1" x14ac:dyDescent="0.3">
      <c r="A839" t="s">
        <v>174</v>
      </c>
      <c r="B839" t="s">
        <v>730</v>
      </c>
      <c r="C839" t="s">
        <v>1293</v>
      </c>
      <c r="D839">
        <f t="shared" si="13"/>
        <v>0</v>
      </c>
      <c r="E839" t="s">
        <v>19</v>
      </c>
      <c r="F839" t="s">
        <v>2153</v>
      </c>
      <c r="G839" t="s">
        <v>322</v>
      </c>
      <c r="N839" s="107"/>
    </row>
    <row r="840" spans="1:14" hidden="1" x14ac:dyDescent="0.3">
      <c r="A840" t="s">
        <v>174</v>
      </c>
      <c r="B840" t="s">
        <v>826</v>
      </c>
      <c r="C840" t="s">
        <v>1298</v>
      </c>
      <c r="D840">
        <f t="shared" si="13"/>
        <v>0</v>
      </c>
      <c r="E840" t="s">
        <v>19</v>
      </c>
      <c r="F840" t="s">
        <v>2165</v>
      </c>
      <c r="G840" t="s">
        <v>322</v>
      </c>
      <c r="N840" s="107"/>
    </row>
    <row r="841" spans="1:14" hidden="1" x14ac:dyDescent="0.3">
      <c r="A841" t="s">
        <v>174</v>
      </c>
      <c r="B841" t="s">
        <v>832</v>
      </c>
      <c r="C841" t="s">
        <v>1301</v>
      </c>
      <c r="D841">
        <f t="shared" si="13"/>
        <v>0</v>
      </c>
      <c r="E841" t="s">
        <v>19</v>
      </c>
      <c r="F841" t="s">
        <v>2174</v>
      </c>
      <c r="G841" t="s">
        <v>322</v>
      </c>
      <c r="N841" s="107"/>
    </row>
    <row r="842" spans="1:14" hidden="1" x14ac:dyDescent="0.3">
      <c r="A842" t="s">
        <v>174</v>
      </c>
      <c r="B842" t="s">
        <v>883</v>
      </c>
      <c r="C842" t="s">
        <v>1324</v>
      </c>
      <c r="D842">
        <f t="shared" si="13"/>
        <v>0</v>
      </c>
      <c r="E842" t="s">
        <v>19</v>
      </c>
      <c r="F842" t="s">
        <v>1324</v>
      </c>
      <c r="G842" t="s">
        <v>322</v>
      </c>
      <c r="N842" s="107"/>
    </row>
    <row r="843" spans="1:14" hidden="1" x14ac:dyDescent="0.3">
      <c r="A843" t="s">
        <v>174</v>
      </c>
      <c r="B843" t="s">
        <v>730</v>
      </c>
      <c r="C843" t="s">
        <v>1392</v>
      </c>
      <c r="D843">
        <f t="shared" si="13"/>
        <v>0</v>
      </c>
      <c r="E843" t="s">
        <v>19</v>
      </c>
      <c r="F843" t="s">
        <v>2360</v>
      </c>
      <c r="G843" t="s">
        <v>322</v>
      </c>
      <c r="N843" s="107"/>
    </row>
    <row r="844" spans="1:14" hidden="1" x14ac:dyDescent="0.3">
      <c r="A844" t="s">
        <v>174</v>
      </c>
      <c r="B844" t="s">
        <v>502</v>
      </c>
      <c r="C844" t="s">
        <v>1392</v>
      </c>
      <c r="D844">
        <f t="shared" si="13"/>
        <v>0</v>
      </c>
      <c r="E844" t="s">
        <v>19</v>
      </c>
      <c r="F844" t="s">
        <v>2362</v>
      </c>
      <c r="G844" t="s">
        <v>322</v>
      </c>
      <c r="N844" s="107"/>
    </row>
    <row r="845" spans="1:14" hidden="1" x14ac:dyDescent="0.3">
      <c r="A845" t="s">
        <v>174</v>
      </c>
      <c r="B845" t="s">
        <v>501</v>
      </c>
      <c r="C845" t="s">
        <v>1392</v>
      </c>
      <c r="D845">
        <f t="shared" si="13"/>
        <v>0</v>
      </c>
      <c r="E845" t="s">
        <v>19</v>
      </c>
      <c r="F845" t="s">
        <v>2367</v>
      </c>
      <c r="G845" t="s">
        <v>322</v>
      </c>
      <c r="N845" s="107"/>
    </row>
    <row r="846" spans="1:14" hidden="1" x14ac:dyDescent="0.3">
      <c r="A846" t="s">
        <v>174</v>
      </c>
      <c r="B846" t="s">
        <v>501</v>
      </c>
      <c r="C846" t="s">
        <v>1392</v>
      </c>
      <c r="D846">
        <f t="shared" si="13"/>
        <v>0</v>
      </c>
      <c r="E846" t="s">
        <v>19</v>
      </c>
      <c r="F846" t="s">
        <v>2368</v>
      </c>
      <c r="G846" t="s">
        <v>322</v>
      </c>
      <c r="N846" s="107"/>
    </row>
    <row r="847" spans="1:14" hidden="1" x14ac:dyDescent="0.3">
      <c r="A847" t="s">
        <v>174</v>
      </c>
      <c r="B847" t="s">
        <v>502</v>
      </c>
      <c r="C847" t="s">
        <v>1392</v>
      </c>
      <c r="D847">
        <f t="shared" si="13"/>
        <v>0</v>
      </c>
      <c r="E847" t="s">
        <v>19</v>
      </c>
      <c r="F847" t="s">
        <v>2369</v>
      </c>
      <c r="G847" t="s">
        <v>322</v>
      </c>
      <c r="N847" s="107"/>
    </row>
    <row r="848" spans="1:14" hidden="1" x14ac:dyDescent="0.3">
      <c r="A848" t="s">
        <v>174</v>
      </c>
      <c r="B848" t="s">
        <v>730</v>
      </c>
      <c r="C848" t="s">
        <v>1392</v>
      </c>
      <c r="D848">
        <f t="shared" si="13"/>
        <v>0</v>
      </c>
      <c r="E848" t="s">
        <v>19</v>
      </c>
      <c r="F848" t="s">
        <v>2370</v>
      </c>
      <c r="G848" t="s">
        <v>322</v>
      </c>
      <c r="N848" s="107"/>
    </row>
    <row r="849" spans="1:14" hidden="1" x14ac:dyDescent="0.3">
      <c r="A849" t="s">
        <v>174</v>
      </c>
      <c r="B849" t="s">
        <v>501</v>
      </c>
      <c r="C849" t="s">
        <v>1392</v>
      </c>
      <c r="D849">
        <f t="shared" si="13"/>
        <v>0</v>
      </c>
      <c r="E849" t="s">
        <v>19</v>
      </c>
      <c r="F849" t="s">
        <v>2371</v>
      </c>
      <c r="G849" t="s">
        <v>322</v>
      </c>
      <c r="N849" s="107"/>
    </row>
    <row r="850" spans="1:14" hidden="1" x14ac:dyDescent="0.3">
      <c r="A850" t="s">
        <v>174</v>
      </c>
      <c r="B850" t="s">
        <v>730</v>
      </c>
      <c r="C850" t="s">
        <v>1392</v>
      </c>
      <c r="D850">
        <f t="shared" si="13"/>
        <v>0</v>
      </c>
      <c r="E850" t="s">
        <v>19</v>
      </c>
      <c r="F850" t="s">
        <v>2372</v>
      </c>
      <c r="G850" t="s">
        <v>322</v>
      </c>
      <c r="N850" s="107"/>
    </row>
    <row r="851" spans="1:14" hidden="1" x14ac:dyDescent="0.3">
      <c r="A851" t="s">
        <v>174</v>
      </c>
      <c r="B851" t="s">
        <v>730</v>
      </c>
      <c r="C851" t="s">
        <v>1392</v>
      </c>
      <c r="D851">
        <f t="shared" si="13"/>
        <v>0</v>
      </c>
      <c r="E851" t="s">
        <v>19</v>
      </c>
      <c r="F851" t="s">
        <v>2373</v>
      </c>
      <c r="G851" t="s">
        <v>322</v>
      </c>
      <c r="N851" s="107"/>
    </row>
    <row r="852" spans="1:14" hidden="1" x14ac:dyDescent="0.3">
      <c r="A852" t="s">
        <v>174</v>
      </c>
      <c r="B852" t="s">
        <v>557</v>
      </c>
      <c r="C852" t="s">
        <v>1396</v>
      </c>
      <c r="D852">
        <f t="shared" si="13"/>
        <v>0</v>
      </c>
      <c r="E852" t="s">
        <v>19</v>
      </c>
      <c r="F852" t="s">
        <v>1396</v>
      </c>
      <c r="G852" t="s">
        <v>322</v>
      </c>
      <c r="N852" s="107"/>
    </row>
    <row r="853" spans="1:14" hidden="1" x14ac:dyDescent="0.3">
      <c r="A853" t="s">
        <v>174</v>
      </c>
      <c r="B853" t="s">
        <v>730</v>
      </c>
      <c r="C853" t="s">
        <v>1414</v>
      </c>
      <c r="D853">
        <f t="shared" si="13"/>
        <v>0</v>
      </c>
      <c r="E853" t="s">
        <v>19</v>
      </c>
      <c r="F853" t="s">
        <v>2509</v>
      </c>
      <c r="G853" t="s">
        <v>322</v>
      </c>
      <c r="N853" s="107"/>
    </row>
    <row r="854" spans="1:14" hidden="1" x14ac:dyDescent="0.3">
      <c r="A854" t="s">
        <v>174</v>
      </c>
      <c r="B854" t="s">
        <v>730</v>
      </c>
      <c r="C854" t="s">
        <v>1414</v>
      </c>
      <c r="D854">
        <f t="shared" si="13"/>
        <v>0</v>
      </c>
      <c r="E854" t="s">
        <v>19</v>
      </c>
      <c r="F854" t="s">
        <v>2511</v>
      </c>
      <c r="G854" t="s">
        <v>322</v>
      </c>
      <c r="N854" s="107"/>
    </row>
    <row r="855" spans="1:14" hidden="1" x14ac:dyDescent="0.3">
      <c r="A855" t="s">
        <v>174</v>
      </c>
      <c r="B855" t="s">
        <v>501</v>
      </c>
      <c r="C855" t="s">
        <v>1414</v>
      </c>
      <c r="D855">
        <f t="shared" si="13"/>
        <v>0</v>
      </c>
      <c r="E855" t="s">
        <v>19</v>
      </c>
      <c r="F855" t="s">
        <v>2513</v>
      </c>
      <c r="G855" t="s">
        <v>322</v>
      </c>
      <c r="N855" s="107"/>
    </row>
    <row r="856" spans="1:14" hidden="1" x14ac:dyDescent="0.3">
      <c r="A856" t="s">
        <v>174</v>
      </c>
      <c r="B856" t="s">
        <v>501</v>
      </c>
      <c r="C856" t="s">
        <v>1424</v>
      </c>
      <c r="D856">
        <f t="shared" si="13"/>
        <v>0</v>
      </c>
      <c r="E856" t="s">
        <v>19</v>
      </c>
      <c r="F856" t="s">
        <v>2555</v>
      </c>
      <c r="G856" t="s">
        <v>322</v>
      </c>
      <c r="N856" s="107"/>
    </row>
    <row r="857" spans="1:14" hidden="1" x14ac:dyDescent="0.3">
      <c r="A857" t="s">
        <v>174</v>
      </c>
      <c r="B857" t="s">
        <v>730</v>
      </c>
      <c r="C857" t="s">
        <v>1462</v>
      </c>
      <c r="D857">
        <f t="shared" si="13"/>
        <v>0</v>
      </c>
      <c r="E857" t="s">
        <v>19</v>
      </c>
      <c r="F857" t="s">
        <v>2655</v>
      </c>
      <c r="G857" t="s">
        <v>322</v>
      </c>
      <c r="N857" s="107"/>
    </row>
    <row r="858" spans="1:14" hidden="1" x14ac:dyDescent="0.3">
      <c r="A858" t="s">
        <v>174</v>
      </c>
      <c r="B858" t="s">
        <v>501</v>
      </c>
      <c r="C858" t="s">
        <v>1462</v>
      </c>
      <c r="D858">
        <f t="shared" si="13"/>
        <v>0</v>
      </c>
      <c r="E858" t="s">
        <v>19</v>
      </c>
      <c r="F858" t="s">
        <v>2669</v>
      </c>
      <c r="G858" t="s">
        <v>322</v>
      </c>
      <c r="N858" s="107"/>
    </row>
    <row r="859" spans="1:14" hidden="1" x14ac:dyDescent="0.3">
      <c r="A859" t="s">
        <v>174</v>
      </c>
      <c r="B859" t="s">
        <v>502</v>
      </c>
      <c r="C859" t="s">
        <v>1483</v>
      </c>
      <c r="D859">
        <f t="shared" si="13"/>
        <v>0</v>
      </c>
      <c r="E859" t="s">
        <v>19</v>
      </c>
      <c r="F859" t="s">
        <v>2707</v>
      </c>
      <c r="G859" t="s">
        <v>322</v>
      </c>
      <c r="N859" s="107"/>
    </row>
    <row r="860" spans="1:14" hidden="1" x14ac:dyDescent="0.3">
      <c r="A860" t="s">
        <v>174</v>
      </c>
      <c r="B860" t="s">
        <v>832</v>
      </c>
      <c r="C860" t="s">
        <v>1483</v>
      </c>
      <c r="D860">
        <f t="shared" si="13"/>
        <v>0</v>
      </c>
      <c r="E860" t="s">
        <v>19</v>
      </c>
      <c r="F860" t="s">
        <v>2715</v>
      </c>
      <c r="G860" t="s">
        <v>322</v>
      </c>
      <c r="N860" s="107"/>
    </row>
    <row r="861" spans="1:14" hidden="1" x14ac:dyDescent="0.3">
      <c r="A861" t="s">
        <v>174</v>
      </c>
      <c r="B861" t="s">
        <v>501</v>
      </c>
      <c r="C861" t="s">
        <v>1483</v>
      </c>
      <c r="D861">
        <f t="shared" si="13"/>
        <v>0</v>
      </c>
      <c r="E861" t="s">
        <v>19</v>
      </c>
      <c r="F861" t="s">
        <v>2717</v>
      </c>
      <c r="G861" t="s">
        <v>322</v>
      </c>
      <c r="N861" s="107"/>
    </row>
    <row r="862" spans="1:14" hidden="1" x14ac:dyDescent="0.3">
      <c r="A862" t="s">
        <v>174</v>
      </c>
      <c r="B862" t="s">
        <v>1087</v>
      </c>
      <c r="C862" t="s">
        <v>1483</v>
      </c>
      <c r="D862">
        <f t="shared" si="13"/>
        <v>0</v>
      </c>
      <c r="E862" t="s">
        <v>19</v>
      </c>
      <c r="F862" t="s">
        <v>2722</v>
      </c>
      <c r="G862" t="s">
        <v>322</v>
      </c>
      <c r="N862" s="107"/>
    </row>
    <row r="863" spans="1:14" hidden="1" x14ac:dyDescent="0.3">
      <c r="A863" t="s">
        <v>174</v>
      </c>
      <c r="B863" t="s">
        <v>501</v>
      </c>
      <c r="C863" t="s">
        <v>1483</v>
      </c>
      <c r="D863">
        <f t="shared" si="13"/>
        <v>0</v>
      </c>
      <c r="E863" t="s">
        <v>19</v>
      </c>
      <c r="F863" t="s">
        <v>2726</v>
      </c>
      <c r="G863" t="s">
        <v>322</v>
      </c>
      <c r="N863" s="107"/>
    </row>
    <row r="864" spans="1:14" hidden="1" x14ac:dyDescent="0.3">
      <c r="A864" t="s">
        <v>174</v>
      </c>
      <c r="B864" t="s">
        <v>502</v>
      </c>
      <c r="C864" t="s">
        <v>1504</v>
      </c>
      <c r="D864">
        <f t="shared" si="13"/>
        <v>0</v>
      </c>
      <c r="E864" t="s">
        <v>19</v>
      </c>
      <c r="F864" t="s">
        <v>1504</v>
      </c>
      <c r="G864" t="s">
        <v>322</v>
      </c>
      <c r="N864" s="107"/>
    </row>
    <row r="865" spans="1:14" hidden="1" x14ac:dyDescent="0.3">
      <c r="A865" t="s">
        <v>174</v>
      </c>
      <c r="B865" t="s">
        <v>501</v>
      </c>
      <c r="C865" t="s">
        <v>1509</v>
      </c>
      <c r="D865">
        <f t="shared" si="13"/>
        <v>0</v>
      </c>
      <c r="E865" t="s">
        <v>19</v>
      </c>
      <c r="F865" t="s">
        <v>2774</v>
      </c>
      <c r="G865" t="s">
        <v>322</v>
      </c>
      <c r="N865" s="107"/>
    </row>
    <row r="866" spans="1:14" hidden="1" x14ac:dyDescent="0.3">
      <c r="A866" t="s">
        <v>174</v>
      </c>
      <c r="B866" t="s">
        <v>502</v>
      </c>
      <c r="C866" t="s">
        <v>1509</v>
      </c>
      <c r="D866">
        <f t="shared" si="13"/>
        <v>0</v>
      </c>
      <c r="E866" t="s">
        <v>19</v>
      </c>
      <c r="F866" t="s">
        <v>2775</v>
      </c>
      <c r="G866" t="s">
        <v>322</v>
      </c>
      <c r="N866" s="107"/>
    </row>
    <row r="867" spans="1:14" hidden="1" x14ac:dyDescent="0.3">
      <c r="A867" t="s">
        <v>174</v>
      </c>
      <c r="B867" t="s">
        <v>730</v>
      </c>
      <c r="C867" t="s">
        <v>1509</v>
      </c>
      <c r="D867">
        <f t="shared" si="13"/>
        <v>0</v>
      </c>
      <c r="E867" t="s">
        <v>19</v>
      </c>
      <c r="F867" t="s">
        <v>2776</v>
      </c>
      <c r="G867" t="s">
        <v>322</v>
      </c>
      <c r="N867" s="107"/>
    </row>
    <row r="868" spans="1:14" hidden="1" x14ac:dyDescent="0.3">
      <c r="A868" t="s">
        <v>175</v>
      </c>
      <c r="B868" t="s">
        <v>613</v>
      </c>
      <c r="C868" t="s">
        <v>1179</v>
      </c>
      <c r="D868">
        <f t="shared" si="13"/>
        <v>0</v>
      </c>
      <c r="E868" t="s">
        <v>19</v>
      </c>
      <c r="F868" t="s">
        <v>1811</v>
      </c>
      <c r="G868" t="s">
        <v>322</v>
      </c>
      <c r="N868" s="107"/>
    </row>
    <row r="869" spans="1:14" hidden="1" x14ac:dyDescent="0.3">
      <c r="A869" t="s">
        <v>175</v>
      </c>
      <c r="B869" t="s">
        <v>735</v>
      </c>
      <c r="C869" t="s">
        <v>1238</v>
      </c>
      <c r="D869">
        <f t="shared" si="13"/>
        <v>0</v>
      </c>
      <c r="E869" t="s">
        <v>19</v>
      </c>
      <c r="F869" t="s">
        <v>2015</v>
      </c>
      <c r="G869" t="s">
        <v>322</v>
      </c>
      <c r="N869" s="107"/>
    </row>
    <row r="870" spans="1:14" hidden="1" x14ac:dyDescent="0.3">
      <c r="A870" t="s">
        <v>175</v>
      </c>
      <c r="B870" t="s">
        <v>504</v>
      </c>
      <c r="C870" t="s">
        <v>1404</v>
      </c>
      <c r="D870">
        <f t="shared" si="13"/>
        <v>0</v>
      </c>
      <c r="E870" t="s">
        <v>19</v>
      </c>
      <c r="F870" t="s">
        <v>2391</v>
      </c>
      <c r="G870" t="s">
        <v>322</v>
      </c>
      <c r="N870" s="107"/>
    </row>
    <row r="871" spans="1:14" hidden="1" x14ac:dyDescent="0.3">
      <c r="A871" t="s">
        <v>175</v>
      </c>
      <c r="B871" t="s">
        <v>969</v>
      </c>
      <c r="C871" t="s">
        <v>1404</v>
      </c>
      <c r="D871">
        <f t="shared" si="13"/>
        <v>0</v>
      </c>
      <c r="E871" t="s">
        <v>19</v>
      </c>
      <c r="F871" t="s">
        <v>2408</v>
      </c>
      <c r="G871" t="s">
        <v>322</v>
      </c>
      <c r="N871" s="107"/>
    </row>
    <row r="872" spans="1:14" hidden="1" x14ac:dyDescent="0.3">
      <c r="A872" t="s">
        <v>175</v>
      </c>
      <c r="B872" t="s">
        <v>1041</v>
      </c>
      <c r="C872" t="s">
        <v>1443</v>
      </c>
      <c r="D872">
        <f t="shared" si="13"/>
        <v>0</v>
      </c>
      <c r="E872" t="s">
        <v>19</v>
      </c>
      <c r="F872" t="s">
        <v>2583</v>
      </c>
      <c r="G872" t="s">
        <v>322</v>
      </c>
      <c r="N872" s="107"/>
    </row>
    <row r="873" spans="1:14" hidden="1" x14ac:dyDescent="0.3">
      <c r="A873" t="s">
        <v>175</v>
      </c>
      <c r="B873" t="s">
        <v>1065</v>
      </c>
      <c r="C873" t="s">
        <v>1454</v>
      </c>
      <c r="D873">
        <f t="shared" si="13"/>
        <v>0</v>
      </c>
      <c r="E873" t="s">
        <v>19</v>
      </c>
      <c r="F873" t="s">
        <v>2639</v>
      </c>
      <c r="G873" t="s">
        <v>322</v>
      </c>
      <c r="N873" s="107"/>
    </row>
    <row r="874" spans="1:14" hidden="1" x14ac:dyDescent="0.3">
      <c r="A874" t="s">
        <v>176</v>
      </c>
      <c r="B874" t="s">
        <v>538</v>
      </c>
      <c r="C874" t="s">
        <v>1136</v>
      </c>
      <c r="D874">
        <f t="shared" si="13"/>
        <v>0</v>
      </c>
      <c r="E874" t="s">
        <v>19</v>
      </c>
      <c r="F874" t="s">
        <v>1727</v>
      </c>
      <c r="G874" t="s">
        <v>322</v>
      </c>
      <c r="N874" s="107"/>
    </row>
    <row r="875" spans="1:14" hidden="1" x14ac:dyDescent="0.3">
      <c r="A875" t="s">
        <v>176</v>
      </c>
      <c r="B875" t="s">
        <v>506</v>
      </c>
      <c r="C875" t="s">
        <v>1215</v>
      </c>
      <c r="D875">
        <f t="shared" si="13"/>
        <v>0</v>
      </c>
      <c r="E875" t="s">
        <v>19</v>
      </c>
      <c r="F875" t="s">
        <v>1215</v>
      </c>
      <c r="G875" t="s">
        <v>322</v>
      </c>
      <c r="N875" s="107"/>
    </row>
    <row r="876" spans="1:14" hidden="1" x14ac:dyDescent="0.3">
      <c r="A876" t="s">
        <v>176</v>
      </c>
      <c r="B876" t="s">
        <v>538</v>
      </c>
      <c r="C876" t="s">
        <v>1227</v>
      </c>
      <c r="D876">
        <f t="shared" si="13"/>
        <v>0</v>
      </c>
      <c r="E876" t="s">
        <v>19</v>
      </c>
      <c r="F876" t="s">
        <v>1899</v>
      </c>
      <c r="G876" t="s">
        <v>322</v>
      </c>
      <c r="N876" s="107"/>
    </row>
    <row r="877" spans="1:14" hidden="1" x14ac:dyDescent="0.3">
      <c r="A877" t="s">
        <v>176</v>
      </c>
      <c r="B877" t="s">
        <v>685</v>
      </c>
      <c r="C877" t="s">
        <v>1227</v>
      </c>
      <c r="D877">
        <f t="shared" si="13"/>
        <v>0</v>
      </c>
      <c r="E877" t="s">
        <v>19</v>
      </c>
      <c r="F877" t="s">
        <v>1904</v>
      </c>
      <c r="G877" t="s">
        <v>322</v>
      </c>
      <c r="N877" s="107"/>
    </row>
    <row r="878" spans="1:14" hidden="1" x14ac:dyDescent="0.3">
      <c r="A878" t="s">
        <v>176</v>
      </c>
      <c r="B878" t="s">
        <v>686</v>
      </c>
      <c r="C878" t="s">
        <v>1227</v>
      </c>
      <c r="D878">
        <f t="shared" si="13"/>
        <v>0</v>
      </c>
      <c r="E878" t="s">
        <v>19</v>
      </c>
      <c r="F878" t="s">
        <v>1905</v>
      </c>
      <c r="G878" t="s">
        <v>322</v>
      </c>
      <c r="N878" s="107"/>
    </row>
    <row r="879" spans="1:14" hidden="1" x14ac:dyDescent="0.3">
      <c r="A879" t="s">
        <v>176</v>
      </c>
      <c r="B879" t="s">
        <v>505</v>
      </c>
      <c r="C879" t="s">
        <v>1227</v>
      </c>
      <c r="D879">
        <f t="shared" si="13"/>
        <v>0</v>
      </c>
      <c r="E879" t="s">
        <v>19</v>
      </c>
      <c r="F879" t="s">
        <v>1907</v>
      </c>
      <c r="G879" t="s">
        <v>322</v>
      </c>
      <c r="N879" s="107"/>
    </row>
    <row r="880" spans="1:14" hidden="1" x14ac:dyDescent="0.3">
      <c r="A880" t="s">
        <v>176</v>
      </c>
      <c r="B880" t="s">
        <v>506</v>
      </c>
      <c r="C880" t="s">
        <v>1227</v>
      </c>
      <c r="D880">
        <f t="shared" si="13"/>
        <v>0</v>
      </c>
      <c r="E880" t="s">
        <v>19</v>
      </c>
      <c r="F880" t="s">
        <v>1910</v>
      </c>
      <c r="G880" t="s">
        <v>322</v>
      </c>
      <c r="N880" s="107"/>
    </row>
    <row r="881" spans="1:14" hidden="1" x14ac:dyDescent="0.3">
      <c r="A881" t="s">
        <v>176</v>
      </c>
      <c r="B881" t="s">
        <v>685</v>
      </c>
      <c r="C881" t="s">
        <v>1227</v>
      </c>
      <c r="D881">
        <f t="shared" si="13"/>
        <v>0</v>
      </c>
      <c r="E881" t="s">
        <v>19</v>
      </c>
      <c r="F881" t="s">
        <v>1921</v>
      </c>
      <c r="G881" t="s">
        <v>322</v>
      </c>
      <c r="N881" s="107"/>
    </row>
    <row r="882" spans="1:14" hidden="1" x14ac:dyDescent="0.3">
      <c r="A882" t="s">
        <v>176</v>
      </c>
      <c r="B882" t="s">
        <v>705</v>
      </c>
      <c r="C882" t="s">
        <v>1227</v>
      </c>
      <c r="D882">
        <f t="shared" si="13"/>
        <v>0</v>
      </c>
      <c r="E882" t="s">
        <v>19</v>
      </c>
      <c r="F882" t="s">
        <v>1938</v>
      </c>
      <c r="G882" t="s">
        <v>322</v>
      </c>
      <c r="N882" s="107"/>
    </row>
    <row r="883" spans="1:14" hidden="1" x14ac:dyDescent="0.3">
      <c r="A883" t="s">
        <v>176</v>
      </c>
      <c r="B883" t="s">
        <v>706</v>
      </c>
      <c r="C883" t="s">
        <v>1227</v>
      </c>
      <c r="D883">
        <f t="shared" si="13"/>
        <v>0</v>
      </c>
      <c r="E883" t="s">
        <v>19</v>
      </c>
      <c r="F883" t="s">
        <v>1941</v>
      </c>
      <c r="G883" t="s">
        <v>322</v>
      </c>
      <c r="N883" s="107"/>
    </row>
    <row r="884" spans="1:14" hidden="1" x14ac:dyDescent="0.3">
      <c r="A884" t="s">
        <v>176</v>
      </c>
      <c r="B884" t="s">
        <v>506</v>
      </c>
      <c r="C884" t="s">
        <v>1227</v>
      </c>
      <c r="D884">
        <f t="shared" si="13"/>
        <v>0</v>
      </c>
      <c r="E884" t="s">
        <v>19</v>
      </c>
      <c r="F884" t="s">
        <v>1942</v>
      </c>
      <c r="G884" t="s">
        <v>322</v>
      </c>
      <c r="N884" s="107"/>
    </row>
    <row r="885" spans="1:14" hidden="1" x14ac:dyDescent="0.3">
      <c r="A885" t="s">
        <v>176</v>
      </c>
      <c r="B885" t="s">
        <v>505</v>
      </c>
      <c r="C885" t="s">
        <v>1227</v>
      </c>
      <c r="D885">
        <f t="shared" si="13"/>
        <v>0</v>
      </c>
      <c r="E885" t="s">
        <v>19</v>
      </c>
      <c r="F885" t="s">
        <v>1948</v>
      </c>
      <c r="G885" t="s">
        <v>322</v>
      </c>
      <c r="N885" s="107"/>
    </row>
    <row r="886" spans="1:14" hidden="1" x14ac:dyDescent="0.3">
      <c r="A886" t="s">
        <v>176</v>
      </c>
      <c r="B886" t="s">
        <v>652</v>
      </c>
      <c r="C886" t="s">
        <v>1227</v>
      </c>
      <c r="D886">
        <f t="shared" si="13"/>
        <v>0</v>
      </c>
      <c r="E886" t="s">
        <v>19</v>
      </c>
      <c r="F886" t="s">
        <v>1954</v>
      </c>
      <c r="G886" t="s">
        <v>322</v>
      </c>
      <c r="N886" s="107"/>
    </row>
    <row r="887" spans="1:14" hidden="1" x14ac:dyDescent="0.3">
      <c r="A887" t="s">
        <v>176</v>
      </c>
      <c r="B887" t="s">
        <v>695</v>
      </c>
      <c r="C887" t="s">
        <v>1227</v>
      </c>
      <c r="D887">
        <f t="shared" si="13"/>
        <v>0</v>
      </c>
      <c r="E887" t="s">
        <v>19</v>
      </c>
      <c r="F887" t="s">
        <v>1957</v>
      </c>
      <c r="G887" t="s">
        <v>322</v>
      </c>
      <c r="N887" s="107"/>
    </row>
    <row r="888" spans="1:14" hidden="1" x14ac:dyDescent="0.3">
      <c r="A888" t="s">
        <v>176</v>
      </c>
      <c r="B888" t="s">
        <v>706</v>
      </c>
      <c r="C888" t="s">
        <v>1272</v>
      </c>
      <c r="D888">
        <f t="shared" si="13"/>
        <v>0</v>
      </c>
      <c r="E888" t="s">
        <v>19</v>
      </c>
      <c r="F888" t="s">
        <v>2086</v>
      </c>
      <c r="G888" t="s">
        <v>322</v>
      </c>
      <c r="N888" s="107"/>
    </row>
    <row r="889" spans="1:14" hidden="1" x14ac:dyDescent="0.3">
      <c r="A889" t="s">
        <v>176</v>
      </c>
      <c r="B889" t="s">
        <v>506</v>
      </c>
      <c r="C889" t="s">
        <v>1285</v>
      </c>
      <c r="D889">
        <f t="shared" si="13"/>
        <v>0</v>
      </c>
      <c r="E889" t="s">
        <v>19</v>
      </c>
      <c r="F889" t="s">
        <v>2096</v>
      </c>
      <c r="G889" t="s">
        <v>322</v>
      </c>
      <c r="N889" s="107"/>
    </row>
    <row r="890" spans="1:14" hidden="1" x14ac:dyDescent="0.3">
      <c r="A890" t="s">
        <v>176</v>
      </c>
      <c r="B890" t="s">
        <v>796</v>
      </c>
      <c r="C890" t="s">
        <v>1285</v>
      </c>
      <c r="D890">
        <f t="shared" si="13"/>
        <v>0</v>
      </c>
      <c r="E890" t="s">
        <v>19</v>
      </c>
      <c r="F890" t="s">
        <v>2098</v>
      </c>
      <c r="G890" t="s">
        <v>322</v>
      </c>
      <c r="N890" s="107"/>
    </row>
    <row r="891" spans="1:14" hidden="1" x14ac:dyDescent="0.3">
      <c r="A891" t="s">
        <v>176</v>
      </c>
      <c r="B891" t="s">
        <v>686</v>
      </c>
      <c r="C891" t="s">
        <v>1285</v>
      </c>
      <c r="D891">
        <f t="shared" si="13"/>
        <v>0</v>
      </c>
      <c r="E891" t="s">
        <v>19</v>
      </c>
      <c r="F891" t="s">
        <v>2102</v>
      </c>
      <c r="G891" t="s">
        <v>322</v>
      </c>
      <c r="N891" s="107"/>
    </row>
    <row r="892" spans="1:14" hidden="1" x14ac:dyDescent="0.3">
      <c r="A892" t="s">
        <v>176</v>
      </c>
      <c r="B892" t="s">
        <v>505</v>
      </c>
      <c r="C892" t="s">
        <v>1285</v>
      </c>
      <c r="D892">
        <f t="shared" si="13"/>
        <v>0</v>
      </c>
      <c r="E892" t="s">
        <v>19</v>
      </c>
      <c r="F892" t="s">
        <v>2107</v>
      </c>
      <c r="G892" t="s">
        <v>322</v>
      </c>
      <c r="N892" s="107"/>
    </row>
    <row r="893" spans="1:14" hidden="1" x14ac:dyDescent="0.3">
      <c r="A893" t="s">
        <v>176</v>
      </c>
      <c r="B893" t="s">
        <v>798</v>
      </c>
      <c r="C893" t="s">
        <v>1285</v>
      </c>
      <c r="D893">
        <f t="shared" si="13"/>
        <v>0</v>
      </c>
      <c r="E893" t="s">
        <v>19</v>
      </c>
      <c r="F893" t="s">
        <v>2108</v>
      </c>
      <c r="G893" t="s">
        <v>322</v>
      </c>
      <c r="N893" s="107"/>
    </row>
    <row r="894" spans="1:14" hidden="1" x14ac:dyDescent="0.3">
      <c r="A894" t="s">
        <v>176</v>
      </c>
      <c r="B894" t="s">
        <v>506</v>
      </c>
      <c r="C894" t="s">
        <v>1285</v>
      </c>
      <c r="D894">
        <f t="shared" si="13"/>
        <v>0</v>
      </c>
      <c r="E894" t="s">
        <v>19</v>
      </c>
      <c r="F894" t="s">
        <v>2110</v>
      </c>
      <c r="G894" t="s">
        <v>322</v>
      </c>
      <c r="N894" s="107"/>
    </row>
    <row r="895" spans="1:14" hidden="1" x14ac:dyDescent="0.3">
      <c r="A895" t="s">
        <v>176</v>
      </c>
      <c r="B895" t="s">
        <v>505</v>
      </c>
      <c r="C895" t="s">
        <v>1293</v>
      </c>
      <c r="D895">
        <f t="shared" si="13"/>
        <v>0</v>
      </c>
      <c r="E895" t="s">
        <v>19</v>
      </c>
      <c r="F895" t="s">
        <v>2150</v>
      </c>
      <c r="G895" t="s">
        <v>322</v>
      </c>
      <c r="N895" s="107"/>
    </row>
    <row r="896" spans="1:14" hidden="1" x14ac:dyDescent="0.3">
      <c r="A896" t="s">
        <v>176</v>
      </c>
      <c r="B896" t="s">
        <v>706</v>
      </c>
      <c r="C896" t="s">
        <v>1294</v>
      </c>
      <c r="D896">
        <f t="shared" si="13"/>
        <v>0</v>
      </c>
      <c r="E896" t="s">
        <v>19</v>
      </c>
      <c r="F896" t="s">
        <v>1294</v>
      </c>
      <c r="G896" t="s">
        <v>322</v>
      </c>
      <c r="N896" s="107"/>
    </row>
    <row r="897" spans="1:14" hidden="1" x14ac:dyDescent="0.3">
      <c r="A897" t="s">
        <v>176</v>
      </c>
      <c r="B897" t="s">
        <v>817</v>
      </c>
      <c r="C897" t="s">
        <v>1293</v>
      </c>
      <c r="D897">
        <f t="shared" ref="D897:D960" si="14">SIGN(SUBTOTAL(3,E897))</f>
        <v>0</v>
      </c>
      <c r="E897" t="s">
        <v>19</v>
      </c>
      <c r="F897" t="s">
        <v>2157</v>
      </c>
      <c r="G897" t="s">
        <v>322</v>
      </c>
      <c r="N897" s="107"/>
    </row>
    <row r="898" spans="1:14" hidden="1" x14ac:dyDescent="0.3">
      <c r="A898" t="s">
        <v>176</v>
      </c>
      <c r="B898" t="s">
        <v>835</v>
      </c>
      <c r="C898" t="s">
        <v>1302</v>
      </c>
      <c r="D898">
        <f t="shared" si="14"/>
        <v>0</v>
      </c>
      <c r="E898" t="s">
        <v>19</v>
      </c>
      <c r="F898" t="s">
        <v>2177</v>
      </c>
      <c r="G898" t="s">
        <v>322</v>
      </c>
      <c r="N898" s="107"/>
    </row>
    <row r="899" spans="1:14" hidden="1" x14ac:dyDescent="0.3">
      <c r="A899" t="s">
        <v>176</v>
      </c>
      <c r="B899" t="s">
        <v>633</v>
      </c>
      <c r="C899" t="s">
        <v>1302</v>
      </c>
      <c r="D899">
        <f t="shared" si="14"/>
        <v>0</v>
      </c>
      <c r="E899" t="s">
        <v>19</v>
      </c>
      <c r="F899" t="s">
        <v>2178</v>
      </c>
      <c r="G899" t="s">
        <v>322</v>
      </c>
      <c r="N899" s="107"/>
    </row>
    <row r="900" spans="1:14" hidden="1" x14ac:dyDescent="0.3">
      <c r="A900" t="s">
        <v>176</v>
      </c>
      <c r="B900" t="s">
        <v>860</v>
      </c>
      <c r="C900" t="s">
        <v>1307</v>
      </c>
      <c r="D900">
        <f t="shared" si="14"/>
        <v>0</v>
      </c>
      <c r="E900" t="s">
        <v>19</v>
      </c>
      <c r="F900" t="s">
        <v>2205</v>
      </c>
      <c r="G900" t="s">
        <v>322</v>
      </c>
      <c r="N900" s="107"/>
    </row>
    <row r="901" spans="1:14" hidden="1" x14ac:dyDescent="0.3">
      <c r="A901" t="s">
        <v>176</v>
      </c>
      <c r="B901" t="s">
        <v>506</v>
      </c>
      <c r="C901" t="s">
        <v>1347</v>
      </c>
      <c r="D901">
        <f t="shared" si="14"/>
        <v>0</v>
      </c>
      <c r="E901" t="s">
        <v>19</v>
      </c>
      <c r="F901" t="s">
        <v>2284</v>
      </c>
      <c r="G901" t="s">
        <v>322</v>
      </c>
      <c r="N901" s="107"/>
    </row>
    <row r="902" spans="1:14" hidden="1" x14ac:dyDescent="0.3">
      <c r="A902" t="s">
        <v>176</v>
      </c>
      <c r="B902" t="s">
        <v>538</v>
      </c>
      <c r="C902" t="s">
        <v>1382</v>
      </c>
      <c r="D902">
        <f t="shared" si="14"/>
        <v>0</v>
      </c>
      <c r="E902" t="s">
        <v>19</v>
      </c>
      <c r="F902" t="s">
        <v>2342</v>
      </c>
      <c r="G902" t="s">
        <v>322</v>
      </c>
      <c r="N902" s="107"/>
    </row>
    <row r="903" spans="1:14" hidden="1" x14ac:dyDescent="0.3">
      <c r="A903" t="s">
        <v>176</v>
      </c>
      <c r="B903" t="s">
        <v>686</v>
      </c>
      <c r="C903" t="s">
        <v>1382</v>
      </c>
      <c r="D903">
        <f t="shared" si="14"/>
        <v>0</v>
      </c>
      <c r="E903" t="s">
        <v>19</v>
      </c>
      <c r="F903" t="s">
        <v>2344</v>
      </c>
      <c r="G903" t="s">
        <v>322</v>
      </c>
      <c r="N903" s="107"/>
    </row>
    <row r="904" spans="1:14" hidden="1" x14ac:dyDescent="0.3">
      <c r="A904" t="s">
        <v>176</v>
      </c>
      <c r="B904" t="s">
        <v>706</v>
      </c>
      <c r="C904" t="s">
        <v>1398</v>
      </c>
      <c r="D904">
        <f t="shared" si="14"/>
        <v>0</v>
      </c>
      <c r="E904" t="s">
        <v>19</v>
      </c>
      <c r="F904" t="s">
        <v>1398</v>
      </c>
      <c r="G904" t="s">
        <v>322</v>
      </c>
      <c r="N904" s="107"/>
    </row>
    <row r="905" spans="1:14" hidden="1" x14ac:dyDescent="0.3">
      <c r="A905" t="s">
        <v>176</v>
      </c>
      <c r="B905" t="s">
        <v>991</v>
      </c>
      <c r="C905" t="s">
        <v>1411</v>
      </c>
      <c r="D905">
        <f t="shared" si="14"/>
        <v>0</v>
      </c>
      <c r="E905" t="s">
        <v>19</v>
      </c>
      <c r="F905" t="s">
        <v>2443</v>
      </c>
      <c r="G905" t="s">
        <v>322</v>
      </c>
      <c r="N905" s="107"/>
    </row>
    <row r="906" spans="1:14" hidden="1" x14ac:dyDescent="0.3">
      <c r="A906" t="s">
        <v>176</v>
      </c>
      <c r="B906" t="s">
        <v>994</v>
      </c>
      <c r="C906" t="s">
        <v>1411</v>
      </c>
      <c r="D906">
        <f t="shared" si="14"/>
        <v>0</v>
      </c>
      <c r="E906" t="s">
        <v>19</v>
      </c>
      <c r="F906" t="s">
        <v>2448</v>
      </c>
      <c r="G906" t="s">
        <v>322</v>
      </c>
      <c r="N906" s="107"/>
    </row>
    <row r="907" spans="1:14" hidden="1" x14ac:dyDescent="0.3">
      <c r="A907" t="s">
        <v>176</v>
      </c>
      <c r="B907" t="s">
        <v>796</v>
      </c>
      <c r="C907" t="s">
        <v>1411</v>
      </c>
      <c r="D907">
        <f t="shared" si="14"/>
        <v>0</v>
      </c>
      <c r="E907" t="s">
        <v>19</v>
      </c>
      <c r="F907" t="s">
        <v>2449</v>
      </c>
      <c r="G907" t="s">
        <v>322</v>
      </c>
      <c r="N907" s="107"/>
    </row>
    <row r="908" spans="1:14" hidden="1" x14ac:dyDescent="0.3">
      <c r="A908" t="s">
        <v>176</v>
      </c>
      <c r="B908" t="s">
        <v>995</v>
      </c>
      <c r="C908" t="s">
        <v>1411</v>
      </c>
      <c r="D908">
        <f t="shared" si="14"/>
        <v>0</v>
      </c>
      <c r="E908" t="s">
        <v>19</v>
      </c>
      <c r="F908" t="s">
        <v>2450</v>
      </c>
      <c r="G908" t="s">
        <v>322</v>
      </c>
      <c r="N908" s="107"/>
    </row>
    <row r="909" spans="1:14" hidden="1" x14ac:dyDescent="0.3">
      <c r="A909" t="s">
        <v>176</v>
      </c>
      <c r="B909" t="s">
        <v>505</v>
      </c>
      <c r="C909" t="s">
        <v>1411</v>
      </c>
      <c r="D909">
        <f t="shared" si="14"/>
        <v>0</v>
      </c>
      <c r="E909" t="s">
        <v>19</v>
      </c>
      <c r="F909" t="s">
        <v>2452</v>
      </c>
      <c r="G909" t="s">
        <v>322</v>
      </c>
      <c r="N909" s="107"/>
    </row>
    <row r="910" spans="1:14" hidden="1" x14ac:dyDescent="0.3">
      <c r="A910" t="s">
        <v>176</v>
      </c>
      <c r="B910" t="s">
        <v>1000</v>
      </c>
      <c r="C910" t="s">
        <v>1411</v>
      </c>
      <c r="D910">
        <f t="shared" si="14"/>
        <v>0</v>
      </c>
      <c r="E910" t="s">
        <v>19</v>
      </c>
      <c r="F910" t="s">
        <v>2462</v>
      </c>
      <c r="G910" t="s">
        <v>322</v>
      </c>
      <c r="N910" s="107"/>
    </row>
    <row r="911" spans="1:14" hidden="1" x14ac:dyDescent="0.3">
      <c r="A911" t="s">
        <v>176</v>
      </c>
      <c r="B911" t="s">
        <v>178</v>
      </c>
      <c r="C911" t="s">
        <v>1414</v>
      </c>
      <c r="D911">
        <f t="shared" si="14"/>
        <v>0</v>
      </c>
      <c r="E911" t="s">
        <v>19</v>
      </c>
      <c r="F911" t="s">
        <v>2473</v>
      </c>
      <c r="G911" t="s">
        <v>322</v>
      </c>
      <c r="N911" s="107"/>
    </row>
    <row r="912" spans="1:14" hidden="1" x14ac:dyDescent="0.3">
      <c r="A912" t="s">
        <v>176</v>
      </c>
      <c r="B912" t="s">
        <v>685</v>
      </c>
      <c r="C912" t="s">
        <v>1414</v>
      </c>
      <c r="D912">
        <f t="shared" si="14"/>
        <v>0</v>
      </c>
      <c r="E912" t="s">
        <v>19</v>
      </c>
      <c r="F912" t="s">
        <v>2477</v>
      </c>
      <c r="G912" t="s">
        <v>322</v>
      </c>
      <c r="N912" s="107"/>
    </row>
    <row r="913" spans="1:14" hidden="1" x14ac:dyDescent="0.3">
      <c r="A913" t="s">
        <v>176</v>
      </c>
      <c r="B913" t="s">
        <v>1006</v>
      </c>
      <c r="C913" t="s">
        <v>1414</v>
      </c>
      <c r="D913">
        <f t="shared" si="14"/>
        <v>0</v>
      </c>
      <c r="E913" t="s">
        <v>19</v>
      </c>
      <c r="F913" t="s">
        <v>2482</v>
      </c>
      <c r="G913" t="s">
        <v>322</v>
      </c>
      <c r="N913" s="107"/>
    </row>
    <row r="914" spans="1:14" hidden="1" x14ac:dyDescent="0.3">
      <c r="A914" t="s">
        <v>176</v>
      </c>
      <c r="B914" t="s">
        <v>506</v>
      </c>
      <c r="C914" t="s">
        <v>1414</v>
      </c>
      <c r="D914">
        <f t="shared" si="14"/>
        <v>0</v>
      </c>
      <c r="E914" t="s">
        <v>19</v>
      </c>
      <c r="F914" t="s">
        <v>2483</v>
      </c>
      <c r="G914" t="s">
        <v>322</v>
      </c>
      <c r="N914" s="107"/>
    </row>
    <row r="915" spans="1:14" hidden="1" x14ac:dyDescent="0.3">
      <c r="A915" t="s">
        <v>176</v>
      </c>
      <c r="B915" t="s">
        <v>506</v>
      </c>
      <c r="C915" t="s">
        <v>1414</v>
      </c>
      <c r="D915">
        <f t="shared" si="14"/>
        <v>0</v>
      </c>
      <c r="E915" t="s">
        <v>19</v>
      </c>
      <c r="F915" t="s">
        <v>2484</v>
      </c>
      <c r="G915" t="s">
        <v>322</v>
      </c>
      <c r="N915" s="107"/>
    </row>
    <row r="916" spans="1:14" hidden="1" x14ac:dyDescent="0.3">
      <c r="A916" t="s">
        <v>176</v>
      </c>
      <c r="B916" t="s">
        <v>538</v>
      </c>
      <c r="C916" t="s">
        <v>1414</v>
      </c>
      <c r="D916">
        <f t="shared" si="14"/>
        <v>0</v>
      </c>
      <c r="E916" t="s">
        <v>19</v>
      </c>
      <c r="F916" t="s">
        <v>2485</v>
      </c>
      <c r="G916" t="s">
        <v>322</v>
      </c>
      <c r="N916" s="107"/>
    </row>
    <row r="917" spans="1:14" hidden="1" x14ac:dyDescent="0.3">
      <c r="A917" t="s">
        <v>176</v>
      </c>
      <c r="B917" t="s">
        <v>1008</v>
      </c>
      <c r="C917" t="s">
        <v>1414</v>
      </c>
      <c r="D917">
        <f t="shared" si="14"/>
        <v>0</v>
      </c>
      <c r="E917" t="s">
        <v>19</v>
      </c>
      <c r="F917" t="s">
        <v>2487</v>
      </c>
      <c r="G917" t="s">
        <v>322</v>
      </c>
      <c r="N917" s="107"/>
    </row>
    <row r="918" spans="1:14" hidden="1" x14ac:dyDescent="0.3">
      <c r="A918" t="s">
        <v>176</v>
      </c>
      <c r="B918" t="s">
        <v>652</v>
      </c>
      <c r="C918" t="s">
        <v>1414</v>
      </c>
      <c r="D918">
        <f t="shared" si="14"/>
        <v>0</v>
      </c>
      <c r="E918" t="s">
        <v>19</v>
      </c>
      <c r="F918" t="s">
        <v>2492</v>
      </c>
      <c r="G918" t="s">
        <v>322</v>
      </c>
      <c r="N918" s="107"/>
    </row>
    <row r="919" spans="1:14" hidden="1" x14ac:dyDescent="0.3">
      <c r="A919" t="s">
        <v>176</v>
      </c>
      <c r="B919" t="s">
        <v>1010</v>
      </c>
      <c r="C919" t="s">
        <v>1414</v>
      </c>
      <c r="D919">
        <f t="shared" si="14"/>
        <v>0</v>
      </c>
      <c r="E919" t="s">
        <v>19</v>
      </c>
      <c r="F919" t="s">
        <v>2498</v>
      </c>
      <c r="G919" t="s">
        <v>322</v>
      </c>
      <c r="N919" s="107"/>
    </row>
    <row r="920" spans="1:14" hidden="1" x14ac:dyDescent="0.3">
      <c r="A920" t="s">
        <v>176</v>
      </c>
      <c r="B920" t="s">
        <v>506</v>
      </c>
      <c r="C920" t="s">
        <v>1461</v>
      </c>
      <c r="D920">
        <f t="shared" si="14"/>
        <v>0</v>
      </c>
      <c r="E920" t="s">
        <v>19</v>
      </c>
      <c r="F920" t="s">
        <v>2650</v>
      </c>
      <c r="G920" t="s">
        <v>322</v>
      </c>
      <c r="N920" s="107"/>
    </row>
    <row r="921" spans="1:14" hidden="1" x14ac:dyDescent="0.3">
      <c r="A921" t="s">
        <v>176</v>
      </c>
      <c r="B921" t="s">
        <v>686</v>
      </c>
      <c r="C921" t="s">
        <v>1463</v>
      </c>
      <c r="D921">
        <f t="shared" si="14"/>
        <v>0</v>
      </c>
      <c r="E921" t="s">
        <v>19</v>
      </c>
      <c r="F921" t="s">
        <v>2677</v>
      </c>
      <c r="G921" t="s">
        <v>322</v>
      </c>
      <c r="N921" s="107"/>
    </row>
    <row r="922" spans="1:14" hidden="1" x14ac:dyDescent="0.3">
      <c r="A922" t="s">
        <v>176</v>
      </c>
      <c r="B922" t="s">
        <v>706</v>
      </c>
      <c r="C922" t="s">
        <v>1463</v>
      </c>
      <c r="D922">
        <f t="shared" si="14"/>
        <v>0</v>
      </c>
      <c r="E922" t="s">
        <v>19</v>
      </c>
      <c r="F922" t="s">
        <v>2678</v>
      </c>
      <c r="G922" t="s">
        <v>322</v>
      </c>
      <c r="N922" s="107"/>
    </row>
    <row r="923" spans="1:14" hidden="1" x14ac:dyDescent="0.3">
      <c r="A923" t="s">
        <v>176</v>
      </c>
      <c r="B923" t="s">
        <v>1111</v>
      </c>
      <c r="C923" t="s">
        <v>1509</v>
      </c>
      <c r="D923">
        <f t="shared" si="14"/>
        <v>0</v>
      </c>
      <c r="E923" t="s">
        <v>19</v>
      </c>
      <c r="F923" t="s">
        <v>2777</v>
      </c>
      <c r="G923" t="s">
        <v>322</v>
      </c>
      <c r="N923" s="107"/>
    </row>
    <row r="924" spans="1:14" hidden="1" x14ac:dyDescent="0.3">
      <c r="A924" t="s">
        <v>176</v>
      </c>
      <c r="B924" t="s">
        <v>1119</v>
      </c>
      <c r="C924" t="s">
        <v>1513</v>
      </c>
      <c r="D924">
        <f t="shared" si="14"/>
        <v>0</v>
      </c>
      <c r="E924" t="s">
        <v>19</v>
      </c>
      <c r="F924" t="s">
        <v>2810</v>
      </c>
      <c r="G924" t="s">
        <v>322</v>
      </c>
      <c r="N924" s="107"/>
    </row>
    <row r="925" spans="1:14" hidden="1" x14ac:dyDescent="0.3">
      <c r="A925" t="s">
        <v>177</v>
      </c>
      <c r="B925" t="s">
        <v>575</v>
      </c>
      <c r="C925" t="s">
        <v>1173</v>
      </c>
      <c r="D925">
        <f t="shared" si="14"/>
        <v>0</v>
      </c>
      <c r="E925" t="s">
        <v>19</v>
      </c>
      <c r="F925" t="s">
        <v>1173</v>
      </c>
      <c r="G925" t="s">
        <v>322</v>
      </c>
      <c r="N925" s="107"/>
    </row>
    <row r="926" spans="1:14" hidden="1" x14ac:dyDescent="0.3">
      <c r="A926" t="s">
        <v>177</v>
      </c>
      <c r="B926" t="s">
        <v>581</v>
      </c>
      <c r="C926" t="s">
        <v>1172</v>
      </c>
      <c r="D926">
        <f t="shared" si="14"/>
        <v>0</v>
      </c>
      <c r="E926" t="s">
        <v>19</v>
      </c>
      <c r="F926" t="s">
        <v>1767</v>
      </c>
      <c r="G926" t="s">
        <v>322</v>
      </c>
      <c r="N926" s="107"/>
    </row>
    <row r="927" spans="1:14" hidden="1" x14ac:dyDescent="0.3">
      <c r="A927" t="s">
        <v>177</v>
      </c>
      <c r="B927" t="s">
        <v>575</v>
      </c>
      <c r="C927" t="s">
        <v>1175</v>
      </c>
      <c r="D927">
        <f t="shared" si="14"/>
        <v>0</v>
      </c>
      <c r="E927" t="s">
        <v>19</v>
      </c>
      <c r="F927" t="s">
        <v>1791</v>
      </c>
      <c r="G927" t="s">
        <v>322</v>
      </c>
      <c r="N927" s="107"/>
    </row>
    <row r="928" spans="1:14" hidden="1" x14ac:dyDescent="0.3">
      <c r="A928" t="s">
        <v>177</v>
      </c>
      <c r="B928" t="s">
        <v>575</v>
      </c>
      <c r="C928" t="s">
        <v>1175</v>
      </c>
      <c r="D928">
        <f t="shared" si="14"/>
        <v>0</v>
      </c>
      <c r="E928" t="s">
        <v>19</v>
      </c>
      <c r="F928" t="s">
        <v>1792</v>
      </c>
      <c r="G928" t="s">
        <v>322</v>
      </c>
      <c r="N928" s="107"/>
    </row>
    <row r="929" spans="1:14" hidden="1" x14ac:dyDescent="0.3">
      <c r="A929" t="s">
        <v>177</v>
      </c>
      <c r="B929" t="s">
        <v>599</v>
      </c>
      <c r="C929" t="s">
        <v>1175</v>
      </c>
      <c r="D929">
        <f t="shared" si="14"/>
        <v>0</v>
      </c>
      <c r="E929" t="s">
        <v>19</v>
      </c>
      <c r="F929" t="s">
        <v>1793</v>
      </c>
      <c r="G929" t="s">
        <v>322</v>
      </c>
      <c r="N929" s="107"/>
    </row>
    <row r="930" spans="1:14" hidden="1" x14ac:dyDescent="0.3">
      <c r="A930" t="s">
        <v>177</v>
      </c>
      <c r="B930" t="s">
        <v>599</v>
      </c>
      <c r="C930" t="s">
        <v>1175</v>
      </c>
      <c r="D930">
        <f t="shared" si="14"/>
        <v>0</v>
      </c>
      <c r="E930" t="s">
        <v>19</v>
      </c>
      <c r="F930" t="s">
        <v>1794</v>
      </c>
      <c r="G930" t="s">
        <v>322</v>
      </c>
      <c r="N930" s="107"/>
    </row>
    <row r="931" spans="1:14" hidden="1" x14ac:dyDescent="0.3">
      <c r="A931" t="s">
        <v>177</v>
      </c>
      <c r="B931" t="s">
        <v>507</v>
      </c>
      <c r="C931" t="s">
        <v>1251</v>
      </c>
      <c r="D931">
        <f t="shared" si="14"/>
        <v>0</v>
      </c>
      <c r="E931" t="s">
        <v>19</v>
      </c>
      <c r="F931" t="s">
        <v>2029</v>
      </c>
      <c r="G931" t="s">
        <v>322</v>
      </c>
      <c r="N931" s="107"/>
    </row>
    <row r="932" spans="1:14" hidden="1" x14ac:dyDescent="0.3">
      <c r="A932" t="s">
        <v>177</v>
      </c>
      <c r="B932" t="s">
        <v>754</v>
      </c>
      <c r="C932" t="s">
        <v>1251</v>
      </c>
      <c r="D932">
        <f t="shared" si="14"/>
        <v>0</v>
      </c>
      <c r="E932" t="s">
        <v>19</v>
      </c>
      <c r="F932" t="s">
        <v>2039</v>
      </c>
      <c r="G932" t="s">
        <v>322</v>
      </c>
      <c r="N932" s="107"/>
    </row>
    <row r="933" spans="1:14" hidden="1" x14ac:dyDescent="0.3">
      <c r="A933" t="s">
        <v>177</v>
      </c>
      <c r="B933" t="s">
        <v>759</v>
      </c>
      <c r="C933" t="s">
        <v>1251</v>
      </c>
      <c r="D933">
        <f t="shared" si="14"/>
        <v>0</v>
      </c>
      <c r="E933" t="s">
        <v>19</v>
      </c>
      <c r="F933" t="s">
        <v>2046</v>
      </c>
      <c r="G933" t="s">
        <v>322</v>
      </c>
      <c r="N933" s="107"/>
    </row>
    <row r="934" spans="1:14" hidden="1" x14ac:dyDescent="0.3">
      <c r="A934" t="s">
        <v>177</v>
      </c>
      <c r="B934" t="s">
        <v>764</v>
      </c>
      <c r="C934" t="s">
        <v>1251</v>
      </c>
      <c r="D934">
        <f t="shared" si="14"/>
        <v>0</v>
      </c>
      <c r="E934" t="s">
        <v>19</v>
      </c>
      <c r="F934" t="s">
        <v>2056</v>
      </c>
      <c r="G934" t="s">
        <v>322</v>
      </c>
      <c r="N934" s="107"/>
    </row>
    <row r="935" spans="1:14" hidden="1" x14ac:dyDescent="0.3">
      <c r="A935" t="s">
        <v>177</v>
      </c>
      <c r="B935" t="s">
        <v>783</v>
      </c>
      <c r="C935" t="s">
        <v>1267</v>
      </c>
      <c r="D935">
        <f t="shared" si="14"/>
        <v>0</v>
      </c>
      <c r="E935" t="s">
        <v>19</v>
      </c>
      <c r="F935" t="s">
        <v>1267</v>
      </c>
      <c r="G935" t="s">
        <v>322</v>
      </c>
      <c r="N935" s="107"/>
    </row>
    <row r="936" spans="1:14" hidden="1" x14ac:dyDescent="0.3">
      <c r="A936" t="s">
        <v>177</v>
      </c>
      <c r="B936" t="s">
        <v>937</v>
      </c>
      <c r="C936" t="s">
        <v>1377</v>
      </c>
      <c r="D936">
        <f t="shared" si="14"/>
        <v>0</v>
      </c>
      <c r="E936" t="s">
        <v>19</v>
      </c>
      <c r="F936" t="s">
        <v>1377</v>
      </c>
      <c r="G936" t="s">
        <v>322</v>
      </c>
      <c r="N936" s="107"/>
    </row>
    <row r="937" spans="1:14" hidden="1" x14ac:dyDescent="0.3">
      <c r="A937" t="s">
        <v>177</v>
      </c>
      <c r="B937" t="s">
        <v>508</v>
      </c>
      <c r="C937" t="s">
        <v>1404</v>
      </c>
      <c r="D937">
        <f t="shared" si="14"/>
        <v>0</v>
      </c>
      <c r="E937" t="s">
        <v>19</v>
      </c>
      <c r="F937" t="s">
        <v>2409</v>
      </c>
      <c r="G937" t="s">
        <v>322</v>
      </c>
      <c r="N937" s="107"/>
    </row>
    <row r="938" spans="1:14" hidden="1" x14ac:dyDescent="0.3">
      <c r="A938" t="s">
        <v>177</v>
      </c>
      <c r="B938" t="s">
        <v>970</v>
      </c>
      <c r="C938" t="s">
        <v>1404</v>
      </c>
      <c r="D938">
        <f t="shared" si="14"/>
        <v>0</v>
      </c>
      <c r="E938" t="s">
        <v>19</v>
      </c>
      <c r="F938" t="s">
        <v>2411</v>
      </c>
      <c r="G938" t="s">
        <v>322</v>
      </c>
      <c r="N938" s="107"/>
    </row>
    <row r="939" spans="1:14" hidden="1" x14ac:dyDescent="0.3">
      <c r="A939" t="s">
        <v>177</v>
      </c>
      <c r="B939" t="s">
        <v>974</v>
      </c>
      <c r="C939" t="s">
        <v>1404</v>
      </c>
      <c r="D939">
        <f t="shared" si="14"/>
        <v>0</v>
      </c>
      <c r="E939" t="s">
        <v>19</v>
      </c>
      <c r="F939" t="s">
        <v>2416</v>
      </c>
      <c r="G939" t="s">
        <v>322</v>
      </c>
      <c r="N939" s="107"/>
    </row>
    <row r="940" spans="1:14" hidden="1" x14ac:dyDescent="0.3">
      <c r="A940" t="s">
        <v>177</v>
      </c>
      <c r="B940" t="s">
        <v>507</v>
      </c>
      <c r="C940" t="s">
        <v>1404</v>
      </c>
      <c r="D940">
        <f t="shared" si="14"/>
        <v>0</v>
      </c>
      <c r="E940" t="s">
        <v>19</v>
      </c>
      <c r="F940" t="s">
        <v>2418</v>
      </c>
      <c r="G940" t="s">
        <v>322</v>
      </c>
      <c r="N940" s="107"/>
    </row>
    <row r="941" spans="1:14" hidden="1" x14ac:dyDescent="0.3">
      <c r="A941" t="s">
        <v>177</v>
      </c>
      <c r="B941" t="s">
        <v>575</v>
      </c>
      <c r="C941" t="s">
        <v>1443</v>
      </c>
      <c r="D941">
        <f t="shared" si="14"/>
        <v>0</v>
      </c>
      <c r="E941" t="s">
        <v>19</v>
      </c>
      <c r="F941" t="s">
        <v>2596</v>
      </c>
      <c r="G941" t="s">
        <v>322</v>
      </c>
      <c r="N941" s="107"/>
    </row>
    <row r="942" spans="1:14" hidden="1" x14ac:dyDescent="0.3">
      <c r="A942" t="s">
        <v>177</v>
      </c>
      <c r="B942" t="s">
        <v>507</v>
      </c>
      <c r="C942" t="s">
        <v>1462</v>
      </c>
      <c r="D942">
        <f t="shared" si="14"/>
        <v>0</v>
      </c>
      <c r="E942" t="s">
        <v>19</v>
      </c>
      <c r="F942" t="s">
        <v>2671</v>
      </c>
      <c r="G942" t="s">
        <v>322</v>
      </c>
      <c r="N942" s="107"/>
    </row>
    <row r="943" spans="1:14" hidden="1" x14ac:dyDescent="0.3">
      <c r="A943" t="s">
        <v>177</v>
      </c>
      <c r="B943" t="s">
        <v>508</v>
      </c>
      <c r="C943" t="s">
        <v>1470</v>
      </c>
      <c r="D943">
        <f t="shared" si="14"/>
        <v>0</v>
      </c>
      <c r="E943" t="s">
        <v>19</v>
      </c>
      <c r="F943" t="s">
        <v>2683</v>
      </c>
      <c r="G943" t="s">
        <v>322</v>
      </c>
      <c r="N943" s="107"/>
    </row>
    <row r="944" spans="1:14" hidden="1" x14ac:dyDescent="0.3">
      <c r="A944" t="s">
        <v>177</v>
      </c>
      <c r="B944" t="s">
        <v>507</v>
      </c>
      <c r="C944" t="s">
        <v>1509</v>
      </c>
      <c r="D944">
        <f t="shared" si="14"/>
        <v>0</v>
      </c>
      <c r="E944" t="s">
        <v>19</v>
      </c>
      <c r="F944" t="s">
        <v>2778</v>
      </c>
      <c r="G944" t="s">
        <v>322</v>
      </c>
      <c r="N944" s="107"/>
    </row>
    <row r="945" spans="1:14" hidden="1" x14ac:dyDescent="0.3">
      <c r="A945" t="s">
        <v>177</v>
      </c>
      <c r="B945" t="s">
        <v>507</v>
      </c>
      <c r="C945" t="s">
        <v>1513</v>
      </c>
      <c r="D945">
        <f t="shared" si="14"/>
        <v>0</v>
      </c>
      <c r="E945" t="s">
        <v>19</v>
      </c>
      <c r="F945" t="s">
        <v>2813</v>
      </c>
      <c r="G945" t="s">
        <v>322</v>
      </c>
      <c r="N945" s="107"/>
    </row>
    <row r="946" spans="1:14" x14ac:dyDescent="0.3">
      <c r="A946" t="s">
        <v>178</v>
      </c>
      <c r="B946" t="s">
        <v>510</v>
      </c>
      <c r="C946" t="s">
        <v>1144</v>
      </c>
      <c r="D946">
        <f t="shared" si="14"/>
        <v>1</v>
      </c>
      <c r="E946" t="s">
        <v>19</v>
      </c>
      <c r="F946" t="s">
        <v>1144</v>
      </c>
      <c r="G946" t="s">
        <v>322</v>
      </c>
      <c r="N946" s="107"/>
    </row>
    <row r="947" spans="1:14" x14ac:dyDescent="0.3">
      <c r="A947" t="s">
        <v>178</v>
      </c>
      <c r="B947" t="s">
        <v>510</v>
      </c>
      <c r="C947" t="s">
        <v>1185</v>
      </c>
      <c r="D947">
        <f t="shared" si="14"/>
        <v>1</v>
      </c>
      <c r="E947" t="s">
        <v>19</v>
      </c>
      <c r="F947" t="s">
        <v>1844</v>
      </c>
      <c r="G947" t="s">
        <v>322</v>
      </c>
      <c r="N947" s="107"/>
    </row>
    <row r="948" spans="1:14" x14ac:dyDescent="0.3">
      <c r="A948" t="s">
        <v>178</v>
      </c>
      <c r="B948" t="s">
        <v>510</v>
      </c>
      <c r="C948" t="s">
        <v>1251</v>
      </c>
      <c r="D948">
        <f t="shared" si="14"/>
        <v>1</v>
      </c>
      <c r="E948" t="s">
        <v>19</v>
      </c>
      <c r="F948" t="s">
        <v>2041</v>
      </c>
      <c r="G948" t="s">
        <v>322</v>
      </c>
      <c r="N948" s="107"/>
    </row>
    <row r="949" spans="1:14" x14ac:dyDescent="0.3">
      <c r="A949" t="s">
        <v>178</v>
      </c>
      <c r="B949" t="s">
        <v>510</v>
      </c>
      <c r="C949" t="s">
        <v>1252</v>
      </c>
      <c r="D949">
        <f t="shared" si="14"/>
        <v>1</v>
      </c>
      <c r="E949" t="s">
        <v>19</v>
      </c>
      <c r="F949" t="s">
        <v>2047</v>
      </c>
      <c r="G949" t="s">
        <v>322</v>
      </c>
      <c r="N949" s="107"/>
    </row>
    <row r="950" spans="1:14" x14ac:dyDescent="0.3">
      <c r="A950" t="s">
        <v>178</v>
      </c>
      <c r="B950" t="s">
        <v>893</v>
      </c>
      <c r="C950" t="s">
        <v>1329</v>
      </c>
      <c r="D950">
        <f t="shared" si="14"/>
        <v>1</v>
      </c>
      <c r="E950" t="s">
        <v>19</v>
      </c>
      <c r="F950" t="s">
        <v>2250</v>
      </c>
      <c r="G950" t="s">
        <v>322</v>
      </c>
      <c r="N950" s="107"/>
    </row>
    <row r="951" spans="1:14" x14ac:dyDescent="0.3">
      <c r="A951" t="s">
        <v>178</v>
      </c>
      <c r="B951" t="s">
        <v>510</v>
      </c>
      <c r="C951" t="s">
        <v>1341</v>
      </c>
      <c r="D951">
        <f t="shared" si="14"/>
        <v>1</v>
      </c>
      <c r="E951" t="s">
        <v>19</v>
      </c>
      <c r="F951" t="s">
        <v>1341</v>
      </c>
      <c r="G951" t="s">
        <v>322</v>
      </c>
      <c r="N951" s="107"/>
    </row>
    <row r="952" spans="1:14" x14ac:dyDescent="0.3">
      <c r="A952" t="s">
        <v>178</v>
      </c>
      <c r="B952" t="s">
        <v>509</v>
      </c>
      <c r="C952" t="s">
        <v>1378</v>
      </c>
      <c r="D952">
        <f t="shared" si="14"/>
        <v>1</v>
      </c>
      <c r="E952" t="s">
        <v>19</v>
      </c>
      <c r="F952" t="s">
        <v>2318</v>
      </c>
      <c r="G952" t="s">
        <v>322</v>
      </c>
      <c r="N952" s="107"/>
    </row>
    <row r="953" spans="1:14" x14ac:dyDescent="0.3">
      <c r="A953" t="s">
        <v>178</v>
      </c>
      <c r="B953" t="s">
        <v>510</v>
      </c>
      <c r="C953" t="s">
        <v>1388</v>
      </c>
      <c r="D953">
        <f t="shared" si="14"/>
        <v>1</v>
      </c>
      <c r="E953" t="s">
        <v>19</v>
      </c>
      <c r="F953" t="s">
        <v>1388</v>
      </c>
      <c r="G953" t="s">
        <v>322</v>
      </c>
      <c r="N953" s="107"/>
    </row>
    <row r="954" spans="1:14" x14ac:dyDescent="0.3">
      <c r="A954" t="s">
        <v>178</v>
      </c>
      <c r="B954" t="s">
        <v>510</v>
      </c>
      <c r="C954" t="s">
        <v>1423</v>
      </c>
      <c r="D954">
        <f t="shared" si="14"/>
        <v>1</v>
      </c>
      <c r="E954" t="s">
        <v>19</v>
      </c>
      <c r="F954" t="s">
        <v>1423</v>
      </c>
      <c r="G954" t="s">
        <v>322</v>
      </c>
      <c r="N954" s="107"/>
    </row>
    <row r="955" spans="1:14" x14ac:dyDescent="0.3">
      <c r="A955" t="s">
        <v>178</v>
      </c>
      <c r="B955" t="s">
        <v>510</v>
      </c>
      <c r="C955" t="s">
        <v>1443</v>
      </c>
      <c r="D955">
        <f t="shared" si="14"/>
        <v>1</v>
      </c>
      <c r="E955" t="s">
        <v>19</v>
      </c>
      <c r="F955" t="s">
        <v>2575</v>
      </c>
      <c r="G955" t="s">
        <v>322</v>
      </c>
      <c r="N955" s="107"/>
    </row>
    <row r="956" spans="1:14" x14ac:dyDescent="0.3">
      <c r="A956" t="s">
        <v>178</v>
      </c>
      <c r="B956" t="s">
        <v>510</v>
      </c>
      <c r="C956" t="s">
        <v>1478</v>
      </c>
      <c r="D956">
        <f t="shared" si="14"/>
        <v>1</v>
      </c>
      <c r="E956" t="s">
        <v>19</v>
      </c>
      <c r="F956" t="s">
        <v>2686</v>
      </c>
      <c r="G956" t="s">
        <v>322</v>
      </c>
      <c r="N956" s="107"/>
    </row>
    <row r="957" spans="1:14" x14ac:dyDescent="0.3">
      <c r="A957" t="s">
        <v>178</v>
      </c>
      <c r="B957" t="s">
        <v>1104</v>
      </c>
      <c r="C957" t="s">
        <v>1505</v>
      </c>
      <c r="D957">
        <f t="shared" si="14"/>
        <v>1</v>
      </c>
      <c r="E957" t="s">
        <v>19</v>
      </c>
      <c r="F957" t="s">
        <v>2751</v>
      </c>
      <c r="G957" t="s">
        <v>322</v>
      </c>
      <c r="N957" s="107"/>
    </row>
    <row r="958" spans="1:14" x14ac:dyDescent="0.3">
      <c r="A958" t="s">
        <v>178</v>
      </c>
      <c r="B958" t="s">
        <v>510</v>
      </c>
      <c r="C958" t="s">
        <v>1513</v>
      </c>
      <c r="D958">
        <f t="shared" si="14"/>
        <v>1</v>
      </c>
      <c r="E958" t="s">
        <v>19</v>
      </c>
      <c r="F958" t="s">
        <v>2809</v>
      </c>
      <c r="G958" t="s">
        <v>322</v>
      </c>
      <c r="N958" s="107"/>
    </row>
    <row r="959" spans="1:14" x14ac:dyDescent="0.3">
      <c r="A959" t="s">
        <v>178</v>
      </c>
      <c r="B959" t="s">
        <v>510</v>
      </c>
      <c r="C959" t="s">
        <v>1540</v>
      </c>
      <c r="D959">
        <f t="shared" si="14"/>
        <v>1</v>
      </c>
      <c r="E959" t="s">
        <v>19</v>
      </c>
      <c r="F959" t="s">
        <v>1540</v>
      </c>
      <c r="G959" t="s">
        <v>322</v>
      </c>
      <c r="N959" s="107"/>
    </row>
    <row r="960" spans="1:14" hidden="1" x14ac:dyDescent="0.3">
      <c r="A960" t="s">
        <v>179</v>
      </c>
      <c r="B960" t="s">
        <v>539</v>
      </c>
      <c r="C960" t="s">
        <v>1136</v>
      </c>
      <c r="D960">
        <f t="shared" si="14"/>
        <v>0</v>
      </c>
      <c r="E960" t="s">
        <v>19</v>
      </c>
      <c r="F960" t="s">
        <v>1728</v>
      </c>
      <c r="G960" t="s">
        <v>322</v>
      </c>
      <c r="N960" s="107"/>
    </row>
    <row r="961" spans="1:14" hidden="1" x14ac:dyDescent="0.3">
      <c r="A961" t="s">
        <v>179</v>
      </c>
      <c r="B961" t="s">
        <v>511</v>
      </c>
      <c r="C961" t="s">
        <v>1183</v>
      </c>
      <c r="D961">
        <f t="shared" ref="D961:D1024" si="15">SIGN(SUBTOTAL(3,E961))</f>
        <v>0</v>
      </c>
      <c r="E961" t="s">
        <v>19</v>
      </c>
      <c r="F961" t="s">
        <v>1183</v>
      </c>
      <c r="G961" t="s">
        <v>322</v>
      </c>
      <c r="N961" s="107"/>
    </row>
    <row r="962" spans="1:14" hidden="1" x14ac:dyDescent="0.3">
      <c r="A962" t="s">
        <v>179</v>
      </c>
      <c r="B962" t="s">
        <v>630</v>
      </c>
      <c r="C962" t="s">
        <v>1184</v>
      </c>
      <c r="D962">
        <f t="shared" si="15"/>
        <v>0</v>
      </c>
      <c r="E962" t="s">
        <v>19</v>
      </c>
      <c r="F962" t="s">
        <v>1832</v>
      </c>
      <c r="G962" t="s">
        <v>322</v>
      </c>
      <c r="N962" s="107"/>
    </row>
    <row r="963" spans="1:14" hidden="1" x14ac:dyDescent="0.3">
      <c r="A963" t="s">
        <v>179</v>
      </c>
      <c r="B963" t="s">
        <v>631</v>
      </c>
      <c r="C963" t="s">
        <v>1184</v>
      </c>
      <c r="D963">
        <f t="shared" si="15"/>
        <v>0</v>
      </c>
      <c r="E963" t="s">
        <v>19</v>
      </c>
      <c r="F963" t="s">
        <v>1833</v>
      </c>
      <c r="G963" t="s">
        <v>322</v>
      </c>
      <c r="N963" s="107"/>
    </row>
    <row r="964" spans="1:14" hidden="1" x14ac:dyDescent="0.3">
      <c r="A964" t="s">
        <v>179</v>
      </c>
      <c r="B964" t="s">
        <v>632</v>
      </c>
      <c r="C964" t="s">
        <v>1184</v>
      </c>
      <c r="D964">
        <f t="shared" si="15"/>
        <v>0</v>
      </c>
      <c r="E964" t="s">
        <v>19</v>
      </c>
      <c r="F964" t="s">
        <v>1834</v>
      </c>
      <c r="G964" t="s">
        <v>322</v>
      </c>
      <c r="N964" s="107"/>
    </row>
    <row r="965" spans="1:14" hidden="1" x14ac:dyDescent="0.3">
      <c r="A965" t="s">
        <v>179</v>
      </c>
      <c r="B965" t="s">
        <v>633</v>
      </c>
      <c r="C965" t="s">
        <v>1184</v>
      </c>
      <c r="D965">
        <f t="shared" si="15"/>
        <v>0</v>
      </c>
      <c r="E965" t="s">
        <v>19</v>
      </c>
      <c r="F965" t="s">
        <v>1835</v>
      </c>
      <c r="G965" t="s">
        <v>322</v>
      </c>
      <c r="N965" s="107"/>
    </row>
    <row r="966" spans="1:14" hidden="1" x14ac:dyDescent="0.3">
      <c r="A966" t="s">
        <v>179</v>
      </c>
      <c r="B966" t="s">
        <v>514</v>
      </c>
      <c r="C966" t="s">
        <v>1184</v>
      </c>
      <c r="D966">
        <f t="shared" si="15"/>
        <v>0</v>
      </c>
      <c r="E966" t="s">
        <v>19</v>
      </c>
      <c r="F966" t="s">
        <v>1836</v>
      </c>
      <c r="G966" t="s">
        <v>322</v>
      </c>
      <c r="N966" s="107"/>
    </row>
    <row r="967" spans="1:14" hidden="1" x14ac:dyDescent="0.3">
      <c r="A967" t="s">
        <v>179</v>
      </c>
      <c r="B967" t="s">
        <v>634</v>
      </c>
      <c r="C967" t="s">
        <v>1184</v>
      </c>
      <c r="D967">
        <f t="shared" si="15"/>
        <v>0</v>
      </c>
      <c r="E967" t="s">
        <v>19</v>
      </c>
      <c r="F967" t="s">
        <v>1837</v>
      </c>
      <c r="G967" t="s">
        <v>322</v>
      </c>
      <c r="N967" s="107"/>
    </row>
    <row r="968" spans="1:14" hidden="1" x14ac:dyDescent="0.3">
      <c r="A968" t="s">
        <v>179</v>
      </c>
      <c r="B968" t="s">
        <v>635</v>
      </c>
      <c r="C968" t="s">
        <v>1184</v>
      </c>
      <c r="D968">
        <f t="shared" si="15"/>
        <v>0</v>
      </c>
      <c r="E968" t="s">
        <v>19</v>
      </c>
      <c r="F968" t="s">
        <v>1838</v>
      </c>
      <c r="G968" t="s">
        <v>322</v>
      </c>
      <c r="N968" s="107"/>
    </row>
    <row r="969" spans="1:14" hidden="1" x14ac:dyDescent="0.3">
      <c r="A969" t="s">
        <v>179</v>
      </c>
      <c r="B969" t="s">
        <v>636</v>
      </c>
      <c r="C969" t="s">
        <v>1184</v>
      </c>
      <c r="D969">
        <f t="shared" si="15"/>
        <v>0</v>
      </c>
      <c r="E969" t="s">
        <v>19</v>
      </c>
      <c r="F969" t="s">
        <v>1839</v>
      </c>
      <c r="G969" t="s">
        <v>322</v>
      </c>
      <c r="N969" s="107"/>
    </row>
    <row r="970" spans="1:14" hidden="1" x14ac:dyDescent="0.3">
      <c r="A970" t="s">
        <v>179</v>
      </c>
      <c r="B970" t="s">
        <v>637</v>
      </c>
      <c r="C970" t="s">
        <v>1184</v>
      </c>
      <c r="D970">
        <f t="shared" si="15"/>
        <v>0</v>
      </c>
      <c r="E970" t="s">
        <v>19</v>
      </c>
      <c r="F970" t="s">
        <v>1840</v>
      </c>
      <c r="G970" t="s">
        <v>322</v>
      </c>
      <c r="N970" s="107"/>
    </row>
    <row r="971" spans="1:14" hidden="1" x14ac:dyDescent="0.3">
      <c r="A971" t="s">
        <v>179</v>
      </c>
      <c r="B971" t="s">
        <v>638</v>
      </c>
      <c r="C971" t="s">
        <v>1184</v>
      </c>
      <c r="D971">
        <f t="shared" si="15"/>
        <v>0</v>
      </c>
      <c r="E971" t="s">
        <v>19</v>
      </c>
      <c r="F971" t="s">
        <v>1841</v>
      </c>
      <c r="G971" t="s">
        <v>322</v>
      </c>
      <c r="N971" s="107"/>
    </row>
    <row r="972" spans="1:14" hidden="1" x14ac:dyDescent="0.3">
      <c r="A972" t="s">
        <v>179</v>
      </c>
      <c r="B972" t="s">
        <v>514</v>
      </c>
      <c r="C972" t="s">
        <v>1184</v>
      </c>
      <c r="D972">
        <f t="shared" si="15"/>
        <v>0</v>
      </c>
      <c r="E972" t="s">
        <v>19</v>
      </c>
      <c r="F972" t="s">
        <v>1842</v>
      </c>
      <c r="G972" t="s">
        <v>322</v>
      </c>
      <c r="N972" s="107"/>
    </row>
    <row r="973" spans="1:14" hidden="1" x14ac:dyDescent="0.3">
      <c r="A973" t="s">
        <v>179</v>
      </c>
      <c r="B973" t="s">
        <v>688</v>
      </c>
      <c r="C973" t="s">
        <v>1227</v>
      </c>
      <c r="D973">
        <f t="shared" si="15"/>
        <v>0</v>
      </c>
      <c r="E973" t="s">
        <v>19</v>
      </c>
      <c r="F973" t="s">
        <v>1911</v>
      </c>
      <c r="G973" t="s">
        <v>322</v>
      </c>
      <c r="N973" s="107"/>
    </row>
    <row r="974" spans="1:14" hidden="1" x14ac:dyDescent="0.3">
      <c r="A974" t="s">
        <v>179</v>
      </c>
      <c r="B974" t="s">
        <v>689</v>
      </c>
      <c r="C974" t="s">
        <v>1227</v>
      </c>
      <c r="D974">
        <f t="shared" si="15"/>
        <v>0</v>
      </c>
      <c r="E974" t="s">
        <v>19</v>
      </c>
      <c r="F974" t="s">
        <v>1912</v>
      </c>
      <c r="G974" t="s">
        <v>322</v>
      </c>
      <c r="N974" s="107"/>
    </row>
    <row r="975" spans="1:14" hidden="1" x14ac:dyDescent="0.3">
      <c r="A975" t="s">
        <v>179</v>
      </c>
      <c r="B975" t="s">
        <v>704</v>
      </c>
      <c r="C975" t="s">
        <v>1227</v>
      </c>
      <c r="D975">
        <f t="shared" si="15"/>
        <v>0</v>
      </c>
      <c r="E975" t="s">
        <v>19</v>
      </c>
      <c r="F975" t="s">
        <v>1936</v>
      </c>
      <c r="G975" t="s">
        <v>322</v>
      </c>
      <c r="N975" s="107"/>
    </row>
    <row r="976" spans="1:14" hidden="1" x14ac:dyDescent="0.3">
      <c r="A976" t="s">
        <v>179</v>
      </c>
      <c r="B976" t="s">
        <v>631</v>
      </c>
      <c r="C976" t="s">
        <v>1227</v>
      </c>
      <c r="D976">
        <f t="shared" si="15"/>
        <v>0</v>
      </c>
      <c r="E976" t="s">
        <v>19</v>
      </c>
      <c r="F976" t="s">
        <v>1939</v>
      </c>
      <c r="G976" t="s">
        <v>322</v>
      </c>
      <c r="N976" s="107"/>
    </row>
    <row r="977" spans="1:14" hidden="1" x14ac:dyDescent="0.3">
      <c r="A977" t="s">
        <v>179</v>
      </c>
      <c r="B977" t="s">
        <v>720</v>
      </c>
      <c r="C977" t="s">
        <v>1227</v>
      </c>
      <c r="D977">
        <f t="shared" si="15"/>
        <v>0</v>
      </c>
      <c r="E977" t="s">
        <v>19</v>
      </c>
      <c r="F977" t="s">
        <v>1980</v>
      </c>
      <c r="G977" t="s">
        <v>322</v>
      </c>
      <c r="N977" s="107"/>
    </row>
    <row r="978" spans="1:14" hidden="1" x14ac:dyDescent="0.3">
      <c r="A978" t="s">
        <v>179</v>
      </c>
      <c r="B978" t="s">
        <v>724</v>
      </c>
      <c r="C978" t="s">
        <v>1227</v>
      </c>
      <c r="D978">
        <f t="shared" si="15"/>
        <v>0</v>
      </c>
      <c r="E978" t="s">
        <v>19</v>
      </c>
      <c r="F978" t="s">
        <v>1988</v>
      </c>
      <c r="G978" t="s">
        <v>322</v>
      </c>
      <c r="N978" s="107"/>
    </row>
    <row r="979" spans="1:14" hidden="1" x14ac:dyDescent="0.3">
      <c r="A979" t="s">
        <v>179</v>
      </c>
      <c r="B979" t="s">
        <v>725</v>
      </c>
      <c r="C979" t="s">
        <v>1227</v>
      </c>
      <c r="D979">
        <f t="shared" si="15"/>
        <v>0</v>
      </c>
      <c r="E979" t="s">
        <v>19</v>
      </c>
      <c r="F979" t="s">
        <v>1989</v>
      </c>
      <c r="G979" t="s">
        <v>322</v>
      </c>
      <c r="N979" s="107"/>
    </row>
    <row r="980" spans="1:14" hidden="1" x14ac:dyDescent="0.3">
      <c r="A980" t="s">
        <v>179</v>
      </c>
      <c r="B980" t="s">
        <v>726</v>
      </c>
      <c r="C980" t="s">
        <v>1228</v>
      </c>
      <c r="D980">
        <f t="shared" si="15"/>
        <v>0</v>
      </c>
      <c r="E980" t="s">
        <v>19</v>
      </c>
      <c r="F980" t="s">
        <v>1228</v>
      </c>
      <c r="G980" t="s">
        <v>322</v>
      </c>
      <c r="N980" s="107"/>
    </row>
    <row r="981" spans="1:14" hidden="1" x14ac:dyDescent="0.3">
      <c r="A981" t="s">
        <v>179</v>
      </c>
      <c r="B981" t="s">
        <v>745</v>
      </c>
      <c r="C981" t="s">
        <v>1243</v>
      </c>
      <c r="D981">
        <f t="shared" si="15"/>
        <v>0</v>
      </c>
      <c r="E981" t="s">
        <v>19</v>
      </c>
      <c r="F981" t="s">
        <v>2023</v>
      </c>
      <c r="G981" t="s">
        <v>322</v>
      </c>
      <c r="N981" s="107"/>
    </row>
    <row r="982" spans="1:14" hidden="1" x14ac:dyDescent="0.3">
      <c r="A982" t="s">
        <v>179</v>
      </c>
      <c r="B982" t="s">
        <v>513</v>
      </c>
      <c r="C982" t="s">
        <v>1268</v>
      </c>
      <c r="D982">
        <f t="shared" si="15"/>
        <v>0</v>
      </c>
      <c r="E982" t="s">
        <v>19</v>
      </c>
      <c r="F982" t="s">
        <v>2081</v>
      </c>
      <c r="G982" t="s">
        <v>322</v>
      </c>
      <c r="N982" s="107"/>
    </row>
    <row r="983" spans="1:14" hidden="1" x14ac:dyDescent="0.3">
      <c r="A983" t="s">
        <v>179</v>
      </c>
      <c r="B983" t="s">
        <v>626</v>
      </c>
      <c r="C983" t="s">
        <v>1268</v>
      </c>
      <c r="D983">
        <f t="shared" si="15"/>
        <v>0</v>
      </c>
      <c r="E983" t="s">
        <v>19</v>
      </c>
      <c r="F983" t="s">
        <v>2082</v>
      </c>
      <c r="G983" t="s">
        <v>322</v>
      </c>
      <c r="N983" s="107"/>
    </row>
    <row r="984" spans="1:14" hidden="1" x14ac:dyDescent="0.3">
      <c r="A984" t="s">
        <v>179</v>
      </c>
      <c r="B984" t="s">
        <v>513</v>
      </c>
      <c r="C984" t="s">
        <v>1272</v>
      </c>
      <c r="D984">
        <f t="shared" si="15"/>
        <v>0</v>
      </c>
      <c r="E984" t="s">
        <v>19</v>
      </c>
      <c r="F984" t="s">
        <v>2084</v>
      </c>
      <c r="G984" t="s">
        <v>322</v>
      </c>
      <c r="N984" s="107"/>
    </row>
    <row r="985" spans="1:14" hidden="1" x14ac:dyDescent="0.3">
      <c r="A985" t="s">
        <v>179</v>
      </c>
      <c r="B985" t="s">
        <v>513</v>
      </c>
      <c r="C985" t="s">
        <v>1272</v>
      </c>
      <c r="D985">
        <f t="shared" si="15"/>
        <v>0</v>
      </c>
      <c r="E985" t="s">
        <v>19</v>
      </c>
      <c r="F985" t="s">
        <v>2085</v>
      </c>
      <c r="G985" t="s">
        <v>322</v>
      </c>
      <c r="N985" s="107"/>
    </row>
    <row r="986" spans="1:14" hidden="1" x14ac:dyDescent="0.3">
      <c r="A986" t="s">
        <v>179</v>
      </c>
      <c r="B986" t="s">
        <v>513</v>
      </c>
      <c r="C986" t="s">
        <v>1281</v>
      </c>
      <c r="D986">
        <f t="shared" si="15"/>
        <v>0</v>
      </c>
      <c r="E986" t="s">
        <v>19</v>
      </c>
      <c r="F986" t="s">
        <v>1281</v>
      </c>
      <c r="G986" t="s">
        <v>322</v>
      </c>
      <c r="N986" s="107"/>
    </row>
    <row r="987" spans="1:14" hidden="1" x14ac:dyDescent="0.3">
      <c r="A987" t="s">
        <v>179</v>
      </c>
      <c r="B987" t="s">
        <v>630</v>
      </c>
      <c r="C987" t="s">
        <v>1285</v>
      </c>
      <c r="D987">
        <f t="shared" si="15"/>
        <v>0</v>
      </c>
      <c r="E987" t="s">
        <v>19</v>
      </c>
      <c r="F987" t="s">
        <v>2099</v>
      </c>
      <c r="G987" t="s">
        <v>322</v>
      </c>
      <c r="N987" s="107"/>
    </row>
    <row r="988" spans="1:14" hidden="1" x14ac:dyDescent="0.3">
      <c r="A988" t="s">
        <v>179</v>
      </c>
      <c r="B988" t="s">
        <v>634</v>
      </c>
      <c r="C988" t="s">
        <v>1285</v>
      </c>
      <c r="D988">
        <f t="shared" si="15"/>
        <v>0</v>
      </c>
      <c r="E988" t="s">
        <v>19</v>
      </c>
      <c r="F988" t="s">
        <v>2100</v>
      </c>
      <c r="G988" t="s">
        <v>322</v>
      </c>
      <c r="N988" s="107"/>
    </row>
    <row r="989" spans="1:14" hidden="1" x14ac:dyDescent="0.3">
      <c r="A989" t="s">
        <v>179</v>
      </c>
      <c r="B989" t="s">
        <v>514</v>
      </c>
      <c r="C989" t="s">
        <v>1285</v>
      </c>
      <c r="D989">
        <f t="shared" si="15"/>
        <v>0</v>
      </c>
      <c r="E989" t="s">
        <v>19</v>
      </c>
      <c r="F989" t="s">
        <v>2101</v>
      </c>
      <c r="G989" t="s">
        <v>322</v>
      </c>
      <c r="N989" s="107"/>
    </row>
    <row r="990" spans="1:14" hidden="1" x14ac:dyDescent="0.3">
      <c r="A990" t="s">
        <v>179</v>
      </c>
      <c r="B990" t="s">
        <v>637</v>
      </c>
      <c r="C990" t="s">
        <v>1285</v>
      </c>
      <c r="D990">
        <f t="shared" si="15"/>
        <v>0</v>
      </c>
      <c r="E990" t="s">
        <v>19</v>
      </c>
      <c r="F990" t="s">
        <v>2106</v>
      </c>
      <c r="G990" t="s">
        <v>322</v>
      </c>
      <c r="N990" s="107"/>
    </row>
    <row r="991" spans="1:14" hidden="1" x14ac:dyDescent="0.3">
      <c r="A991" t="s">
        <v>179</v>
      </c>
      <c r="B991" t="s">
        <v>636</v>
      </c>
      <c r="C991" t="s">
        <v>1285</v>
      </c>
      <c r="D991">
        <f t="shared" si="15"/>
        <v>0</v>
      </c>
      <c r="E991" t="s">
        <v>19</v>
      </c>
      <c r="F991" t="s">
        <v>2109</v>
      </c>
      <c r="G991" t="s">
        <v>322</v>
      </c>
      <c r="N991" s="107"/>
    </row>
    <row r="992" spans="1:14" hidden="1" x14ac:dyDescent="0.3">
      <c r="A992" t="s">
        <v>179</v>
      </c>
      <c r="B992" t="s">
        <v>638</v>
      </c>
      <c r="C992" t="s">
        <v>1285</v>
      </c>
      <c r="D992">
        <f t="shared" si="15"/>
        <v>0</v>
      </c>
      <c r="E992" t="s">
        <v>19</v>
      </c>
      <c r="F992" t="s">
        <v>2112</v>
      </c>
      <c r="G992" t="s">
        <v>322</v>
      </c>
      <c r="N992" s="107"/>
    </row>
    <row r="993" spans="1:14" hidden="1" x14ac:dyDescent="0.3">
      <c r="A993" t="s">
        <v>179</v>
      </c>
      <c r="B993" t="s">
        <v>799</v>
      </c>
      <c r="C993" t="s">
        <v>1285</v>
      </c>
      <c r="D993">
        <f t="shared" si="15"/>
        <v>0</v>
      </c>
      <c r="E993" t="s">
        <v>19</v>
      </c>
      <c r="F993" t="s">
        <v>2113</v>
      </c>
      <c r="G993" t="s">
        <v>322</v>
      </c>
      <c r="N993" s="107"/>
    </row>
    <row r="994" spans="1:14" hidden="1" x14ac:dyDescent="0.3">
      <c r="A994" t="s">
        <v>179</v>
      </c>
      <c r="B994" t="s">
        <v>802</v>
      </c>
      <c r="C994" t="s">
        <v>1285</v>
      </c>
      <c r="D994">
        <f t="shared" si="15"/>
        <v>0</v>
      </c>
      <c r="E994" t="s">
        <v>19</v>
      </c>
      <c r="F994" t="s">
        <v>2118</v>
      </c>
      <c r="G994" t="s">
        <v>322</v>
      </c>
      <c r="N994" s="107"/>
    </row>
    <row r="995" spans="1:14" hidden="1" x14ac:dyDescent="0.3">
      <c r="A995" t="s">
        <v>179</v>
      </c>
      <c r="B995" t="s">
        <v>635</v>
      </c>
      <c r="C995" t="s">
        <v>1285</v>
      </c>
      <c r="D995">
        <f t="shared" si="15"/>
        <v>0</v>
      </c>
      <c r="E995" t="s">
        <v>19</v>
      </c>
      <c r="F995" t="s">
        <v>2124</v>
      </c>
      <c r="G995" t="s">
        <v>322</v>
      </c>
      <c r="N995" s="107"/>
    </row>
    <row r="996" spans="1:14" hidden="1" x14ac:dyDescent="0.3">
      <c r="A996" t="s">
        <v>179</v>
      </c>
      <c r="B996" t="s">
        <v>688</v>
      </c>
      <c r="C996" t="s">
        <v>1285</v>
      </c>
      <c r="D996">
        <f t="shared" si="15"/>
        <v>0</v>
      </c>
      <c r="E996" t="s">
        <v>19</v>
      </c>
      <c r="F996" t="s">
        <v>2126</v>
      </c>
      <c r="G996" t="s">
        <v>322</v>
      </c>
      <c r="N996" s="107"/>
    </row>
    <row r="997" spans="1:14" hidden="1" x14ac:dyDescent="0.3">
      <c r="A997" t="s">
        <v>179</v>
      </c>
      <c r="B997" t="s">
        <v>808</v>
      </c>
      <c r="C997" t="s">
        <v>1285</v>
      </c>
      <c r="D997">
        <f t="shared" si="15"/>
        <v>0</v>
      </c>
      <c r="E997" t="s">
        <v>19</v>
      </c>
      <c r="F997" t="s">
        <v>2129</v>
      </c>
      <c r="G997" t="s">
        <v>322</v>
      </c>
      <c r="N997" s="107"/>
    </row>
    <row r="998" spans="1:14" hidden="1" x14ac:dyDescent="0.3">
      <c r="A998" t="s">
        <v>179</v>
      </c>
      <c r="B998" t="s">
        <v>810</v>
      </c>
      <c r="C998" t="s">
        <v>1285</v>
      </c>
      <c r="D998">
        <f t="shared" si="15"/>
        <v>0</v>
      </c>
      <c r="E998" t="s">
        <v>19</v>
      </c>
      <c r="F998" t="s">
        <v>2132</v>
      </c>
      <c r="G998" t="s">
        <v>322</v>
      </c>
      <c r="N998" s="107"/>
    </row>
    <row r="999" spans="1:14" hidden="1" x14ac:dyDescent="0.3">
      <c r="A999" t="s">
        <v>179</v>
      </c>
      <c r="B999" t="s">
        <v>630</v>
      </c>
      <c r="C999" t="s">
        <v>1293</v>
      </c>
      <c r="D999">
        <f t="shared" si="15"/>
        <v>0</v>
      </c>
      <c r="E999" t="s">
        <v>19</v>
      </c>
      <c r="F999" t="s">
        <v>2148</v>
      </c>
      <c r="G999" t="s">
        <v>322</v>
      </c>
      <c r="N999" s="107"/>
    </row>
    <row r="1000" spans="1:14" hidden="1" x14ac:dyDescent="0.3">
      <c r="A1000" t="s">
        <v>179</v>
      </c>
      <c r="B1000" t="s">
        <v>816</v>
      </c>
      <c r="C1000" t="s">
        <v>1293</v>
      </c>
      <c r="D1000">
        <f t="shared" si="15"/>
        <v>0</v>
      </c>
      <c r="E1000" t="s">
        <v>19</v>
      </c>
      <c r="F1000" t="s">
        <v>2154</v>
      </c>
      <c r="G1000" t="s">
        <v>322</v>
      </c>
      <c r="N1000" s="107"/>
    </row>
    <row r="1001" spans="1:14" hidden="1" x14ac:dyDescent="0.3">
      <c r="A1001" t="s">
        <v>179</v>
      </c>
      <c r="B1001" t="s">
        <v>634</v>
      </c>
      <c r="C1001" t="s">
        <v>1293</v>
      </c>
      <c r="D1001">
        <f t="shared" si="15"/>
        <v>0</v>
      </c>
      <c r="E1001" t="s">
        <v>19</v>
      </c>
      <c r="F1001" t="s">
        <v>2155</v>
      </c>
      <c r="G1001" t="s">
        <v>322</v>
      </c>
      <c r="N1001" s="107"/>
    </row>
    <row r="1002" spans="1:14" hidden="1" x14ac:dyDescent="0.3">
      <c r="A1002" t="s">
        <v>179</v>
      </c>
      <c r="B1002" t="s">
        <v>725</v>
      </c>
      <c r="C1002" t="s">
        <v>1293</v>
      </c>
      <c r="D1002">
        <f t="shared" si="15"/>
        <v>0</v>
      </c>
      <c r="E1002" t="s">
        <v>19</v>
      </c>
      <c r="F1002" t="s">
        <v>2156</v>
      </c>
      <c r="G1002" t="s">
        <v>322</v>
      </c>
      <c r="N1002" s="107"/>
    </row>
    <row r="1003" spans="1:14" hidden="1" x14ac:dyDescent="0.3">
      <c r="A1003" t="s">
        <v>179</v>
      </c>
      <c r="B1003" t="s">
        <v>818</v>
      </c>
      <c r="C1003" t="s">
        <v>1293</v>
      </c>
      <c r="D1003">
        <f t="shared" si="15"/>
        <v>0</v>
      </c>
      <c r="E1003" t="s">
        <v>19</v>
      </c>
      <c r="F1003" t="s">
        <v>2158</v>
      </c>
      <c r="G1003" t="s">
        <v>322</v>
      </c>
      <c r="N1003" s="107"/>
    </row>
    <row r="1004" spans="1:14" hidden="1" x14ac:dyDescent="0.3">
      <c r="A1004" t="s">
        <v>179</v>
      </c>
      <c r="B1004" t="s">
        <v>836</v>
      </c>
      <c r="C1004" t="s">
        <v>1302</v>
      </c>
      <c r="D1004">
        <f t="shared" si="15"/>
        <v>0</v>
      </c>
      <c r="E1004" t="s">
        <v>19</v>
      </c>
      <c r="F1004" t="s">
        <v>2179</v>
      </c>
      <c r="G1004" t="s">
        <v>322</v>
      </c>
      <c r="N1004" s="107"/>
    </row>
    <row r="1005" spans="1:14" hidden="1" x14ac:dyDescent="0.3">
      <c r="A1005" t="s">
        <v>179</v>
      </c>
      <c r="B1005" t="s">
        <v>704</v>
      </c>
      <c r="C1005" t="s">
        <v>1302</v>
      </c>
      <c r="D1005">
        <f t="shared" si="15"/>
        <v>0</v>
      </c>
      <c r="E1005" t="s">
        <v>19</v>
      </c>
      <c r="F1005" t="s">
        <v>2180</v>
      </c>
      <c r="G1005" t="s">
        <v>322</v>
      </c>
      <c r="N1005" s="107"/>
    </row>
    <row r="1006" spans="1:14" hidden="1" x14ac:dyDescent="0.3">
      <c r="A1006" t="s">
        <v>179</v>
      </c>
      <c r="B1006" t="s">
        <v>724</v>
      </c>
      <c r="C1006" t="s">
        <v>1329</v>
      </c>
      <c r="D1006">
        <f t="shared" si="15"/>
        <v>0</v>
      </c>
      <c r="E1006" t="s">
        <v>19</v>
      </c>
      <c r="F1006" t="s">
        <v>2241</v>
      </c>
      <c r="G1006" t="s">
        <v>322</v>
      </c>
      <c r="N1006" s="107"/>
    </row>
    <row r="1007" spans="1:14" hidden="1" x14ac:dyDescent="0.3">
      <c r="A1007" t="s">
        <v>179</v>
      </c>
      <c r="B1007" t="s">
        <v>895</v>
      </c>
      <c r="C1007" t="s">
        <v>1332</v>
      </c>
      <c r="D1007">
        <f t="shared" si="15"/>
        <v>0</v>
      </c>
      <c r="E1007" t="s">
        <v>19</v>
      </c>
      <c r="F1007" t="s">
        <v>2253</v>
      </c>
      <c r="G1007" t="s">
        <v>322</v>
      </c>
      <c r="N1007" s="107"/>
    </row>
    <row r="1008" spans="1:14" hidden="1" x14ac:dyDescent="0.3">
      <c r="A1008" t="s">
        <v>179</v>
      </c>
      <c r="B1008" t="s">
        <v>513</v>
      </c>
      <c r="C1008" t="s">
        <v>1337</v>
      </c>
      <c r="D1008">
        <f t="shared" si="15"/>
        <v>0</v>
      </c>
      <c r="E1008" t="s">
        <v>19</v>
      </c>
      <c r="F1008" t="s">
        <v>1337</v>
      </c>
      <c r="G1008" t="s">
        <v>322</v>
      </c>
      <c r="N1008" s="107"/>
    </row>
    <row r="1009" spans="1:14" hidden="1" x14ac:dyDescent="0.3">
      <c r="A1009" t="s">
        <v>179</v>
      </c>
      <c r="B1009" t="s">
        <v>513</v>
      </c>
      <c r="C1009" t="s">
        <v>1382</v>
      </c>
      <c r="D1009">
        <f t="shared" si="15"/>
        <v>0</v>
      </c>
      <c r="E1009" t="s">
        <v>19</v>
      </c>
      <c r="F1009" t="s">
        <v>2334</v>
      </c>
      <c r="G1009" t="s">
        <v>322</v>
      </c>
      <c r="N1009" s="107"/>
    </row>
    <row r="1010" spans="1:14" hidden="1" x14ac:dyDescent="0.3">
      <c r="A1010" t="s">
        <v>179</v>
      </c>
      <c r="B1010" t="s">
        <v>981</v>
      </c>
      <c r="C1010" t="s">
        <v>1411</v>
      </c>
      <c r="D1010">
        <f t="shared" si="15"/>
        <v>0</v>
      </c>
      <c r="E1010" t="s">
        <v>19</v>
      </c>
      <c r="F1010" t="s">
        <v>2447</v>
      </c>
      <c r="G1010" t="s">
        <v>322</v>
      </c>
      <c r="N1010" s="107"/>
    </row>
    <row r="1011" spans="1:14" hidden="1" x14ac:dyDescent="0.3">
      <c r="A1011" t="s">
        <v>179</v>
      </c>
      <c r="B1011" t="s">
        <v>997</v>
      </c>
      <c r="C1011" t="s">
        <v>1411</v>
      </c>
      <c r="D1011">
        <f t="shared" si="15"/>
        <v>0</v>
      </c>
      <c r="E1011" t="s">
        <v>19</v>
      </c>
      <c r="F1011" t="s">
        <v>2454</v>
      </c>
      <c r="G1011" t="s">
        <v>322</v>
      </c>
      <c r="N1011" s="107"/>
    </row>
    <row r="1012" spans="1:14" hidden="1" x14ac:dyDescent="0.3">
      <c r="A1012" t="s">
        <v>179</v>
      </c>
      <c r="B1012" t="s">
        <v>1095</v>
      </c>
      <c r="C1012" t="s">
        <v>1492</v>
      </c>
      <c r="D1012">
        <f t="shared" si="15"/>
        <v>0</v>
      </c>
      <c r="E1012" t="s">
        <v>19</v>
      </c>
      <c r="F1012" t="s">
        <v>1492</v>
      </c>
      <c r="G1012" t="s">
        <v>322</v>
      </c>
      <c r="N1012" s="107"/>
    </row>
    <row r="1013" spans="1:14" hidden="1" x14ac:dyDescent="0.3">
      <c r="A1013" t="s">
        <v>179</v>
      </c>
      <c r="B1013" t="s">
        <v>636</v>
      </c>
      <c r="C1013" t="s">
        <v>1514</v>
      </c>
      <c r="D1013">
        <f t="shared" si="15"/>
        <v>0</v>
      </c>
      <c r="E1013" t="s">
        <v>19</v>
      </c>
      <c r="F1013" t="s">
        <v>1514</v>
      </c>
      <c r="G1013" t="s">
        <v>322</v>
      </c>
      <c r="N1013" s="107"/>
    </row>
    <row r="1014" spans="1:14" hidden="1" x14ac:dyDescent="0.3">
      <c r="A1014" t="s">
        <v>179</v>
      </c>
      <c r="B1014" t="s">
        <v>1121</v>
      </c>
      <c r="C1014" t="s">
        <v>1516</v>
      </c>
      <c r="D1014">
        <f t="shared" si="15"/>
        <v>0</v>
      </c>
      <c r="E1014" t="s">
        <v>19</v>
      </c>
      <c r="F1014" t="s">
        <v>2816</v>
      </c>
      <c r="G1014" t="s">
        <v>322</v>
      </c>
      <c r="N1014" s="107"/>
    </row>
    <row r="1015" spans="1:14" hidden="1" x14ac:dyDescent="0.3">
      <c r="A1015" t="s">
        <v>179</v>
      </c>
      <c r="B1015" t="s">
        <v>1127</v>
      </c>
      <c r="C1015" t="s">
        <v>1529</v>
      </c>
      <c r="D1015">
        <f t="shared" si="15"/>
        <v>0</v>
      </c>
      <c r="E1015" t="s">
        <v>19</v>
      </c>
      <c r="F1015" t="s">
        <v>1529</v>
      </c>
      <c r="G1015" t="s">
        <v>322</v>
      </c>
      <c r="N1015" s="107"/>
    </row>
    <row r="1016" spans="1:14" hidden="1" x14ac:dyDescent="0.3">
      <c r="A1016" t="s">
        <v>180</v>
      </c>
      <c r="B1016" t="s">
        <v>515</v>
      </c>
      <c r="C1016" t="s">
        <v>1217</v>
      </c>
      <c r="D1016">
        <f t="shared" si="15"/>
        <v>0</v>
      </c>
      <c r="E1016" t="s">
        <v>19</v>
      </c>
      <c r="F1016" t="s">
        <v>1217</v>
      </c>
      <c r="G1016" t="s">
        <v>322</v>
      </c>
      <c r="N1016" s="107"/>
    </row>
    <row r="1017" spans="1:14" hidden="1" x14ac:dyDescent="0.3">
      <c r="A1017" t="s">
        <v>180</v>
      </c>
      <c r="B1017" t="s">
        <v>870</v>
      </c>
      <c r="C1017" t="s">
        <v>1317</v>
      </c>
      <c r="D1017">
        <f t="shared" si="15"/>
        <v>0</v>
      </c>
      <c r="E1017" t="s">
        <v>19</v>
      </c>
      <c r="F1017" t="s">
        <v>2219</v>
      </c>
      <c r="G1017" t="s">
        <v>322</v>
      </c>
      <c r="N1017" s="107"/>
    </row>
    <row r="1018" spans="1:14" hidden="1" x14ac:dyDescent="0.3">
      <c r="A1018" t="s">
        <v>180</v>
      </c>
      <c r="B1018" t="s">
        <v>515</v>
      </c>
      <c r="C1018" t="s">
        <v>1342</v>
      </c>
      <c r="D1018">
        <f t="shared" si="15"/>
        <v>0</v>
      </c>
      <c r="E1018" t="s">
        <v>19</v>
      </c>
      <c r="F1018" t="s">
        <v>2274</v>
      </c>
      <c r="G1018" t="s">
        <v>322</v>
      </c>
      <c r="N1018" s="107"/>
    </row>
    <row r="1019" spans="1:14" hidden="1" x14ac:dyDescent="0.3">
      <c r="A1019" t="s">
        <v>180</v>
      </c>
      <c r="B1019" t="s">
        <v>870</v>
      </c>
      <c r="C1019" t="s">
        <v>1342</v>
      </c>
      <c r="D1019">
        <f t="shared" si="15"/>
        <v>0</v>
      </c>
      <c r="E1019" t="s">
        <v>19</v>
      </c>
      <c r="F1019" t="s">
        <v>2279</v>
      </c>
      <c r="G1019" t="s">
        <v>322</v>
      </c>
      <c r="N1019" s="107"/>
    </row>
    <row r="1020" spans="1:14" hidden="1" x14ac:dyDescent="0.3">
      <c r="A1020" t="s">
        <v>180</v>
      </c>
      <c r="B1020" t="s">
        <v>515</v>
      </c>
      <c r="C1020" t="s">
        <v>1352</v>
      </c>
      <c r="D1020">
        <f t="shared" si="15"/>
        <v>0</v>
      </c>
      <c r="E1020" t="s">
        <v>19</v>
      </c>
      <c r="F1020" t="s">
        <v>1352</v>
      </c>
      <c r="G1020" t="s">
        <v>322</v>
      </c>
      <c r="N1020" s="107"/>
    </row>
    <row r="1021" spans="1:14" hidden="1" x14ac:dyDescent="0.3">
      <c r="A1021" t="s">
        <v>180</v>
      </c>
      <c r="B1021" t="s">
        <v>515</v>
      </c>
      <c r="C1021" t="s">
        <v>1353</v>
      </c>
      <c r="D1021">
        <f t="shared" si="15"/>
        <v>0</v>
      </c>
      <c r="E1021" t="s">
        <v>19</v>
      </c>
      <c r="F1021" t="s">
        <v>1353</v>
      </c>
      <c r="G1021" t="s">
        <v>322</v>
      </c>
      <c r="N1021" s="107"/>
    </row>
    <row r="1022" spans="1:14" hidden="1" x14ac:dyDescent="0.3">
      <c r="A1022" t="s">
        <v>180</v>
      </c>
      <c r="B1022" t="s">
        <v>515</v>
      </c>
      <c r="C1022" t="s">
        <v>1479</v>
      </c>
      <c r="D1022">
        <f t="shared" si="15"/>
        <v>0</v>
      </c>
      <c r="E1022" t="s">
        <v>19</v>
      </c>
      <c r="F1022" t="s">
        <v>2703</v>
      </c>
      <c r="G1022" t="s">
        <v>322</v>
      </c>
      <c r="N1022" s="107"/>
    </row>
    <row r="1023" spans="1:14" hidden="1" x14ac:dyDescent="0.3">
      <c r="A1023" t="s">
        <v>180</v>
      </c>
      <c r="B1023" t="s">
        <v>1086</v>
      </c>
      <c r="C1023" t="s">
        <v>1481</v>
      </c>
      <c r="D1023">
        <f t="shared" si="15"/>
        <v>0</v>
      </c>
      <c r="E1023" t="s">
        <v>19</v>
      </c>
      <c r="F1023" t="s">
        <v>1481</v>
      </c>
      <c r="G1023" t="s">
        <v>322</v>
      </c>
      <c r="N1023" s="107"/>
    </row>
    <row r="1024" spans="1:14" hidden="1" x14ac:dyDescent="0.3">
      <c r="A1024" t="s">
        <v>181</v>
      </c>
      <c r="B1024" t="s">
        <v>517</v>
      </c>
      <c r="C1024" t="s">
        <v>1160</v>
      </c>
      <c r="D1024">
        <f t="shared" si="15"/>
        <v>0</v>
      </c>
      <c r="E1024" t="s">
        <v>19</v>
      </c>
      <c r="F1024" t="s">
        <v>1160</v>
      </c>
      <c r="G1024" t="s">
        <v>322</v>
      </c>
      <c r="N1024" s="107"/>
    </row>
    <row r="1025" spans="1:14" hidden="1" x14ac:dyDescent="0.3">
      <c r="A1025" t="s">
        <v>181</v>
      </c>
      <c r="B1025" t="s">
        <v>649</v>
      </c>
      <c r="C1025" t="s">
        <v>1202</v>
      </c>
      <c r="D1025">
        <f t="shared" ref="D1025:D1088" si="16">SIGN(SUBTOTAL(3,E1025))</f>
        <v>0</v>
      </c>
      <c r="E1025" t="s">
        <v>19</v>
      </c>
      <c r="F1025" t="s">
        <v>1202</v>
      </c>
      <c r="G1025" t="s">
        <v>322</v>
      </c>
      <c r="N1025" s="107"/>
    </row>
    <row r="1026" spans="1:14" hidden="1" x14ac:dyDescent="0.3">
      <c r="A1026" t="s">
        <v>181</v>
      </c>
      <c r="B1026" t="s">
        <v>661</v>
      </c>
      <c r="C1026" t="s">
        <v>1208</v>
      </c>
      <c r="D1026">
        <f t="shared" si="16"/>
        <v>0</v>
      </c>
      <c r="E1026" t="s">
        <v>19</v>
      </c>
      <c r="F1026" t="s">
        <v>1878</v>
      </c>
      <c r="G1026" t="s">
        <v>322</v>
      </c>
      <c r="N1026" s="107"/>
    </row>
    <row r="1027" spans="1:14" hidden="1" x14ac:dyDescent="0.3">
      <c r="A1027" t="s">
        <v>181</v>
      </c>
      <c r="B1027" t="s">
        <v>661</v>
      </c>
      <c r="C1027" t="s">
        <v>1208</v>
      </c>
      <c r="D1027">
        <f t="shared" si="16"/>
        <v>0</v>
      </c>
      <c r="E1027" t="s">
        <v>19</v>
      </c>
      <c r="F1027" t="s">
        <v>1879</v>
      </c>
      <c r="G1027" t="s">
        <v>322</v>
      </c>
      <c r="N1027" s="107"/>
    </row>
    <row r="1028" spans="1:14" hidden="1" x14ac:dyDescent="0.3">
      <c r="A1028" t="s">
        <v>181</v>
      </c>
      <c r="B1028" t="s">
        <v>662</v>
      </c>
      <c r="C1028" t="s">
        <v>1208</v>
      </c>
      <c r="D1028">
        <f t="shared" si="16"/>
        <v>0</v>
      </c>
      <c r="E1028" t="s">
        <v>19</v>
      </c>
      <c r="F1028" t="s">
        <v>1880</v>
      </c>
      <c r="G1028" t="s">
        <v>322</v>
      </c>
      <c r="N1028" s="107"/>
    </row>
    <row r="1029" spans="1:14" hidden="1" x14ac:dyDescent="0.3">
      <c r="A1029" t="s">
        <v>181</v>
      </c>
      <c r="B1029" t="s">
        <v>662</v>
      </c>
      <c r="C1029" t="s">
        <v>1208</v>
      </c>
      <c r="D1029">
        <f t="shared" si="16"/>
        <v>0</v>
      </c>
      <c r="E1029" t="s">
        <v>19</v>
      </c>
      <c r="F1029" t="s">
        <v>1881</v>
      </c>
      <c r="G1029" t="s">
        <v>322</v>
      </c>
      <c r="N1029" s="107"/>
    </row>
    <row r="1030" spans="1:14" hidden="1" x14ac:dyDescent="0.3">
      <c r="A1030" t="s">
        <v>181</v>
      </c>
      <c r="B1030" t="s">
        <v>661</v>
      </c>
      <c r="C1030" t="s">
        <v>1227</v>
      </c>
      <c r="D1030">
        <f t="shared" si="16"/>
        <v>0</v>
      </c>
      <c r="E1030" t="s">
        <v>19</v>
      </c>
      <c r="F1030" t="s">
        <v>1951</v>
      </c>
      <c r="G1030" t="s">
        <v>322</v>
      </c>
      <c r="N1030" s="107"/>
    </row>
    <row r="1031" spans="1:14" hidden="1" x14ac:dyDescent="0.3">
      <c r="A1031" t="s">
        <v>181</v>
      </c>
      <c r="B1031" t="s">
        <v>710</v>
      </c>
      <c r="C1031" t="s">
        <v>1227</v>
      </c>
      <c r="D1031">
        <f t="shared" si="16"/>
        <v>0</v>
      </c>
      <c r="E1031" t="s">
        <v>19</v>
      </c>
      <c r="F1031" t="s">
        <v>1952</v>
      </c>
      <c r="G1031" t="s">
        <v>322</v>
      </c>
      <c r="N1031" s="107"/>
    </row>
    <row r="1032" spans="1:14" hidden="1" x14ac:dyDescent="0.3">
      <c r="A1032" t="s">
        <v>181</v>
      </c>
      <c r="B1032" t="s">
        <v>662</v>
      </c>
      <c r="C1032" t="s">
        <v>1227</v>
      </c>
      <c r="D1032">
        <f t="shared" si="16"/>
        <v>0</v>
      </c>
      <c r="E1032" t="s">
        <v>19</v>
      </c>
      <c r="F1032" t="s">
        <v>1958</v>
      </c>
      <c r="G1032" t="s">
        <v>322</v>
      </c>
      <c r="N1032" s="107"/>
    </row>
    <row r="1033" spans="1:14" hidden="1" x14ac:dyDescent="0.3">
      <c r="A1033" t="s">
        <v>181</v>
      </c>
      <c r="B1033" t="s">
        <v>517</v>
      </c>
      <c r="C1033" t="s">
        <v>1227</v>
      </c>
      <c r="D1033">
        <f t="shared" si="16"/>
        <v>0</v>
      </c>
      <c r="E1033" t="s">
        <v>19</v>
      </c>
      <c r="F1033" t="s">
        <v>1968</v>
      </c>
      <c r="G1033" t="s">
        <v>322</v>
      </c>
      <c r="N1033" s="107"/>
    </row>
    <row r="1034" spans="1:14" hidden="1" x14ac:dyDescent="0.3">
      <c r="A1034" t="s">
        <v>181</v>
      </c>
      <c r="B1034" t="s">
        <v>746</v>
      </c>
      <c r="C1034" t="s">
        <v>1243</v>
      </c>
      <c r="D1034">
        <f t="shared" si="16"/>
        <v>0</v>
      </c>
      <c r="E1034" t="s">
        <v>19</v>
      </c>
      <c r="F1034" t="s">
        <v>2024</v>
      </c>
      <c r="G1034" t="s">
        <v>322</v>
      </c>
      <c r="N1034" s="107"/>
    </row>
    <row r="1035" spans="1:14" hidden="1" x14ac:dyDescent="0.3">
      <c r="A1035" t="s">
        <v>181</v>
      </c>
      <c r="B1035" t="s">
        <v>669</v>
      </c>
      <c r="C1035" t="s">
        <v>1301</v>
      </c>
      <c r="D1035">
        <f t="shared" si="16"/>
        <v>0</v>
      </c>
      <c r="E1035" t="s">
        <v>19</v>
      </c>
      <c r="F1035" t="s">
        <v>2170</v>
      </c>
      <c r="G1035" t="s">
        <v>322</v>
      </c>
      <c r="N1035" s="107"/>
    </row>
    <row r="1036" spans="1:14" hidden="1" x14ac:dyDescent="0.3">
      <c r="A1036" t="s">
        <v>181</v>
      </c>
      <c r="B1036" t="s">
        <v>833</v>
      </c>
      <c r="C1036" t="s">
        <v>1301</v>
      </c>
      <c r="D1036">
        <f t="shared" si="16"/>
        <v>0</v>
      </c>
      <c r="E1036" t="s">
        <v>19</v>
      </c>
      <c r="F1036" t="s">
        <v>2175</v>
      </c>
      <c r="G1036" t="s">
        <v>322</v>
      </c>
      <c r="N1036" s="107"/>
    </row>
    <row r="1037" spans="1:14" hidden="1" x14ac:dyDescent="0.3">
      <c r="A1037" t="s">
        <v>181</v>
      </c>
      <c r="B1037" t="s">
        <v>517</v>
      </c>
      <c r="C1037" t="s">
        <v>1393</v>
      </c>
      <c r="D1037">
        <f t="shared" si="16"/>
        <v>0</v>
      </c>
      <c r="E1037" t="s">
        <v>19</v>
      </c>
      <c r="F1037" t="s">
        <v>2363</v>
      </c>
      <c r="G1037" t="s">
        <v>322</v>
      </c>
      <c r="N1037" s="107"/>
    </row>
    <row r="1038" spans="1:14" hidden="1" x14ac:dyDescent="0.3">
      <c r="A1038" t="s">
        <v>181</v>
      </c>
      <c r="B1038" t="s">
        <v>662</v>
      </c>
      <c r="C1038" t="s">
        <v>1392</v>
      </c>
      <c r="D1038">
        <f t="shared" si="16"/>
        <v>0</v>
      </c>
      <c r="E1038" t="s">
        <v>19</v>
      </c>
      <c r="F1038" t="s">
        <v>2374</v>
      </c>
      <c r="G1038" t="s">
        <v>322</v>
      </c>
      <c r="N1038" s="107"/>
    </row>
    <row r="1039" spans="1:14" hidden="1" x14ac:dyDescent="0.3">
      <c r="A1039" t="s">
        <v>181</v>
      </c>
      <c r="B1039" t="s">
        <v>662</v>
      </c>
      <c r="C1039" t="s">
        <v>1392</v>
      </c>
      <c r="D1039">
        <f t="shared" si="16"/>
        <v>0</v>
      </c>
      <c r="E1039" t="s">
        <v>19</v>
      </c>
      <c r="F1039" t="s">
        <v>2375</v>
      </c>
      <c r="G1039" t="s">
        <v>322</v>
      </c>
      <c r="N1039" s="107"/>
    </row>
    <row r="1040" spans="1:14" hidden="1" x14ac:dyDescent="0.3">
      <c r="A1040" t="s">
        <v>181</v>
      </c>
      <c r="B1040" t="s">
        <v>661</v>
      </c>
      <c r="C1040" t="s">
        <v>1391</v>
      </c>
      <c r="D1040">
        <f t="shared" si="16"/>
        <v>0</v>
      </c>
      <c r="E1040" t="s">
        <v>19</v>
      </c>
      <c r="F1040" t="s">
        <v>2376</v>
      </c>
      <c r="G1040" t="s">
        <v>322</v>
      </c>
      <c r="N1040" s="107"/>
    </row>
    <row r="1041" spans="1:14" hidden="1" x14ac:dyDescent="0.3">
      <c r="A1041" t="s">
        <v>181</v>
      </c>
      <c r="B1041" t="s">
        <v>954</v>
      </c>
      <c r="C1041" t="s">
        <v>1385</v>
      </c>
      <c r="D1041">
        <f t="shared" si="16"/>
        <v>0</v>
      </c>
      <c r="E1041" t="s">
        <v>19</v>
      </c>
      <c r="F1041" t="s">
        <v>2382</v>
      </c>
      <c r="G1041" t="s">
        <v>322</v>
      </c>
      <c r="N1041" s="107"/>
    </row>
    <row r="1042" spans="1:14" hidden="1" x14ac:dyDescent="0.3">
      <c r="A1042" t="s">
        <v>181</v>
      </c>
      <c r="B1042" t="s">
        <v>710</v>
      </c>
      <c r="C1042" t="s">
        <v>1414</v>
      </c>
      <c r="D1042">
        <f t="shared" si="16"/>
        <v>0</v>
      </c>
      <c r="E1042" t="s">
        <v>19</v>
      </c>
      <c r="F1042" t="s">
        <v>2494</v>
      </c>
      <c r="G1042" t="s">
        <v>322</v>
      </c>
      <c r="N1042" s="107"/>
    </row>
    <row r="1043" spans="1:14" hidden="1" x14ac:dyDescent="0.3">
      <c r="A1043" t="s">
        <v>181</v>
      </c>
      <c r="B1043" t="s">
        <v>661</v>
      </c>
      <c r="C1043" t="s">
        <v>1462</v>
      </c>
      <c r="D1043">
        <f t="shared" si="16"/>
        <v>0</v>
      </c>
      <c r="E1043" t="s">
        <v>19</v>
      </c>
      <c r="F1043" t="s">
        <v>2656</v>
      </c>
      <c r="G1043" t="s">
        <v>322</v>
      </c>
      <c r="N1043" s="107"/>
    </row>
    <row r="1044" spans="1:14" hidden="1" x14ac:dyDescent="0.3">
      <c r="A1044" t="s">
        <v>181</v>
      </c>
      <c r="B1044" t="s">
        <v>661</v>
      </c>
      <c r="C1044" t="s">
        <v>1483</v>
      </c>
      <c r="D1044">
        <f t="shared" si="16"/>
        <v>0</v>
      </c>
      <c r="E1044" t="s">
        <v>19</v>
      </c>
      <c r="F1044" t="s">
        <v>2721</v>
      </c>
      <c r="G1044" t="s">
        <v>322</v>
      </c>
      <c r="N1044" s="107"/>
    </row>
    <row r="1045" spans="1:14" hidden="1" x14ac:dyDescent="0.3">
      <c r="A1045" t="s">
        <v>181</v>
      </c>
      <c r="B1045" t="s">
        <v>1101</v>
      </c>
      <c r="C1045" t="s">
        <v>1501</v>
      </c>
      <c r="D1045">
        <f t="shared" si="16"/>
        <v>0</v>
      </c>
      <c r="E1045" t="s">
        <v>19</v>
      </c>
      <c r="F1045" t="s">
        <v>2745</v>
      </c>
      <c r="G1045" t="s">
        <v>322</v>
      </c>
      <c r="N1045" s="107"/>
    </row>
    <row r="1046" spans="1:14" hidden="1" x14ac:dyDescent="0.3">
      <c r="A1046" t="s">
        <v>181</v>
      </c>
      <c r="B1046" t="s">
        <v>661</v>
      </c>
      <c r="C1046" t="s">
        <v>1509</v>
      </c>
      <c r="D1046">
        <f t="shared" si="16"/>
        <v>0</v>
      </c>
      <c r="E1046" t="s">
        <v>19</v>
      </c>
      <c r="F1046" t="s">
        <v>2779</v>
      </c>
      <c r="G1046" t="s">
        <v>322</v>
      </c>
      <c r="N1046" s="107"/>
    </row>
    <row r="1047" spans="1:14" hidden="1" x14ac:dyDescent="0.3">
      <c r="A1047" t="s">
        <v>182</v>
      </c>
      <c r="B1047" t="s">
        <v>933</v>
      </c>
      <c r="C1047" t="s">
        <v>1371</v>
      </c>
      <c r="D1047">
        <f t="shared" si="16"/>
        <v>0</v>
      </c>
      <c r="E1047" t="s">
        <v>19</v>
      </c>
      <c r="F1047" t="s">
        <v>2313</v>
      </c>
      <c r="G1047" t="s">
        <v>322</v>
      </c>
      <c r="N1047" s="107"/>
    </row>
    <row r="1048" spans="1:14" hidden="1" x14ac:dyDescent="0.3">
      <c r="A1048" t="s">
        <v>182</v>
      </c>
      <c r="B1048" t="s">
        <v>965</v>
      </c>
      <c r="C1048" t="s">
        <v>1404</v>
      </c>
      <c r="D1048">
        <f t="shared" si="16"/>
        <v>0</v>
      </c>
      <c r="E1048" t="s">
        <v>19</v>
      </c>
      <c r="F1048" t="s">
        <v>2404</v>
      </c>
      <c r="G1048" t="s">
        <v>322</v>
      </c>
      <c r="N1048" s="107"/>
    </row>
    <row r="1049" spans="1:14" hidden="1" x14ac:dyDescent="0.3">
      <c r="A1049" t="s">
        <v>182</v>
      </c>
      <c r="B1049" t="s">
        <v>968</v>
      </c>
      <c r="C1049" t="s">
        <v>1404</v>
      </c>
      <c r="D1049">
        <f t="shared" si="16"/>
        <v>0</v>
      </c>
      <c r="E1049" t="s">
        <v>19</v>
      </c>
      <c r="F1049" t="s">
        <v>2407</v>
      </c>
      <c r="G1049" t="s">
        <v>322</v>
      </c>
      <c r="N1049" s="107"/>
    </row>
    <row r="1050" spans="1:14" hidden="1" x14ac:dyDescent="0.3">
      <c r="A1050" t="s">
        <v>182</v>
      </c>
      <c r="B1050" t="s">
        <v>988</v>
      </c>
      <c r="C1050" t="s">
        <v>1404</v>
      </c>
      <c r="D1050">
        <f t="shared" si="16"/>
        <v>0</v>
      </c>
      <c r="E1050" t="s">
        <v>19</v>
      </c>
      <c r="F1050" t="s">
        <v>2436</v>
      </c>
      <c r="G1050" t="s">
        <v>322</v>
      </c>
      <c r="N1050" s="107"/>
    </row>
    <row r="1051" spans="1:14" hidden="1" x14ac:dyDescent="0.3">
      <c r="A1051" t="s">
        <v>182</v>
      </c>
      <c r="B1051" t="s">
        <v>1043</v>
      </c>
      <c r="C1051" t="s">
        <v>1443</v>
      </c>
      <c r="D1051">
        <f t="shared" si="16"/>
        <v>0</v>
      </c>
      <c r="E1051" t="s">
        <v>19</v>
      </c>
      <c r="F1051" t="s">
        <v>2586</v>
      </c>
      <c r="G1051" t="s">
        <v>322</v>
      </c>
      <c r="N1051" s="107"/>
    </row>
    <row r="1052" spans="1:14" hidden="1" x14ac:dyDescent="0.3">
      <c r="A1052" t="s">
        <v>182</v>
      </c>
      <c r="B1052" t="s">
        <v>1044</v>
      </c>
      <c r="C1052" t="s">
        <v>1443</v>
      </c>
      <c r="D1052">
        <f t="shared" si="16"/>
        <v>0</v>
      </c>
      <c r="E1052" t="s">
        <v>19</v>
      </c>
      <c r="F1052" t="s">
        <v>2588</v>
      </c>
      <c r="G1052" t="s">
        <v>322</v>
      </c>
      <c r="N1052" s="107"/>
    </row>
    <row r="1053" spans="1:14" hidden="1" x14ac:dyDescent="0.3">
      <c r="A1053" t="s">
        <v>182</v>
      </c>
      <c r="B1053" t="s">
        <v>859</v>
      </c>
      <c r="C1053" t="s">
        <v>1443</v>
      </c>
      <c r="D1053">
        <f t="shared" si="16"/>
        <v>0</v>
      </c>
      <c r="E1053" t="s">
        <v>19</v>
      </c>
      <c r="F1053" t="s">
        <v>2589</v>
      </c>
      <c r="G1053" t="s">
        <v>322</v>
      </c>
      <c r="N1053" s="107"/>
    </row>
    <row r="1054" spans="1:14" hidden="1" x14ac:dyDescent="0.3">
      <c r="A1054" t="s">
        <v>182</v>
      </c>
      <c r="B1054" t="s">
        <v>965</v>
      </c>
      <c r="C1054" t="s">
        <v>1443</v>
      </c>
      <c r="D1054">
        <f t="shared" si="16"/>
        <v>0</v>
      </c>
      <c r="E1054" t="s">
        <v>19</v>
      </c>
      <c r="F1054" t="s">
        <v>2591</v>
      </c>
      <c r="G1054" t="s">
        <v>322</v>
      </c>
      <c r="N1054" s="107"/>
    </row>
    <row r="1055" spans="1:14" hidden="1" x14ac:dyDescent="0.3">
      <c r="A1055" t="s">
        <v>182</v>
      </c>
      <c r="B1055" t="s">
        <v>1053</v>
      </c>
      <c r="C1055" t="s">
        <v>1443</v>
      </c>
      <c r="D1055">
        <f t="shared" si="16"/>
        <v>0</v>
      </c>
      <c r="E1055" t="s">
        <v>19</v>
      </c>
      <c r="F1055" t="s">
        <v>2613</v>
      </c>
      <c r="G1055" t="s">
        <v>322</v>
      </c>
      <c r="N1055" s="107"/>
    </row>
    <row r="1056" spans="1:14" hidden="1" x14ac:dyDescent="0.3">
      <c r="A1056" t="s">
        <v>183</v>
      </c>
      <c r="B1056" t="s">
        <v>521</v>
      </c>
      <c r="C1056" t="s">
        <v>1164</v>
      </c>
      <c r="D1056">
        <f t="shared" si="16"/>
        <v>0</v>
      </c>
      <c r="E1056" t="s">
        <v>19</v>
      </c>
      <c r="F1056" t="s">
        <v>1741</v>
      </c>
      <c r="G1056" t="s">
        <v>322</v>
      </c>
      <c r="N1056" s="107"/>
    </row>
    <row r="1057" spans="1:14" hidden="1" x14ac:dyDescent="0.3">
      <c r="A1057" t="s">
        <v>183</v>
      </c>
      <c r="B1057" t="s">
        <v>521</v>
      </c>
      <c r="C1057" t="s">
        <v>1171</v>
      </c>
      <c r="D1057">
        <f t="shared" si="16"/>
        <v>0</v>
      </c>
      <c r="E1057" t="s">
        <v>19</v>
      </c>
      <c r="F1057" t="s">
        <v>1753</v>
      </c>
      <c r="G1057" t="s">
        <v>322</v>
      </c>
      <c r="N1057" s="107"/>
    </row>
    <row r="1058" spans="1:14" hidden="1" x14ac:dyDescent="0.3">
      <c r="A1058" t="s">
        <v>183</v>
      </c>
      <c r="B1058" t="s">
        <v>520</v>
      </c>
      <c r="C1058" t="s">
        <v>1171</v>
      </c>
      <c r="D1058">
        <f t="shared" si="16"/>
        <v>0</v>
      </c>
      <c r="E1058" t="s">
        <v>19</v>
      </c>
      <c r="F1058" t="s">
        <v>1754</v>
      </c>
      <c r="G1058" t="s">
        <v>322</v>
      </c>
      <c r="N1058" s="107"/>
    </row>
    <row r="1059" spans="1:14" hidden="1" x14ac:dyDescent="0.3">
      <c r="A1059" t="s">
        <v>183</v>
      </c>
      <c r="B1059" t="s">
        <v>583</v>
      </c>
      <c r="C1059" t="s">
        <v>1172</v>
      </c>
      <c r="D1059">
        <f t="shared" si="16"/>
        <v>0</v>
      </c>
      <c r="E1059" t="s">
        <v>19</v>
      </c>
      <c r="F1059" t="s">
        <v>1769</v>
      </c>
      <c r="G1059" t="s">
        <v>322</v>
      </c>
      <c r="N1059" s="107"/>
    </row>
    <row r="1060" spans="1:14" hidden="1" x14ac:dyDescent="0.3">
      <c r="A1060" t="s">
        <v>183</v>
      </c>
      <c r="B1060" t="s">
        <v>521</v>
      </c>
      <c r="C1060" t="s">
        <v>1175</v>
      </c>
      <c r="D1060">
        <f t="shared" si="16"/>
        <v>0</v>
      </c>
      <c r="E1060" t="s">
        <v>19</v>
      </c>
      <c r="F1060" t="s">
        <v>1784</v>
      </c>
      <c r="G1060" t="s">
        <v>322</v>
      </c>
      <c r="N1060" s="107"/>
    </row>
    <row r="1061" spans="1:14" hidden="1" x14ac:dyDescent="0.3">
      <c r="A1061" t="s">
        <v>183</v>
      </c>
      <c r="B1061" t="s">
        <v>723</v>
      </c>
      <c r="C1061" t="s">
        <v>1227</v>
      </c>
      <c r="D1061">
        <f t="shared" si="16"/>
        <v>0</v>
      </c>
      <c r="E1061" t="s">
        <v>19</v>
      </c>
      <c r="F1061" t="s">
        <v>1987</v>
      </c>
      <c r="G1061" t="s">
        <v>322</v>
      </c>
      <c r="N1061" s="107"/>
    </row>
    <row r="1062" spans="1:14" hidden="1" x14ac:dyDescent="0.3">
      <c r="A1062" t="s">
        <v>183</v>
      </c>
      <c r="B1062" t="s">
        <v>520</v>
      </c>
      <c r="C1062" t="s">
        <v>1233</v>
      </c>
      <c r="D1062">
        <f t="shared" si="16"/>
        <v>0</v>
      </c>
      <c r="E1062" t="s">
        <v>19</v>
      </c>
      <c r="F1062" t="s">
        <v>1993</v>
      </c>
      <c r="G1062" t="s">
        <v>322</v>
      </c>
      <c r="N1062" s="107"/>
    </row>
    <row r="1063" spans="1:14" hidden="1" x14ac:dyDescent="0.3">
      <c r="A1063" t="s">
        <v>183</v>
      </c>
      <c r="B1063" t="s">
        <v>520</v>
      </c>
      <c r="C1063" t="s">
        <v>1233</v>
      </c>
      <c r="D1063">
        <f t="shared" si="16"/>
        <v>0</v>
      </c>
      <c r="E1063" t="s">
        <v>19</v>
      </c>
      <c r="F1063" t="s">
        <v>1994</v>
      </c>
      <c r="G1063" t="s">
        <v>322</v>
      </c>
      <c r="N1063" s="107"/>
    </row>
    <row r="1064" spans="1:14" hidden="1" x14ac:dyDescent="0.3">
      <c r="A1064" t="s">
        <v>183</v>
      </c>
      <c r="B1064" t="s">
        <v>522</v>
      </c>
      <c r="C1064" t="s">
        <v>1233</v>
      </c>
      <c r="D1064">
        <f t="shared" si="16"/>
        <v>0</v>
      </c>
      <c r="E1064" t="s">
        <v>19</v>
      </c>
      <c r="F1064" t="s">
        <v>1995</v>
      </c>
      <c r="G1064" t="s">
        <v>322</v>
      </c>
      <c r="N1064" s="107"/>
    </row>
    <row r="1065" spans="1:14" hidden="1" x14ac:dyDescent="0.3">
      <c r="A1065" t="s">
        <v>183</v>
      </c>
      <c r="B1065" t="s">
        <v>522</v>
      </c>
      <c r="C1065" t="s">
        <v>1234</v>
      </c>
      <c r="D1065">
        <f t="shared" si="16"/>
        <v>0</v>
      </c>
      <c r="E1065" t="s">
        <v>19</v>
      </c>
      <c r="F1065" t="s">
        <v>1234</v>
      </c>
      <c r="G1065" t="s">
        <v>322</v>
      </c>
      <c r="N1065" s="107"/>
    </row>
    <row r="1066" spans="1:14" hidden="1" x14ac:dyDescent="0.3">
      <c r="A1066" t="s">
        <v>183</v>
      </c>
      <c r="B1066" t="s">
        <v>729</v>
      </c>
      <c r="C1066" t="s">
        <v>1233</v>
      </c>
      <c r="D1066">
        <f t="shared" si="16"/>
        <v>0</v>
      </c>
      <c r="E1066" t="s">
        <v>19</v>
      </c>
      <c r="F1066" t="s">
        <v>1996</v>
      </c>
      <c r="G1066" t="s">
        <v>322</v>
      </c>
      <c r="N1066" s="107"/>
    </row>
    <row r="1067" spans="1:14" hidden="1" x14ac:dyDescent="0.3">
      <c r="A1067" t="s">
        <v>183</v>
      </c>
      <c r="B1067" t="s">
        <v>729</v>
      </c>
      <c r="C1067" t="s">
        <v>1233</v>
      </c>
      <c r="D1067">
        <f t="shared" si="16"/>
        <v>0</v>
      </c>
      <c r="E1067" t="s">
        <v>19</v>
      </c>
      <c r="F1067" t="s">
        <v>1997</v>
      </c>
      <c r="G1067" t="s">
        <v>322</v>
      </c>
      <c r="N1067" s="107"/>
    </row>
    <row r="1068" spans="1:14" hidden="1" x14ac:dyDescent="0.3">
      <c r="A1068" t="s">
        <v>183</v>
      </c>
      <c r="B1068" t="s">
        <v>729</v>
      </c>
      <c r="C1068" t="s">
        <v>1246</v>
      </c>
      <c r="D1068">
        <f t="shared" si="16"/>
        <v>0</v>
      </c>
      <c r="E1068" t="s">
        <v>19</v>
      </c>
      <c r="F1068" t="s">
        <v>1246</v>
      </c>
      <c r="G1068" t="s">
        <v>322</v>
      </c>
      <c r="N1068" s="107"/>
    </row>
    <row r="1069" spans="1:14" hidden="1" x14ac:dyDescent="0.3">
      <c r="A1069" t="s">
        <v>183</v>
      </c>
      <c r="B1069" t="s">
        <v>520</v>
      </c>
      <c r="C1069" t="s">
        <v>1262</v>
      </c>
      <c r="D1069">
        <f t="shared" si="16"/>
        <v>0</v>
      </c>
      <c r="E1069" t="s">
        <v>19</v>
      </c>
      <c r="F1069" t="s">
        <v>1262</v>
      </c>
      <c r="G1069" t="s">
        <v>322</v>
      </c>
      <c r="N1069" s="107"/>
    </row>
    <row r="1070" spans="1:14" hidden="1" x14ac:dyDescent="0.3">
      <c r="A1070" t="s">
        <v>183</v>
      </c>
      <c r="B1070" t="s">
        <v>520</v>
      </c>
      <c r="C1070" t="s">
        <v>1264</v>
      </c>
      <c r="D1070">
        <f t="shared" si="16"/>
        <v>0</v>
      </c>
      <c r="E1070" t="s">
        <v>19</v>
      </c>
      <c r="F1070" t="s">
        <v>2075</v>
      </c>
      <c r="G1070" t="s">
        <v>322</v>
      </c>
      <c r="N1070" s="107"/>
    </row>
    <row r="1071" spans="1:14" hidden="1" x14ac:dyDescent="0.3">
      <c r="A1071" t="s">
        <v>183</v>
      </c>
      <c r="B1071" t="s">
        <v>521</v>
      </c>
      <c r="C1071" t="s">
        <v>1264</v>
      </c>
      <c r="D1071">
        <f t="shared" si="16"/>
        <v>0</v>
      </c>
      <c r="E1071" t="s">
        <v>19</v>
      </c>
      <c r="F1071" t="s">
        <v>2076</v>
      </c>
      <c r="G1071" t="s">
        <v>322</v>
      </c>
      <c r="N1071" s="107"/>
    </row>
    <row r="1072" spans="1:14" hidden="1" x14ac:dyDescent="0.3">
      <c r="A1072" t="s">
        <v>183</v>
      </c>
      <c r="B1072" t="s">
        <v>522</v>
      </c>
      <c r="C1072" t="s">
        <v>1272</v>
      </c>
      <c r="D1072">
        <f t="shared" si="16"/>
        <v>0</v>
      </c>
      <c r="E1072" t="s">
        <v>19</v>
      </c>
      <c r="F1072" t="s">
        <v>2087</v>
      </c>
      <c r="G1072" t="s">
        <v>322</v>
      </c>
      <c r="N1072" s="107"/>
    </row>
    <row r="1073" spans="1:14" hidden="1" x14ac:dyDescent="0.3">
      <c r="A1073" t="s">
        <v>183</v>
      </c>
      <c r="B1073" t="s">
        <v>522</v>
      </c>
      <c r="C1073" t="s">
        <v>1272</v>
      </c>
      <c r="D1073">
        <f t="shared" si="16"/>
        <v>0</v>
      </c>
      <c r="E1073" t="s">
        <v>19</v>
      </c>
      <c r="F1073" t="s">
        <v>2088</v>
      </c>
      <c r="G1073" t="s">
        <v>322</v>
      </c>
      <c r="N1073" s="107"/>
    </row>
    <row r="1074" spans="1:14" hidden="1" x14ac:dyDescent="0.3">
      <c r="A1074" t="s">
        <v>183</v>
      </c>
      <c r="B1074" t="s">
        <v>520</v>
      </c>
      <c r="C1074" t="s">
        <v>1314</v>
      </c>
      <c r="D1074">
        <f t="shared" si="16"/>
        <v>0</v>
      </c>
      <c r="E1074" t="s">
        <v>19</v>
      </c>
      <c r="F1074" t="s">
        <v>2214</v>
      </c>
      <c r="G1074" t="s">
        <v>322</v>
      </c>
      <c r="N1074" s="107"/>
    </row>
    <row r="1075" spans="1:14" hidden="1" x14ac:dyDescent="0.3">
      <c r="A1075" t="s">
        <v>183</v>
      </c>
      <c r="B1075" t="s">
        <v>521</v>
      </c>
      <c r="C1075" t="s">
        <v>1317</v>
      </c>
      <c r="D1075">
        <f t="shared" si="16"/>
        <v>0</v>
      </c>
      <c r="E1075" t="s">
        <v>19</v>
      </c>
      <c r="F1075" t="s">
        <v>2223</v>
      </c>
      <c r="G1075" t="s">
        <v>322</v>
      </c>
      <c r="N1075" s="107"/>
    </row>
    <row r="1076" spans="1:14" hidden="1" x14ac:dyDescent="0.3">
      <c r="A1076" t="s">
        <v>183</v>
      </c>
      <c r="B1076" t="s">
        <v>729</v>
      </c>
      <c r="C1076" t="s">
        <v>1392</v>
      </c>
      <c r="D1076">
        <f t="shared" si="16"/>
        <v>0</v>
      </c>
      <c r="E1076" t="s">
        <v>19</v>
      </c>
      <c r="F1076" t="s">
        <v>2364</v>
      </c>
      <c r="G1076" t="s">
        <v>322</v>
      </c>
      <c r="N1076" s="107"/>
    </row>
    <row r="1077" spans="1:14" hidden="1" x14ac:dyDescent="0.3">
      <c r="A1077" t="s">
        <v>183</v>
      </c>
      <c r="B1077" t="s">
        <v>522</v>
      </c>
      <c r="C1077" t="s">
        <v>1392</v>
      </c>
      <c r="D1077">
        <f t="shared" si="16"/>
        <v>0</v>
      </c>
      <c r="E1077" t="s">
        <v>19</v>
      </c>
      <c r="F1077" t="s">
        <v>2377</v>
      </c>
      <c r="G1077" t="s">
        <v>322</v>
      </c>
      <c r="N1077" s="107"/>
    </row>
    <row r="1078" spans="1:14" hidden="1" x14ac:dyDescent="0.3">
      <c r="A1078" t="s">
        <v>183</v>
      </c>
      <c r="B1078" t="s">
        <v>992</v>
      </c>
      <c r="C1078" t="s">
        <v>1411</v>
      </c>
      <c r="D1078">
        <f t="shared" si="16"/>
        <v>0</v>
      </c>
      <c r="E1078" t="s">
        <v>19</v>
      </c>
      <c r="F1078" t="s">
        <v>2444</v>
      </c>
      <c r="G1078" t="s">
        <v>322</v>
      </c>
      <c r="N1078" s="107"/>
    </row>
    <row r="1079" spans="1:14" hidden="1" x14ac:dyDescent="0.3">
      <c r="A1079" t="s">
        <v>183</v>
      </c>
      <c r="B1079" t="s">
        <v>522</v>
      </c>
      <c r="C1079" t="s">
        <v>1411</v>
      </c>
      <c r="D1079">
        <f t="shared" si="16"/>
        <v>0</v>
      </c>
      <c r="E1079" t="s">
        <v>19</v>
      </c>
      <c r="F1079" t="s">
        <v>2457</v>
      </c>
      <c r="G1079" t="s">
        <v>322</v>
      </c>
      <c r="N1079" s="107"/>
    </row>
    <row r="1080" spans="1:14" hidden="1" x14ac:dyDescent="0.3">
      <c r="A1080" t="s">
        <v>183</v>
      </c>
      <c r="B1080" t="s">
        <v>520</v>
      </c>
      <c r="C1080" t="s">
        <v>1411</v>
      </c>
      <c r="D1080">
        <f t="shared" si="16"/>
        <v>0</v>
      </c>
      <c r="E1080" t="s">
        <v>19</v>
      </c>
      <c r="F1080" t="s">
        <v>2460</v>
      </c>
      <c r="G1080" t="s">
        <v>322</v>
      </c>
      <c r="N1080" s="107"/>
    </row>
    <row r="1081" spans="1:14" hidden="1" x14ac:dyDescent="0.3">
      <c r="A1081" t="s">
        <v>183</v>
      </c>
      <c r="B1081" t="s">
        <v>522</v>
      </c>
      <c r="C1081" t="s">
        <v>1414</v>
      </c>
      <c r="D1081">
        <f t="shared" si="16"/>
        <v>0</v>
      </c>
      <c r="E1081" t="s">
        <v>19</v>
      </c>
      <c r="F1081" t="s">
        <v>2493</v>
      </c>
      <c r="G1081" t="s">
        <v>322</v>
      </c>
      <c r="N1081" s="107"/>
    </row>
    <row r="1082" spans="1:14" hidden="1" x14ac:dyDescent="0.3">
      <c r="A1082" t="s">
        <v>183</v>
      </c>
      <c r="B1082" t="s">
        <v>520</v>
      </c>
      <c r="C1082" t="s">
        <v>1414</v>
      </c>
      <c r="D1082">
        <f t="shared" si="16"/>
        <v>0</v>
      </c>
      <c r="E1082" t="s">
        <v>19</v>
      </c>
      <c r="F1082" t="s">
        <v>2506</v>
      </c>
      <c r="G1082" t="s">
        <v>322</v>
      </c>
      <c r="N1082" s="107"/>
    </row>
    <row r="1083" spans="1:14" hidden="1" x14ac:dyDescent="0.3">
      <c r="A1083" t="s">
        <v>183</v>
      </c>
      <c r="B1083" t="s">
        <v>520</v>
      </c>
      <c r="C1083" t="s">
        <v>1414</v>
      </c>
      <c r="D1083">
        <f t="shared" si="16"/>
        <v>0</v>
      </c>
      <c r="E1083" t="s">
        <v>19</v>
      </c>
      <c r="F1083" t="s">
        <v>2512</v>
      </c>
      <c r="G1083" t="s">
        <v>322</v>
      </c>
      <c r="N1083" s="107"/>
    </row>
    <row r="1084" spans="1:14" hidden="1" x14ac:dyDescent="0.3">
      <c r="A1084" t="s">
        <v>183</v>
      </c>
      <c r="B1084" t="s">
        <v>729</v>
      </c>
      <c r="C1084" t="s">
        <v>1421</v>
      </c>
      <c r="D1084">
        <f t="shared" si="16"/>
        <v>0</v>
      </c>
      <c r="E1084" t="s">
        <v>19</v>
      </c>
      <c r="F1084" t="s">
        <v>1421</v>
      </c>
      <c r="G1084" t="s">
        <v>322</v>
      </c>
      <c r="N1084" s="107"/>
    </row>
    <row r="1085" spans="1:14" hidden="1" x14ac:dyDescent="0.3">
      <c r="A1085" t="s">
        <v>183</v>
      </c>
      <c r="B1085" t="s">
        <v>522</v>
      </c>
      <c r="C1085" t="s">
        <v>1462</v>
      </c>
      <c r="D1085">
        <f t="shared" si="16"/>
        <v>0</v>
      </c>
      <c r="E1085" t="s">
        <v>19</v>
      </c>
      <c r="F1085" t="s">
        <v>2668</v>
      </c>
      <c r="G1085" t="s">
        <v>322</v>
      </c>
      <c r="N1085" s="107"/>
    </row>
    <row r="1086" spans="1:14" hidden="1" x14ac:dyDescent="0.3">
      <c r="A1086" t="s">
        <v>183</v>
      </c>
      <c r="B1086" t="s">
        <v>729</v>
      </c>
      <c r="C1086" t="s">
        <v>1462</v>
      </c>
      <c r="D1086">
        <f t="shared" si="16"/>
        <v>0</v>
      </c>
      <c r="E1086" t="s">
        <v>19</v>
      </c>
      <c r="F1086" t="s">
        <v>2673</v>
      </c>
      <c r="G1086" t="s">
        <v>322</v>
      </c>
      <c r="N1086" s="107"/>
    </row>
    <row r="1087" spans="1:14" hidden="1" x14ac:dyDescent="0.3">
      <c r="A1087" t="s">
        <v>183</v>
      </c>
      <c r="B1087" t="s">
        <v>520</v>
      </c>
      <c r="C1087" t="s">
        <v>1462</v>
      </c>
      <c r="D1087">
        <f t="shared" si="16"/>
        <v>0</v>
      </c>
      <c r="E1087" t="s">
        <v>19</v>
      </c>
      <c r="F1087" t="s">
        <v>2674</v>
      </c>
      <c r="G1087" t="s">
        <v>322</v>
      </c>
      <c r="N1087" s="107"/>
    </row>
    <row r="1088" spans="1:14" hidden="1" x14ac:dyDescent="0.3">
      <c r="A1088" t="s">
        <v>183</v>
      </c>
      <c r="B1088" t="s">
        <v>522</v>
      </c>
      <c r="C1088" t="s">
        <v>1479</v>
      </c>
      <c r="D1088">
        <f t="shared" si="16"/>
        <v>0</v>
      </c>
      <c r="E1088" t="s">
        <v>19</v>
      </c>
      <c r="F1088" t="s">
        <v>2699</v>
      </c>
      <c r="G1088" t="s">
        <v>322</v>
      </c>
      <c r="N1088" s="107"/>
    </row>
    <row r="1089" spans="1:14" hidden="1" x14ac:dyDescent="0.3">
      <c r="A1089" t="s">
        <v>183</v>
      </c>
      <c r="B1089" t="s">
        <v>520</v>
      </c>
      <c r="C1089" t="s">
        <v>1479</v>
      </c>
      <c r="D1089">
        <f t="shared" ref="D1089:D1152" si="17">SIGN(SUBTOTAL(3,E1089))</f>
        <v>0</v>
      </c>
      <c r="E1089" t="s">
        <v>19</v>
      </c>
      <c r="F1089" t="s">
        <v>2701</v>
      </c>
      <c r="G1089" t="s">
        <v>322</v>
      </c>
      <c r="N1089" s="107"/>
    </row>
    <row r="1090" spans="1:14" hidden="1" x14ac:dyDescent="0.3">
      <c r="A1090" t="s">
        <v>183</v>
      </c>
      <c r="B1090" t="s">
        <v>521</v>
      </c>
      <c r="C1090" t="s">
        <v>1513</v>
      </c>
      <c r="D1090">
        <f t="shared" si="17"/>
        <v>0</v>
      </c>
      <c r="E1090" t="s">
        <v>19</v>
      </c>
      <c r="F1090" t="s">
        <v>2811</v>
      </c>
      <c r="G1090" t="s">
        <v>322</v>
      </c>
      <c r="N1090" s="107"/>
    </row>
    <row r="1091" spans="1:14" hidden="1" x14ac:dyDescent="0.3">
      <c r="A1091" t="s">
        <v>184</v>
      </c>
      <c r="B1091" t="s">
        <v>542</v>
      </c>
      <c r="C1091" t="s">
        <v>1138</v>
      </c>
      <c r="D1091">
        <f t="shared" si="17"/>
        <v>0</v>
      </c>
      <c r="E1091" t="s">
        <v>19</v>
      </c>
      <c r="F1091" t="s">
        <v>1138</v>
      </c>
      <c r="G1091" t="s">
        <v>322</v>
      </c>
      <c r="N1091" s="107"/>
    </row>
    <row r="1092" spans="1:14" hidden="1" x14ac:dyDescent="0.3">
      <c r="A1092" t="s">
        <v>184</v>
      </c>
      <c r="B1092" t="s">
        <v>543</v>
      </c>
      <c r="C1092" t="s">
        <v>1139</v>
      </c>
      <c r="D1092">
        <f t="shared" si="17"/>
        <v>0</v>
      </c>
      <c r="E1092" t="s">
        <v>19</v>
      </c>
      <c r="F1092" t="s">
        <v>1139</v>
      </c>
      <c r="G1092" t="s">
        <v>322</v>
      </c>
      <c r="N1092" s="107"/>
    </row>
    <row r="1093" spans="1:14" hidden="1" x14ac:dyDescent="0.3">
      <c r="A1093" t="s">
        <v>184</v>
      </c>
      <c r="B1093" t="s">
        <v>572</v>
      </c>
      <c r="C1093" t="s">
        <v>1171</v>
      </c>
      <c r="D1093">
        <f t="shared" si="17"/>
        <v>0</v>
      </c>
      <c r="E1093" t="s">
        <v>19</v>
      </c>
      <c r="F1093" t="s">
        <v>1757</v>
      </c>
      <c r="G1093" t="s">
        <v>322</v>
      </c>
      <c r="N1093" s="107"/>
    </row>
    <row r="1094" spans="1:14" hidden="1" x14ac:dyDescent="0.3">
      <c r="A1094" t="s">
        <v>184</v>
      </c>
      <c r="B1094" t="s">
        <v>573</v>
      </c>
      <c r="C1094" t="s">
        <v>1171</v>
      </c>
      <c r="D1094">
        <f t="shared" si="17"/>
        <v>0</v>
      </c>
      <c r="E1094" t="s">
        <v>19</v>
      </c>
      <c r="F1094" t="s">
        <v>1758</v>
      </c>
      <c r="G1094" t="s">
        <v>322</v>
      </c>
      <c r="N1094" s="107"/>
    </row>
    <row r="1095" spans="1:14" hidden="1" x14ac:dyDescent="0.3">
      <c r="A1095" t="s">
        <v>184</v>
      </c>
      <c r="B1095" t="s">
        <v>524</v>
      </c>
      <c r="C1095" t="s">
        <v>1172</v>
      </c>
      <c r="D1095">
        <f t="shared" si="17"/>
        <v>0</v>
      </c>
      <c r="E1095" t="s">
        <v>19</v>
      </c>
      <c r="F1095" t="s">
        <v>1760</v>
      </c>
      <c r="G1095" t="s">
        <v>322</v>
      </c>
      <c r="N1095" s="107"/>
    </row>
    <row r="1096" spans="1:14" hidden="1" x14ac:dyDescent="0.3">
      <c r="A1096" t="s">
        <v>184</v>
      </c>
      <c r="B1096" t="s">
        <v>578</v>
      </c>
      <c r="C1096" t="s">
        <v>1172</v>
      </c>
      <c r="D1096">
        <f t="shared" si="17"/>
        <v>0</v>
      </c>
      <c r="E1096" t="s">
        <v>19</v>
      </c>
      <c r="F1096" t="s">
        <v>1763</v>
      </c>
      <c r="G1096" t="s">
        <v>322</v>
      </c>
      <c r="N1096" s="107"/>
    </row>
    <row r="1097" spans="1:14" hidden="1" x14ac:dyDescent="0.3">
      <c r="A1097" t="s">
        <v>184</v>
      </c>
      <c r="B1097" t="s">
        <v>585</v>
      </c>
      <c r="C1097" t="s">
        <v>1172</v>
      </c>
      <c r="D1097">
        <f t="shared" si="17"/>
        <v>0</v>
      </c>
      <c r="E1097" t="s">
        <v>19</v>
      </c>
      <c r="F1097" t="s">
        <v>1771</v>
      </c>
      <c r="G1097" t="s">
        <v>322</v>
      </c>
      <c r="N1097" s="107"/>
    </row>
    <row r="1098" spans="1:14" hidden="1" x14ac:dyDescent="0.3">
      <c r="A1098" t="s">
        <v>184</v>
      </c>
      <c r="B1098" t="s">
        <v>587</v>
      </c>
      <c r="C1098" t="s">
        <v>1171</v>
      </c>
      <c r="D1098">
        <f t="shared" si="17"/>
        <v>0</v>
      </c>
      <c r="E1098" t="s">
        <v>19</v>
      </c>
      <c r="F1098" t="s">
        <v>1774</v>
      </c>
      <c r="G1098" t="s">
        <v>322</v>
      </c>
      <c r="N1098" s="107"/>
    </row>
    <row r="1099" spans="1:14" hidden="1" x14ac:dyDescent="0.3">
      <c r="A1099" t="s">
        <v>184</v>
      </c>
      <c r="B1099" t="s">
        <v>588</v>
      </c>
      <c r="C1099" t="s">
        <v>1171</v>
      </c>
      <c r="D1099">
        <f t="shared" si="17"/>
        <v>0</v>
      </c>
      <c r="E1099" t="s">
        <v>19</v>
      </c>
      <c r="F1099" t="s">
        <v>1775</v>
      </c>
      <c r="G1099" t="s">
        <v>322</v>
      </c>
      <c r="N1099" s="107"/>
    </row>
    <row r="1100" spans="1:14" hidden="1" x14ac:dyDescent="0.3">
      <c r="A1100" t="s">
        <v>184</v>
      </c>
      <c r="B1100" t="s">
        <v>604</v>
      </c>
      <c r="C1100" t="s">
        <v>1178</v>
      </c>
      <c r="D1100">
        <f t="shared" si="17"/>
        <v>0</v>
      </c>
      <c r="E1100" t="s">
        <v>19</v>
      </c>
      <c r="F1100" t="s">
        <v>1800</v>
      </c>
      <c r="G1100" t="s">
        <v>322</v>
      </c>
      <c r="N1100" s="107"/>
    </row>
    <row r="1101" spans="1:14" hidden="1" x14ac:dyDescent="0.3">
      <c r="A1101" t="s">
        <v>184</v>
      </c>
      <c r="B1101" t="s">
        <v>524</v>
      </c>
      <c r="C1101" t="s">
        <v>1178</v>
      </c>
      <c r="D1101">
        <f t="shared" si="17"/>
        <v>0</v>
      </c>
      <c r="E1101" t="s">
        <v>19</v>
      </c>
      <c r="F1101" t="s">
        <v>1801</v>
      </c>
      <c r="G1101" t="s">
        <v>322</v>
      </c>
      <c r="N1101" s="107"/>
    </row>
    <row r="1102" spans="1:14" hidden="1" x14ac:dyDescent="0.3">
      <c r="A1102" t="s">
        <v>184</v>
      </c>
      <c r="B1102" t="s">
        <v>605</v>
      </c>
      <c r="C1102" t="s">
        <v>1178</v>
      </c>
      <c r="D1102">
        <f t="shared" si="17"/>
        <v>0</v>
      </c>
      <c r="E1102" t="s">
        <v>19</v>
      </c>
      <c r="F1102" t="s">
        <v>1802</v>
      </c>
      <c r="G1102" t="s">
        <v>322</v>
      </c>
      <c r="N1102" s="107"/>
    </row>
    <row r="1103" spans="1:14" hidden="1" x14ac:dyDescent="0.3">
      <c r="A1103" t="s">
        <v>184</v>
      </c>
      <c r="B1103" t="s">
        <v>606</v>
      </c>
      <c r="C1103" t="s">
        <v>1178</v>
      </c>
      <c r="D1103">
        <f t="shared" si="17"/>
        <v>0</v>
      </c>
      <c r="E1103" t="s">
        <v>19</v>
      </c>
      <c r="F1103" t="s">
        <v>1803</v>
      </c>
      <c r="G1103" t="s">
        <v>322</v>
      </c>
      <c r="N1103" s="107"/>
    </row>
    <row r="1104" spans="1:14" hidden="1" x14ac:dyDescent="0.3">
      <c r="A1104" t="s">
        <v>184</v>
      </c>
      <c r="B1104" t="s">
        <v>529</v>
      </c>
      <c r="C1104" t="s">
        <v>1178</v>
      </c>
      <c r="D1104">
        <f t="shared" si="17"/>
        <v>0</v>
      </c>
      <c r="E1104" t="s">
        <v>19</v>
      </c>
      <c r="F1104" t="s">
        <v>1804</v>
      </c>
      <c r="G1104" t="s">
        <v>322</v>
      </c>
      <c r="N1104" s="107"/>
    </row>
    <row r="1105" spans="1:14" hidden="1" x14ac:dyDescent="0.3">
      <c r="A1105" t="s">
        <v>184</v>
      </c>
      <c r="B1105" t="s">
        <v>616</v>
      </c>
      <c r="C1105" t="s">
        <v>1178</v>
      </c>
      <c r="D1105">
        <f t="shared" si="17"/>
        <v>0</v>
      </c>
      <c r="E1105" t="s">
        <v>19</v>
      </c>
      <c r="F1105" t="s">
        <v>1815</v>
      </c>
      <c r="G1105" t="s">
        <v>322</v>
      </c>
      <c r="N1105" s="107"/>
    </row>
    <row r="1106" spans="1:14" hidden="1" x14ac:dyDescent="0.3">
      <c r="A1106" t="s">
        <v>184</v>
      </c>
      <c r="B1106" t="s">
        <v>529</v>
      </c>
      <c r="C1106" t="s">
        <v>1178</v>
      </c>
      <c r="D1106">
        <f t="shared" si="17"/>
        <v>0</v>
      </c>
      <c r="E1106" t="s">
        <v>19</v>
      </c>
      <c r="F1106" t="s">
        <v>1816</v>
      </c>
      <c r="G1106" t="s">
        <v>322</v>
      </c>
      <c r="N1106" s="107"/>
    </row>
    <row r="1107" spans="1:14" hidden="1" x14ac:dyDescent="0.3">
      <c r="A1107" t="s">
        <v>184</v>
      </c>
      <c r="B1107" t="s">
        <v>618</v>
      </c>
      <c r="C1107" t="s">
        <v>1178</v>
      </c>
      <c r="D1107">
        <f t="shared" si="17"/>
        <v>0</v>
      </c>
      <c r="E1107" t="s">
        <v>19</v>
      </c>
      <c r="F1107" t="s">
        <v>1818</v>
      </c>
      <c r="G1107" t="s">
        <v>322</v>
      </c>
      <c r="N1107" s="107"/>
    </row>
    <row r="1108" spans="1:14" hidden="1" x14ac:dyDescent="0.3">
      <c r="A1108" t="s">
        <v>184</v>
      </c>
      <c r="B1108" t="s">
        <v>619</v>
      </c>
      <c r="C1108" t="s">
        <v>1178</v>
      </c>
      <c r="D1108">
        <f t="shared" si="17"/>
        <v>0</v>
      </c>
      <c r="E1108" t="s">
        <v>19</v>
      </c>
      <c r="F1108" t="s">
        <v>1819</v>
      </c>
      <c r="G1108" t="s">
        <v>322</v>
      </c>
      <c r="N1108" s="107"/>
    </row>
    <row r="1109" spans="1:14" hidden="1" x14ac:dyDescent="0.3">
      <c r="A1109" t="s">
        <v>184</v>
      </c>
      <c r="B1109" t="s">
        <v>588</v>
      </c>
      <c r="C1109" t="s">
        <v>1189</v>
      </c>
      <c r="D1109">
        <f t="shared" si="17"/>
        <v>0</v>
      </c>
      <c r="E1109" t="s">
        <v>19</v>
      </c>
      <c r="F1109" t="s">
        <v>1848</v>
      </c>
      <c r="G1109" t="s">
        <v>322</v>
      </c>
      <c r="N1109" s="107"/>
    </row>
    <row r="1110" spans="1:14" hidden="1" x14ac:dyDescent="0.3">
      <c r="A1110" t="s">
        <v>184</v>
      </c>
      <c r="B1110" t="s">
        <v>658</v>
      </c>
      <c r="C1110" t="s">
        <v>1208</v>
      </c>
      <c r="D1110">
        <f t="shared" si="17"/>
        <v>0</v>
      </c>
      <c r="E1110" t="s">
        <v>19</v>
      </c>
      <c r="F1110" t="s">
        <v>1867</v>
      </c>
      <c r="G1110" t="s">
        <v>322</v>
      </c>
      <c r="N1110" s="107"/>
    </row>
    <row r="1111" spans="1:14" hidden="1" x14ac:dyDescent="0.3">
      <c r="A1111" t="s">
        <v>184</v>
      </c>
      <c r="B1111" t="s">
        <v>523</v>
      </c>
      <c r="C1111" t="s">
        <v>1208</v>
      </c>
      <c r="D1111">
        <f t="shared" si="17"/>
        <v>0</v>
      </c>
      <c r="E1111" t="s">
        <v>19</v>
      </c>
      <c r="F1111" t="s">
        <v>1868</v>
      </c>
      <c r="G1111" t="s">
        <v>322</v>
      </c>
      <c r="N1111" s="107"/>
    </row>
    <row r="1112" spans="1:14" hidden="1" x14ac:dyDescent="0.3">
      <c r="A1112" t="s">
        <v>184</v>
      </c>
      <c r="B1112" t="s">
        <v>528</v>
      </c>
      <c r="C1112" t="s">
        <v>1208</v>
      </c>
      <c r="D1112">
        <f t="shared" si="17"/>
        <v>0</v>
      </c>
      <c r="E1112" t="s">
        <v>19</v>
      </c>
      <c r="F1112" t="s">
        <v>1870</v>
      </c>
      <c r="G1112" t="s">
        <v>322</v>
      </c>
      <c r="N1112" s="107"/>
    </row>
    <row r="1113" spans="1:14" hidden="1" x14ac:dyDescent="0.3">
      <c r="A1113" t="s">
        <v>184</v>
      </c>
      <c r="B1113" t="s">
        <v>523</v>
      </c>
      <c r="C1113" t="s">
        <v>1208</v>
      </c>
      <c r="D1113">
        <f t="shared" si="17"/>
        <v>0</v>
      </c>
      <c r="E1113" t="s">
        <v>19</v>
      </c>
      <c r="F1113" t="s">
        <v>1876</v>
      </c>
      <c r="G1113" t="s">
        <v>322</v>
      </c>
      <c r="N1113" s="107"/>
    </row>
    <row r="1114" spans="1:14" hidden="1" x14ac:dyDescent="0.3">
      <c r="A1114" t="s">
        <v>184</v>
      </c>
      <c r="B1114" t="s">
        <v>660</v>
      </c>
      <c r="C1114" t="s">
        <v>1208</v>
      </c>
      <c r="D1114">
        <f t="shared" si="17"/>
        <v>0</v>
      </c>
      <c r="E1114" t="s">
        <v>19</v>
      </c>
      <c r="F1114" t="s">
        <v>1877</v>
      </c>
      <c r="G1114" t="s">
        <v>322</v>
      </c>
      <c r="N1114" s="107"/>
    </row>
    <row r="1115" spans="1:14" hidden="1" x14ac:dyDescent="0.3">
      <c r="A1115" t="s">
        <v>184</v>
      </c>
      <c r="B1115" t="s">
        <v>666</v>
      </c>
      <c r="C1115" t="s">
        <v>1210</v>
      </c>
      <c r="D1115">
        <f t="shared" si="17"/>
        <v>0</v>
      </c>
      <c r="E1115" t="s">
        <v>19</v>
      </c>
      <c r="F1115" t="s">
        <v>1885</v>
      </c>
      <c r="G1115" t="s">
        <v>322</v>
      </c>
      <c r="N1115" s="107"/>
    </row>
    <row r="1116" spans="1:14" hidden="1" x14ac:dyDescent="0.3">
      <c r="A1116" t="s">
        <v>184</v>
      </c>
      <c r="B1116" t="s">
        <v>618</v>
      </c>
      <c r="C1116" t="s">
        <v>1213</v>
      </c>
      <c r="D1116">
        <f t="shared" si="17"/>
        <v>0</v>
      </c>
      <c r="E1116" t="s">
        <v>19</v>
      </c>
      <c r="F1116" t="s">
        <v>1890</v>
      </c>
      <c r="G1116" t="s">
        <v>322</v>
      </c>
      <c r="N1116" s="107"/>
    </row>
    <row r="1117" spans="1:14" hidden="1" x14ac:dyDescent="0.3">
      <c r="A1117" t="s">
        <v>184</v>
      </c>
      <c r="B1117" t="s">
        <v>670</v>
      </c>
      <c r="C1117" t="s">
        <v>1213</v>
      </c>
      <c r="D1117">
        <f t="shared" si="17"/>
        <v>0</v>
      </c>
      <c r="E1117" t="s">
        <v>19</v>
      </c>
      <c r="F1117" t="s">
        <v>1891</v>
      </c>
      <c r="G1117" t="s">
        <v>322</v>
      </c>
      <c r="N1117" s="107"/>
    </row>
    <row r="1118" spans="1:14" hidden="1" x14ac:dyDescent="0.3">
      <c r="A1118" t="s">
        <v>184</v>
      </c>
      <c r="B1118" t="s">
        <v>542</v>
      </c>
      <c r="C1118" t="s">
        <v>1218</v>
      </c>
      <c r="D1118">
        <f t="shared" si="17"/>
        <v>0</v>
      </c>
      <c r="E1118" t="s">
        <v>19</v>
      </c>
      <c r="F1118" t="s">
        <v>1218</v>
      </c>
      <c r="G1118" t="s">
        <v>322</v>
      </c>
      <c r="N1118" s="107"/>
    </row>
    <row r="1119" spans="1:14" hidden="1" x14ac:dyDescent="0.3">
      <c r="A1119" t="s">
        <v>184</v>
      </c>
      <c r="B1119" t="s">
        <v>542</v>
      </c>
      <c r="C1119" t="s">
        <v>1219</v>
      </c>
      <c r="D1119">
        <f t="shared" si="17"/>
        <v>0</v>
      </c>
      <c r="E1119" t="s">
        <v>19</v>
      </c>
      <c r="F1119" t="s">
        <v>1219</v>
      </c>
      <c r="G1119" t="s">
        <v>322</v>
      </c>
      <c r="N1119" s="107"/>
    </row>
    <row r="1120" spans="1:14" hidden="1" x14ac:dyDescent="0.3">
      <c r="A1120" t="s">
        <v>184</v>
      </c>
      <c r="B1120" t="s">
        <v>677</v>
      </c>
      <c r="C1120" t="s">
        <v>1224</v>
      </c>
      <c r="D1120">
        <f t="shared" si="17"/>
        <v>0</v>
      </c>
      <c r="E1120" t="s">
        <v>19</v>
      </c>
      <c r="F1120" t="s">
        <v>1224</v>
      </c>
      <c r="G1120" t="s">
        <v>322</v>
      </c>
      <c r="N1120" s="107"/>
    </row>
    <row r="1121" spans="1:14" hidden="1" x14ac:dyDescent="0.3">
      <c r="A1121" t="s">
        <v>184</v>
      </c>
      <c r="B1121" t="s">
        <v>585</v>
      </c>
      <c r="C1121" t="s">
        <v>1232</v>
      </c>
      <c r="D1121">
        <f t="shared" si="17"/>
        <v>0</v>
      </c>
      <c r="E1121" t="s">
        <v>19</v>
      </c>
      <c r="F1121" t="s">
        <v>1232</v>
      </c>
      <c r="G1121" t="s">
        <v>322</v>
      </c>
      <c r="N1121" s="107"/>
    </row>
    <row r="1122" spans="1:14" hidden="1" x14ac:dyDescent="0.3">
      <c r="A1122" t="s">
        <v>184</v>
      </c>
      <c r="B1122" t="s">
        <v>743</v>
      </c>
      <c r="C1122" t="s">
        <v>1241</v>
      </c>
      <c r="D1122">
        <f t="shared" si="17"/>
        <v>0</v>
      </c>
      <c r="E1122" t="s">
        <v>19</v>
      </c>
      <c r="F1122" t="s">
        <v>1241</v>
      </c>
      <c r="G1122" t="s">
        <v>322</v>
      </c>
      <c r="N1122" s="107"/>
    </row>
    <row r="1123" spans="1:14" hidden="1" x14ac:dyDescent="0.3">
      <c r="A1123" t="s">
        <v>184</v>
      </c>
      <c r="B1123" t="s">
        <v>621</v>
      </c>
      <c r="C1123" t="s">
        <v>1252</v>
      </c>
      <c r="D1123">
        <f t="shared" si="17"/>
        <v>0</v>
      </c>
      <c r="E1123" t="s">
        <v>19</v>
      </c>
      <c r="F1123" t="s">
        <v>2051</v>
      </c>
      <c r="G1123" t="s">
        <v>322</v>
      </c>
      <c r="N1123" s="107"/>
    </row>
    <row r="1124" spans="1:14" hidden="1" x14ac:dyDescent="0.3">
      <c r="A1124" t="s">
        <v>184</v>
      </c>
      <c r="B1124" t="s">
        <v>588</v>
      </c>
      <c r="C1124" t="s">
        <v>1251</v>
      </c>
      <c r="D1124">
        <f t="shared" si="17"/>
        <v>0</v>
      </c>
      <c r="E1124" t="s">
        <v>19</v>
      </c>
      <c r="F1124" t="s">
        <v>2057</v>
      </c>
      <c r="G1124" t="s">
        <v>322</v>
      </c>
      <c r="N1124" s="107"/>
    </row>
    <row r="1125" spans="1:14" hidden="1" x14ac:dyDescent="0.3">
      <c r="A1125" t="s">
        <v>184</v>
      </c>
      <c r="B1125" t="s">
        <v>766</v>
      </c>
      <c r="C1125" t="s">
        <v>1254</v>
      </c>
      <c r="D1125">
        <f t="shared" si="17"/>
        <v>0</v>
      </c>
      <c r="E1125" t="s">
        <v>19</v>
      </c>
      <c r="F1125" t="s">
        <v>2061</v>
      </c>
      <c r="G1125" t="s">
        <v>322</v>
      </c>
      <c r="N1125" s="107"/>
    </row>
    <row r="1126" spans="1:14" hidden="1" x14ac:dyDescent="0.3">
      <c r="A1126" t="s">
        <v>184</v>
      </c>
      <c r="B1126" t="s">
        <v>743</v>
      </c>
      <c r="C1126" t="s">
        <v>1254</v>
      </c>
      <c r="D1126">
        <f t="shared" si="17"/>
        <v>0</v>
      </c>
      <c r="E1126" t="s">
        <v>19</v>
      </c>
      <c r="F1126" t="s">
        <v>2064</v>
      </c>
      <c r="G1126" t="s">
        <v>322</v>
      </c>
      <c r="N1126" s="107"/>
    </row>
    <row r="1127" spans="1:14" hidden="1" x14ac:dyDescent="0.3">
      <c r="A1127" t="s">
        <v>184</v>
      </c>
      <c r="B1127" t="s">
        <v>528</v>
      </c>
      <c r="C1127" t="s">
        <v>1257</v>
      </c>
      <c r="D1127">
        <f t="shared" si="17"/>
        <v>0</v>
      </c>
      <c r="E1127" t="s">
        <v>19</v>
      </c>
      <c r="F1127" t="s">
        <v>2067</v>
      </c>
      <c r="G1127" t="s">
        <v>322</v>
      </c>
      <c r="N1127" s="107"/>
    </row>
    <row r="1128" spans="1:14" hidden="1" x14ac:dyDescent="0.3">
      <c r="A1128" t="s">
        <v>184</v>
      </c>
      <c r="B1128" t="s">
        <v>773</v>
      </c>
      <c r="C1128" t="s">
        <v>1258</v>
      </c>
      <c r="D1128">
        <f t="shared" si="17"/>
        <v>0</v>
      </c>
      <c r="E1128" t="s">
        <v>19</v>
      </c>
      <c r="F1128" t="s">
        <v>1258</v>
      </c>
      <c r="G1128" t="s">
        <v>322</v>
      </c>
      <c r="N1128" s="107"/>
    </row>
    <row r="1129" spans="1:14" hidden="1" x14ac:dyDescent="0.3">
      <c r="A1129" t="s">
        <v>184</v>
      </c>
      <c r="B1129" t="s">
        <v>780</v>
      </c>
      <c r="C1129" t="s">
        <v>1265</v>
      </c>
      <c r="D1129">
        <f t="shared" si="17"/>
        <v>0</v>
      </c>
      <c r="E1129" t="s">
        <v>19</v>
      </c>
      <c r="F1129" t="s">
        <v>1265</v>
      </c>
      <c r="G1129" t="s">
        <v>322</v>
      </c>
      <c r="N1129" s="107"/>
    </row>
    <row r="1130" spans="1:14" hidden="1" x14ac:dyDescent="0.3">
      <c r="A1130" t="s">
        <v>184</v>
      </c>
      <c r="B1130" t="s">
        <v>781</v>
      </c>
      <c r="C1130" t="s">
        <v>1266</v>
      </c>
      <c r="D1130">
        <f t="shared" si="17"/>
        <v>0</v>
      </c>
      <c r="E1130" t="s">
        <v>19</v>
      </c>
      <c r="F1130" t="s">
        <v>2077</v>
      </c>
      <c r="G1130" t="s">
        <v>322</v>
      </c>
      <c r="N1130" s="107"/>
    </row>
    <row r="1131" spans="1:14" hidden="1" x14ac:dyDescent="0.3">
      <c r="A1131" t="s">
        <v>184</v>
      </c>
      <c r="B1131" t="s">
        <v>782</v>
      </c>
      <c r="C1131" t="s">
        <v>1266</v>
      </c>
      <c r="D1131">
        <f t="shared" si="17"/>
        <v>0</v>
      </c>
      <c r="E1131" t="s">
        <v>19</v>
      </c>
      <c r="F1131" t="s">
        <v>2078</v>
      </c>
      <c r="G1131" t="s">
        <v>322</v>
      </c>
      <c r="N1131" s="107"/>
    </row>
    <row r="1132" spans="1:14" hidden="1" x14ac:dyDescent="0.3">
      <c r="A1132" t="s">
        <v>184</v>
      </c>
      <c r="B1132" t="s">
        <v>572</v>
      </c>
      <c r="C1132" t="s">
        <v>1266</v>
      </c>
      <c r="D1132">
        <f t="shared" si="17"/>
        <v>0</v>
      </c>
      <c r="E1132" t="s">
        <v>19</v>
      </c>
      <c r="F1132" t="s">
        <v>2080</v>
      </c>
      <c r="G1132" t="s">
        <v>322</v>
      </c>
      <c r="N1132" s="107"/>
    </row>
    <row r="1133" spans="1:14" hidden="1" x14ac:dyDescent="0.3">
      <c r="A1133" t="s">
        <v>184</v>
      </c>
      <c r="B1133" t="s">
        <v>788</v>
      </c>
      <c r="C1133" t="s">
        <v>1277</v>
      </c>
      <c r="D1133">
        <f t="shared" si="17"/>
        <v>0</v>
      </c>
      <c r="E1133" t="s">
        <v>19</v>
      </c>
      <c r="F1133" t="s">
        <v>2090</v>
      </c>
      <c r="G1133" t="s">
        <v>322</v>
      </c>
      <c r="N1133" s="107"/>
    </row>
    <row r="1134" spans="1:14" hidden="1" x14ac:dyDescent="0.3">
      <c r="A1134" t="s">
        <v>184</v>
      </c>
      <c r="B1134" t="s">
        <v>621</v>
      </c>
      <c r="C1134" t="s">
        <v>1277</v>
      </c>
      <c r="D1134">
        <f t="shared" si="17"/>
        <v>0</v>
      </c>
      <c r="E1134" t="s">
        <v>19</v>
      </c>
      <c r="F1134" t="s">
        <v>2091</v>
      </c>
      <c r="G1134" t="s">
        <v>322</v>
      </c>
      <c r="N1134" s="107"/>
    </row>
    <row r="1135" spans="1:14" hidden="1" x14ac:dyDescent="0.3">
      <c r="A1135" t="s">
        <v>184</v>
      </c>
      <c r="B1135" t="s">
        <v>790</v>
      </c>
      <c r="C1135" t="s">
        <v>1279</v>
      </c>
      <c r="D1135">
        <f t="shared" si="17"/>
        <v>0</v>
      </c>
      <c r="E1135" t="s">
        <v>19</v>
      </c>
      <c r="F1135" t="s">
        <v>1279</v>
      </c>
      <c r="G1135" t="s">
        <v>322</v>
      </c>
      <c r="N1135" s="107"/>
    </row>
    <row r="1136" spans="1:14" hidden="1" x14ac:dyDescent="0.3">
      <c r="A1136" t="s">
        <v>184</v>
      </c>
      <c r="B1136" t="s">
        <v>794</v>
      </c>
      <c r="C1136" t="s">
        <v>1283</v>
      </c>
      <c r="D1136">
        <f t="shared" si="17"/>
        <v>0</v>
      </c>
      <c r="E1136" t="s">
        <v>19</v>
      </c>
      <c r="F1136" t="s">
        <v>1283</v>
      </c>
      <c r="G1136" t="s">
        <v>322</v>
      </c>
      <c r="N1136" s="107"/>
    </row>
    <row r="1137" spans="1:14" hidden="1" x14ac:dyDescent="0.3">
      <c r="A1137" t="s">
        <v>184</v>
      </c>
      <c r="B1137" t="s">
        <v>773</v>
      </c>
      <c r="C1137" t="s">
        <v>1285</v>
      </c>
      <c r="D1137">
        <f t="shared" si="17"/>
        <v>0</v>
      </c>
      <c r="E1137" t="s">
        <v>19</v>
      </c>
      <c r="F1137" t="s">
        <v>2095</v>
      </c>
      <c r="G1137" t="s">
        <v>322</v>
      </c>
      <c r="N1137" s="107"/>
    </row>
    <row r="1138" spans="1:14" hidden="1" x14ac:dyDescent="0.3">
      <c r="A1138" t="s">
        <v>184</v>
      </c>
      <c r="B1138" t="s">
        <v>800</v>
      </c>
      <c r="C1138" t="s">
        <v>1285</v>
      </c>
      <c r="D1138">
        <f t="shared" si="17"/>
        <v>0</v>
      </c>
      <c r="E1138" t="s">
        <v>19</v>
      </c>
      <c r="F1138" t="s">
        <v>2115</v>
      </c>
      <c r="G1138" t="s">
        <v>322</v>
      </c>
      <c r="N1138" s="107"/>
    </row>
    <row r="1139" spans="1:14" hidden="1" x14ac:dyDescent="0.3">
      <c r="A1139" t="s">
        <v>184</v>
      </c>
      <c r="B1139" t="s">
        <v>670</v>
      </c>
      <c r="C1139" t="s">
        <v>1285</v>
      </c>
      <c r="D1139">
        <f t="shared" si="17"/>
        <v>0</v>
      </c>
      <c r="E1139" t="s">
        <v>19</v>
      </c>
      <c r="F1139" t="s">
        <v>2116</v>
      </c>
      <c r="G1139" t="s">
        <v>322</v>
      </c>
      <c r="N1139" s="107"/>
    </row>
    <row r="1140" spans="1:14" hidden="1" x14ac:dyDescent="0.3">
      <c r="A1140" t="s">
        <v>184</v>
      </c>
      <c r="B1140" t="s">
        <v>801</v>
      </c>
      <c r="C1140" t="s">
        <v>1285</v>
      </c>
      <c r="D1140">
        <f t="shared" si="17"/>
        <v>0</v>
      </c>
      <c r="E1140" t="s">
        <v>19</v>
      </c>
      <c r="F1140" t="s">
        <v>2117</v>
      </c>
      <c r="G1140" t="s">
        <v>322</v>
      </c>
      <c r="N1140" s="107"/>
    </row>
    <row r="1141" spans="1:14" hidden="1" x14ac:dyDescent="0.3">
      <c r="A1141" t="s">
        <v>184</v>
      </c>
      <c r="B1141" t="s">
        <v>666</v>
      </c>
      <c r="C1141" t="s">
        <v>1285</v>
      </c>
      <c r="D1141">
        <f t="shared" si="17"/>
        <v>0</v>
      </c>
      <c r="E1141" t="s">
        <v>19</v>
      </c>
      <c r="F1141" t="s">
        <v>2120</v>
      </c>
      <c r="G1141" t="s">
        <v>322</v>
      </c>
      <c r="N1141" s="107"/>
    </row>
    <row r="1142" spans="1:14" hidden="1" x14ac:dyDescent="0.3">
      <c r="A1142" t="s">
        <v>184</v>
      </c>
      <c r="B1142" t="s">
        <v>773</v>
      </c>
      <c r="C1142" t="s">
        <v>1286</v>
      </c>
      <c r="D1142">
        <f t="shared" si="17"/>
        <v>0</v>
      </c>
      <c r="E1142" t="s">
        <v>19</v>
      </c>
      <c r="F1142" t="s">
        <v>1286</v>
      </c>
      <c r="G1142" t="s">
        <v>322</v>
      </c>
      <c r="N1142" s="107"/>
    </row>
    <row r="1143" spans="1:14" hidden="1" x14ac:dyDescent="0.3">
      <c r="A1143" t="s">
        <v>184</v>
      </c>
      <c r="B1143" t="s">
        <v>812</v>
      </c>
      <c r="C1143" t="s">
        <v>1287</v>
      </c>
      <c r="D1143">
        <f t="shared" si="17"/>
        <v>0</v>
      </c>
      <c r="E1143" t="s">
        <v>19</v>
      </c>
      <c r="F1143" t="s">
        <v>2137</v>
      </c>
      <c r="G1143" t="s">
        <v>322</v>
      </c>
      <c r="N1143" s="107"/>
    </row>
    <row r="1144" spans="1:14" hidden="1" x14ac:dyDescent="0.3">
      <c r="A1144" t="s">
        <v>184</v>
      </c>
      <c r="B1144" t="s">
        <v>604</v>
      </c>
      <c r="C1144" t="s">
        <v>1287</v>
      </c>
      <c r="D1144">
        <f t="shared" si="17"/>
        <v>0</v>
      </c>
      <c r="E1144" t="s">
        <v>19</v>
      </c>
      <c r="F1144" t="s">
        <v>2139</v>
      </c>
      <c r="G1144" t="s">
        <v>322</v>
      </c>
      <c r="N1144" s="107"/>
    </row>
    <row r="1145" spans="1:14" hidden="1" x14ac:dyDescent="0.3">
      <c r="A1145" t="s">
        <v>184</v>
      </c>
      <c r="B1145" t="s">
        <v>542</v>
      </c>
      <c r="C1145" t="s">
        <v>1287</v>
      </c>
      <c r="D1145">
        <f t="shared" si="17"/>
        <v>0</v>
      </c>
      <c r="E1145" t="s">
        <v>19</v>
      </c>
      <c r="F1145" t="s">
        <v>2147</v>
      </c>
      <c r="G1145" t="s">
        <v>322</v>
      </c>
      <c r="N1145" s="107"/>
    </row>
    <row r="1146" spans="1:14" hidden="1" x14ac:dyDescent="0.3">
      <c r="A1146" t="s">
        <v>184</v>
      </c>
      <c r="B1146" t="s">
        <v>528</v>
      </c>
      <c r="C1146" t="s">
        <v>1289</v>
      </c>
      <c r="D1146">
        <f t="shared" si="17"/>
        <v>0</v>
      </c>
      <c r="E1146" t="s">
        <v>19</v>
      </c>
      <c r="F1146" t="s">
        <v>1289</v>
      </c>
      <c r="G1146" t="s">
        <v>322</v>
      </c>
      <c r="N1146" s="107"/>
    </row>
    <row r="1147" spans="1:14" hidden="1" x14ac:dyDescent="0.3">
      <c r="A1147" t="s">
        <v>184</v>
      </c>
      <c r="B1147" t="s">
        <v>773</v>
      </c>
      <c r="C1147" t="s">
        <v>1290</v>
      </c>
      <c r="D1147">
        <f t="shared" si="17"/>
        <v>0</v>
      </c>
      <c r="E1147" t="s">
        <v>19</v>
      </c>
      <c r="F1147" t="s">
        <v>1290</v>
      </c>
      <c r="G1147" t="s">
        <v>322</v>
      </c>
      <c r="N1147" s="107"/>
    </row>
    <row r="1148" spans="1:14" hidden="1" x14ac:dyDescent="0.3">
      <c r="A1148" t="s">
        <v>184</v>
      </c>
      <c r="B1148" t="s">
        <v>814</v>
      </c>
      <c r="C1148" t="s">
        <v>1291</v>
      </c>
      <c r="D1148">
        <f t="shared" si="17"/>
        <v>0</v>
      </c>
      <c r="E1148" t="s">
        <v>19</v>
      </c>
      <c r="F1148" t="s">
        <v>1291</v>
      </c>
      <c r="G1148" t="s">
        <v>322</v>
      </c>
      <c r="N1148" s="107"/>
    </row>
    <row r="1149" spans="1:14" hidden="1" x14ac:dyDescent="0.3">
      <c r="A1149" t="s">
        <v>184</v>
      </c>
      <c r="B1149" t="s">
        <v>820</v>
      </c>
      <c r="C1149" t="s">
        <v>1295</v>
      </c>
      <c r="D1149">
        <f t="shared" si="17"/>
        <v>0</v>
      </c>
      <c r="E1149" t="s">
        <v>19</v>
      </c>
      <c r="F1149" t="s">
        <v>1295</v>
      </c>
      <c r="G1149" t="s">
        <v>322</v>
      </c>
      <c r="N1149" s="107"/>
    </row>
    <row r="1150" spans="1:14" hidden="1" x14ac:dyDescent="0.3">
      <c r="A1150" t="s">
        <v>184</v>
      </c>
      <c r="B1150" t="s">
        <v>528</v>
      </c>
      <c r="C1150" t="s">
        <v>1297</v>
      </c>
      <c r="D1150">
        <f t="shared" si="17"/>
        <v>0</v>
      </c>
      <c r="E1150" t="s">
        <v>19</v>
      </c>
      <c r="F1150" t="s">
        <v>1297</v>
      </c>
      <c r="G1150" t="s">
        <v>322</v>
      </c>
      <c r="N1150" s="107"/>
    </row>
    <row r="1151" spans="1:14" hidden="1" x14ac:dyDescent="0.3">
      <c r="A1151" t="s">
        <v>184</v>
      </c>
      <c r="B1151" t="s">
        <v>828</v>
      </c>
      <c r="C1151" t="s">
        <v>1298</v>
      </c>
      <c r="D1151">
        <f t="shared" si="17"/>
        <v>0</v>
      </c>
      <c r="E1151" t="s">
        <v>19</v>
      </c>
      <c r="F1151" t="s">
        <v>2167</v>
      </c>
      <c r="G1151" t="s">
        <v>322</v>
      </c>
      <c r="N1151" s="107"/>
    </row>
    <row r="1152" spans="1:14" hidden="1" x14ac:dyDescent="0.3">
      <c r="A1152" t="s">
        <v>184</v>
      </c>
      <c r="B1152" t="s">
        <v>814</v>
      </c>
      <c r="C1152" t="s">
        <v>1300</v>
      </c>
      <c r="D1152">
        <f t="shared" si="17"/>
        <v>0</v>
      </c>
      <c r="E1152" t="s">
        <v>19</v>
      </c>
      <c r="F1152" t="s">
        <v>1300</v>
      </c>
      <c r="G1152" t="s">
        <v>322</v>
      </c>
      <c r="N1152" s="107"/>
    </row>
    <row r="1153" spans="1:14" hidden="1" x14ac:dyDescent="0.3">
      <c r="A1153" t="s">
        <v>184</v>
      </c>
      <c r="B1153" t="s">
        <v>842</v>
      </c>
      <c r="C1153" t="s">
        <v>1302</v>
      </c>
      <c r="D1153">
        <f t="shared" ref="D1153:D1216" si="18">SIGN(SUBTOTAL(3,E1153))</f>
        <v>0</v>
      </c>
      <c r="E1153" t="s">
        <v>19</v>
      </c>
      <c r="F1153" t="s">
        <v>2186</v>
      </c>
      <c r="G1153" t="s">
        <v>322</v>
      </c>
      <c r="N1153" s="107"/>
    </row>
    <row r="1154" spans="1:14" hidden="1" x14ac:dyDescent="0.3">
      <c r="A1154" t="s">
        <v>184</v>
      </c>
      <c r="B1154" t="s">
        <v>855</v>
      </c>
      <c r="C1154" t="s">
        <v>1305</v>
      </c>
      <c r="D1154">
        <f t="shared" si="18"/>
        <v>0</v>
      </c>
      <c r="E1154" t="s">
        <v>19</v>
      </c>
      <c r="F1154" t="s">
        <v>1305</v>
      </c>
      <c r="G1154" t="s">
        <v>322</v>
      </c>
      <c r="N1154" s="107"/>
    </row>
    <row r="1155" spans="1:14" hidden="1" x14ac:dyDescent="0.3">
      <c r="A1155" t="s">
        <v>184</v>
      </c>
      <c r="B1155" t="s">
        <v>528</v>
      </c>
      <c r="C1155" t="s">
        <v>1306</v>
      </c>
      <c r="D1155">
        <f t="shared" si="18"/>
        <v>0</v>
      </c>
      <c r="E1155" t="s">
        <v>19</v>
      </c>
      <c r="F1155" t="s">
        <v>2198</v>
      </c>
      <c r="G1155" t="s">
        <v>322</v>
      </c>
      <c r="N1155" s="107"/>
    </row>
    <row r="1156" spans="1:14" hidden="1" x14ac:dyDescent="0.3">
      <c r="A1156" t="s">
        <v>184</v>
      </c>
      <c r="B1156" t="s">
        <v>856</v>
      </c>
      <c r="C1156" t="s">
        <v>1306</v>
      </c>
      <c r="D1156">
        <f t="shared" si="18"/>
        <v>0</v>
      </c>
      <c r="E1156" t="s">
        <v>19</v>
      </c>
      <c r="F1156" t="s">
        <v>2199</v>
      </c>
      <c r="G1156" t="s">
        <v>322</v>
      </c>
      <c r="N1156" s="107"/>
    </row>
    <row r="1157" spans="1:14" hidden="1" x14ac:dyDescent="0.3">
      <c r="A1157" t="s">
        <v>184</v>
      </c>
      <c r="B1157" t="s">
        <v>585</v>
      </c>
      <c r="C1157" t="s">
        <v>1306</v>
      </c>
      <c r="D1157">
        <f t="shared" si="18"/>
        <v>0</v>
      </c>
      <c r="E1157" t="s">
        <v>19</v>
      </c>
      <c r="F1157" t="s">
        <v>2200</v>
      </c>
      <c r="G1157" t="s">
        <v>322</v>
      </c>
      <c r="N1157" s="107"/>
    </row>
    <row r="1158" spans="1:14" hidden="1" x14ac:dyDescent="0.3">
      <c r="A1158" t="s">
        <v>184</v>
      </c>
      <c r="B1158" t="s">
        <v>788</v>
      </c>
      <c r="C1158" t="s">
        <v>1306</v>
      </c>
      <c r="D1158">
        <f t="shared" si="18"/>
        <v>0</v>
      </c>
      <c r="E1158" t="s">
        <v>19</v>
      </c>
      <c r="F1158" t="s">
        <v>2201</v>
      </c>
      <c r="G1158" t="s">
        <v>322</v>
      </c>
      <c r="N1158" s="107"/>
    </row>
    <row r="1159" spans="1:14" hidden="1" x14ac:dyDescent="0.3">
      <c r="A1159" t="s">
        <v>184</v>
      </c>
      <c r="B1159" t="s">
        <v>858</v>
      </c>
      <c r="C1159" t="s">
        <v>1307</v>
      </c>
      <c r="D1159">
        <f t="shared" si="18"/>
        <v>0</v>
      </c>
      <c r="E1159" t="s">
        <v>19</v>
      </c>
      <c r="F1159" t="s">
        <v>2203</v>
      </c>
      <c r="G1159" t="s">
        <v>322</v>
      </c>
      <c r="N1159" s="107"/>
    </row>
    <row r="1160" spans="1:14" hidden="1" x14ac:dyDescent="0.3">
      <c r="A1160" t="s">
        <v>184</v>
      </c>
      <c r="B1160" t="s">
        <v>528</v>
      </c>
      <c r="C1160" t="s">
        <v>1307</v>
      </c>
      <c r="D1160">
        <f t="shared" si="18"/>
        <v>0</v>
      </c>
      <c r="E1160" t="s">
        <v>19</v>
      </c>
      <c r="F1160" t="s">
        <v>2208</v>
      </c>
      <c r="G1160" t="s">
        <v>322</v>
      </c>
      <c r="N1160" s="107"/>
    </row>
    <row r="1161" spans="1:14" hidden="1" x14ac:dyDescent="0.3">
      <c r="A1161" t="s">
        <v>184</v>
      </c>
      <c r="B1161" t="s">
        <v>864</v>
      </c>
      <c r="C1161" t="s">
        <v>1307</v>
      </c>
      <c r="D1161">
        <f t="shared" si="18"/>
        <v>0</v>
      </c>
      <c r="E1161" t="s">
        <v>19</v>
      </c>
      <c r="F1161" t="s">
        <v>2210</v>
      </c>
      <c r="G1161" t="s">
        <v>322</v>
      </c>
      <c r="N1161" s="107"/>
    </row>
    <row r="1162" spans="1:14" hidden="1" x14ac:dyDescent="0.3">
      <c r="A1162" t="s">
        <v>184</v>
      </c>
      <c r="B1162" t="s">
        <v>666</v>
      </c>
      <c r="C1162" t="s">
        <v>1308</v>
      </c>
      <c r="D1162">
        <f t="shared" si="18"/>
        <v>0</v>
      </c>
      <c r="E1162" t="s">
        <v>19</v>
      </c>
      <c r="F1162" t="s">
        <v>1308</v>
      </c>
      <c r="G1162" t="s">
        <v>322</v>
      </c>
      <c r="N1162" s="107"/>
    </row>
    <row r="1163" spans="1:14" hidden="1" x14ac:dyDescent="0.3">
      <c r="A1163" t="s">
        <v>184</v>
      </c>
      <c r="B1163" t="s">
        <v>529</v>
      </c>
      <c r="C1163" t="s">
        <v>1314</v>
      </c>
      <c r="D1163">
        <f t="shared" si="18"/>
        <v>0</v>
      </c>
      <c r="E1163" t="s">
        <v>19</v>
      </c>
      <c r="F1163" t="s">
        <v>2216</v>
      </c>
      <c r="G1163" t="s">
        <v>322</v>
      </c>
      <c r="N1163" s="107"/>
    </row>
    <row r="1164" spans="1:14" hidden="1" x14ac:dyDescent="0.3">
      <c r="A1164" t="s">
        <v>184</v>
      </c>
      <c r="B1164" t="s">
        <v>666</v>
      </c>
      <c r="C1164" t="s">
        <v>1314</v>
      </c>
      <c r="D1164">
        <f t="shared" si="18"/>
        <v>0</v>
      </c>
      <c r="E1164" t="s">
        <v>19</v>
      </c>
      <c r="F1164" t="s">
        <v>2217</v>
      </c>
      <c r="G1164" t="s">
        <v>322</v>
      </c>
      <c r="N1164" s="107"/>
    </row>
    <row r="1165" spans="1:14" hidden="1" x14ac:dyDescent="0.3">
      <c r="A1165" t="s">
        <v>184</v>
      </c>
      <c r="B1165" t="s">
        <v>528</v>
      </c>
      <c r="C1165" t="s">
        <v>1318</v>
      </c>
      <c r="D1165">
        <f t="shared" si="18"/>
        <v>0</v>
      </c>
      <c r="E1165" t="s">
        <v>19</v>
      </c>
      <c r="F1165" t="s">
        <v>1318</v>
      </c>
      <c r="G1165" t="s">
        <v>322</v>
      </c>
      <c r="N1165" s="107"/>
    </row>
    <row r="1166" spans="1:14" hidden="1" x14ac:dyDescent="0.3">
      <c r="A1166" t="s">
        <v>184</v>
      </c>
      <c r="B1166" t="s">
        <v>528</v>
      </c>
      <c r="C1166" t="s">
        <v>1317</v>
      </c>
      <c r="D1166">
        <f t="shared" si="18"/>
        <v>0</v>
      </c>
      <c r="E1166" t="s">
        <v>19</v>
      </c>
      <c r="F1166" t="s">
        <v>2220</v>
      </c>
      <c r="G1166" t="s">
        <v>322</v>
      </c>
      <c r="N1166" s="107"/>
    </row>
    <row r="1167" spans="1:14" hidden="1" x14ac:dyDescent="0.3">
      <c r="A1167" t="s">
        <v>184</v>
      </c>
      <c r="B1167" t="s">
        <v>871</v>
      </c>
      <c r="C1167" t="s">
        <v>1317</v>
      </c>
      <c r="D1167">
        <f t="shared" si="18"/>
        <v>0</v>
      </c>
      <c r="E1167" t="s">
        <v>19</v>
      </c>
      <c r="F1167" t="s">
        <v>2221</v>
      </c>
      <c r="G1167" t="s">
        <v>322</v>
      </c>
      <c r="N1167" s="107"/>
    </row>
    <row r="1168" spans="1:14" hidden="1" x14ac:dyDescent="0.3">
      <c r="A1168" t="s">
        <v>184</v>
      </c>
      <c r="B1168" t="s">
        <v>872</v>
      </c>
      <c r="C1168" t="s">
        <v>1319</v>
      </c>
      <c r="D1168">
        <f t="shared" si="18"/>
        <v>0</v>
      </c>
      <c r="E1168" t="s">
        <v>19</v>
      </c>
      <c r="F1168" t="s">
        <v>2224</v>
      </c>
      <c r="G1168" t="s">
        <v>322</v>
      </c>
      <c r="N1168" s="107"/>
    </row>
    <row r="1169" spans="1:14" hidden="1" x14ac:dyDescent="0.3">
      <c r="A1169" t="s">
        <v>184</v>
      </c>
      <c r="B1169" t="s">
        <v>864</v>
      </c>
      <c r="C1169" t="s">
        <v>1320</v>
      </c>
      <c r="D1169">
        <f t="shared" si="18"/>
        <v>0</v>
      </c>
      <c r="E1169" t="s">
        <v>19</v>
      </c>
      <c r="F1169" t="s">
        <v>1320</v>
      </c>
      <c r="G1169" t="s">
        <v>322</v>
      </c>
      <c r="N1169" s="107"/>
    </row>
    <row r="1170" spans="1:14" hidden="1" x14ac:dyDescent="0.3">
      <c r="A1170" t="s">
        <v>184</v>
      </c>
      <c r="B1170" t="s">
        <v>606</v>
      </c>
      <c r="C1170" t="s">
        <v>1323</v>
      </c>
      <c r="D1170">
        <f t="shared" si="18"/>
        <v>0</v>
      </c>
      <c r="E1170" t="s">
        <v>19</v>
      </c>
      <c r="F1170" t="s">
        <v>1323</v>
      </c>
      <c r="G1170" t="s">
        <v>322</v>
      </c>
      <c r="N1170" s="107"/>
    </row>
    <row r="1171" spans="1:14" hidden="1" x14ac:dyDescent="0.3">
      <c r="A1171" t="s">
        <v>184</v>
      </c>
      <c r="B1171" t="s">
        <v>528</v>
      </c>
      <c r="C1171" t="s">
        <v>1326</v>
      </c>
      <c r="D1171">
        <f t="shared" si="18"/>
        <v>0</v>
      </c>
      <c r="E1171" t="s">
        <v>19</v>
      </c>
      <c r="F1171" t="s">
        <v>1326</v>
      </c>
      <c r="G1171" t="s">
        <v>322</v>
      </c>
      <c r="N1171" s="107"/>
    </row>
    <row r="1172" spans="1:14" hidden="1" x14ac:dyDescent="0.3">
      <c r="A1172" t="s">
        <v>184</v>
      </c>
      <c r="B1172" t="s">
        <v>858</v>
      </c>
      <c r="C1172" t="s">
        <v>1344</v>
      </c>
      <c r="D1172">
        <f t="shared" si="18"/>
        <v>0</v>
      </c>
      <c r="E1172" t="s">
        <v>19</v>
      </c>
      <c r="F1172" t="s">
        <v>1344</v>
      </c>
      <c r="G1172" t="s">
        <v>322</v>
      </c>
      <c r="N1172" s="107"/>
    </row>
    <row r="1173" spans="1:14" hidden="1" x14ac:dyDescent="0.3">
      <c r="A1173" t="s">
        <v>184</v>
      </c>
      <c r="B1173" t="s">
        <v>585</v>
      </c>
      <c r="C1173" t="s">
        <v>1345</v>
      </c>
      <c r="D1173">
        <f t="shared" si="18"/>
        <v>0</v>
      </c>
      <c r="E1173" t="s">
        <v>19</v>
      </c>
      <c r="F1173" t="s">
        <v>1345</v>
      </c>
      <c r="G1173" t="s">
        <v>322</v>
      </c>
      <c r="N1173" s="107"/>
    </row>
    <row r="1174" spans="1:14" hidden="1" x14ac:dyDescent="0.3">
      <c r="A1174" t="s">
        <v>184</v>
      </c>
      <c r="B1174" t="s">
        <v>858</v>
      </c>
      <c r="C1174" t="s">
        <v>1346</v>
      </c>
      <c r="D1174">
        <f t="shared" si="18"/>
        <v>0</v>
      </c>
      <c r="E1174" t="s">
        <v>19</v>
      </c>
      <c r="F1174" t="s">
        <v>1346</v>
      </c>
      <c r="G1174" t="s">
        <v>322</v>
      </c>
      <c r="N1174" s="107"/>
    </row>
    <row r="1175" spans="1:14" hidden="1" x14ac:dyDescent="0.3">
      <c r="A1175" t="s">
        <v>184</v>
      </c>
      <c r="B1175" t="s">
        <v>527</v>
      </c>
      <c r="C1175" t="s">
        <v>1349</v>
      </c>
      <c r="D1175">
        <f t="shared" si="18"/>
        <v>0</v>
      </c>
      <c r="E1175" t="s">
        <v>19</v>
      </c>
      <c r="F1175" t="s">
        <v>2288</v>
      </c>
      <c r="G1175" t="s">
        <v>322</v>
      </c>
      <c r="N1175" s="107"/>
    </row>
    <row r="1176" spans="1:14" hidden="1" x14ac:dyDescent="0.3">
      <c r="A1176" t="s">
        <v>184</v>
      </c>
      <c r="B1176" t="s">
        <v>912</v>
      </c>
      <c r="C1176" t="s">
        <v>1349</v>
      </c>
      <c r="D1176">
        <f t="shared" si="18"/>
        <v>0</v>
      </c>
      <c r="E1176" t="s">
        <v>19</v>
      </c>
      <c r="F1176" t="s">
        <v>2290</v>
      </c>
      <c r="G1176" t="s">
        <v>322</v>
      </c>
      <c r="N1176" s="107"/>
    </row>
    <row r="1177" spans="1:14" hidden="1" x14ac:dyDescent="0.3">
      <c r="A1177" t="s">
        <v>184</v>
      </c>
      <c r="B1177" t="s">
        <v>781</v>
      </c>
      <c r="C1177" t="s">
        <v>1349</v>
      </c>
      <c r="D1177">
        <f t="shared" si="18"/>
        <v>0</v>
      </c>
      <c r="E1177" t="s">
        <v>19</v>
      </c>
      <c r="F1177" t="s">
        <v>2291</v>
      </c>
      <c r="G1177" t="s">
        <v>322</v>
      </c>
      <c r="N1177" s="107"/>
    </row>
    <row r="1178" spans="1:14" hidden="1" x14ac:dyDescent="0.3">
      <c r="A1178" t="s">
        <v>184</v>
      </c>
      <c r="B1178" t="s">
        <v>916</v>
      </c>
      <c r="C1178" t="s">
        <v>1349</v>
      </c>
      <c r="D1178">
        <f t="shared" si="18"/>
        <v>0</v>
      </c>
      <c r="E1178" t="s">
        <v>19</v>
      </c>
      <c r="F1178" t="s">
        <v>2296</v>
      </c>
      <c r="G1178" t="s">
        <v>322</v>
      </c>
      <c r="N1178" s="107"/>
    </row>
    <row r="1179" spans="1:14" hidden="1" x14ac:dyDescent="0.3">
      <c r="A1179" t="s">
        <v>184</v>
      </c>
      <c r="B1179" t="s">
        <v>923</v>
      </c>
      <c r="C1179" t="s">
        <v>1361</v>
      </c>
      <c r="D1179">
        <f t="shared" si="18"/>
        <v>0</v>
      </c>
      <c r="E1179" t="s">
        <v>19</v>
      </c>
      <c r="F1179" t="s">
        <v>1361</v>
      </c>
      <c r="G1179" t="s">
        <v>322</v>
      </c>
      <c r="N1179" s="107"/>
    </row>
    <row r="1180" spans="1:14" hidden="1" x14ac:dyDescent="0.3">
      <c r="A1180" t="s">
        <v>184</v>
      </c>
      <c r="B1180" t="s">
        <v>924</v>
      </c>
      <c r="C1180" t="s">
        <v>1362</v>
      </c>
      <c r="D1180">
        <f t="shared" si="18"/>
        <v>0</v>
      </c>
      <c r="E1180" t="s">
        <v>19</v>
      </c>
      <c r="F1180" t="s">
        <v>1362</v>
      </c>
      <c r="G1180" t="s">
        <v>322</v>
      </c>
      <c r="N1180" s="107"/>
    </row>
    <row r="1181" spans="1:14" hidden="1" x14ac:dyDescent="0.3">
      <c r="A1181" t="s">
        <v>184</v>
      </c>
      <c r="B1181" t="s">
        <v>925</v>
      </c>
      <c r="C1181" t="s">
        <v>1363</v>
      </c>
      <c r="D1181">
        <f t="shared" si="18"/>
        <v>0</v>
      </c>
      <c r="E1181" t="s">
        <v>19</v>
      </c>
      <c r="F1181" t="s">
        <v>1363</v>
      </c>
      <c r="G1181" t="s">
        <v>322</v>
      </c>
      <c r="N1181" s="107"/>
    </row>
    <row r="1182" spans="1:14" hidden="1" x14ac:dyDescent="0.3">
      <c r="A1182" t="s">
        <v>184</v>
      </c>
      <c r="B1182" t="s">
        <v>606</v>
      </c>
      <c r="C1182" t="s">
        <v>1371</v>
      </c>
      <c r="D1182">
        <f t="shared" si="18"/>
        <v>0</v>
      </c>
      <c r="E1182" t="s">
        <v>19</v>
      </c>
      <c r="F1182" t="s">
        <v>2314</v>
      </c>
      <c r="G1182" t="s">
        <v>322</v>
      </c>
      <c r="N1182" s="107"/>
    </row>
    <row r="1183" spans="1:14" hidden="1" x14ac:dyDescent="0.3">
      <c r="A1183" t="s">
        <v>184</v>
      </c>
      <c r="B1183" t="s">
        <v>936</v>
      </c>
      <c r="C1183" t="s">
        <v>1376</v>
      </c>
      <c r="D1183">
        <f t="shared" si="18"/>
        <v>0</v>
      </c>
      <c r="E1183" t="s">
        <v>19</v>
      </c>
      <c r="F1183" t="s">
        <v>1376</v>
      </c>
      <c r="G1183" t="s">
        <v>322</v>
      </c>
      <c r="N1183" s="107"/>
    </row>
    <row r="1184" spans="1:14" hidden="1" x14ac:dyDescent="0.3">
      <c r="A1184" t="s">
        <v>184</v>
      </c>
      <c r="B1184" t="s">
        <v>924</v>
      </c>
      <c r="C1184" t="s">
        <v>1381</v>
      </c>
      <c r="D1184">
        <f t="shared" si="18"/>
        <v>0</v>
      </c>
      <c r="E1184" t="s">
        <v>19</v>
      </c>
      <c r="F1184" t="s">
        <v>1381</v>
      </c>
      <c r="G1184" t="s">
        <v>322</v>
      </c>
      <c r="N1184" s="107"/>
    </row>
    <row r="1185" spans="1:14" hidden="1" x14ac:dyDescent="0.3">
      <c r="A1185" t="s">
        <v>184</v>
      </c>
      <c r="B1185" t="s">
        <v>543</v>
      </c>
      <c r="C1185" t="s">
        <v>1387</v>
      </c>
      <c r="D1185">
        <f t="shared" si="18"/>
        <v>0</v>
      </c>
      <c r="E1185" t="s">
        <v>19</v>
      </c>
      <c r="F1185" t="s">
        <v>2336</v>
      </c>
      <c r="G1185" t="s">
        <v>322</v>
      </c>
      <c r="N1185" s="107"/>
    </row>
    <row r="1186" spans="1:14" hidden="1" x14ac:dyDescent="0.3">
      <c r="A1186" t="s">
        <v>184</v>
      </c>
      <c r="B1186" t="s">
        <v>924</v>
      </c>
      <c r="C1186" t="s">
        <v>1387</v>
      </c>
      <c r="D1186">
        <f t="shared" si="18"/>
        <v>0</v>
      </c>
      <c r="E1186" t="s">
        <v>19</v>
      </c>
      <c r="F1186" t="s">
        <v>2337</v>
      </c>
      <c r="G1186" t="s">
        <v>322</v>
      </c>
      <c r="N1186" s="107"/>
    </row>
    <row r="1187" spans="1:14" hidden="1" x14ac:dyDescent="0.3">
      <c r="A1187" t="s">
        <v>184</v>
      </c>
      <c r="B1187" t="s">
        <v>604</v>
      </c>
      <c r="C1187" t="s">
        <v>1385</v>
      </c>
      <c r="D1187">
        <f t="shared" si="18"/>
        <v>0</v>
      </c>
      <c r="E1187" t="s">
        <v>19</v>
      </c>
      <c r="F1187" t="s">
        <v>2383</v>
      </c>
      <c r="G1187" t="s">
        <v>322</v>
      </c>
      <c r="N1187" s="107"/>
    </row>
    <row r="1188" spans="1:14" hidden="1" x14ac:dyDescent="0.3">
      <c r="A1188" t="s">
        <v>184</v>
      </c>
      <c r="B1188" t="s">
        <v>925</v>
      </c>
      <c r="C1188" t="s">
        <v>1394</v>
      </c>
      <c r="D1188">
        <f t="shared" si="18"/>
        <v>0</v>
      </c>
      <c r="E1188" t="s">
        <v>19</v>
      </c>
      <c r="F1188" t="s">
        <v>1394</v>
      </c>
      <c r="G1188" t="s">
        <v>322</v>
      </c>
      <c r="N1188" s="107"/>
    </row>
    <row r="1189" spans="1:14" hidden="1" x14ac:dyDescent="0.3">
      <c r="A1189" t="s">
        <v>184</v>
      </c>
      <c r="B1189" t="s">
        <v>543</v>
      </c>
      <c r="C1189" t="s">
        <v>1397</v>
      </c>
      <c r="D1189">
        <f t="shared" si="18"/>
        <v>0</v>
      </c>
      <c r="E1189" t="s">
        <v>19</v>
      </c>
      <c r="F1189" t="s">
        <v>1397</v>
      </c>
      <c r="G1189" t="s">
        <v>322</v>
      </c>
      <c r="N1189" s="107"/>
    </row>
    <row r="1190" spans="1:14" hidden="1" x14ac:dyDescent="0.3">
      <c r="A1190" t="s">
        <v>184</v>
      </c>
      <c r="B1190" t="s">
        <v>528</v>
      </c>
      <c r="C1190" t="s">
        <v>1399</v>
      </c>
      <c r="D1190">
        <f t="shared" si="18"/>
        <v>0</v>
      </c>
      <c r="E1190" t="s">
        <v>19</v>
      </c>
      <c r="F1190" t="s">
        <v>1399</v>
      </c>
      <c r="G1190" t="s">
        <v>322</v>
      </c>
      <c r="N1190" s="107"/>
    </row>
    <row r="1191" spans="1:14" hidden="1" x14ac:dyDescent="0.3">
      <c r="A1191" t="s">
        <v>184</v>
      </c>
      <c r="B1191" t="s">
        <v>924</v>
      </c>
      <c r="C1191" t="s">
        <v>1402</v>
      </c>
      <c r="D1191">
        <f t="shared" si="18"/>
        <v>0</v>
      </c>
      <c r="E1191" t="s">
        <v>19</v>
      </c>
      <c r="F1191" t="s">
        <v>1402</v>
      </c>
      <c r="G1191" t="s">
        <v>322</v>
      </c>
      <c r="N1191" s="107"/>
    </row>
    <row r="1192" spans="1:14" hidden="1" x14ac:dyDescent="0.3">
      <c r="A1192" t="s">
        <v>184</v>
      </c>
      <c r="B1192" t="s">
        <v>971</v>
      </c>
      <c r="C1192" t="s">
        <v>1404</v>
      </c>
      <c r="D1192">
        <f t="shared" si="18"/>
        <v>0</v>
      </c>
      <c r="E1192" t="s">
        <v>19</v>
      </c>
      <c r="F1192" t="s">
        <v>2412</v>
      </c>
      <c r="G1192" t="s">
        <v>322</v>
      </c>
      <c r="N1192" s="107"/>
    </row>
    <row r="1193" spans="1:14" hidden="1" x14ac:dyDescent="0.3">
      <c r="A1193" t="s">
        <v>184</v>
      </c>
      <c r="B1193" t="s">
        <v>528</v>
      </c>
      <c r="C1193" t="s">
        <v>1405</v>
      </c>
      <c r="D1193">
        <f t="shared" si="18"/>
        <v>0</v>
      </c>
      <c r="E1193" t="s">
        <v>19</v>
      </c>
      <c r="F1193" t="s">
        <v>2425</v>
      </c>
      <c r="G1193" t="s">
        <v>322</v>
      </c>
      <c r="N1193" s="107"/>
    </row>
    <row r="1194" spans="1:14" hidden="1" x14ac:dyDescent="0.3">
      <c r="A1194" t="s">
        <v>184</v>
      </c>
      <c r="B1194" t="s">
        <v>980</v>
      </c>
      <c r="C1194" t="s">
        <v>1405</v>
      </c>
      <c r="D1194">
        <f t="shared" si="18"/>
        <v>0</v>
      </c>
      <c r="E1194" t="s">
        <v>19</v>
      </c>
      <c r="F1194" t="s">
        <v>2426</v>
      </c>
      <c r="G1194" t="s">
        <v>322</v>
      </c>
      <c r="N1194" s="107"/>
    </row>
    <row r="1195" spans="1:14" hidden="1" x14ac:dyDescent="0.3">
      <c r="A1195" t="s">
        <v>184</v>
      </c>
      <c r="B1195" t="s">
        <v>981</v>
      </c>
      <c r="C1195" t="s">
        <v>1406</v>
      </c>
      <c r="D1195">
        <f t="shared" si="18"/>
        <v>0</v>
      </c>
      <c r="E1195" t="s">
        <v>19</v>
      </c>
      <c r="F1195" t="s">
        <v>1406</v>
      </c>
      <c r="G1195" t="s">
        <v>322</v>
      </c>
      <c r="N1195" s="107"/>
    </row>
    <row r="1196" spans="1:14" hidden="1" x14ac:dyDescent="0.3">
      <c r="A1196" t="s">
        <v>184</v>
      </c>
      <c r="B1196" t="s">
        <v>525</v>
      </c>
      <c r="C1196" t="s">
        <v>1404</v>
      </c>
      <c r="D1196">
        <f t="shared" si="18"/>
        <v>0</v>
      </c>
      <c r="E1196" t="s">
        <v>19</v>
      </c>
      <c r="F1196" t="s">
        <v>2428</v>
      </c>
      <c r="G1196" t="s">
        <v>322</v>
      </c>
      <c r="N1196" s="107"/>
    </row>
    <row r="1197" spans="1:14" hidden="1" x14ac:dyDescent="0.3">
      <c r="A1197" t="s">
        <v>184</v>
      </c>
      <c r="B1197" t="s">
        <v>984</v>
      </c>
      <c r="C1197" t="s">
        <v>1404</v>
      </c>
      <c r="D1197">
        <f t="shared" si="18"/>
        <v>0</v>
      </c>
      <c r="E1197" t="s">
        <v>19</v>
      </c>
      <c r="F1197" t="s">
        <v>2430</v>
      </c>
      <c r="G1197" t="s">
        <v>322</v>
      </c>
      <c r="N1197" s="107"/>
    </row>
    <row r="1198" spans="1:14" hidden="1" x14ac:dyDescent="0.3">
      <c r="A1198" t="s">
        <v>184</v>
      </c>
      <c r="B1198" t="s">
        <v>527</v>
      </c>
      <c r="C1198" t="s">
        <v>1404</v>
      </c>
      <c r="D1198">
        <f t="shared" si="18"/>
        <v>0</v>
      </c>
      <c r="E1198" t="s">
        <v>19</v>
      </c>
      <c r="F1198" t="s">
        <v>2432</v>
      </c>
      <c r="G1198" t="s">
        <v>322</v>
      </c>
      <c r="N1198" s="107"/>
    </row>
    <row r="1199" spans="1:14" hidden="1" x14ac:dyDescent="0.3">
      <c r="A1199" t="s">
        <v>184</v>
      </c>
      <c r="B1199" t="s">
        <v>986</v>
      </c>
      <c r="C1199" t="s">
        <v>1404</v>
      </c>
      <c r="D1199">
        <f t="shared" si="18"/>
        <v>0</v>
      </c>
      <c r="E1199" t="s">
        <v>19</v>
      </c>
      <c r="F1199" t="s">
        <v>2433</v>
      </c>
      <c r="G1199" t="s">
        <v>322</v>
      </c>
      <c r="N1199" s="107"/>
    </row>
    <row r="1200" spans="1:14" hidden="1" x14ac:dyDescent="0.3">
      <c r="A1200" t="s">
        <v>184</v>
      </c>
      <c r="B1200" t="s">
        <v>543</v>
      </c>
      <c r="C1200" t="s">
        <v>1408</v>
      </c>
      <c r="D1200">
        <f t="shared" si="18"/>
        <v>0</v>
      </c>
      <c r="E1200" t="s">
        <v>19</v>
      </c>
      <c r="F1200" t="s">
        <v>1408</v>
      </c>
      <c r="G1200" t="s">
        <v>322</v>
      </c>
      <c r="N1200" s="107"/>
    </row>
    <row r="1201" spans="1:14" hidden="1" x14ac:dyDescent="0.3">
      <c r="A1201" t="s">
        <v>184</v>
      </c>
      <c r="B1201" t="s">
        <v>585</v>
      </c>
      <c r="C1201" t="s">
        <v>1409</v>
      </c>
      <c r="D1201">
        <f t="shared" si="18"/>
        <v>0</v>
      </c>
      <c r="E1201" t="s">
        <v>19</v>
      </c>
      <c r="F1201" t="s">
        <v>1409</v>
      </c>
      <c r="G1201" t="s">
        <v>322</v>
      </c>
      <c r="N1201" s="107"/>
    </row>
    <row r="1202" spans="1:14" hidden="1" x14ac:dyDescent="0.3">
      <c r="A1202" t="s">
        <v>184</v>
      </c>
      <c r="B1202" t="s">
        <v>527</v>
      </c>
      <c r="C1202" t="s">
        <v>1416</v>
      </c>
      <c r="D1202">
        <f t="shared" si="18"/>
        <v>0</v>
      </c>
      <c r="E1202" t="s">
        <v>19</v>
      </c>
      <c r="F1202" t="s">
        <v>2531</v>
      </c>
      <c r="G1202" t="s">
        <v>322</v>
      </c>
      <c r="N1202" s="107"/>
    </row>
    <row r="1203" spans="1:14" hidden="1" x14ac:dyDescent="0.3">
      <c r="A1203" t="s">
        <v>184</v>
      </c>
      <c r="B1203" t="s">
        <v>856</v>
      </c>
      <c r="C1203" t="s">
        <v>1417</v>
      </c>
      <c r="D1203">
        <f t="shared" si="18"/>
        <v>0</v>
      </c>
      <c r="E1203" t="s">
        <v>19</v>
      </c>
      <c r="F1203" t="s">
        <v>1417</v>
      </c>
      <c r="G1203" t="s">
        <v>322</v>
      </c>
      <c r="N1203" s="107"/>
    </row>
    <row r="1204" spans="1:14" hidden="1" x14ac:dyDescent="0.3">
      <c r="A1204" t="s">
        <v>184</v>
      </c>
      <c r="B1204" t="s">
        <v>666</v>
      </c>
      <c r="C1204" t="s">
        <v>1418</v>
      </c>
      <c r="D1204">
        <f t="shared" si="18"/>
        <v>0</v>
      </c>
      <c r="E1204" t="s">
        <v>19</v>
      </c>
      <c r="F1204" t="s">
        <v>2538</v>
      </c>
      <c r="G1204" t="s">
        <v>322</v>
      </c>
      <c r="N1204" s="107"/>
    </row>
    <row r="1205" spans="1:14" hidden="1" x14ac:dyDescent="0.3">
      <c r="A1205" t="s">
        <v>184</v>
      </c>
      <c r="B1205" t="s">
        <v>666</v>
      </c>
      <c r="C1205" t="s">
        <v>1418</v>
      </c>
      <c r="D1205">
        <f t="shared" si="18"/>
        <v>0</v>
      </c>
      <c r="E1205" t="s">
        <v>19</v>
      </c>
      <c r="F1205" t="s">
        <v>2539</v>
      </c>
      <c r="G1205" t="s">
        <v>322</v>
      </c>
      <c r="N1205" s="107"/>
    </row>
    <row r="1206" spans="1:14" hidden="1" x14ac:dyDescent="0.3">
      <c r="A1206" t="s">
        <v>184</v>
      </c>
      <c r="B1206" t="s">
        <v>820</v>
      </c>
      <c r="C1206" t="s">
        <v>1419</v>
      </c>
      <c r="D1206">
        <f t="shared" si="18"/>
        <v>0</v>
      </c>
      <c r="E1206" t="s">
        <v>19</v>
      </c>
      <c r="F1206" t="s">
        <v>2544</v>
      </c>
      <c r="G1206" t="s">
        <v>322</v>
      </c>
      <c r="N1206" s="107"/>
    </row>
    <row r="1207" spans="1:14" hidden="1" x14ac:dyDescent="0.3">
      <c r="A1207" t="s">
        <v>184</v>
      </c>
      <c r="B1207" t="s">
        <v>1019</v>
      </c>
      <c r="C1207" t="s">
        <v>1419</v>
      </c>
      <c r="D1207">
        <f t="shared" si="18"/>
        <v>0</v>
      </c>
      <c r="E1207" t="s">
        <v>19</v>
      </c>
      <c r="F1207" t="s">
        <v>2545</v>
      </c>
      <c r="G1207" t="s">
        <v>322</v>
      </c>
      <c r="N1207" s="107"/>
    </row>
    <row r="1208" spans="1:14" hidden="1" x14ac:dyDescent="0.3">
      <c r="A1208" t="s">
        <v>184</v>
      </c>
      <c r="B1208" t="s">
        <v>858</v>
      </c>
      <c r="C1208" t="s">
        <v>1419</v>
      </c>
      <c r="D1208">
        <f t="shared" si="18"/>
        <v>0</v>
      </c>
      <c r="E1208" t="s">
        <v>19</v>
      </c>
      <c r="F1208" t="s">
        <v>2549</v>
      </c>
      <c r="G1208" t="s">
        <v>322</v>
      </c>
      <c r="N1208" s="107"/>
    </row>
    <row r="1209" spans="1:14" hidden="1" x14ac:dyDescent="0.3">
      <c r="A1209" t="s">
        <v>184</v>
      </c>
      <c r="B1209" t="s">
        <v>794</v>
      </c>
      <c r="C1209" t="s">
        <v>1428</v>
      </c>
      <c r="D1209">
        <f t="shared" si="18"/>
        <v>0</v>
      </c>
      <c r="E1209" t="s">
        <v>19</v>
      </c>
      <c r="F1209" t="s">
        <v>1428</v>
      </c>
      <c r="G1209" t="s">
        <v>322</v>
      </c>
      <c r="N1209" s="107"/>
    </row>
    <row r="1210" spans="1:14" hidden="1" x14ac:dyDescent="0.3">
      <c r="A1210" t="s">
        <v>184</v>
      </c>
      <c r="B1210" t="s">
        <v>542</v>
      </c>
      <c r="C1210" t="s">
        <v>1430</v>
      </c>
      <c r="D1210">
        <f t="shared" si="18"/>
        <v>0</v>
      </c>
      <c r="E1210" t="s">
        <v>19</v>
      </c>
      <c r="F1210" t="s">
        <v>1430</v>
      </c>
      <c r="G1210" t="s">
        <v>322</v>
      </c>
      <c r="N1210" s="107"/>
    </row>
    <row r="1211" spans="1:14" hidden="1" x14ac:dyDescent="0.3">
      <c r="A1211" t="s">
        <v>184</v>
      </c>
      <c r="B1211" t="s">
        <v>542</v>
      </c>
      <c r="C1211" t="s">
        <v>1431</v>
      </c>
      <c r="D1211">
        <f t="shared" si="18"/>
        <v>0</v>
      </c>
      <c r="E1211" t="s">
        <v>19</v>
      </c>
      <c r="F1211" t="s">
        <v>1431</v>
      </c>
      <c r="G1211" t="s">
        <v>322</v>
      </c>
      <c r="N1211" s="107"/>
    </row>
    <row r="1212" spans="1:14" hidden="1" x14ac:dyDescent="0.3">
      <c r="A1212" t="s">
        <v>184</v>
      </c>
      <c r="B1212" t="s">
        <v>523</v>
      </c>
      <c r="C1212" t="s">
        <v>1434</v>
      </c>
      <c r="D1212">
        <f t="shared" si="18"/>
        <v>0</v>
      </c>
      <c r="E1212" t="s">
        <v>19</v>
      </c>
      <c r="F1212" t="s">
        <v>2558</v>
      </c>
      <c r="G1212" t="s">
        <v>322</v>
      </c>
      <c r="N1212" s="107"/>
    </row>
    <row r="1213" spans="1:14" hidden="1" x14ac:dyDescent="0.3">
      <c r="A1213" t="s">
        <v>184</v>
      </c>
      <c r="B1213" t="s">
        <v>523</v>
      </c>
      <c r="C1213" t="s">
        <v>1434</v>
      </c>
      <c r="D1213">
        <f t="shared" si="18"/>
        <v>0</v>
      </c>
      <c r="E1213" t="s">
        <v>19</v>
      </c>
      <c r="F1213" t="s">
        <v>2559</v>
      </c>
      <c r="G1213" t="s">
        <v>322</v>
      </c>
      <c r="N1213" s="107"/>
    </row>
    <row r="1214" spans="1:14" hidden="1" x14ac:dyDescent="0.3">
      <c r="A1214" t="s">
        <v>184</v>
      </c>
      <c r="B1214" t="s">
        <v>1028</v>
      </c>
      <c r="C1214" t="s">
        <v>1435</v>
      </c>
      <c r="D1214">
        <f t="shared" si="18"/>
        <v>0</v>
      </c>
      <c r="E1214" t="s">
        <v>19</v>
      </c>
      <c r="F1214" t="s">
        <v>1435</v>
      </c>
      <c r="G1214" t="s">
        <v>322</v>
      </c>
      <c r="N1214" s="107"/>
    </row>
    <row r="1215" spans="1:14" hidden="1" x14ac:dyDescent="0.3">
      <c r="A1215" t="s">
        <v>184</v>
      </c>
      <c r="B1215" t="s">
        <v>1034</v>
      </c>
      <c r="C1215" t="s">
        <v>1443</v>
      </c>
      <c r="D1215">
        <f t="shared" si="18"/>
        <v>0</v>
      </c>
      <c r="E1215" t="s">
        <v>19</v>
      </c>
      <c r="F1215" t="s">
        <v>2569</v>
      </c>
      <c r="G1215" t="s">
        <v>322</v>
      </c>
      <c r="N1215" s="107"/>
    </row>
    <row r="1216" spans="1:14" hidden="1" x14ac:dyDescent="0.3">
      <c r="A1216" t="s">
        <v>184</v>
      </c>
      <c r="B1216" t="s">
        <v>527</v>
      </c>
      <c r="C1216" t="s">
        <v>1443</v>
      </c>
      <c r="D1216">
        <f t="shared" si="18"/>
        <v>0</v>
      </c>
      <c r="E1216" t="s">
        <v>19</v>
      </c>
      <c r="F1216" t="s">
        <v>2572</v>
      </c>
      <c r="G1216" t="s">
        <v>322</v>
      </c>
      <c r="N1216" s="107"/>
    </row>
    <row r="1217" spans="1:14" hidden="1" x14ac:dyDescent="0.3">
      <c r="A1217" t="s">
        <v>184</v>
      </c>
      <c r="B1217" t="s">
        <v>1046</v>
      </c>
      <c r="C1217" t="s">
        <v>1443</v>
      </c>
      <c r="D1217">
        <f t="shared" ref="D1217:D1280" si="19">SIGN(SUBTOTAL(3,E1217))</f>
        <v>0</v>
      </c>
      <c r="E1217" t="s">
        <v>19</v>
      </c>
      <c r="F1217" t="s">
        <v>2594</v>
      </c>
      <c r="G1217" t="s">
        <v>322</v>
      </c>
      <c r="N1217" s="107"/>
    </row>
    <row r="1218" spans="1:14" hidden="1" x14ac:dyDescent="0.3">
      <c r="A1218" t="s">
        <v>184</v>
      </c>
      <c r="B1218" t="s">
        <v>766</v>
      </c>
      <c r="C1218" t="s">
        <v>1443</v>
      </c>
      <c r="D1218">
        <f t="shared" si="19"/>
        <v>0</v>
      </c>
      <c r="E1218" t="s">
        <v>19</v>
      </c>
      <c r="F1218" t="s">
        <v>2595</v>
      </c>
      <c r="G1218" t="s">
        <v>322</v>
      </c>
      <c r="N1218" s="107"/>
    </row>
    <row r="1219" spans="1:14" hidden="1" x14ac:dyDescent="0.3">
      <c r="A1219" t="s">
        <v>184</v>
      </c>
      <c r="B1219" t="s">
        <v>585</v>
      </c>
      <c r="C1219" t="s">
        <v>1443</v>
      </c>
      <c r="D1219">
        <f t="shared" si="19"/>
        <v>0</v>
      </c>
      <c r="E1219" t="s">
        <v>19</v>
      </c>
      <c r="F1219" t="s">
        <v>2597</v>
      </c>
      <c r="G1219" t="s">
        <v>322</v>
      </c>
      <c r="N1219" s="107"/>
    </row>
    <row r="1220" spans="1:14" hidden="1" x14ac:dyDescent="0.3">
      <c r="A1220" t="s">
        <v>184</v>
      </c>
      <c r="B1220" t="s">
        <v>1047</v>
      </c>
      <c r="C1220" t="s">
        <v>1443</v>
      </c>
      <c r="D1220">
        <f t="shared" si="19"/>
        <v>0</v>
      </c>
      <c r="E1220" t="s">
        <v>19</v>
      </c>
      <c r="F1220" t="s">
        <v>2598</v>
      </c>
      <c r="G1220" t="s">
        <v>322</v>
      </c>
      <c r="N1220" s="107"/>
    </row>
    <row r="1221" spans="1:14" hidden="1" x14ac:dyDescent="0.3">
      <c r="A1221" t="s">
        <v>184</v>
      </c>
      <c r="B1221" t="s">
        <v>936</v>
      </c>
      <c r="C1221" t="s">
        <v>1443</v>
      </c>
      <c r="D1221">
        <f t="shared" si="19"/>
        <v>0</v>
      </c>
      <c r="E1221" t="s">
        <v>19</v>
      </c>
      <c r="F1221" t="s">
        <v>2600</v>
      </c>
      <c r="G1221" t="s">
        <v>322</v>
      </c>
      <c r="N1221" s="107"/>
    </row>
    <row r="1222" spans="1:14" hidden="1" x14ac:dyDescent="0.3">
      <c r="A1222" t="s">
        <v>184</v>
      </c>
      <c r="B1222" t="s">
        <v>528</v>
      </c>
      <c r="C1222" t="s">
        <v>1443</v>
      </c>
      <c r="D1222">
        <f t="shared" si="19"/>
        <v>0</v>
      </c>
      <c r="E1222" t="s">
        <v>19</v>
      </c>
      <c r="F1222" t="s">
        <v>2601</v>
      </c>
      <c r="G1222" t="s">
        <v>322</v>
      </c>
      <c r="N1222" s="107"/>
    </row>
    <row r="1223" spans="1:14" hidden="1" x14ac:dyDescent="0.3">
      <c r="A1223" t="s">
        <v>184</v>
      </c>
      <c r="B1223" t="s">
        <v>1048</v>
      </c>
      <c r="C1223" t="s">
        <v>1443</v>
      </c>
      <c r="D1223">
        <f t="shared" si="19"/>
        <v>0</v>
      </c>
      <c r="E1223" t="s">
        <v>19</v>
      </c>
      <c r="F1223" t="s">
        <v>2602</v>
      </c>
      <c r="G1223" t="s">
        <v>322</v>
      </c>
      <c r="N1223" s="107"/>
    </row>
    <row r="1224" spans="1:14" hidden="1" x14ac:dyDescent="0.3">
      <c r="A1224" t="s">
        <v>184</v>
      </c>
      <c r="B1224" t="s">
        <v>529</v>
      </c>
      <c r="C1224" t="s">
        <v>1443</v>
      </c>
      <c r="D1224">
        <f t="shared" si="19"/>
        <v>0</v>
      </c>
      <c r="E1224" t="s">
        <v>19</v>
      </c>
      <c r="F1224" t="s">
        <v>2607</v>
      </c>
      <c r="G1224" t="s">
        <v>322</v>
      </c>
      <c r="N1224" s="107"/>
    </row>
    <row r="1225" spans="1:14" hidden="1" x14ac:dyDescent="0.3">
      <c r="A1225" t="s">
        <v>184</v>
      </c>
      <c r="B1225" t="s">
        <v>529</v>
      </c>
      <c r="C1225" t="s">
        <v>1443</v>
      </c>
      <c r="D1225">
        <f t="shared" si="19"/>
        <v>0</v>
      </c>
      <c r="E1225" t="s">
        <v>19</v>
      </c>
      <c r="F1225" t="s">
        <v>2608</v>
      </c>
      <c r="G1225" t="s">
        <v>322</v>
      </c>
      <c r="N1225" s="107"/>
    </row>
    <row r="1226" spans="1:14" hidden="1" x14ac:dyDescent="0.3">
      <c r="A1226" t="s">
        <v>184</v>
      </c>
      <c r="B1226" t="s">
        <v>585</v>
      </c>
      <c r="C1226" t="s">
        <v>1443</v>
      </c>
      <c r="D1226">
        <f t="shared" si="19"/>
        <v>0</v>
      </c>
      <c r="E1226" t="s">
        <v>19</v>
      </c>
      <c r="F1226" t="s">
        <v>2614</v>
      </c>
      <c r="G1226" t="s">
        <v>322</v>
      </c>
      <c r="N1226" s="107"/>
    </row>
    <row r="1227" spans="1:14" hidden="1" x14ac:dyDescent="0.3">
      <c r="A1227" t="s">
        <v>184</v>
      </c>
      <c r="B1227" t="s">
        <v>814</v>
      </c>
      <c r="C1227" t="s">
        <v>1447</v>
      </c>
      <c r="D1227">
        <f t="shared" si="19"/>
        <v>0</v>
      </c>
      <c r="E1227" t="s">
        <v>19</v>
      </c>
      <c r="F1227" t="s">
        <v>2619</v>
      </c>
      <c r="G1227" t="s">
        <v>322</v>
      </c>
      <c r="N1227" s="107"/>
    </row>
    <row r="1228" spans="1:14" hidden="1" x14ac:dyDescent="0.3">
      <c r="A1228" t="s">
        <v>184</v>
      </c>
      <c r="B1228" t="s">
        <v>542</v>
      </c>
      <c r="C1228" t="s">
        <v>1462</v>
      </c>
      <c r="D1228">
        <f t="shared" si="19"/>
        <v>0</v>
      </c>
      <c r="E1228" t="s">
        <v>19</v>
      </c>
      <c r="F1228" t="s">
        <v>2660</v>
      </c>
      <c r="G1228" t="s">
        <v>322</v>
      </c>
      <c r="N1228" s="107"/>
    </row>
    <row r="1229" spans="1:14" hidden="1" x14ac:dyDescent="0.3">
      <c r="A1229" t="s">
        <v>184</v>
      </c>
      <c r="B1229" t="s">
        <v>1072</v>
      </c>
      <c r="C1229" t="s">
        <v>1462</v>
      </c>
      <c r="D1229">
        <f t="shared" si="19"/>
        <v>0</v>
      </c>
      <c r="E1229" t="s">
        <v>19</v>
      </c>
      <c r="F1229" t="s">
        <v>2662</v>
      </c>
      <c r="G1229" t="s">
        <v>322</v>
      </c>
      <c r="N1229" s="107"/>
    </row>
    <row r="1230" spans="1:14" hidden="1" x14ac:dyDescent="0.3">
      <c r="A1230" t="s">
        <v>184</v>
      </c>
      <c r="B1230" t="s">
        <v>529</v>
      </c>
      <c r="C1230" t="s">
        <v>1462</v>
      </c>
      <c r="D1230">
        <f t="shared" si="19"/>
        <v>0</v>
      </c>
      <c r="E1230" t="s">
        <v>19</v>
      </c>
      <c r="F1230" t="s">
        <v>2667</v>
      </c>
      <c r="G1230" t="s">
        <v>322</v>
      </c>
      <c r="N1230" s="107"/>
    </row>
    <row r="1231" spans="1:14" hidden="1" x14ac:dyDescent="0.3">
      <c r="A1231" t="s">
        <v>184</v>
      </c>
      <c r="B1231" t="s">
        <v>585</v>
      </c>
      <c r="C1231" t="s">
        <v>1461</v>
      </c>
      <c r="D1231">
        <f t="shared" si="19"/>
        <v>0</v>
      </c>
      <c r="E1231" t="s">
        <v>19</v>
      </c>
      <c r="F1231" t="s">
        <v>2672</v>
      </c>
      <c r="G1231" t="s">
        <v>322</v>
      </c>
      <c r="N1231" s="107"/>
    </row>
    <row r="1232" spans="1:14" hidden="1" x14ac:dyDescent="0.3">
      <c r="A1232" t="s">
        <v>184</v>
      </c>
      <c r="B1232" t="s">
        <v>528</v>
      </c>
      <c r="C1232" t="s">
        <v>1464</v>
      </c>
      <c r="D1232">
        <f t="shared" si="19"/>
        <v>0</v>
      </c>
      <c r="E1232" t="s">
        <v>19</v>
      </c>
      <c r="F1232" t="s">
        <v>1464</v>
      </c>
      <c r="G1232" t="s">
        <v>322</v>
      </c>
      <c r="N1232" s="107"/>
    </row>
    <row r="1233" spans="1:14" hidden="1" x14ac:dyDescent="0.3">
      <c r="A1233" t="s">
        <v>184</v>
      </c>
      <c r="B1233" t="s">
        <v>1075</v>
      </c>
      <c r="C1233" t="s">
        <v>1466</v>
      </c>
      <c r="D1233">
        <f t="shared" si="19"/>
        <v>0</v>
      </c>
      <c r="E1233" t="s">
        <v>19</v>
      </c>
      <c r="F1233" t="s">
        <v>1466</v>
      </c>
      <c r="G1233" t="s">
        <v>322</v>
      </c>
      <c r="N1233" s="107"/>
    </row>
    <row r="1234" spans="1:14" hidden="1" x14ac:dyDescent="0.3">
      <c r="A1234" t="s">
        <v>184</v>
      </c>
      <c r="B1234" t="s">
        <v>872</v>
      </c>
      <c r="C1234" t="s">
        <v>1467</v>
      </c>
      <c r="D1234">
        <f t="shared" si="19"/>
        <v>0</v>
      </c>
      <c r="E1234" t="s">
        <v>19</v>
      </c>
      <c r="F1234" t="s">
        <v>1467</v>
      </c>
      <c r="G1234" t="s">
        <v>322</v>
      </c>
      <c r="N1234" s="107"/>
    </row>
    <row r="1235" spans="1:14" hidden="1" x14ac:dyDescent="0.3">
      <c r="A1235" t="s">
        <v>184</v>
      </c>
      <c r="B1235" t="s">
        <v>585</v>
      </c>
      <c r="C1235" t="s">
        <v>1468</v>
      </c>
      <c r="D1235">
        <f t="shared" si="19"/>
        <v>0</v>
      </c>
      <c r="E1235" t="s">
        <v>19</v>
      </c>
      <c r="F1235" t="s">
        <v>1468</v>
      </c>
      <c r="G1235" t="s">
        <v>322</v>
      </c>
      <c r="N1235" s="107"/>
    </row>
    <row r="1236" spans="1:14" hidden="1" x14ac:dyDescent="0.3">
      <c r="A1236" t="s">
        <v>184</v>
      </c>
      <c r="B1236" t="s">
        <v>1081</v>
      </c>
      <c r="C1236" t="s">
        <v>1473</v>
      </c>
      <c r="D1236">
        <f t="shared" si="19"/>
        <v>0</v>
      </c>
      <c r="E1236" t="s">
        <v>19</v>
      </c>
      <c r="F1236" t="s">
        <v>1473</v>
      </c>
      <c r="G1236" t="s">
        <v>322</v>
      </c>
      <c r="N1236" s="107"/>
    </row>
    <row r="1237" spans="1:14" hidden="1" x14ac:dyDescent="0.3">
      <c r="A1237" t="s">
        <v>184</v>
      </c>
      <c r="B1237" t="s">
        <v>543</v>
      </c>
      <c r="C1237" t="s">
        <v>1479</v>
      </c>
      <c r="D1237">
        <f t="shared" si="19"/>
        <v>0</v>
      </c>
      <c r="E1237" t="s">
        <v>19</v>
      </c>
      <c r="F1237" t="s">
        <v>2693</v>
      </c>
      <c r="G1237" t="s">
        <v>322</v>
      </c>
      <c r="N1237" s="107"/>
    </row>
    <row r="1238" spans="1:14" hidden="1" x14ac:dyDescent="0.3">
      <c r="A1238" t="s">
        <v>184</v>
      </c>
      <c r="B1238" t="s">
        <v>525</v>
      </c>
      <c r="C1238" t="s">
        <v>1483</v>
      </c>
      <c r="D1238">
        <f t="shared" si="19"/>
        <v>0</v>
      </c>
      <c r="E1238" t="s">
        <v>19</v>
      </c>
      <c r="F1238" t="s">
        <v>2709</v>
      </c>
      <c r="G1238" t="s">
        <v>322</v>
      </c>
      <c r="N1238" s="107"/>
    </row>
    <row r="1239" spans="1:14" hidden="1" x14ac:dyDescent="0.3">
      <c r="A1239" t="s">
        <v>184</v>
      </c>
      <c r="B1239" t="s">
        <v>523</v>
      </c>
      <c r="C1239" t="s">
        <v>1483</v>
      </c>
      <c r="D1239">
        <f t="shared" si="19"/>
        <v>0</v>
      </c>
      <c r="E1239" t="s">
        <v>19</v>
      </c>
      <c r="F1239" t="s">
        <v>2710</v>
      </c>
      <c r="G1239" t="s">
        <v>322</v>
      </c>
      <c r="N1239" s="107"/>
    </row>
    <row r="1240" spans="1:14" hidden="1" x14ac:dyDescent="0.3">
      <c r="A1240" t="s">
        <v>184</v>
      </c>
      <c r="B1240" t="s">
        <v>924</v>
      </c>
      <c r="C1240" t="s">
        <v>1483</v>
      </c>
      <c r="D1240">
        <f t="shared" si="19"/>
        <v>0</v>
      </c>
      <c r="E1240" t="s">
        <v>19</v>
      </c>
      <c r="F1240" t="s">
        <v>2711</v>
      </c>
      <c r="G1240" t="s">
        <v>322</v>
      </c>
      <c r="N1240" s="107"/>
    </row>
    <row r="1241" spans="1:14" hidden="1" x14ac:dyDescent="0.3">
      <c r="A1241" t="s">
        <v>184</v>
      </c>
      <c r="B1241" t="s">
        <v>670</v>
      </c>
      <c r="C1241" t="s">
        <v>1483</v>
      </c>
      <c r="D1241">
        <f t="shared" si="19"/>
        <v>0</v>
      </c>
      <c r="E1241" t="s">
        <v>19</v>
      </c>
      <c r="F1241" t="s">
        <v>2723</v>
      </c>
      <c r="G1241" t="s">
        <v>322</v>
      </c>
      <c r="N1241" s="107"/>
    </row>
    <row r="1242" spans="1:14" hidden="1" x14ac:dyDescent="0.3">
      <c r="A1242" t="s">
        <v>184</v>
      </c>
      <c r="B1242" t="s">
        <v>529</v>
      </c>
      <c r="C1242" t="s">
        <v>1483</v>
      </c>
      <c r="D1242">
        <f t="shared" si="19"/>
        <v>0</v>
      </c>
      <c r="E1242" t="s">
        <v>19</v>
      </c>
      <c r="F1242" t="s">
        <v>2724</v>
      </c>
      <c r="G1242" t="s">
        <v>322</v>
      </c>
      <c r="N1242" s="107"/>
    </row>
    <row r="1243" spans="1:14" hidden="1" x14ac:dyDescent="0.3">
      <c r="A1243" t="s">
        <v>184</v>
      </c>
      <c r="B1243" t="s">
        <v>606</v>
      </c>
      <c r="C1243" t="s">
        <v>1483</v>
      </c>
      <c r="D1243">
        <f t="shared" si="19"/>
        <v>0</v>
      </c>
      <c r="E1243" t="s">
        <v>19</v>
      </c>
      <c r="F1243" t="s">
        <v>2725</v>
      </c>
      <c r="G1243" t="s">
        <v>322</v>
      </c>
      <c r="N1243" s="107"/>
    </row>
    <row r="1244" spans="1:14" hidden="1" x14ac:dyDescent="0.3">
      <c r="A1244" t="s">
        <v>184</v>
      </c>
      <c r="B1244" t="s">
        <v>666</v>
      </c>
      <c r="C1244" t="s">
        <v>1483</v>
      </c>
      <c r="D1244">
        <f t="shared" si="19"/>
        <v>0</v>
      </c>
      <c r="E1244" t="s">
        <v>19</v>
      </c>
      <c r="F1244" t="s">
        <v>2728</v>
      </c>
      <c r="G1244" t="s">
        <v>322</v>
      </c>
      <c r="N1244" s="107"/>
    </row>
    <row r="1245" spans="1:14" hidden="1" x14ac:dyDescent="0.3">
      <c r="A1245" t="s">
        <v>184</v>
      </c>
      <c r="B1245" t="s">
        <v>1088</v>
      </c>
      <c r="C1245" t="s">
        <v>1484</v>
      </c>
      <c r="D1245">
        <f t="shared" si="19"/>
        <v>0</v>
      </c>
      <c r="E1245" t="s">
        <v>19</v>
      </c>
      <c r="F1245" t="s">
        <v>1484</v>
      </c>
      <c r="G1245" t="s">
        <v>322</v>
      </c>
      <c r="N1245" s="107"/>
    </row>
    <row r="1246" spans="1:14" hidden="1" x14ac:dyDescent="0.3">
      <c r="A1246" t="s">
        <v>184</v>
      </c>
      <c r="B1246" t="s">
        <v>528</v>
      </c>
      <c r="C1246" t="s">
        <v>1494</v>
      </c>
      <c r="D1246">
        <f t="shared" si="19"/>
        <v>0</v>
      </c>
      <c r="E1246" t="s">
        <v>19</v>
      </c>
      <c r="F1246" t="s">
        <v>1494</v>
      </c>
      <c r="G1246" t="s">
        <v>322</v>
      </c>
      <c r="N1246" s="107"/>
    </row>
    <row r="1247" spans="1:14" hidden="1" x14ac:dyDescent="0.3">
      <c r="A1247" t="s">
        <v>184</v>
      </c>
      <c r="B1247" t="s">
        <v>814</v>
      </c>
      <c r="C1247" t="s">
        <v>1500</v>
      </c>
      <c r="D1247">
        <f t="shared" si="19"/>
        <v>0</v>
      </c>
      <c r="E1247" t="s">
        <v>19</v>
      </c>
      <c r="F1247" t="s">
        <v>2741</v>
      </c>
      <c r="G1247" t="s">
        <v>322</v>
      </c>
      <c r="N1247" s="107"/>
    </row>
    <row r="1248" spans="1:14" hidden="1" x14ac:dyDescent="0.3">
      <c r="A1248" t="s">
        <v>184</v>
      </c>
      <c r="B1248" t="s">
        <v>543</v>
      </c>
      <c r="C1248" t="s">
        <v>1500</v>
      </c>
      <c r="D1248">
        <f t="shared" si="19"/>
        <v>0</v>
      </c>
      <c r="E1248" t="s">
        <v>19</v>
      </c>
      <c r="F1248" t="s">
        <v>2744</v>
      </c>
      <c r="G1248" t="s">
        <v>322</v>
      </c>
      <c r="N1248" s="107"/>
    </row>
    <row r="1249" spans="1:14" hidden="1" x14ac:dyDescent="0.3">
      <c r="A1249" t="s">
        <v>184</v>
      </c>
      <c r="B1249" t="s">
        <v>585</v>
      </c>
      <c r="C1249" t="s">
        <v>1502</v>
      </c>
      <c r="D1249">
        <f t="shared" si="19"/>
        <v>0</v>
      </c>
      <c r="E1249" t="s">
        <v>19</v>
      </c>
      <c r="F1249" t="s">
        <v>2747</v>
      </c>
      <c r="G1249" t="s">
        <v>322</v>
      </c>
      <c r="N1249" s="107"/>
    </row>
    <row r="1250" spans="1:14" hidden="1" x14ac:dyDescent="0.3">
      <c r="A1250" t="s">
        <v>184</v>
      </c>
      <c r="B1250" t="s">
        <v>528</v>
      </c>
      <c r="C1250" t="s">
        <v>1502</v>
      </c>
      <c r="D1250">
        <f t="shared" si="19"/>
        <v>0</v>
      </c>
      <c r="E1250" t="s">
        <v>19</v>
      </c>
      <c r="F1250" t="s">
        <v>2748</v>
      </c>
      <c r="G1250" t="s">
        <v>322</v>
      </c>
      <c r="N1250" s="107"/>
    </row>
    <row r="1251" spans="1:14" hidden="1" x14ac:dyDescent="0.3">
      <c r="A1251" t="s">
        <v>184</v>
      </c>
      <c r="B1251" t="s">
        <v>923</v>
      </c>
      <c r="C1251" t="s">
        <v>1503</v>
      </c>
      <c r="D1251">
        <f t="shared" si="19"/>
        <v>0</v>
      </c>
      <c r="E1251" t="s">
        <v>19</v>
      </c>
      <c r="F1251" t="s">
        <v>1503</v>
      </c>
      <c r="G1251" t="s">
        <v>322</v>
      </c>
      <c r="N1251" s="107"/>
    </row>
    <row r="1252" spans="1:14" hidden="1" x14ac:dyDescent="0.3">
      <c r="A1252" t="s">
        <v>184</v>
      </c>
      <c r="B1252" t="s">
        <v>936</v>
      </c>
      <c r="C1252" t="s">
        <v>1507</v>
      </c>
      <c r="D1252">
        <f t="shared" si="19"/>
        <v>0</v>
      </c>
      <c r="E1252" t="s">
        <v>19</v>
      </c>
      <c r="F1252" t="s">
        <v>2753</v>
      </c>
      <c r="G1252" t="s">
        <v>322</v>
      </c>
      <c r="N1252" s="107"/>
    </row>
    <row r="1253" spans="1:14" hidden="1" x14ac:dyDescent="0.3">
      <c r="A1253" t="s">
        <v>184</v>
      </c>
      <c r="B1253" t="s">
        <v>936</v>
      </c>
      <c r="C1253" t="s">
        <v>1507</v>
      </c>
      <c r="D1253">
        <f t="shared" si="19"/>
        <v>0</v>
      </c>
      <c r="E1253" t="s">
        <v>19</v>
      </c>
      <c r="F1253" t="s">
        <v>2754</v>
      </c>
      <c r="G1253" t="s">
        <v>322</v>
      </c>
      <c r="N1253" s="107"/>
    </row>
    <row r="1254" spans="1:14" hidden="1" x14ac:dyDescent="0.3">
      <c r="A1254" t="s">
        <v>184</v>
      </c>
      <c r="B1254" t="s">
        <v>858</v>
      </c>
      <c r="C1254" t="s">
        <v>1508</v>
      </c>
      <c r="D1254">
        <f t="shared" si="19"/>
        <v>0</v>
      </c>
      <c r="E1254" t="s">
        <v>19</v>
      </c>
      <c r="F1254" t="s">
        <v>1508</v>
      </c>
      <c r="G1254" t="s">
        <v>322</v>
      </c>
      <c r="N1254" s="107"/>
    </row>
    <row r="1255" spans="1:14" hidden="1" x14ac:dyDescent="0.3">
      <c r="A1255" t="s">
        <v>184</v>
      </c>
      <c r="B1255" t="s">
        <v>542</v>
      </c>
      <c r="C1255" t="s">
        <v>1509</v>
      </c>
      <c r="D1255">
        <f t="shared" si="19"/>
        <v>0</v>
      </c>
      <c r="E1255" t="s">
        <v>19</v>
      </c>
      <c r="F1255" t="s">
        <v>2781</v>
      </c>
      <c r="G1255" t="s">
        <v>322</v>
      </c>
      <c r="N1255" s="107"/>
    </row>
    <row r="1256" spans="1:14" hidden="1" x14ac:dyDescent="0.3">
      <c r="A1256" t="s">
        <v>184</v>
      </c>
      <c r="B1256" t="s">
        <v>542</v>
      </c>
      <c r="C1256" t="s">
        <v>1509</v>
      </c>
      <c r="D1256">
        <f t="shared" si="19"/>
        <v>0</v>
      </c>
      <c r="E1256" t="s">
        <v>19</v>
      </c>
      <c r="F1256" t="s">
        <v>2782</v>
      </c>
      <c r="G1256" t="s">
        <v>322</v>
      </c>
      <c r="N1256" s="107"/>
    </row>
    <row r="1257" spans="1:14" hidden="1" x14ac:dyDescent="0.3">
      <c r="A1257" t="s">
        <v>184</v>
      </c>
      <c r="B1257" t="s">
        <v>542</v>
      </c>
      <c r="C1257" t="s">
        <v>1509</v>
      </c>
      <c r="D1257">
        <f t="shared" si="19"/>
        <v>0</v>
      </c>
      <c r="E1257" t="s">
        <v>19</v>
      </c>
      <c r="F1257" t="s">
        <v>2783</v>
      </c>
      <c r="G1257" t="s">
        <v>322</v>
      </c>
      <c r="N1257" s="107"/>
    </row>
    <row r="1258" spans="1:14" hidden="1" x14ac:dyDescent="0.3">
      <c r="A1258" t="s">
        <v>184</v>
      </c>
      <c r="B1258" t="s">
        <v>542</v>
      </c>
      <c r="C1258" t="s">
        <v>1509</v>
      </c>
      <c r="D1258">
        <f t="shared" si="19"/>
        <v>0</v>
      </c>
      <c r="E1258" t="s">
        <v>19</v>
      </c>
      <c r="F1258" t="s">
        <v>2784</v>
      </c>
      <c r="G1258" t="s">
        <v>322</v>
      </c>
      <c r="N1258" s="107"/>
    </row>
    <row r="1259" spans="1:14" hidden="1" x14ac:dyDescent="0.3">
      <c r="A1259" t="s">
        <v>184</v>
      </c>
      <c r="B1259" t="s">
        <v>542</v>
      </c>
      <c r="C1259" t="s">
        <v>1509</v>
      </c>
      <c r="D1259">
        <f t="shared" si="19"/>
        <v>0</v>
      </c>
      <c r="E1259" t="s">
        <v>19</v>
      </c>
      <c r="F1259" t="s">
        <v>2789</v>
      </c>
      <c r="G1259" t="s">
        <v>322</v>
      </c>
      <c r="N1259" s="107"/>
    </row>
    <row r="1260" spans="1:14" hidden="1" x14ac:dyDescent="0.3">
      <c r="A1260" t="s">
        <v>184</v>
      </c>
      <c r="B1260" t="s">
        <v>871</v>
      </c>
      <c r="C1260" t="s">
        <v>1513</v>
      </c>
      <c r="D1260">
        <f t="shared" si="19"/>
        <v>0</v>
      </c>
      <c r="E1260" t="s">
        <v>19</v>
      </c>
      <c r="F1260" t="s">
        <v>2806</v>
      </c>
      <c r="G1260" t="s">
        <v>322</v>
      </c>
      <c r="N1260" s="107"/>
    </row>
    <row r="1261" spans="1:14" hidden="1" x14ac:dyDescent="0.3">
      <c r="A1261" t="s">
        <v>184</v>
      </c>
      <c r="B1261" t="s">
        <v>923</v>
      </c>
      <c r="C1261" t="s">
        <v>1521</v>
      </c>
      <c r="D1261">
        <f t="shared" si="19"/>
        <v>0</v>
      </c>
      <c r="E1261" t="s">
        <v>19</v>
      </c>
      <c r="F1261" t="s">
        <v>2820</v>
      </c>
      <c r="G1261" t="s">
        <v>322</v>
      </c>
      <c r="N1261" s="107"/>
    </row>
    <row r="1262" spans="1:14" hidden="1" x14ac:dyDescent="0.3">
      <c r="A1262" t="s">
        <v>184</v>
      </c>
      <c r="B1262" t="s">
        <v>528</v>
      </c>
      <c r="C1262" t="s">
        <v>1532</v>
      </c>
      <c r="D1262">
        <f t="shared" si="19"/>
        <v>0</v>
      </c>
      <c r="E1262" t="s">
        <v>19</v>
      </c>
      <c r="F1262" t="s">
        <v>2823</v>
      </c>
      <c r="G1262" t="s">
        <v>322</v>
      </c>
      <c r="N1262" s="107"/>
    </row>
    <row r="1263" spans="1:14" hidden="1" x14ac:dyDescent="0.3">
      <c r="A1263" t="s">
        <v>184</v>
      </c>
      <c r="B1263" t="s">
        <v>528</v>
      </c>
      <c r="C1263" t="s">
        <v>1532</v>
      </c>
      <c r="D1263">
        <f t="shared" si="19"/>
        <v>0</v>
      </c>
      <c r="E1263" t="s">
        <v>19</v>
      </c>
      <c r="F1263" t="s">
        <v>2824</v>
      </c>
      <c r="G1263" t="s">
        <v>322</v>
      </c>
      <c r="N1263" s="107"/>
    </row>
    <row r="1264" spans="1:14" hidden="1" x14ac:dyDescent="0.3">
      <c r="A1264" t="s">
        <v>184</v>
      </c>
      <c r="B1264" t="s">
        <v>856</v>
      </c>
      <c r="C1264" t="s">
        <v>1533</v>
      </c>
      <c r="D1264">
        <f t="shared" si="19"/>
        <v>0</v>
      </c>
      <c r="E1264" t="s">
        <v>19</v>
      </c>
      <c r="F1264" t="s">
        <v>1533</v>
      </c>
      <c r="G1264" t="s">
        <v>322</v>
      </c>
      <c r="N1264" s="107"/>
    </row>
    <row r="1265" spans="1:14" hidden="1" x14ac:dyDescent="0.3">
      <c r="A1265" t="s">
        <v>185</v>
      </c>
      <c r="B1265" t="s">
        <v>768</v>
      </c>
      <c r="C1265" t="s">
        <v>1254</v>
      </c>
      <c r="D1265">
        <f t="shared" si="19"/>
        <v>0</v>
      </c>
      <c r="E1265" t="s">
        <v>19</v>
      </c>
      <c r="F1265" t="s">
        <v>2063</v>
      </c>
      <c r="G1265" t="s">
        <v>322</v>
      </c>
      <c r="N1265" s="107"/>
    </row>
    <row r="1266" spans="1:14" hidden="1" x14ac:dyDescent="0.3">
      <c r="A1266" t="s">
        <v>185</v>
      </c>
      <c r="B1266" t="s">
        <v>777</v>
      </c>
      <c r="C1266" t="s">
        <v>1261</v>
      </c>
      <c r="D1266">
        <f t="shared" si="19"/>
        <v>0</v>
      </c>
      <c r="E1266" t="s">
        <v>19</v>
      </c>
      <c r="F1266" t="s">
        <v>1261</v>
      </c>
      <c r="G1266" t="s">
        <v>322</v>
      </c>
      <c r="N1266" s="107"/>
    </row>
    <row r="1267" spans="1:14" hidden="1" x14ac:dyDescent="0.3">
      <c r="A1267" t="s">
        <v>185</v>
      </c>
      <c r="B1267" t="s">
        <v>901</v>
      </c>
      <c r="C1267" t="s">
        <v>1336</v>
      </c>
      <c r="D1267">
        <f t="shared" si="19"/>
        <v>0</v>
      </c>
      <c r="E1267" t="s">
        <v>19</v>
      </c>
      <c r="F1267" t="s">
        <v>2265</v>
      </c>
      <c r="G1267" t="s">
        <v>322</v>
      </c>
      <c r="N1267" s="107"/>
    </row>
    <row r="1268" spans="1:14" hidden="1" x14ac:dyDescent="0.3">
      <c r="A1268" t="s">
        <v>185</v>
      </c>
      <c r="B1268" t="s">
        <v>768</v>
      </c>
      <c r="C1268" t="s">
        <v>1359</v>
      </c>
      <c r="D1268">
        <f t="shared" si="19"/>
        <v>0</v>
      </c>
      <c r="E1268" t="s">
        <v>19</v>
      </c>
      <c r="F1268" t="s">
        <v>2303</v>
      </c>
      <c r="G1268" t="s">
        <v>322</v>
      </c>
      <c r="N1268" s="107"/>
    </row>
    <row r="1269" spans="1:14" hidden="1" x14ac:dyDescent="0.3">
      <c r="A1269" t="s">
        <v>185</v>
      </c>
      <c r="B1269" t="s">
        <v>922</v>
      </c>
      <c r="C1269" t="s">
        <v>1359</v>
      </c>
      <c r="D1269">
        <f t="shared" si="19"/>
        <v>0</v>
      </c>
      <c r="E1269" t="s">
        <v>19</v>
      </c>
      <c r="F1269" t="s">
        <v>2304</v>
      </c>
      <c r="G1269" t="s">
        <v>322</v>
      </c>
      <c r="N1269" s="107"/>
    </row>
    <row r="1270" spans="1:14" hidden="1" x14ac:dyDescent="0.3">
      <c r="A1270" t="s">
        <v>185</v>
      </c>
      <c r="B1270" t="s">
        <v>1027</v>
      </c>
      <c r="C1270" t="s">
        <v>1432</v>
      </c>
      <c r="D1270">
        <f t="shared" si="19"/>
        <v>0</v>
      </c>
      <c r="E1270" t="s">
        <v>19</v>
      </c>
      <c r="F1270" t="s">
        <v>1432</v>
      </c>
      <c r="G1270" t="s">
        <v>322</v>
      </c>
      <c r="N1270" s="107"/>
    </row>
    <row r="1271" spans="1:14" hidden="1" x14ac:dyDescent="0.3">
      <c r="A1271" t="s">
        <v>185</v>
      </c>
      <c r="B1271" t="s">
        <v>1031</v>
      </c>
      <c r="C1271" t="s">
        <v>1440</v>
      </c>
      <c r="D1271">
        <f t="shared" si="19"/>
        <v>0</v>
      </c>
      <c r="E1271" t="s">
        <v>19</v>
      </c>
      <c r="F1271" t="s">
        <v>1440</v>
      </c>
      <c r="G1271" t="s">
        <v>322</v>
      </c>
      <c r="N1271" s="107"/>
    </row>
    <row r="1272" spans="1:14" hidden="1" x14ac:dyDescent="0.3">
      <c r="A1272" t="s">
        <v>186</v>
      </c>
      <c r="B1272" t="s">
        <v>888</v>
      </c>
      <c r="C1272" t="s">
        <v>1329</v>
      </c>
      <c r="D1272">
        <f t="shared" si="19"/>
        <v>0</v>
      </c>
      <c r="E1272" t="s">
        <v>19</v>
      </c>
      <c r="F1272" t="s">
        <v>2240</v>
      </c>
      <c r="G1272" t="s">
        <v>322</v>
      </c>
      <c r="N1272" s="107"/>
    </row>
    <row r="1273" spans="1:14" hidden="1" x14ac:dyDescent="0.3">
      <c r="A1273" t="s">
        <v>187</v>
      </c>
      <c r="B1273" t="s">
        <v>561</v>
      </c>
      <c r="C1273" t="s">
        <v>1164</v>
      </c>
      <c r="D1273">
        <f t="shared" si="19"/>
        <v>0</v>
      </c>
      <c r="E1273" t="s">
        <v>19</v>
      </c>
      <c r="F1273" t="s">
        <v>1738</v>
      </c>
      <c r="G1273" t="s">
        <v>322</v>
      </c>
      <c r="N1273" s="107"/>
    </row>
    <row r="1274" spans="1:14" hidden="1" x14ac:dyDescent="0.3">
      <c r="A1274" t="s">
        <v>187</v>
      </c>
      <c r="B1274" t="s">
        <v>595</v>
      </c>
      <c r="C1274" t="s">
        <v>1175</v>
      </c>
      <c r="D1274">
        <f t="shared" si="19"/>
        <v>0</v>
      </c>
      <c r="E1274" t="s">
        <v>19</v>
      </c>
      <c r="F1274" t="s">
        <v>1785</v>
      </c>
      <c r="G1274" t="s">
        <v>322</v>
      </c>
      <c r="N1274" s="107"/>
    </row>
    <row r="1275" spans="1:14" hidden="1" x14ac:dyDescent="0.3">
      <c r="A1275" t="s">
        <v>187</v>
      </c>
      <c r="B1275" t="s">
        <v>597</v>
      </c>
      <c r="C1275" t="s">
        <v>1175</v>
      </c>
      <c r="D1275">
        <f t="shared" si="19"/>
        <v>0</v>
      </c>
      <c r="E1275" t="s">
        <v>19</v>
      </c>
      <c r="F1275" t="s">
        <v>1787</v>
      </c>
      <c r="G1275" t="s">
        <v>322</v>
      </c>
      <c r="N1275" s="107"/>
    </row>
    <row r="1276" spans="1:14" hidden="1" x14ac:dyDescent="0.3">
      <c r="A1276" t="s">
        <v>187</v>
      </c>
      <c r="B1276" t="s">
        <v>646</v>
      </c>
      <c r="C1276" t="s">
        <v>1196</v>
      </c>
      <c r="D1276">
        <f t="shared" si="19"/>
        <v>0</v>
      </c>
      <c r="E1276" t="s">
        <v>19</v>
      </c>
      <c r="F1276" t="s">
        <v>1196</v>
      </c>
      <c r="G1276" t="s">
        <v>322</v>
      </c>
      <c r="N1276" s="107"/>
    </row>
    <row r="1277" spans="1:14" hidden="1" x14ac:dyDescent="0.3">
      <c r="A1277" t="s">
        <v>187</v>
      </c>
      <c r="B1277" t="s">
        <v>648</v>
      </c>
      <c r="C1277" t="s">
        <v>1201</v>
      </c>
      <c r="D1277">
        <f t="shared" si="19"/>
        <v>0</v>
      </c>
      <c r="E1277" t="s">
        <v>19</v>
      </c>
      <c r="F1277" t="s">
        <v>1201</v>
      </c>
      <c r="G1277" t="s">
        <v>322</v>
      </c>
      <c r="N1277" s="107"/>
    </row>
    <row r="1278" spans="1:14" hidden="1" x14ac:dyDescent="0.3">
      <c r="A1278" t="s">
        <v>187</v>
      </c>
      <c r="B1278" t="s">
        <v>650</v>
      </c>
      <c r="C1278" t="s">
        <v>1203</v>
      </c>
      <c r="D1278">
        <f t="shared" si="19"/>
        <v>0</v>
      </c>
      <c r="E1278" t="s">
        <v>19</v>
      </c>
      <c r="F1278" t="s">
        <v>1203</v>
      </c>
      <c r="G1278" t="s">
        <v>322</v>
      </c>
      <c r="N1278" s="107"/>
    </row>
    <row r="1279" spans="1:14" hidden="1" x14ac:dyDescent="0.3">
      <c r="A1279" t="s">
        <v>187</v>
      </c>
      <c r="B1279" t="s">
        <v>708</v>
      </c>
      <c r="C1279" t="s">
        <v>1227</v>
      </c>
      <c r="D1279">
        <f t="shared" si="19"/>
        <v>0</v>
      </c>
      <c r="E1279" t="s">
        <v>19</v>
      </c>
      <c r="F1279" t="s">
        <v>1947</v>
      </c>
      <c r="G1279" t="s">
        <v>322</v>
      </c>
      <c r="N1279" s="107"/>
    </row>
    <row r="1280" spans="1:14" hidden="1" x14ac:dyDescent="0.3">
      <c r="A1280" t="s">
        <v>187</v>
      </c>
      <c r="B1280" t="s">
        <v>554</v>
      </c>
      <c r="C1280" t="s">
        <v>1227</v>
      </c>
      <c r="D1280">
        <f t="shared" si="19"/>
        <v>0</v>
      </c>
      <c r="E1280" t="s">
        <v>19</v>
      </c>
      <c r="F1280" t="s">
        <v>1949</v>
      </c>
      <c r="G1280" t="s">
        <v>322</v>
      </c>
      <c r="N1280" s="107"/>
    </row>
    <row r="1281" spans="1:14" hidden="1" x14ac:dyDescent="0.3">
      <c r="A1281" t="s">
        <v>187</v>
      </c>
      <c r="B1281" t="s">
        <v>561</v>
      </c>
      <c r="C1281" t="s">
        <v>1227</v>
      </c>
      <c r="D1281">
        <f t="shared" ref="D1281:D1344" si="20">SIGN(SUBTOTAL(3,E1281))</f>
        <v>0</v>
      </c>
      <c r="E1281" t="s">
        <v>19</v>
      </c>
      <c r="F1281" t="s">
        <v>1966</v>
      </c>
      <c r="G1281" t="s">
        <v>322</v>
      </c>
      <c r="N1281" s="107"/>
    </row>
    <row r="1282" spans="1:14" hidden="1" x14ac:dyDescent="0.3">
      <c r="A1282" t="s">
        <v>187</v>
      </c>
      <c r="B1282" t="s">
        <v>554</v>
      </c>
      <c r="C1282" t="s">
        <v>1233</v>
      </c>
      <c r="D1282">
        <f t="shared" si="20"/>
        <v>0</v>
      </c>
      <c r="E1282" t="s">
        <v>19</v>
      </c>
      <c r="F1282" t="s">
        <v>1992</v>
      </c>
      <c r="G1282" t="s">
        <v>322</v>
      </c>
      <c r="N1282" s="107"/>
    </row>
    <row r="1283" spans="1:14" hidden="1" x14ac:dyDescent="0.3">
      <c r="A1283" t="s">
        <v>187</v>
      </c>
      <c r="B1283" t="s">
        <v>648</v>
      </c>
      <c r="C1283" t="s">
        <v>1233</v>
      </c>
      <c r="D1283">
        <f t="shared" si="20"/>
        <v>0</v>
      </c>
      <c r="E1283" t="s">
        <v>19</v>
      </c>
      <c r="F1283" t="s">
        <v>2006</v>
      </c>
      <c r="G1283" t="s">
        <v>322</v>
      </c>
      <c r="N1283" s="107"/>
    </row>
    <row r="1284" spans="1:14" hidden="1" x14ac:dyDescent="0.3">
      <c r="A1284" t="s">
        <v>187</v>
      </c>
      <c r="B1284" t="s">
        <v>749</v>
      </c>
      <c r="C1284" t="s">
        <v>1245</v>
      </c>
      <c r="D1284">
        <f t="shared" si="20"/>
        <v>0</v>
      </c>
      <c r="E1284" t="s">
        <v>19</v>
      </c>
      <c r="F1284" t="s">
        <v>2027</v>
      </c>
      <c r="G1284" t="s">
        <v>322</v>
      </c>
      <c r="N1284" s="107"/>
    </row>
    <row r="1285" spans="1:14" hidden="1" x14ac:dyDescent="0.3">
      <c r="A1285" t="s">
        <v>187</v>
      </c>
      <c r="B1285" t="s">
        <v>807</v>
      </c>
      <c r="C1285" t="s">
        <v>1285</v>
      </c>
      <c r="D1285">
        <f t="shared" si="20"/>
        <v>0</v>
      </c>
      <c r="E1285" t="s">
        <v>19</v>
      </c>
      <c r="F1285" t="s">
        <v>2127</v>
      </c>
      <c r="G1285" t="s">
        <v>322</v>
      </c>
      <c r="N1285" s="107"/>
    </row>
    <row r="1286" spans="1:14" hidden="1" x14ac:dyDescent="0.3">
      <c r="A1286" t="s">
        <v>187</v>
      </c>
      <c r="B1286" t="s">
        <v>813</v>
      </c>
      <c r="C1286" t="s">
        <v>1287</v>
      </c>
      <c r="D1286">
        <f t="shared" si="20"/>
        <v>0</v>
      </c>
      <c r="E1286" t="s">
        <v>19</v>
      </c>
      <c r="F1286" t="s">
        <v>2146</v>
      </c>
      <c r="G1286" t="s">
        <v>322</v>
      </c>
      <c r="N1286" s="107"/>
    </row>
    <row r="1287" spans="1:14" hidden="1" x14ac:dyDescent="0.3">
      <c r="A1287" t="s">
        <v>187</v>
      </c>
      <c r="B1287" t="s">
        <v>531</v>
      </c>
      <c r="C1287" t="s">
        <v>1293</v>
      </c>
      <c r="D1287">
        <f t="shared" si="20"/>
        <v>0</v>
      </c>
      <c r="E1287" t="s">
        <v>19</v>
      </c>
      <c r="F1287" t="s">
        <v>2151</v>
      </c>
      <c r="G1287" t="s">
        <v>322</v>
      </c>
      <c r="N1287" s="107"/>
    </row>
    <row r="1288" spans="1:14" hidden="1" x14ac:dyDescent="0.3">
      <c r="A1288" t="s">
        <v>187</v>
      </c>
      <c r="B1288" t="s">
        <v>561</v>
      </c>
      <c r="C1288" t="s">
        <v>1366</v>
      </c>
      <c r="D1288">
        <f t="shared" si="20"/>
        <v>0</v>
      </c>
      <c r="E1288" t="s">
        <v>19</v>
      </c>
      <c r="F1288" t="s">
        <v>2306</v>
      </c>
      <c r="G1288" t="s">
        <v>322</v>
      </c>
      <c r="N1288" s="107"/>
    </row>
    <row r="1289" spans="1:14" hidden="1" x14ac:dyDescent="0.3">
      <c r="A1289" t="s">
        <v>187</v>
      </c>
      <c r="B1289" t="s">
        <v>554</v>
      </c>
      <c r="C1289" t="s">
        <v>1366</v>
      </c>
      <c r="D1289">
        <f t="shared" si="20"/>
        <v>0</v>
      </c>
      <c r="E1289" t="s">
        <v>19</v>
      </c>
      <c r="F1289" t="s">
        <v>2307</v>
      </c>
      <c r="G1289" t="s">
        <v>322</v>
      </c>
      <c r="N1289" s="107"/>
    </row>
    <row r="1290" spans="1:14" hidden="1" x14ac:dyDescent="0.3">
      <c r="A1290" t="s">
        <v>187</v>
      </c>
      <c r="B1290" t="s">
        <v>554</v>
      </c>
      <c r="C1290" t="s">
        <v>1379</v>
      </c>
      <c r="D1290">
        <f t="shared" si="20"/>
        <v>0</v>
      </c>
      <c r="E1290" t="s">
        <v>19</v>
      </c>
      <c r="F1290" t="s">
        <v>2332</v>
      </c>
      <c r="G1290" t="s">
        <v>322</v>
      </c>
      <c r="N1290" s="107"/>
    </row>
    <row r="1291" spans="1:14" hidden="1" x14ac:dyDescent="0.3">
      <c r="A1291" t="s">
        <v>187</v>
      </c>
      <c r="B1291" t="s">
        <v>561</v>
      </c>
      <c r="C1291" t="s">
        <v>1391</v>
      </c>
      <c r="D1291">
        <f t="shared" si="20"/>
        <v>0</v>
      </c>
      <c r="E1291" t="s">
        <v>19</v>
      </c>
      <c r="F1291" t="s">
        <v>2355</v>
      </c>
      <c r="G1291" t="s">
        <v>322</v>
      </c>
      <c r="N1291" s="107"/>
    </row>
    <row r="1292" spans="1:14" hidden="1" x14ac:dyDescent="0.3">
      <c r="A1292" t="s">
        <v>187</v>
      </c>
      <c r="B1292" t="s">
        <v>672</v>
      </c>
      <c r="C1292" t="s">
        <v>1392</v>
      </c>
      <c r="D1292">
        <f t="shared" si="20"/>
        <v>0</v>
      </c>
      <c r="E1292" t="s">
        <v>19</v>
      </c>
      <c r="F1292" t="s">
        <v>2356</v>
      </c>
      <c r="G1292" t="s">
        <v>322</v>
      </c>
      <c r="N1292" s="107"/>
    </row>
    <row r="1293" spans="1:14" hidden="1" x14ac:dyDescent="0.3">
      <c r="A1293" t="s">
        <v>187</v>
      </c>
      <c r="B1293" t="s">
        <v>554</v>
      </c>
      <c r="C1293" t="s">
        <v>1392</v>
      </c>
      <c r="D1293">
        <f t="shared" si="20"/>
        <v>0</v>
      </c>
      <c r="E1293" t="s">
        <v>19</v>
      </c>
      <c r="F1293" t="s">
        <v>2358</v>
      </c>
      <c r="G1293" t="s">
        <v>322</v>
      </c>
      <c r="N1293" s="107"/>
    </row>
    <row r="1294" spans="1:14" hidden="1" x14ac:dyDescent="0.3">
      <c r="A1294" t="s">
        <v>187</v>
      </c>
      <c r="B1294" t="s">
        <v>554</v>
      </c>
      <c r="C1294" t="s">
        <v>1392</v>
      </c>
      <c r="D1294">
        <f t="shared" si="20"/>
        <v>0</v>
      </c>
      <c r="E1294" t="s">
        <v>19</v>
      </c>
      <c r="F1294" t="s">
        <v>2359</v>
      </c>
      <c r="G1294" t="s">
        <v>322</v>
      </c>
      <c r="N1294" s="107"/>
    </row>
    <row r="1295" spans="1:14" hidden="1" x14ac:dyDescent="0.3">
      <c r="A1295" t="s">
        <v>187</v>
      </c>
      <c r="B1295" t="s">
        <v>648</v>
      </c>
      <c r="C1295" t="s">
        <v>1392</v>
      </c>
      <c r="D1295">
        <f t="shared" si="20"/>
        <v>0</v>
      </c>
      <c r="E1295" t="s">
        <v>19</v>
      </c>
      <c r="F1295" t="s">
        <v>2365</v>
      </c>
      <c r="G1295" t="s">
        <v>322</v>
      </c>
      <c r="N1295" s="107"/>
    </row>
    <row r="1296" spans="1:14" hidden="1" x14ac:dyDescent="0.3">
      <c r="A1296" t="s">
        <v>187</v>
      </c>
      <c r="B1296" t="s">
        <v>648</v>
      </c>
      <c r="C1296" t="s">
        <v>1392</v>
      </c>
      <c r="D1296">
        <f t="shared" si="20"/>
        <v>0</v>
      </c>
      <c r="E1296" t="s">
        <v>19</v>
      </c>
      <c r="F1296" t="s">
        <v>2366</v>
      </c>
      <c r="G1296" t="s">
        <v>322</v>
      </c>
      <c r="N1296" s="107"/>
    </row>
    <row r="1297" spans="1:14" hidden="1" x14ac:dyDescent="0.3">
      <c r="A1297" t="s">
        <v>187</v>
      </c>
      <c r="B1297" t="s">
        <v>952</v>
      </c>
      <c r="C1297" t="s">
        <v>1392</v>
      </c>
      <c r="D1297">
        <f t="shared" si="20"/>
        <v>0</v>
      </c>
      <c r="E1297" t="s">
        <v>19</v>
      </c>
      <c r="F1297" t="s">
        <v>2380</v>
      </c>
      <c r="G1297" t="s">
        <v>322</v>
      </c>
      <c r="N1297" s="107"/>
    </row>
    <row r="1298" spans="1:14" hidden="1" x14ac:dyDescent="0.3">
      <c r="A1298" t="s">
        <v>187</v>
      </c>
      <c r="B1298" t="s">
        <v>561</v>
      </c>
      <c r="C1298" t="s">
        <v>1395</v>
      </c>
      <c r="D1298">
        <f t="shared" si="20"/>
        <v>0</v>
      </c>
      <c r="E1298" t="s">
        <v>19</v>
      </c>
      <c r="F1298" t="s">
        <v>1395</v>
      </c>
      <c r="G1298" t="s">
        <v>322</v>
      </c>
      <c r="N1298" s="107"/>
    </row>
    <row r="1299" spans="1:14" hidden="1" x14ac:dyDescent="0.3">
      <c r="A1299" t="s">
        <v>187</v>
      </c>
      <c r="B1299" t="s">
        <v>561</v>
      </c>
      <c r="C1299" t="s">
        <v>1438</v>
      </c>
      <c r="D1299">
        <f t="shared" si="20"/>
        <v>0</v>
      </c>
      <c r="E1299" t="s">
        <v>19</v>
      </c>
      <c r="F1299" t="s">
        <v>1438</v>
      </c>
      <c r="G1299" t="s">
        <v>322</v>
      </c>
      <c r="N1299" s="107"/>
    </row>
    <row r="1300" spans="1:14" hidden="1" x14ac:dyDescent="0.3">
      <c r="A1300" t="s">
        <v>187</v>
      </c>
      <c r="B1300" t="s">
        <v>554</v>
      </c>
      <c r="C1300" t="s">
        <v>1452</v>
      </c>
      <c r="D1300">
        <f t="shared" si="20"/>
        <v>0</v>
      </c>
      <c r="E1300" t="s">
        <v>19</v>
      </c>
      <c r="F1300" t="s">
        <v>1452</v>
      </c>
      <c r="G1300" t="s">
        <v>322</v>
      </c>
      <c r="N1300" s="107"/>
    </row>
    <row r="1301" spans="1:14" hidden="1" x14ac:dyDescent="0.3">
      <c r="A1301" t="s">
        <v>187</v>
      </c>
      <c r="B1301" t="s">
        <v>561</v>
      </c>
      <c r="C1301" t="s">
        <v>1461</v>
      </c>
      <c r="D1301">
        <f t="shared" si="20"/>
        <v>0</v>
      </c>
      <c r="E1301" t="s">
        <v>19</v>
      </c>
      <c r="F1301" t="s">
        <v>2645</v>
      </c>
      <c r="G1301" t="s">
        <v>322</v>
      </c>
      <c r="N1301" s="107"/>
    </row>
    <row r="1302" spans="1:14" hidden="1" x14ac:dyDescent="0.3">
      <c r="A1302" t="s">
        <v>187</v>
      </c>
      <c r="B1302" t="s">
        <v>708</v>
      </c>
      <c r="C1302" t="s">
        <v>1461</v>
      </c>
      <c r="D1302">
        <f t="shared" si="20"/>
        <v>0</v>
      </c>
      <c r="E1302" t="s">
        <v>19</v>
      </c>
      <c r="F1302" t="s">
        <v>2646</v>
      </c>
      <c r="G1302" t="s">
        <v>322</v>
      </c>
      <c r="N1302" s="107"/>
    </row>
    <row r="1303" spans="1:14" hidden="1" x14ac:dyDescent="0.3">
      <c r="A1303" t="s">
        <v>187</v>
      </c>
      <c r="B1303" t="s">
        <v>554</v>
      </c>
      <c r="C1303" t="s">
        <v>1461</v>
      </c>
      <c r="D1303">
        <f t="shared" si="20"/>
        <v>0</v>
      </c>
      <c r="E1303" t="s">
        <v>19</v>
      </c>
      <c r="F1303" t="s">
        <v>2647</v>
      </c>
      <c r="G1303" t="s">
        <v>322</v>
      </c>
      <c r="N1303" s="107"/>
    </row>
    <row r="1304" spans="1:14" hidden="1" x14ac:dyDescent="0.3">
      <c r="A1304" t="s">
        <v>187</v>
      </c>
      <c r="B1304" t="s">
        <v>1076</v>
      </c>
      <c r="C1304" t="s">
        <v>1469</v>
      </c>
      <c r="D1304">
        <f t="shared" si="20"/>
        <v>0</v>
      </c>
      <c r="E1304" t="s">
        <v>19</v>
      </c>
      <c r="F1304" t="s">
        <v>1469</v>
      </c>
      <c r="G1304" t="s">
        <v>322</v>
      </c>
      <c r="N1304" s="107"/>
    </row>
    <row r="1305" spans="1:14" hidden="1" x14ac:dyDescent="0.3">
      <c r="A1305" t="s">
        <v>187</v>
      </c>
      <c r="B1305" t="s">
        <v>708</v>
      </c>
      <c r="C1305" t="s">
        <v>1483</v>
      </c>
      <c r="D1305">
        <f t="shared" si="20"/>
        <v>0</v>
      </c>
      <c r="E1305" t="s">
        <v>19</v>
      </c>
      <c r="F1305" t="s">
        <v>2713</v>
      </c>
      <c r="G1305" t="s">
        <v>322</v>
      </c>
      <c r="N1305" s="107"/>
    </row>
    <row r="1306" spans="1:14" hidden="1" x14ac:dyDescent="0.3">
      <c r="A1306" t="s">
        <v>187</v>
      </c>
      <c r="B1306" t="s">
        <v>554</v>
      </c>
      <c r="C1306" t="s">
        <v>1483</v>
      </c>
      <c r="D1306">
        <f t="shared" si="20"/>
        <v>0</v>
      </c>
      <c r="E1306" t="s">
        <v>19</v>
      </c>
      <c r="F1306" t="s">
        <v>2720</v>
      </c>
      <c r="G1306" t="s">
        <v>322</v>
      </c>
      <c r="N1306" s="107"/>
    </row>
    <row r="1307" spans="1:14" hidden="1" x14ac:dyDescent="0.3">
      <c r="A1307" t="s">
        <v>187</v>
      </c>
      <c r="B1307" t="s">
        <v>531</v>
      </c>
      <c r="C1307" t="s">
        <v>1509</v>
      </c>
      <c r="D1307">
        <f t="shared" si="20"/>
        <v>0</v>
      </c>
      <c r="E1307" t="s">
        <v>19</v>
      </c>
      <c r="F1307" t="s">
        <v>2785</v>
      </c>
      <c r="G1307" t="s">
        <v>322</v>
      </c>
      <c r="N1307" s="107"/>
    </row>
    <row r="1308" spans="1:14" hidden="1" x14ac:dyDescent="0.3">
      <c r="A1308" t="s">
        <v>187</v>
      </c>
      <c r="B1308" t="s">
        <v>1113</v>
      </c>
      <c r="C1308" t="s">
        <v>1509</v>
      </c>
      <c r="D1308">
        <f t="shared" si="20"/>
        <v>0</v>
      </c>
      <c r="E1308" t="s">
        <v>19</v>
      </c>
      <c r="F1308" t="s">
        <v>2786</v>
      </c>
      <c r="G1308" t="s">
        <v>322</v>
      </c>
      <c r="N1308" s="107"/>
    </row>
    <row r="1309" spans="1:14" hidden="1" x14ac:dyDescent="0.3">
      <c r="A1309" t="s">
        <v>187</v>
      </c>
      <c r="B1309" t="s">
        <v>1113</v>
      </c>
      <c r="C1309" t="s">
        <v>1509</v>
      </c>
      <c r="D1309">
        <f t="shared" si="20"/>
        <v>0</v>
      </c>
      <c r="E1309" t="s">
        <v>19</v>
      </c>
      <c r="F1309" t="s">
        <v>2787</v>
      </c>
      <c r="G1309" t="s">
        <v>322</v>
      </c>
      <c r="N1309" s="107"/>
    </row>
    <row r="1310" spans="1:14" hidden="1" x14ac:dyDescent="0.3">
      <c r="A1310" t="s">
        <v>187</v>
      </c>
      <c r="B1310" t="s">
        <v>554</v>
      </c>
      <c r="C1310" t="s">
        <v>1509</v>
      </c>
      <c r="D1310">
        <f t="shared" si="20"/>
        <v>0</v>
      </c>
      <c r="E1310" t="s">
        <v>19</v>
      </c>
      <c r="F1310" t="s">
        <v>2788</v>
      </c>
      <c r="G1310" t="s">
        <v>322</v>
      </c>
      <c r="N1310" s="107"/>
    </row>
    <row r="1311" spans="1:14" hidden="1" x14ac:dyDescent="0.3">
      <c r="A1311" t="s">
        <v>187</v>
      </c>
      <c r="B1311" t="s">
        <v>708</v>
      </c>
      <c r="C1311" t="s">
        <v>1509</v>
      </c>
      <c r="D1311">
        <f t="shared" si="20"/>
        <v>0</v>
      </c>
      <c r="E1311" t="s">
        <v>19</v>
      </c>
      <c r="F1311" t="s">
        <v>2792</v>
      </c>
      <c r="G1311" t="s">
        <v>322</v>
      </c>
      <c r="N1311" s="107"/>
    </row>
    <row r="1312" spans="1:14" hidden="1" x14ac:dyDescent="0.3">
      <c r="A1312" t="s">
        <v>187</v>
      </c>
      <c r="B1312" t="s">
        <v>554</v>
      </c>
      <c r="C1312" t="s">
        <v>1509</v>
      </c>
      <c r="D1312">
        <f t="shared" si="20"/>
        <v>0</v>
      </c>
      <c r="E1312" t="s">
        <v>19</v>
      </c>
      <c r="F1312" t="s">
        <v>2793</v>
      </c>
      <c r="G1312" t="s">
        <v>322</v>
      </c>
      <c r="N1312" s="107"/>
    </row>
    <row r="1313" spans="1:14" hidden="1" x14ac:dyDescent="0.3">
      <c r="A1313" t="s">
        <v>187</v>
      </c>
      <c r="B1313" t="s">
        <v>595</v>
      </c>
      <c r="C1313" t="s">
        <v>1538</v>
      </c>
      <c r="D1313">
        <f t="shared" si="20"/>
        <v>0</v>
      </c>
      <c r="E1313" t="s">
        <v>19</v>
      </c>
      <c r="F1313" t="s">
        <v>1538</v>
      </c>
      <c r="G1313" t="s">
        <v>322</v>
      </c>
      <c r="N1313" s="107"/>
    </row>
    <row r="1314" spans="1:14" x14ac:dyDescent="0.3">
      <c r="A1314" t="s">
        <v>188</v>
      </c>
      <c r="B1314" t="s">
        <v>556</v>
      </c>
      <c r="C1314" t="s">
        <v>1161</v>
      </c>
      <c r="D1314">
        <f t="shared" si="20"/>
        <v>1</v>
      </c>
      <c r="E1314" t="s">
        <v>19</v>
      </c>
      <c r="F1314" t="s">
        <v>1161</v>
      </c>
      <c r="G1314" t="s">
        <v>322</v>
      </c>
      <c r="N1314" s="107"/>
    </row>
    <row r="1315" spans="1:14" x14ac:dyDescent="0.3">
      <c r="A1315" t="s">
        <v>188</v>
      </c>
      <c r="B1315" t="s">
        <v>591</v>
      </c>
      <c r="C1315" t="s">
        <v>1171</v>
      </c>
      <c r="D1315">
        <f t="shared" si="20"/>
        <v>1</v>
      </c>
      <c r="E1315" t="s">
        <v>19</v>
      </c>
      <c r="F1315" t="s">
        <v>1778</v>
      </c>
      <c r="G1315" t="s">
        <v>322</v>
      </c>
      <c r="N1315" s="107"/>
    </row>
    <row r="1316" spans="1:14" x14ac:dyDescent="0.3">
      <c r="A1316" t="s">
        <v>188</v>
      </c>
      <c r="B1316" t="s">
        <v>532</v>
      </c>
      <c r="C1316" t="s">
        <v>1174</v>
      </c>
      <c r="D1316">
        <f t="shared" si="20"/>
        <v>1</v>
      </c>
      <c r="E1316" t="s">
        <v>19</v>
      </c>
      <c r="F1316" t="s">
        <v>1174</v>
      </c>
      <c r="G1316" t="s">
        <v>322</v>
      </c>
      <c r="N1316" s="107"/>
    </row>
    <row r="1317" spans="1:14" x14ac:dyDescent="0.3">
      <c r="A1317" t="s">
        <v>188</v>
      </c>
      <c r="B1317" t="s">
        <v>532</v>
      </c>
      <c r="C1317" t="s">
        <v>1171</v>
      </c>
      <c r="D1317">
        <f t="shared" si="20"/>
        <v>1</v>
      </c>
      <c r="E1317" t="s">
        <v>19</v>
      </c>
      <c r="F1317" t="s">
        <v>1779</v>
      </c>
      <c r="G1317" t="s">
        <v>322</v>
      </c>
      <c r="N1317" s="107"/>
    </row>
    <row r="1318" spans="1:14" x14ac:dyDescent="0.3">
      <c r="A1318" t="s">
        <v>188</v>
      </c>
      <c r="B1318" t="s">
        <v>534</v>
      </c>
      <c r="C1318" t="s">
        <v>1185</v>
      </c>
      <c r="D1318">
        <f t="shared" si="20"/>
        <v>1</v>
      </c>
      <c r="E1318" t="s">
        <v>19</v>
      </c>
      <c r="F1318" t="s">
        <v>1843</v>
      </c>
      <c r="G1318" t="s">
        <v>322</v>
      </c>
      <c r="N1318" s="107"/>
    </row>
    <row r="1319" spans="1:14" x14ac:dyDescent="0.3">
      <c r="A1319" t="s">
        <v>188</v>
      </c>
      <c r="B1319" t="s">
        <v>639</v>
      </c>
      <c r="C1319" t="s">
        <v>1186</v>
      </c>
      <c r="D1319">
        <f t="shared" si="20"/>
        <v>1</v>
      </c>
      <c r="E1319" t="s">
        <v>19</v>
      </c>
      <c r="F1319" t="s">
        <v>1186</v>
      </c>
      <c r="G1319" t="s">
        <v>322</v>
      </c>
      <c r="N1319" s="107"/>
    </row>
    <row r="1320" spans="1:14" x14ac:dyDescent="0.3">
      <c r="A1320" t="s">
        <v>188</v>
      </c>
      <c r="B1320" t="s">
        <v>532</v>
      </c>
      <c r="C1320" t="s">
        <v>1251</v>
      </c>
      <c r="D1320">
        <f t="shared" si="20"/>
        <v>1</v>
      </c>
      <c r="E1320" t="s">
        <v>19</v>
      </c>
      <c r="F1320" t="s">
        <v>2030</v>
      </c>
      <c r="G1320" t="s">
        <v>322</v>
      </c>
      <c r="N1320" s="107"/>
    </row>
    <row r="1321" spans="1:14" x14ac:dyDescent="0.3">
      <c r="A1321" t="s">
        <v>188</v>
      </c>
      <c r="B1321" t="s">
        <v>639</v>
      </c>
      <c r="C1321" t="s">
        <v>1251</v>
      </c>
      <c r="D1321">
        <f t="shared" si="20"/>
        <v>1</v>
      </c>
      <c r="E1321" t="s">
        <v>19</v>
      </c>
      <c r="F1321" t="s">
        <v>2053</v>
      </c>
      <c r="G1321" t="s">
        <v>322</v>
      </c>
      <c r="N1321" s="107"/>
    </row>
    <row r="1322" spans="1:14" x14ac:dyDescent="0.3">
      <c r="A1322" t="s">
        <v>188</v>
      </c>
      <c r="B1322" t="s">
        <v>762</v>
      </c>
      <c r="C1322" t="s">
        <v>1251</v>
      </c>
      <c r="D1322">
        <f t="shared" si="20"/>
        <v>1</v>
      </c>
      <c r="E1322" t="s">
        <v>19</v>
      </c>
      <c r="F1322" t="s">
        <v>2054</v>
      </c>
      <c r="G1322" t="s">
        <v>322</v>
      </c>
      <c r="N1322" s="107"/>
    </row>
    <row r="1323" spans="1:14" x14ac:dyDescent="0.3">
      <c r="A1323" t="s">
        <v>188</v>
      </c>
      <c r="B1323" t="s">
        <v>532</v>
      </c>
      <c r="C1323" t="s">
        <v>1349</v>
      </c>
      <c r="D1323">
        <f t="shared" si="20"/>
        <v>1</v>
      </c>
      <c r="E1323" t="s">
        <v>19</v>
      </c>
      <c r="F1323" t="s">
        <v>2287</v>
      </c>
      <c r="G1323" t="s">
        <v>322</v>
      </c>
      <c r="N1323" s="107"/>
    </row>
    <row r="1324" spans="1:14" x14ac:dyDescent="0.3">
      <c r="A1324" t="s">
        <v>188</v>
      </c>
      <c r="B1324" t="s">
        <v>534</v>
      </c>
      <c r="C1324" t="s">
        <v>1383</v>
      </c>
      <c r="D1324">
        <f t="shared" si="20"/>
        <v>1</v>
      </c>
      <c r="E1324" t="s">
        <v>19</v>
      </c>
      <c r="F1324" t="s">
        <v>1383</v>
      </c>
      <c r="G1324" t="s">
        <v>322</v>
      </c>
      <c r="N1324" s="107"/>
    </row>
    <row r="1325" spans="1:14" x14ac:dyDescent="0.3">
      <c r="A1325" t="s">
        <v>188</v>
      </c>
      <c r="B1325" t="s">
        <v>1011</v>
      </c>
      <c r="C1325" t="s">
        <v>1415</v>
      </c>
      <c r="D1325">
        <f t="shared" si="20"/>
        <v>1</v>
      </c>
      <c r="E1325" t="s">
        <v>19</v>
      </c>
      <c r="F1325" t="s">
        <v>2515</v>
      </c>
      <c r="G1325" t="s">
        <v>322</v>
      </c>
      <c r="N1325" s="107"/>
    </row>
    <row r="1326" spans="1:14" x14ac:dyDescent="0.3">
      <c r="A1326" t="s">
        <v>188</v>
      </c>
      <c r="B1326" t="s">
        <v>1012</v>
      </c>
      <c r="C1326" t="s">
        <v>1416</v>
      </c>
      <c r="D1326">
        <f t="shared" si="20"/>
        <v>1</v>
      </c>
      <c r="E1326" t="s">
        <v>19</v>
      </c>
      <c r="F1326" t="s">
        <v>2519</v>
      </c>
      <c r="G1326" t="s">
        <v>322</v>
      </c>
      <c r="N1326" s="107"/>
    </row>
    <row r="1327" spans="1:14" x14ac:dyDescent="0.3">
      <c r="A1327" t="s">
        <v>188</v>
      </c>
      <c r="B1327" t="s">
        <v>591</v>
      </c>
      <c r="C1327" t="s">
        <v>1416</v>
      </c>
      <c r="D1327">
        <f t="shared" si="20"/>
        <v>1</v>
      </c>
      <c r="E1327" t="s">
        <v>19</v>
      </c>
      <c r="F1327" t="s">
        <v>2527</v>
      </c>
      <c r="G1327" t="s">
        <v>322</v>
      </c>
      <c r="N1327" s="107"/>
    </row>
    <row r="1328" spans="1:14" x14ac:dyDescent="0.3">
      <c r="A1328" t="s">
        <v>188</v>
      </c>
      <c r="B1328" t="s">
        <v>639</v>
      </c>
      <c r="C1328" t="s">
        <v>1443</v>
      </c>
      <c r="D1328">
        <f t="shared" si="20"/>
        <v>1</v>
      </c>
      <c r="E1328" t="s">
        <v>19</v>
      </c>
      <c r="F1328" t="s">
        <v>2610</v>
      </c>
      <c r="G1328" t="s">
        <v>322</v>
      </c>
      <c r="N1328" s="107"/>
    </row>
    <row r="1329" spans="1:14" x14ac:dyDescent="0.3">
      <c r="A1329" t="s">
        <v>188</v>
      </c>
      <c r="B1329" t="s">
        <v>1012</v>
      </c>
      <c r="C1329" t="s">
        <v>1443</v>
      </c>
      <c r="D1329">
        <f t="shared" si="20"/>
        <v>1</v>
      </c>
      <c r="E1329" t="s">
        <v>19</v>
      </c>
      <c r="F1329" t="s">
        <v>2611</v>
      </c>
      <c r="G1329" t="s">
        <v>322</v>
      </c>
      <c r="N1329" s="107"/>
    </row>
    <row r="1330" spans="1:14" x14ac:dyDescent="0.3">
      <c r="A1330" t="s">
        <v>188</v>
      </c>
      <c r="B1330" t="s">
        <v>1064</v>
      </c>
      <c r="C1330" t="s">
        <v>1451</v>
      </c>
      <c r="D1330">
        <f t="shared" si="20"/>
        <v>1</v>
      </c>
      <c r="E1330" t="s">
        <v>19</v>
      </c>
      <c r="F1330" t="s">
        <v>2633</v>
      </c>
      <c r="G1330" t="s">
        <v>322</v>
      </c>
      <c r="N1330" s="107"/>
    </row>
    <row r="1331" spans="1:14" x14ac:dyDescent="0.3">
      <c r="A1331" t="s">
        <v>188</v>
      </c>
      <c r="B1331" t="s">
        <v>532</v>
      </c>
      <c r="C1331" t="s">
        <v>1451</v>
      </c>
      <c r="D1331">
        <f t="shared" si="20"/>
        <v>1</v>
      </c>
      <c r="E1331" t="s">
        <v>19</v>
      </c>
      <c r="F1331" t="s">
        <v>2634</v>
      </c>
      <c r="G1331" t="s">
        <v>322</v>
      </c>
      <c r="N1331" s="107"/>
    </row>
    <row r="1332" spans="1:14" x14ac:dyDescent="0.3">
      <c r="A1332" t="s">
        <v>188</v>
      </c>
      <c r="B1332" t="s">
        <v>1068</v>
      </c>
      <c r="C1332" t="s">
        <v>1460</v>
      </c>
      <c r="D1332">
        <f t="shared" si="20"/>
        <v>1</v>
      </c>
      <c r="E1332" t="s">
        <v>19</v>
      </c>
      <c r="F1332" t="s">
        <v>1460</v>
      </c>
      <c r="G1332" t="s">
        <v>322</v>
      </c>
      <c r="N1332" s="107"/>
    </row>
    <row r="1333" spans="1:14" x14ac:dyDescent="0.3">
      <c r="A1333" t="s">
        <v>188</v>
      </c>
      <c r="B1333" t="s">
        <v>534</v>
      </c>
      <c r="C1333" t="s">
        <v>1478</v>
      </c>
      <c r="D1333">
        <f t="shared" si="20"/>
        <v>1</v>
      </c>
      <c r="E1333" t="s">
        <v>19</v>
      </c>
      <c r="F1333" t="s">
        <v>2696</v>
      </c>
      <c r="G1333" t="s">
        <v>322</v>
      </c>
      <c r="N1333" s="107"/>
    </row>
    <row r="1334" spans="1:14" x14ac:dyDescent="0.3">
      <c r="A1334" t="s">
        <v>188</v>
      </c>
      <c r="B1334" t="s">
        <v>591</v>
      </c>
      <c r="C1334" t="s">
        <v>1505</v>
      </c>
      <c r="D1334">
        <f t="shared" si="20"/>
        <v>1</v>
      </c>
      <c r="E1334" t="s">
        <v>19</v>
      </c>
      <c r="F1334" t="s">
        <v>2750</v>
      </c>
      <c r="G1334" t="s">
        <v>322</v>
      </c>
      <c r="N1334" s="107"/>
    </row>
    <row r="1335" spans="1:14" x14ac:dyDescent="0.3">
      <c r="A1335" t="s">
        <v>188</v>
      </c>
      <c r="B1335" t="s">
        <v>1012</v>
      </c>
      <c r="C1335" t="s">
        <v>1505</v>
      </c>
      <c r="D1335">
        <f t="shared" si="20"/>
        <v>1</v>
      </c>
      <c r="E1335" t="s">
        <v>19</v>
      </c>
      <c r="F1335" t="s">
        <v>2752</v>
      </c>
      <c r="G1335" t="s">
        <v>322</v>
      </c>
      <c r="N1335" s="107"/>
    </row>
    <row r="1336" spans="1:14" hidden="1" x14ac:dyDescent="0.3">
      <c r="A1336" t="s">
        <v>189</v>
      </c>
      <c r="B1336" t="s">
        <v>567</v>
      </c>
      <c r="C1336" t="s">
        <v>1164</v>
      </c>
      <c r="D1336">
        <f t="shared" si="20"/>
        <v>0</v>
      </c>
      <c r="E1336" t="s">
        <v>19</v>
      </c>
      <c r="F1336" t="s">
        <v>1747</v>
      </c>
      <c r="G1336" t="s">
        <v>322</v>
      </c>
      <c r="N1336" s="107"/>
    </row>
    <row r="1337" spans="1:14" hidden="1" x14ac:dyDescent="0.3">
      <c r="A1337" t="s">
        <v>189</v>
      </c>
      <c r="B1337" t="s">
        <v>571</v>
      </c>
      <c r="C1337" t="s">
        <v>1170</v>
      </c>
      <c r="D1337">
        <f t="shared" si="20"/>
        <v>0</v>
      </c>
      <c r="E1337" t="s">
        <v>19</v>
      </c>
      <c r="F1337" t="s">
        <v>1170</v>
      </c>
      <c r="G1337" t="s">
        <v>322</v>
      </c>
      <c r="N1337" s="107"/>
    </row>
    <row r="1338" spans="1:14" hidden="1" x14ac:dyDescent="0.3">
      <c r="A1338" t="s">
        <v>189</v>
      </c>
      <c r="B1338" t="s">
        <v>647</v>
      </c>
      <c r="C1338" t="s">
        <v>1198</v>
      </c>
      <c r="D1338">
        <f t="shared" si="20"/>
        <v>0</v>
      </c>
      <c r="E1338" t="s">
        <v>19</v>
      </c>
      <c r="F1338" t="s">
        <v>1198</v>
      </c>
      <c r="G1338" t="s">
        <v>322</v>
      </c>
      <c r="N1338" s="107"/>
    </row>
    <row r="1339" spans="1:14" hidden="1" x14ac:dyDescent="0.3">
      <c r="A1339" t="s">
        <v>189</v>
      </c>
      <c r="B1339" t="s">
        <v>819</v>
      </c>
      <c r="C1339" t="s">
        <v>1293</v>
      </c>
      <c r="D1339">
        <f t="shared" si="20"/>
        <v>0</v>
      </c>
      <c r="E1339" t="s">
        <v>19</v>
      </c>
      <c r="F1339" t="s">
        <v>2159</v>
      </c>
      <c r="G1339" t="s">
        <v>322</v>
      </c>
      <c r="N1339" s="107"/>
    </row>
    <row r="1340" spans="1:14" hidden="1" x14ac:dyDescent="0.3">
      <c r="A1340" t="s">
        <v>189</v>
      </c>
      <c r="B1340" t="s">
        <v>894</v>
      </c>
      <c r="C1340" t="s">
        <v>1330</v>
      </c>
      <c r="D1340">
        <f t="shared" si="20"/>
        <v>0</v>
      </c>
      <c r="E1340" t="s">
        <v>19</v>
      </c>
      <c r="F1340" t="s">
        <v>2251</v>
      </c>
      <c r="G1340" t="s">
        <v>322</v>
      </c>
      <c r="N1340" s="107"/>
    </row>
    <row r="1341" spans="1:14" hidden="1" x14ac:dyDescent="0.3">
      <c r="A1341" t="s">
        <v>189</v>
      </c>
      <c r="B1341" t="s">
        <v>778</v>
      </c>
      <c r="C1341" t="s">
        <v>1330</v>
      </c>
      <c r="D1341">
        <f t="shared" si="20"/>
        <v>0</v>
      </c>
      <c r="E1341" t="s">
        <v>19</v>
      </c>
      <c r="F1341" t="s">
        <v>2252</v>
      </c>
      <c r="G1341" t="s">
        <v>322</v>
      </c>
      <c r="N1341" s="107"/>
    </row>
    <row r="1342" spans="1:14" hidden="1" x14ac:dyDescent="0.3">
      <c r="A1342" t="s">
        <v>189</v>
      </c>
      <c r="B1342" t="s">
        <v>517</v>
      </c>
      <c r="C1342" t="s">
        <v>1414</v>
      </c>
      <c r="D1342">
        <f t="shared" si="20"/>
        <v>0</v>
      </c>
      <c r="E1342" t="s">
        <v>19</v>
      </c>
      <c r="F1342" t="s">
        <v>2495</v>
      </c>
      <c r="G1342" t="s">
        <v>322</v>
      </c>
      <c r="N1342" s="107"/>
    </row>
    <row r="1343" spans="1:14" hidden="1" x14ac:dyDescent="0.3">
      <c r="A1343" t="s">
        <v>189</v>
      </c>
      <c r="B1343" t="s">
        <v>1083</v>
      </c>
      <c r="C1343" t="s">
        <v>1479</v>
      </c>
      <c r="D1343">
        <f t="shared" si="20"/>
        <v>0</v>
      </c>
      <c r="E1343" t="s">
        <v>19</v>
      </c>
      <c r="F1343" t="s">
        <v>2694</v>
      </c>
      <c r="G1343" t="s">
        <v>322</v>
      </c>
      <c r="N1343" s="107"/>
    </row>
    <row r="1344" spans="1:14" hidden="1" x14ac:dyDescent="0.3">
      <c r="A1344" t="s">
        <v>190</v>
      </c>
      <c r="B1344" t="s">
        <v>601</v>
      </c>
      <c r="C1344" t="s">
        <v>1178</v>
      </c>
      <c r="D1344">
        <f t="shared" si="20"/>
        <v>0</v>
      </c>
      <c r="E1344" t="s">
        <v>19</v>
      </c>
      <c r="F1344" t="s">
        <v>1796</v>
      </c>
      <c r="G1344" t="s">
        <v>322</v>
      </c>
      <c r="N1344" s="107"/>
    </row>
    <row r="1345" spans="1:14" hidden="1" x14ac:dyDescent="0.3">
      <c r="A1345" t="s">
        <v>190</v>
      </c>
      <c r="B1345" t="s">
        <v>535</v>
      </c>
      <c r="C1345" t="s">
        <v>1178</v>
      </c>
      <c r="D1345">
        <f t="shared" ref="D1345:D1384" si="21">SIGN(SUBTOTAL(3,E1345))</f>
        <v>0</v>
      </c>
      <c r="E1345" t="s">
        <v>19</v>
      </c>
      <c r="F1345" t="s">
        <v>1797</v>
      </c>
      <c r="G1345" t="s">
        <v>322</v>
      </c>
      <c r="N1345" s="107"/>
    </row>
    <row r="1346" spans="1:14" hidden="1" x14ac:dyDescent="0.3">
      <c r="A1346" t="s">
        <v>190</v>
      </c>
      <c r="B1346" t="s">
        <v>602</v>
      </c>
      <c r="C1346" t="s">
        <v>1178</v>
      </c>
      <c r="D1346">
        <f t="shared" si="21"/>
        <v>0</v>
      </c>
      <c r="E1346" t="s">
        <v>19</v>
      </c>
      <c r="F1346" t="s">
        <v>1798</v>
      </c>
      <c r="G1346" t="s">
        <v>322</v>
      </c>
      <c r="N1346" s="107"/>
    </row>
    <row r="1347" spans="1:14" hidden="1" x14ac:dyDescent="0.3">
      <c r="A1347" t="s">
        <v>190</v>
      </c>
      <c r="B1347" t="s">
        <v>603</v>
      </c>
      <c r="C1347" t="s">
        <v>1178</v>
      </c>
      <c r="D1347">
        <f t="shared" si="21"/>
        <v>0</v>
      </c>
      <c r="E1347" t="s">
        <v>19</v>
      </c>
      <c r="F1347" t="s">
        <v>1799</v>
      </c>
      <c r="G1347" t="s">
        <v>322</v>
      </c>
      <c r="N1347" s="107"/>
    </row>
    <row r="1348" spans="1:14" hidden="1" x14ac:dyDescent="0.3">
      <c r="A1348" t="s">
        <v>190</v>
      </c>
      <c r="B1348" t="s">
        <v>614</v>
      </c>
      <c r="C1348" t="s">
        <v>1179</v>
      </c>
      <c r="D1348">
        <f t="shared" si="21"/>
        <v>0</v>
      </c>
      <c r="E1348" t="s">
        <v>19</v>
      </c>
      <c r="F1348" t="s">
        <v>1813</v>
      </c>
      <c r="G1348" t="s">
        <v>322</v>
      </c>
      <c r="N1348" s="107"/>
    </row>
    <row r="1349" spans="1:14" hidden="1" x14ac:dyDescent="0.3">
      <c r="A1349" t="s">
        <v>190</v>
      </c>
      <c r="B1349" t="s">
        <v>615</v>
      </c>
      <c r="C1349" t="s">
        <v>1179</v>
      </c>
      <c r="D1349">
        <f t="shared" si="21"/>
        <v>0</v>
      </c>
      <c r="E1349" t="s">
        <v>19</v>
      </c>
      <c r="F1349" t="s">
        <v>1814</v>
      </c>
      <c r="G1349" t="s">
        <v>322</v>
      </c>
      <c r="N1349" s="107"/>
    </row>
    <row r="1350" spans="1:14" hidden="1" x14ac:dyDescent="0.3">
      <c r="A1350" t="s">
        <v>190</v>
      </c>
      <c r="B1350" t="s">
        <v>536</v>
      </c>
      <c r="C1350" t="s">
        <v>1208</v>
      </c>
      <c r="D1350">
        <f t="shared" si="21"/>
        <v>0</v>
      </c>
      <c r="E1350" t="s">
        <v>19</v>
      </c>
      <c r="F1350" t="s">
        <v>1854</v>
      </c>
      <c r="G1350" t="s">
        <v>322</v>
      </c>
      <c r="N1350" s="107"/>
    </row>
    <row r="1351" spans="1:14" hidden="1" x14ac:dyDescent="0.3">
      <c r="A1351" t="s">
        <v>190</v>
      </c>
      <c r="B1351" t="s">
        <v>535</v>
      </c>
      <c r="C1351" t="s">
        <v>1208</v>
      </c>
      <c r="D1351">
        <f t="shared" si="21"/>
        <v>0</v>
      </c>
      <c r="E1351" t="s">
        <v>19</v>
      </c>
      <c r="F1351" t="s">
        <v>1855</v>
      </c>
      <c r="G1351" t="s">
        <v>322</v>
      </c>
      <c r="N1351" s="107"/>
    </row>
    <row r="1352" spans="1:14" hidden="1" x14ac:dyDescent="0.3">
      <c r="A1352" t="s">
        <v>190</v>
      </c>
      <c r="B1352" t="s">
        <v>535</v>
      </c>
      <c r="C1352" t="s">
        <v>1208</v>
      </c>
      <c r="D1352">
        <f t="shared" si="21"/>
        <v>0</v>
      </c>
      <c r="E1352" t="s">
        <v>19</v>
      </c>
      <c r="F1352" t="s">
        <v>1856</v>
      </c>
      <c r="G1352" t="s">
        <v>322</v>
      </c>
      <c r="N1352" s="107"/>
    </row>
    <row r="1353" spans="1:14" hidden="1" x14ac:dyDescent="0.3">
      <c r="A1353" t="s">
        <v>190</v>
      </c>
      <c r="B1353" t="s">
        <v>535</v>
      </c>
      <c r="C1353" t="s">
        <v>1208</v>
      </c>
      <c r="D1353">
        <f t="shared" si="21"/>
        <v>0</v>
      </c>
      <c r="E1353" t="s">
        <v>19</v>
      </c>
      <c r="F1353" t="s">
        <v>1857</v>
      </c>
      <c r="G1353" t="s">
        <v>322</v>
      </c>
      <c r="N1353" s="107"/>
    </row>
    <row r="1354" spans="1:14" hidden="1" x14ac:dyDescent="0.3">
      <c r="A1354" t="s">
        <v>190</v>
      </c>
      <c r="B1354" t="s">
        <v>655</v>
      </c>
      <c r="C1354" t="s">
        <v>1208</v>
      </c>
      <c r="D1354">
        <f t="shared" si="21"/>
        <v>0</v>
      </c>
      <c r="E1354" t="s">
        <v>19</v>
      </c>
      <c r="F1354" t="s">
        <v>1858</v>
      </c>
      <c r="G1354" t="s">
        <v>322</v>
      </c>
      <c r="N1354" s="107"/>
    </row>
    <row r="1355" spans="1:14" hidden="1" x14ac:dyDescent="0.3">
      <c r="A1355" t="s">
        <v>190</v>
      </c>
      <c r="B1355" t="s">
        <v>614</v>
      </c>
      <c r="C1355" t="s">
        <v>1208</v>
      </c>
      <c r="D1355">
        <f t="shared" si="21"/>
        <v>0</v>
      </c>
      <c r="E1355" t="s">
        <v>19</v>
      </c>
      <c r="F1355" t="s">
        <v>1859</v>
      </c>
      <c r="G1355" t="s">
        <v>322</v>
      </c>
      <c r="N1355" s="107"/>
    </row>
    <row r="1356" spans="1:14" hidden="1" x14ac:dyDescent="0.3">
      <c r="A1356" t="s">
        <v>190</v>
      </c>
      <c r="B1356" t="s">
        <v>614</v>
      </c>
      <c r="C1356" t="s">
        <v>1208</v>
      </c>
      <c r="D1356">
        <f t="shared" si="21"/>
        <v>0</v>
      </c>
      <c r="E1356" t="s">
        <v>19</v>
      </c>
      <c r="F1356" t="s">
        <v>1860</v>
      </c>
      <c r="G1356" t="s">
        <v>322</v>
      </c>
      <c r="N1356" s="107"/>
    </row>
    <row r="1357" spans="1:14" hidden="1" x14ac:dyDescent="0.3">
      <c r="A1357" t="s">
        <v>190</v>
      </c>
      <c r="B1357" t="s">
        <v>536</v>
      </c>
      <c r="C1357" t="s">
        <v>1208</v>
      </c>
      <c r="D1357">
        <f t="shared" si="21"/>
        <v>0</v>
      </c>
      <c r="E1357" t="s">
        <v>19</v>
      </c>
      <c r="F1357" t="s">
        <v>1861</v>
      </c>
      <c r="G1357" t="s">
        <v>322</v>
      </c>
      <c r="N1357" s="107"/>
    </row>
    <row r="1358" spans="1:14" hidden="1" x14ac:dyDescent="0.3">
      <c r="A1358" t="s">
        <v>190</v>
      </c>
      <c r="B1358" t="s">
        <v>614</v>
      </c>
      <c r="C1358" t="s">
        <v>1208</v>
      </c>
      <c r="D1358">
        <f t="shared" si="21"/>
        <v>0</v>
      </c>
      <c r="E1358" t="s">
        <v>19</v>
      </c>
      <c r="F1358" t="s">
        <v>1863</v>
      </c>
      <c r="G1358" t="s">
        <v>322</v>
      </c>
      <c r="N1358" s="107"/>
    </row>
    <row r="1359" spans="1:14" hidden="1" x14ac:dyDescent="0.3">
      <c r="A1359" t="s">
        <v>190</v>
      </c>
      <c r="B1359" t="s">
        <v>536</v>
      </c>
      <c r="C1359" t="s">
        <v>1208</v>
      </c>
      <c r="D1359">
        <f t="shared" si="21"/>
        <v>0</v>
      </c>
      <c r="E1359" t="s">
        <v>19</v>
      </c>
      <c r="F1359" t="s">
        <v>1864</v>
      </c>
      <c r="G1359" t="s">
        <v>322</v>
      </c>
      <c r="N1359" s="107"/>
    </row>
    <row r="1360" spans="1:14" hidden="1" x14ac:dyDescent="0.3">
      <c r="A1360" t="s">
        <v>190</v>
      </c>
      <c r="B1360" t="s">
        <v>535</v>
      </c>
      <c r="C1360" t="s">
        <v>1208</v>
      </c>
      <c r="D1360">
        <f t="shared" si="21"/>
        <v>0</v>
      </c>
      <c r="E1360" t="s">
        <v>19</v>
      </c>
      <c r="F1360" t="s">
        <v>1865</v>
      </c>
      <c r="G1360" t="s">
        <v>322</v>
      </c>
      <c r="N1360" s="107"/>
    </row>
    <row r="1361" spans="1:14" hidden="1" x14ac:dyDescent="0.3">
      <c r="A1361" t="s">
        <v>190</v>
      </c>
      <c r="B1361" t="s">
        <v>614</v>
      </c>
      <c r="C1361" t="s">
        <v>1208</v>
      </c>
      <c r="D1361">
        <f t="shared" si="21"/>
        <v>0</v>
      </c>
      <c r="E1361" t="s">
        <v>19</v>
      </c>
      <c r="F1361" t="s">
        <v>1869</v>
      </c>
      <c r="G1361" t="s">
        <v>322</v>
      </c>
      <c r="N1361" s="107"/>
    </row>
    <row r="1362" spans="1:14" hidden="1" x14ac:dyDescent="0.3">
      <c r="A1362" t="s">
        <v>190</v>
      </c>
      <c r="B1362" t="s">
        <v>535</v>
      </c>
      <c r="C1362" t="s">
        <v>1208</v>
      </c>
      <c r="D1362">
        <f t="shared" si="21"/>
        <v>0</v>
      </c>
      <c r="E1362" t="s">
        <v>19</v>
      </c>
      <c r="F1362" t="s">
        <v>1872</v>
      </c>
      <c r="G1362" t="s">
        <v>322</v>
      </c>
      <c r="N1362" s="107"/>
    </row>
    <row r="1363" spans="1:14" hidden="1" x14ac:dyDescent="0.3">
      <c r="A1363" t="s">
        <v>190</v>
      </c>
      <c r="B1363" t="s">
        <v>614</v>
      </c>
      <c r="C1363" t="s">
        <v>1208</v>
      </c>
      <c r="D1363">
        <f t="shared" si="21"/>
        <v>0</v>
      </c>
      <c r="E1363" t="s">
        <v>19</v>
      </c>
      <c r="F1363" t="s">
        <v>1874</v>
      </c>
      <c r="G1363" t="s">
        <v>322</v>
      </c>
      <c r="N1363" s="107"/>
    </row>
    <row r="1364" spans="1:14" hidden="1" x14ac:dyDescent="0.3">
      <c r="A1364" t="s">
        <v>190</v>
      </c>
      <c r="B1364" t="s">
        <v>614</v>
      </c>
      <c r="C1364" t="s">
        <v>1208</v>
      </c>
      <c r="D1364">
        <f t="shared" si="21"/>
        <v>0</v>
      </c>
      <c r="E1364" t="s">
        <v>19</v>
      </c>
      <c r="F1364" t="s">
        <v>1875</v>
      </c>
      <c r="G1364" t="s">
        <v>322</v>
      </c>
      <c r="N1364" s="107"/>
    </row>
    <row r="1365" spans="1:14" hidden="1" x14ac:dyDescent="0.3">
      <c r="A1365" t="s">
        <v>190</v>
      </c>
      <c r="B1365" t="s">
        <v>535</v>
      </c>
      <c r="C1365" t="s">
        <v>1227</v>
      </c>
      <c r="D1365">
        <f t="shared" si="21"/>
        <v>0</v>
      </c>
      <c r="E1365" t="s">
        <v>19</v>
      </c>
      <c r="F1365" t="s">
        <v>1940</v>
      </c>
      <c r="G1365" t="s">
        <v>322</v>
      </c>
      <c r="N1365" s="107"/>
    </row>
    <row r="1366" spans="1:14" hidden="1" x14ac:dyDescent="0.3">
      <c r="A1366" t="s">
        <v>190</v>
      </c>
      <c r="B1366" t="s">
        <v>602</v>
      </c>
      <c r="C1366" t="s">
        <v>1238</v>
      </c>
      <c r="D1366">
        <f t="shared" si="21"/>
        <v>0</v>
      </c>
      <c r="E1366" t="s">
        <v>19</v>
      </c>
      <c r="F1366" t="s">
        <v>2013</v>
      </c>
      <c r="G1366" t="s">
        <v>322</v>
      </c>
      <c r="N1366" s="107"/>
    </row>
    <row r="1367" spans="1:14" hidden="1" x14ac:dyDescent="0.3">
      <c r="A1367" t="s">
        <v>190</v>
      </c>
      <c r="B1367" t="s">
        <v>655</v>
      </c>
      <c r="C1367" t="s">
        <v>1238</v>
      </c>
      <c r="D1367">
        <f t="shared" si="21"/>
        <v>0</v>
      </c>
      <c r="E1367" t="s">
        <v>19</v>
      </c>
      <c r="F1367" t="s">
        <v>2014</v>
      </c>
      <c r="G1367" t="s">
        <v>322</v>
      </c>
      <c r="N1367" s="107"/>
    </row>
    <row r="1368" spans="1:14" hidden="1" x14ac:dyDescent="0.3">
      <c r="A1368" t="s">
        <v>190</v>
      </c>
      <c r="B1368" t="s">
        <v>741</v>
      </c>
      <c r="C1368" t="s">
        <v>1240</v>
      </c>
      <c r="D1368">
        <f t="shared" si="21"/>
        <v>0</v>
      </c>
      <c r="E1368" t="s">
        <v>19</v>
      </c>
      <c r="F1368" t="s">
        <v>2021</v>
      </c>
      <c r="G1368" t="s">
        <v>322</v>
      </c>
      <c r="N1368" s="107"/>
    </row>
    <row r="1369" spans="1:14" hidden="1" x14ac:dyDescent="0.3">
      <c r="A1369" t="s">
        <v>190</v>
      </c>
      <c r="B1369" t="s">
        <v>742</v>
      </c>
      <c r="C1369" t="s">
        <v>1240</v>
      </c>
      <c r="D1369">
        <f t="shared" si="21"/>
        <v>0</v>
      </c>
      <c r="E1369" t="s">
        <v>19</v>
      </c>
      <c r="F1369" t="s">
        <v>2022</v>
      </c>
      <c r="G1369" t="s">
        <v>322</v>
      </c>
      <c r="N1369" s="107"/>
    </row>
    <row r="1370" spans="1:14" hidden="1" x14ac:dyDescent="0.3">
      <c r="A1370" t="s">
        <v>190</v>
      </c>
      <c r="B1370" t="s">
        <v>602</v>
      </c>
      <c r="C1370" t="s">
        <v>1293</v>
      </c>
      <c r="D1370">
        <f t="shared" si="21"/>
        <v>0</v>
      </c>
      <c r="E1370" t="s">
        <v>19</v>
      </c>
      <c r="F1370" t="s">
        <v>2152</v>
      </c>
      <c r="G1370" t="s">
        <v>322</v>
      </c>
      <c r="N1370" s="107"/>
    </row>
    <row r="1371" spans="1:14" hidden="1" x14ac:dyDescent="0.3">
      <c r="A1371" t="s">
        <v>190</v>
      </c>
      <c r="B1371" t="s">
        <v>848</v>
      </c>
      <c r="C1371" t="s">
        <v>1302</v>
      </c>
      <c r="D1371">
        <f t="shared" si="21"/>
        <v>0</v>
      </c>
      <c r="E1371" t="s">
        <v>19</v>
      </c>
      <c r="F1371" t="s">
        <v>2190</v>
      </c>
      <c r="G1371" t="s">
        <v>322</v>
      </c>
      <c r="N1371" s="107"/>
    </row>
    <row r="1372" spans="1:14" hidden="1" x14ac:dyDescent="0.3">
      <c r="A1372" t="s">
        <v>190</v>
      </c>
      <c r="B1372" t="s">
        <v>848</v>
      </c>
      <c r="C1372" t="s">
        <v>1439</v>
      </c>
      <c r="D1372">
        <f t="shared" si="21"/>
        <v>0</v>
      </c>
      <c r="E1372" t="s">
        <v>19</v>
      </c>
      <c r="F1372" t="s">
        <v>2565</v>
      </c>
      <c r="G1372" t="s">
        <v>322</v>
      </c>
      <c r="N1372" s="107"/>
    </row>
    <row r="1373" spans="1:14" hidden="1" x14ac:dyDescent="0.3">
      <c r="A1373" t="s">
        <v>190</v>
      </c>
      <c r="B1373" t="s">
        <v>1066</v>
      </c>
      <c r="C1373" t="s">
        <v>1458</v>
      </c>
      <c r="D1373">
        <f t="shared" si="21"/>
        <v>0</v>
      </c>
      <c r="E1373" t="s">
        <v>19</v>
      </c>
      <c r="F1373" t="s">
        <v>1458</v>
      </c>
      <c r="G1373" t="s">
        <v>322</v>
      </c>
      <c r="N1373" s="107"/>
    </row>
    <row r="1374" spans="1:14" hidden="1" x14ac:dyDescent="0.3">
      <c r="A1374" t="s">
        <v>190</v>
      </c>
      <c r="B1374" t="s">
        <v>535</v>
      </c>
      <c r="C1374" t="s">
        <v>1461</v>
      </c>
      <c r="D1374">
        <f t="shared" si="21"/>
        <v>0</v>
      </c>
      <c r="E1374" t="s">
        <v>19</v>
      </c>
      <c r="F1374" t="s">
        <v>2641</v>
      </c>
      <c r="G1374" t="s">
        <v>322</v>
      </c>
      <c r="N1374" s="107"/>
    </row>
    <row r="1375" spans="1:14" hidden="1" x14ac:dyDescent="0.3">
      <c r="A1375" t="s">
        <v>190</v>
      </c>
      <c r="B1375" t="s">
        <v>536</v>
      </c>
      <c r="C1375" t="s">
        <v>1461</v>
      </c>
      <c r="D1375">
        <f t="shared" si="21"/>
        <v>0</v>
      </c>
      <c r="E1375" t="s">
        <v>19</v>
      </c>
      <c r="F1375" t="s">
        <v>2654</v>
      </c>
      <c r="G1375" t="s">
        <v>322</v>
      </c>
      <c r="N1375" s="107"/>
    </row>
    <row r="1376" spans="1:14" hidden="1" x14ac:dyDescent="0.3">
      <c r="A1376" t="s">
        <v>191</v>
      </c>
      <c r="B1376" t="s">
        <v>589</v>
      </c>
      <c r="C1376" t="s">
        <v>1171</v>
      </c>
      <c r="D1376">
        <f t="shared" si="21"/>
        <v>0</v>
      </c>
      <c r="E1376" t="s">
        <v>19</v>
      </c>
      <c r="F1376" t="s">
        <v>1776</v>
      </c>
      <c r="G1376" t="s">
        <v>322</v>
      </c>
      <c r="N1376" s="107"/>
    </row>
    <row r="1377" spans="1:14" hidden="1" x14ac:dyDescent="0.3">
      <c r="A1377" t="s">
        <v>191</v>
      </c>
      <c r="B1377" t="s">
        <v>654</v>
      </c>
      <c r="C1377" t="s">
        <v>1207</v>
      </c>
      <c r="D1377">
        <f t="shared" si="21"/>
        <v>0</v>
      </c>
      <c r="E1377" t="s">
        <v>19</v>
      </c>
      <c r="F1377" t="s">
        <v>1207</v>
      </c>
      <c r="G1377" t="s">
        <v>322</v>
      </c>
      <c r="N1377" s="107"/>
    </row>
    <row r="1378" spans="1:14" hidden="1" x14ac:dyDescent="0.3">
      <c r="A1378" t="s">
        <v>191</v>
      </c>
      <c r="B1378" t="s">
        <v>751</v>
      </c>
      <c r="C1378" t="s">
        <v>1251</v>
      </c>
      <c r="D1378">
        <f t="shared" si="21"/>
        <v>0</v>
      </c>
      <c r="E1378" t="s">
        <v>19</v>
      </c>
      <c r="F1378" t="s">
        <v>2033</v>
      </c>
      <c r="G1378" t="s">
        <v>322</v>
      </c>
      <c r="N1378" s="107"/>
    </row>
    <row r="1379" spans="1:14" hidden="1" x14ac:dyDescent="0.3">
      <c r="A1379" t="s">
        <v>191</v>
      </c>
      <c r="B1379" t="s">
        <v>753</v>
      </c>
      <c r="C1379" t="s">
        <v>1251</v>
      </c>
      <c r="D1379">
        <f t="shared" si="21"/>
        <v>0</v>
      </c>
      <c r="E1379" t="s">
        <v>19</v>
      </c>
      <c r="F1379" t="s">
        <v>2038</v>
      </c>
      <c r="G1379" t="s">
        <v>322</v>
      </c>
      <c r="N1379" s="107"/>
    </row>
    <row r="1380" spans="1:14" hidden="1" x14ac:dyDescent="0.3">
      <c r="A1380" t="s">
        <v>191</v>
      </c>
      <c r="B1380" t="s">
        <v>770</v>
      </c>
      <c r="C1380" t="s">
        <v>1254</v>
      </c>
      <c r="D1380">
        <f t="shared" si="21"/>
        <v>0</v>
      </c>
      <c r="E1380" t="s">
        <v>19</v>
      </c>
      <c r="F1380" t="s">
        <v>2065</v>
      </c>
      <c r="G1380" t="s">
        <v>322</v>
      </c>
      <c r="N1380" s="107"/>
    </row>
    <row r="1381" spans="1:14" hidden="1" x14ac:dyDescent="0.3">
      <c r="A1381" t="s">
        <v>191</v>
      </c>
      <c r="B1381" t="s">
        <v>654</v>
      </c>
      <c r="C1381" t="s">
        <v>1335</v>
      </c>
      <c r="D1381">
        <f t="shared" si="21"/>
        <v>0</v>
      </c>
      <c r="E1381" t="s">
        <v>19</v>
      </c>
      <c r="F1381" t="s">
        <v>2261</v>
      </c>
      <c r="G1381" t="s">
        <v>322</v>
      </c>
      <c r="N1381" s="107"/>
    </row>
    <row r="1382" spans="1:14" hidden="1" x14ac:dyDescent="0.3">
      <c r="A1382" t="s">
        <v>191</v>
      </c>
      <c r="B1382" t="s">
        <v>899</v>
      </c>
      <c r="C1382" t="s">
        <v>1335</v>
      </c>
      <c r="D1382">
        <f t="shared" si="21"/>
        <v>0</v>
      </c>
      <c r="E1382" t="s">
        <v>19</v>
      </c>
      <c r="F1382" t="s">
        <v>2262</v>
      </c>
      <c r="G1382" t="s">
        <v>322</v>
      </c>
      <c r="N1382" s="107"/>
    </row>
    <row r="1383" spans="1:14" hidden="1" x14ac:dyDescent="0.3">
      <c r="A1383" t="s">
        <v>191</v>
      </c>
      <c r="B1383" t="s">
        <v>589</v>
      </c>
      <c r="C1383" t="s">
        <v>1371</v>
      </c>
      <c r="D1383">
        <f t="shared" si="21"/>
        <v>0</v>
      </c>
      <c r="E1383" t="s">
        <v>19</v>
      </c>
      <c r="F1383" t="s">
        <v>2315</v>
      </c>
      <c r="G1383" t="s">
        <v>322</v>
      </c>
      <c r="N1383" s="107"/>
    </row>
    <row r="1384" spans="1:14" hidden="1" x14ac:dyDescent="0.3">
      <c r="A1384" t="s">
        <v>191</v>
      </c>
      <c r="B1384" t="s">
        <v>589</v>
      </c>
      <c r="C1384" t="s">
        <v>1404</v>
      </c>
      <c r="D1384">
        <f t="shared" si="21"/>
        <v>0</v>
      </c>
      <c r="E1384" t="s">
        <v>19</v>
      </c>
      <c r="F1384" t="s">
        <v>2435</v>
      </c>
      <c r="G1384" t="s">
        <v>322</v>
      </c>
      <c r="N1384" s="107"/>
    </row>
    <row r="1385" spans="1:14" x14ac:dyDescent="0.3">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143</v>
      </c>
      <c r="B1" s="124" t="s">
        <v>436</v>
      </c>
      <c r="C1" s="124" t="s">
        <v>434</v>
      </c>
      <c r="D1" s="124" t="s">
        <v>435</v>
      </c>
      <c r="E1" s="125" t="s">
        <v>317</v>
      </c>
      <c r="F1" s="110" t="s">
        <v>25</v>
      </c>
      <c r="G1" s="110" t="s">
        <v>35</v>
      </c>
      <c r="H1" s="110" t="s">
        <v>31</v>
      </c>
      <c r="I1" s="100" t="s">
        <v>24</v>
      </c>
      <c r="J1" s="100" t="s">
        <v>36</v>
      </c>
      <c r="K1" s="100" t="s">
        <v>44</v>
      </c>
      <c r="L1" s="100" t="s">
        <v>194</v>
      </c>
      <c r="M1" s="100" t="s">
        <v>45</v>
      </c>
    </row>
    <row r="2" spans="1:76" hidden="1" x14ac:dyDescent="0.3">
      <c r="A2" t="s">
        <v>144</v>
      </c>
      <c r="B2" t="s">
        <v>437</v>
      </c>
      <c r="C2" t="s">
        <v>324</v>
      </c>
      <c r="D2" t="s">
        <v>1611</v>
      </c>
      <c r="E2" s="82">
        <f t="shared" ref="E2:E32" si="0">SIGN(SUBTOTAL(3,F2))</f>
        <v>0</v>
      </c>
      <c r="F2" t="s">
        <v>18</v>
      </c>
      <c r="G2" t="s">
        <v>324</v>
      </c>
      <c r="H2" t="s">
        <v>321</v>
      </c>
      <c r="I2">
        <v>20000000</v>
      </c>
      <c r="J2" t="s">
        <v>42</v>
      </c>
      <c r="AC2" t="s">
        <v>1616</v>
      </c>
      <c r="AF2" t="s">
        <v>1615</v>
      </c>
      <c r="BX2" t="s">
        <v>1614</v>
      </c>
    </row>
    <row r="3" spans="1:76" hidden="1" x14ac:dyDescent="0.3">
      <c r="A3" t="s">
        <v>144</v>
      </c>
      <c r="B3" t="s">
        <v>438</v>
      </c>
      <c r="C3" t="s">
        <v>325</v>
      </c>
      <c r="D3" t="s">
        <v>1611</v>
      </c>
      <c r="E3" s="82">
        <f t="shared" si="0"/>
        <v>0</v>
      </c>
      <c r="F3" t="s">
        <v>18</v>
      </c>
      <c r="G3" t="s">
        <v>325</v>
      </c>
      <c r="H3" t="s">
        <v>321</v>
      </c>
      <c r="I3">
        <v>16000000</v>
      </c>
      <c r="J3" t="s">
        <v>42</v>
      </c>
    </row>
    <row r="4" spans="1:76" hidden="1" x14ac:dyDescent="0.3">
      <c r="A4" t="s">
        <v>1685</v>
      </c>
      <c r="B4" t="s">
        <v>1676</v>
      </c>
      <c r="C4" t="s">
        <v>1688</v>
      </c>
      <c r="D4" t="s">
        <v>1612</v>
      </c>
      <c r="E4" s="82">
        <f t="shared" si="0"/>
        <v>0</v>
      </c>
      <c r="F4" t="s">
        <v>18</v>
      </c>
      <c r="G4" t="s">
        <v>1688</v>
      </c>
      <c r="H4" t="s">
        <v>321</v>
      </c>
      <c r="I4">
        <v>847000000</v>
      </c>
      <c r="J4" t="s">
        <v>42</v>
      </c>
    </row>
    <row r="5" spans="1:76" hidden="1" x14ac:dyDescent="0.3">
      <c r="A5" t="s">
        <v>1685</v>
      </c>
      <c r="B5" t="s">
        <v>1677</v>
      </c>
      <c r="C5" t="s">
        <v>1689</v>
      </c>
      <c r="D5" t="s">
        <v>1619</v>
      </c>
      <c r="E5" s="82">
        <f t="shared" si="0"/>
        <v>0</v>
      </c>
      <c r="F5" t="s">
        <v>18</v>
      </c>
      <c r="G5" t="s">
        <v>1689</v>
      </c>
      <c r="H5" t="s">
        <v>321</v>
      </c>
      <c r="I5">
        <v>4000000</v>
      </c>
      <c r="J5" t="s">
        <v>42</v>
      </c>
    </row>
    <row r="6" spans="1:76" hidden="1" x14ac:dyDescent="0.3">
      <c r="A6" t="s">
        <v>145</v>
      </c>
      <c r="B6" t="s">
        <v>439</v>
      </c>
      <c r="C6" t="s">
        <v>326</v>
      </c>
      <c r="D6" t="s">
        <v>1613</v>
      </c>
      <c r="E6" s="82">
        <f t="shared" si="0"/>
        <v>0</v>
      </c>
      <c r="F6" t="s">
        <v>18</v>
      </c>
      <c r="G6" t="s">
        <v>326</v>
      </c>
      <c r="H6" t="s">
        <v>321</v>
      </c>
      <c r="I6">
        <v>462000000</v>
      </c>
      <c r="J6" t="s">
        <v>42</v>
      </c>
    </row>
    <row r="7" spans="1:76" hidden="1" x14ac:dyDescent="0.3">
      <c r="A7" t="s">
        <v>145</v>
      </c>
      <c r="B7" t="s">
        <v>440</v>
      </c>
      <c r="C7" t="s">
        <v>327</v>
      </c>
      <c r="D7" t="s">
        <v>1611</v>
      </c>
      <c r="E7" s="82">
        <f t="shared" si="0"/>
        <v>0</v>
      </c>
      <c r="F7" t="s">
        <v>18</v>
      </c>
      <c r="G7" t="s">
        <v>327</v>
      </c>
      <c r="H7" t="s">
        <v>321</v>
      </c>
      <c r="I7">
        <v>26000000</v>
      </c>
      <c r="J7" t="s">
        <v>42</v>
      </c>
    </row>
    <row r="8" spans="1:76" hidden="1" x14ac:dyDescent="0.3">
      <c r="A8" t="s">
        <v>146</v>
      </c>
      <c r="B8" t="s">
        <v>1678</v>
      </c>
      <c r="C8" t="s">
        <v>328</v>
      </c>
      <c r="D8" t="s">
        <v>1611</v>
      </c>
      <c r="E8" s="82">
        <f t="shared" si="0"/>
        <v>0</v>
      </c>
      <c r="F8" t="s">
        <v>18</v>
      </c>
      <c r="G8" t="s">
        <v>328</v>
      </c>
      <c r="H8" t="s">
        <v>321</v>
      </c>
      <c r="I8">
        <v>16000000</v>
      </c>
      <c r="J8" t="s">
        <v>42</v>
      </c>
    </row>
    <row r="9" spans="1:76" hidden="1" x14ac:dyDescent="0.3">
      <c r="A9" t="s">
        <v>147</v>
      </c>
      <c r="B9" t="s">
        <v>441</v>
      </c>
      <c r="C9" t="s">
        <v>329</v>
      </c>
      <c r="D9" t="s">
        <v>1612</v>
      </c>
      <c r="E9" s="82">
        <f t="shared" si="0"/>
        <v>0</v>
      </c>
      <c r="F9" t="s">
        <v>18</v>
      </c>
      <c r="G9" t="s">
        <v>329</v>
      </c>
      <c r="H9" t="s">
        <v>321</v>
      </c>
      <c r="I9">
        <v>53000000</v>
      </c>
      <c r="J9" t="s">
        <v>42</v>
      </c>
    </row>
    <row r="10" spans="1:76" hidden="1" x14ac:dyDescent="0.3">
      <c r="A10" t="s">
        <v>147</v>
      </c>
      <c r="B10" t="s">
        <v>442</v>
      </c>
      <c r="C10" t="s">
        <v>330</v>
      </c>
      <c r="D10" t="s">
        <v>1613</v>
      </c>
      <c r="E10" s="82">
        <f t="shared" si="0"/>
        <v>0</v>
      </c>
      <c r="F10" t="s">
        <v>18</v>
      </c>
      <c r="G10" t="s">
        <v>330</v>
      </c>
      <c r="H10" t="s">
        <v>321</v>
      </c>
      <c r="I10">
        <v>1739000000</v>
      </c>
      <c r="J10" t="s">
        <v>42</v>
      </c>
    </row>
    <row r="11" spans="1:76" hidden="1" x14ac:dyDescent="0.3">
      <c r="A11" t="s">
        <v>147</v>
      </c>
      <c r="B11" t="s">
        <v>443</v>
      </c>
      <c r="C11" t="s">
        <v>331</v>
      </c>
      <c r="D11" t="s">
        <v>1611</v>
      </c>
      <c r="E11" s="82">
        <f t="shared" si="0"/>
        <v>0</v>
      </c>
      <c r="F11" t="s">
        <v>18</v>
      </c>
      <c r="G11" t="s">
        <v>331</v>
      </c>
      <c r="H11" t="s">
        <v>321</v>
      </c>
      <c r="I11">
        <v>27000000</v>
      </c>
      <c r="J11" t="s">
        <v>42</v>
      </c>
    </row>
    <row r="12" spans="1:76" hidden="1" x14ac:dyDescent="0.3">
      <c r="A12" t="s">
        <v>147</v>
      </c>
      <c r="B12" t="s">
        <v>444</v>
      </c>
      <c r="C12" t="s">
        <v>332</v>
      </c>
      <c r="D12" t="s">
        <v>1612</v>
      </c>
      <c r="E12" s="82">
        <f t="shared" si="0"/>
        <v>0</v>
      </c>
      <c r="F12" t="s">
        <v>18</v>
      </c>
      <c r="G12" t="s">
        <v>332</v>
      </c>
      <c r="H12" t="s">
        <v>321</v>
      </c>
      <c r="I12">
        <v>97000000</v>
      </c>
      <c r="J12" t="s">
        <v>42</v>
      </c>
    </row>
    <row r="13" spans="1:76" hidden="1" x14ac:dyDescent="0.3">
      <c r="A13" t="s">
        <v>147</v>
      </c>
      <c r="B13" t="s">
        <v>445</v>
      </c>
      <c r="C13" t="s">
        <v>333</v>
      </c>
      <c r="D13" t="s">
        <v>1612</v>
      </c>
      <c r="E13" s="82">
        <f t="shared" si="0"/>
        <v>0</v>
      </c>
      <c r="F13" t="s">
        <v>18</v>
      </c>
      <c r="G13" t="s">
        <v>333</v>
      </c>
      <c r="H13" t="s">
        <v>321</v>
      </c>
      <c r="I13">
        <v>132000000</v>
      </c>
      <c r="J13" t="s">
        <v>42</v>
      </c>
    </row>
    <row r="14" spans="1:76" hidden="1" x14ac:dyDescent="0.3">
      <c r="A14" t="s">
        <v>147</v>
      </c>
      <c r="B14" t="s">
        <v>446</v>
      </c>
      <c r="C14" t="s">
        <v>334</v>
      </c>
      <c r="D14" t="s">
        <v>1611</v>
      </c>
      <c r="E14" s="82">
        <f t="shared" si="0"/>
        <v>0</v>
      </c>
      <c r="F14" t="s">
        <v>18</v>
      </c>
      <c r="G14" t="s">
        <v>334</v>
      </c>
      <c r="H14" t="s">
        <v>321</v>
      </c>
      <c r="I14">
        <v>26000000</v>
      </c>
      <c r="J14" t="s">
        <v>42</v>
      </c>
    </row>
    <row r="15" spans="1:76" hidden="1" x14ac:dyDescent="0.3">
      <c r="A15" t="s">
        <v>147</v>
      </c>
      <c r="B15" t="s">
        <v>447</v>
      </c>
      <c r="C15" t="s">
        <v>335</v>
      </c>
      <c r="D15" t="s">
        <v>1613</v>
      </c>
      <c r="E15" s="82">
        <f t="shared" si="0"/>
        <v>0</v>
      </c>
      <c r="F15" t="s">
        <v>18</v>
      </c>
      <c r="G15" t="s">
        <v>335</v>
      </c>
      <c r="H15" t="s">
        <v>321</v>
      </c>
      <c r="I15">
        <v>216000000</v>
      </c>
      <c r="J15" t="s">
        <v>42</v>
      </c>
    </row>
    <row r="16" spans="1:76" hidden="1" x14ac:dyDescent="0.3">
      <c r="A16" t="s">
        <v>147</v>
      </c>
      <c r="B16" t="s">
        <v>448</v>
      </c>
      <c r="C16" t="s">
        <v>336</v>
      </c>
      <c r="D16" t="s">
        <v>1611</v>
      </c>
      <c r="E16" s="82">
        <f t="shared" si="0"/>
        <v>0</v>
      </c>
      <c r="F16" t="s">
        <v>18</v>
      </c>
      <c r="G16" t="s">
        <v>336</v>
      </c>
      <c r="H16" t="s">
        <v>321</v>
      </c>
      <c r="I16">
        <v>11000000</v>
      </c>
      <c r="J16" t="s">
        <v>42</v>
      </c>
    </row>
    <row r="17" spans="1:10" hidden="1" x14ac:dyDescent="0.3">
      <c r="A17" t="s">
        <v>147</v>
      </c>
      <c r="B17" t="s">
        <v>449</v>
      </c>
      <c r="C17" t="s">
        <v>337</v>
      </c>
      <c r="D17" t="s">
        <v>1613</v>
      </c>
      <c r="E17" s="82">
        <f t="shared" si="0"/>
        <v>0</v>
      </c>
      <c r="F17" t="s">
        <v>18</v>
      </c>
      <c r="G17" t="s">
        <v>337</v>
      </c>
      <c r="H17" t="s">
        <v>321</v>
      </c>
      <c r="I17">
        <v>1115000000</v>
      </c>
      <c r="J17" t="s">
        <v>42</v>
      </c>
    </row>
    <row r="18" spans="1:10" hidden="1" x14ac:dyDescent="0.3">
      <c r="A18" t="s">
        <v>147</v>
      </c>
      <c r="B18" t="s">
        <v>450</v>
      </c>
      <c r="C18" t="s">
        <v>338</v>
      </c>
      <c r="D18" t="s">
        <v>1612</v>
      </c>
      <c r="E18" s="82">
        <f t="shared" si="0"/>
        <v>0</v>
      </c>
      <c r="F18" t="s">
        <v>18</v>
      </c>
      <c r="G18" t="s">
        <v>338</v>
      </c>
      <c r="H18" t="s">
        <v>321</v>
      </c>
      <c r="I18">
        <v>79000000</v>
      </c>
      <c r="J18" t="s">
        <v>42</v>
      </c>
    </row>
    <row r="19" spans="1:10" hidden="1" x14ac:dyDescent="0.3">
      <c r="A19" t="s">
        <v>147</v>
      </c>
      <c r="B19" t="s">
        <v>451</v>
      </c>
      <c r="C19" t="s">
        <v>339</v>
      </c>
      <c r="D19" t="s">
        <v>1612</v>
      </c>
      <c r="E19" s="82">
        <f t="shared" si="0"/>
        <v>0</v>
      </c>
      <c r="F19" t="s">
        <v>18</v>
      </c>
      <c r="G19" t="s">
        <v>339</v>
      </c>
      <c r="H19" t="s">
        <v>321</v>
      </c>
      <c r="I19">
        <v>99000000</v>
      </c>
      <c r="J19" t="s">
        <v>42</v>
      </c>
    </row>
    <row r="20" spans="1:10" hidden="1" x14ac:dyDescent="0.3">
      <c r="A20" t="s">
        <v>147</v>
      </c>
      <c r="B20" t="s">
        <v>452</v>
      </c>
      <c r="C20" t="s">
        <v>340</v>
      </c>
      <c r="D20" t="s">
        <v>1612</v>
      </c>
      <c r="E20" s="82">
        <f t="shared" si="0"/>
        <v>0</v>
      </c>
      <c r="F20" t="s">
        <v>18</v>
      </c>
      <c r="G20" t="s">
        <v>340</v>
      </c>
      <c r="H20" t="s">
        <v>321</v>
      </c>
      <c r="I20">
        <v>72000000</v>
      </c>
      <c r="J20" t="s">
        <v>42</v>
      </c>
    </row>
    <row r="21" spans="1:10" hidden="1" x14ac:dyDescent="0.3">
      <c r="A21" t="s">
        <v>148</v>
      </c>
      <c r="B21" t="s">
        <v>453</v>
      </c>
      <c r="C21" t="s">
        <v>341</v>
      </c>
      <c r="D21" t="s">
        <v>1611</v>
      </c>
      <c r="E21" s="82">
        <f t="shared" si="0"/>
        <v>0</v>
      </c>
      <c r="F21" t="s">
        <v>18</v>
      </c>
      <c r="G21" t="s">
        <v>341</v>
      </c>
      <c r="H21" t="s">
        <v>321</v>
      </c>
      <c r="I21">
        <v>14000000</v>
      </c>
      <c r="J21" t="s">
        <v>42</v>
      </c>
    </row>
    <row r="22" spans="1:10" hidden="1" x14ac:dyDescent="0.3">
      <c r="A22" t="s">
        <v>148</v>
      </c>
      <c r="B22" t="s">
        <v>454</v>
      </c>
      <c r="C22" t="s">
        <v>342</v>
      </c>
      <c r="D22" t="s">
        <v>1613</v>
      </c>
      <c r="E22" s="82">
        <f t="shared" si="0"/>
        <v>0</v>
      </c>
      <c r="F22" t="s">
        <v>18</v>
      </c>
      <c r="G22" t="s">
        <v>342</v>
      </c>
      <c r="H22" t="s">
        <v>321</v>
      </c>
      <c r="I22">
        <v>556000000</v>
      </c>
      <c r="J22" t="s">
        <v>42</v>
      </c>
    </row>
    <row r="23" spans="1:10" hidden="1" x14ac:dyDescent="0.3">
      <c r="A23" t="s">
        <v>149</v>
      </c>
      <c r="B23" t="s">
        <v>455</v>
      </c>
      <c r="C23" t="s">
        <v>343</v>
      </c>
      <c r="D23" t="s">
        <v>1612</v>
      </c>
      <c r="E23" s="82">
        <f t="shared" si="0"/>
        <v>0</v>
      </c>
      <c r="F23" t="s">
        <v>18</v>
      </c>
      <c r="G23" t="s">
        <v>343</v>
      </c>
      <c r="H23" t="s">
        <v>321</v>
      </c>
      <c r="I23">
        <v>56000000</v>
      </c>
      <c r="J23" t="s">
        <v>42</v>
      </c>
    </row>
    <row r="24" spans="1:10" hidden="1" x14ac:dyDescent="0.3">
      <c r="A24" t="s">
        <v>149</v>
      </c>
      <c r="B24" t="s">
        <v>456</v>
      </c>
      <c r="C24" t="s">
        <v>344</v>
      </c>
      <c r="D24" t="s">
        <v>1611</v>
      </c>
      <c r="E24" s="82">
        <f t="shared" si="0"/>
        <v>0</v>
      </c>
      <c r="F24" t="s">
        <v>18</v>
      </c>
      <c r="G24" t="s">
        <v>344</v>
      </c>
      <c r="H24" t="s">
        <v>321</v>
      </c>
      <c r="I24">
        <v>9000000</v>
      </c>
      <c r="J24" t="s">
        <v>42</v>
      </c>
    </row>
    <row r="25" spans="1:10" hidden="1" x14ac:dyDescent="0.3">
      <c r="A25" t="s">
        <v>151</v>
      </c>
      <c r="B25" t="s">
        <v>457</v>
      </c>
      <c r="C25" t="s">
        <v>345</v>
      </c>
      <c r="D25" t="s">
        <v>1611</v>
      </c>
      <c r="E25" s="82">
        <f t="shared" si="0"/>
        <v>0</v>
      </c>
      <c r="F25" t="s">
        <v>18</v>
      </c>
      <c r="G25" t="s">
        <v>345</v>
      </c>
      <c r="H25" t="s">
        <v>321</v>
      </c>
      <c r="I25">
        <v>11000000</v>
      </c>
      <c r="J25" t="s">
        <v>42</v>
      </c>
    </row>
    <row r="26" spans="1:10" hidden="1" x14ac:dyDescent="0.3">
      <c r="A26" t="s">
        <v>151</v>
      </c>
      <c r="B26" t="s">
        <v>458</v>
      </c>
      <c r="C26" t="s">
        <v>346</v>
      </c>
      <c r="D26" t="s">
        <v>1613</v>
      </c>
      <c r="E26" s="82">
        <f t="shared" si="0"/>
        <v>0</v>
      </c>
      <c r="F26" t="s">
        <v>18</v>
      </c>
      <c r="G26" t="s">
        <v>346</v>
      </c>
      <c r="H26" t="s">
        <v>321</v>
      </c>
      <c r="I26">
        <v>291000000</v>
      </c>
      <c r="J26" t="s">
        <v>42</v>
      </c>
    </row>
    <row r="27" spans="1:10" hidden="1" x14ac:dyDescent="0.3">
      <c r="A27" t="s">
        <v>151</v>
      </c>
      <c r="B27" t="s">
        <v>459</v>
      </c>
      <c r="C27" t="s">
        <v>347</v>
      </c>
      <c r="D27" t="s">
        <v>1612</v>
      </c>
      <c r="E27" s="82">
        <f t="shared" si="0"/>
        <v>0</v>
      </c>
      <c r="F27" t="s">
        <v>18</v>
      </c>
      <c r="G27" t="s">
        <v>347</v>
      </c>
      <c r="H27" t="s">
        <v>321</v>
      </c>
      <c r="I27">
        <v>44000000</v>
      </c>
      <c r="J27" t="s">
        <v>42</v>
      </c>
    </row>
    <row r="28" spans="1:10" hidden="1" x14ac:dyDescent="0.3">
      <c r="A28" t="s">
        <v>151</v>
      </c>
      <c r="B28" t="s">
        <v>460</v>
      </c>
      <c r="C28" t="s">
        <v>348</v>
      </c>
      <c r="D28" t="s">
        <v>1613</v>
      </c>
      <c r="E28" s="82">
        <f t="shared" si="0"/>
        <v>0</v>
      </c>
      <c r="F28" t="s">
        <v>18</v>
      </c>
      <c r="G28" t="s">
        <v>348</v>
      </c>
      <c r="H28" t="s">
        <v>321</v>
      </c>
      <c r="I28">
        <v>462000000</v>
      </c>
      <c r="J28" t="s">
        <v>42</v>
      </c>
    </row>
    <row r="29" spans="1:10" hidden="1" x14ac:dyDescent="0.3">
      <c r="A29" t="s">
        <v>151</v>
      </c>
      <c r="B29" t="s">
        <v>461</v>
      </c>
      <c r="C29" t="s">
        <v>349</v>
      </c>
      <c r="D29" t="s">
        <v>1613</v>
      </c>
      <c r="E29" s="82">
        <f t="shared" si="0"/>
        <v>0</v>
      </c>
      <c r="F29" t="s">
        <v>18</v>
      </c>
      <c r="G29" t="s">
        <v>349</v>
      </c>
      <c r="H29" t="s">
        <v>321</v>
      </c>
      <c r="I29">
        <v>1006000000</v>
      </c>
      <c r="J29" t="s">
        <v>42</v>
      </c>
    </row>
    <row r="30" spans="1:10" hidden="1" x14ac:dyDescent="0.3">
      <c r="A30" t="s">
        <v>151</v>
      </c>
      <c r="B30" t="s">
        <v>462</v>
      </c>
      <c r="C30" t="s">
        <v>350</v>
      </c>
      <c r="D30" t="s">
        <v>1619</v>
      </c>
      <c r="E30" s="82">
        <f t="shared" si="0"/>
        <v>0</v>
      </c>
      <c r="F30" t="s">
        <v>18</v>
      </c>
      <c r="G30" t="s">
        <v>350</v>
      </c>
      <c r="H30" t="s">
        <v>321</v>
      </c>
      <c r="I30">
        <v>7000000</v>
      </c>
      <c r="J30" t="s">
        <v>42</v>
      </c>
    </row>
    <row r="31" spans="1:10" hidden="1" x14ac:dyDescent="0.3">
      <c r="A31" t="s">
        <v>151</v>
      </c>
      <c r="B31" t="s">
        <v>463</v>
      </c>
      <c r="C31" t="s">
        <v>351</v>
      </c>
      <c r="D31" t="s">
        <v>1612</v>
      </c>
      <c r="E31" s="82">
        <f t="shared" si="0"/>
        <v>0</v>
      </c>
      <c r="F31" t="s">
        <v>18</v>
      </c>
      <c r="G31" t="s">
        <v>351</v>
      </c>
      <c r="H31" t="s">
        <v>321</v>
      </c>
      <c r="I31">
        <v>68000000</v>
      </c>
      <c r="J31" t="s">
        <v>42</v>
      </c>
    </row>
    <row r="32" spans="1:10" hidden="1" x14ac:dyDescent="0.3">
      <c r="A32" t="s">
        <v>151</v>
      </c>
      <c r="B32" t="s">
        <v>464</v>
      </c>
      <c r="C32" t="s">
        <v>352</v>
      </c>
      <c r="D32" t="s">
        <v>1611</v>
      </c>
      <c r="E32" s="82">
        <f t="shared" si="0"/>
        <v>0</v>
      </c>
      <c r="F32" t="s">
        <v>18</v>
      </c>
      <c r="G32" t="s">
        <v>352</v>
      </c>
      <c r="H32" t="s">
        <v>321</v>
      </c>
      <c r="I32">
        <v>14000000</v>
      </c>
      <c r="J32" t="s">
        <v>42</v>
      </c>
    </row>
    <row r="33" spans="1:10" hidden="1" x14ac:dyDescent="0.3">
      <c r="A33" t="s">
        <v>151</v>
      </c>
      <c r="B33" t="s">
        <v>465</v>
      </c>
      <c r="C33" t="s">
        <v>353</v>
      </c>
      <c r="D33" t="s">
        <v>1611</v>
      </c>
      <c r="E33" s="82">
        <f t="shared" ref="E33:E64" si="1">SIGN(SUBTOTAL(3,F33))</f>
        <v>0</v>
      </c>
      <c r="F33" t="s">
        <v>18</v>
      </c>
      <c r="G33" t="s">
        <v>353</v>
      </c>
      <c r="H33" t="s">
        <v>321</v>
      </c>
      <c r="I33">
        <v>16000000</v>
      </c>
      <c r="J33" t="s">
        <v>42</v>
      </c>
    </row>
    <row r="34" spans="1:10" hidden="1" x14ac:dyDescent="0.3">
      <c r="A34" t="s">
        <v>151</v>
      </c>
      <c r="B34" t="s">
        <v>466</v>
      </c>
      <c r="C34" t="s">
        <v>354</v>
      </c>
      <c r="D34" t="s">
        <v>1611</v>
      </c>
      <c r="E34" s="82">
        <f t="shared" si="1"/>
        <v>0</v>
      </c>
      <c r="F34" t="s">
        <v>18</v>
      </c>
      <c r="G34" t="s">
        <v>354</v>
      </c>
      <c r="H34" t="s">
        <v>321</v>
      </c>
      <c r="I34">
        <v>11000000</v>
      </c>
      <c r="J34" t="s">
        <v>42</v>
      </c>
    </row>
    <row r="35" spans="1:10" hidden="1" x14ac:dyDescent="0.3">
      <c r="A35" t="s">
        <v>151</v>
      </c>
      <c r="B35" t="s">
        <v>467</v>
      </c>
      <c r="C35" t="s">
        <v>355</v>
      </c>
      <c r="D35" t="s">
        <v>1612</v>
      </c>
      <c r="E35" s="82">
        <f t="shared" si="1"/>
        <v>0</v>
      </c>
      <c r="F35" t="s">
        <v>18</v>
      </c>
      <c r="G35" t="s">
        <v>355</v>
      </c>
      <c r="H35" t="s">
        <v>321</v>
      </c>
      <c r="I35">
        <v>80000000</v>
      </c>
      <c r="J35" t="s">
        <v>42</v>
      </c>
    </row>
    <row r="36" spans="1:10" hidden="1" x14ac:dyDescent="0.3">
      <c r="A36" t="s">
        <v>151</v>
      </c>
      <c r="B36" t="s">
        <v>460</v>
      </c>
      <c r="C36" t="s">
        <v>356</v>
      </c>
      <c r="D36" t="s">
        <v>1611</v>
      </c>
      <c r="E36" s="82">
        <f t="shared" si="1"/>
        <v>0</v>
      </c>
      <c r="F36" t="s">
        <v>18</v>
      </c>
      <c r="G36" t="s">
        <v>356</v>
      </c>
      <c r="H36" t="s">
        <v>321</v>
      </c>
      <c r="I36">
        <v>18000000</v>
      </c>
      <c r="J36" t="s">
        <v>42</v>
      </c>
    </row>
    <row r="37" spans="1:10" hidden="1" x14ac:dyDescent="0.3">
      <c r="A37" t="s">
        <v>151</v>
      </c>
      <c r="B37" t="s">
        <v>468</v>
      </c>
      <c r="C37" t="s">
        <v>357</v>
      </c>
      <c r="D37" t="s">
        <v>1611</v>
      </c>
      <c r="E37" s="82">
        <f t="shared" si="1"/>
        <v>0</v>
      </c>
      <c r="F37" t="s">
        <v>18</v>
      </c>
      <c r="G37" t="s">
        <v>357</v>
      </c>
      <c r="H37" t="s">
        <v>321</v>
      </c>
      <c r="I37">
        <v>25000000</v>
      </c>
      <c r="J37" t="s">
        <v>42</v>
      </c>
    </row>
    <row r="38" spans="1:10" hidden="1" x14ac:dyDescent="0.3">
      <c r="A38" t="s">
        <v>151</v>
      </c>
      <c r="B38" t="s">
        <v>469</v>
      </c>
      <c r="C38" t="s">
        <v>358</v>
      </c>
      <c r="D38" t="s">
        <v>1619</v>
      </c>
      <c r="E38" s="82">
        <f t="shared" si="1"/>
        <v>0</v>
      </c>
      <c r="F38" t="s">
        <v>18</v>
      </c>
      <c r="G38" t="s">
        <v>358</v>
      </c>
      <c r="H38" t="s">
        <v>321</v>
      </c>
      <c r="I38">
        <v>1000000</v>
      </c>
      <c r="J38" t="s">
        <v>42</v>
      </c>
    </row>
    <row r="39" spans="1:10" hidden="1" x14ac:dyDescent="0.3">
      <c r="A39" t="s">
        <v>151</v>
      </c>
      <c r="B39" t="s">
        <v>470</v>
      </c>
      <c r="C39" t="s">
        <v>359</v>
      </c>
      <c r="D39" t="s">
        <v>1613</v>
      </c>
      <c r="E39" s="82">
        <f t="shared" si="1"/>
        <v>0</v>
      </c>
      <c r="F39" t="s">
        <v>18</v>
      </c>
      <c r="G39" t="s">
        <v>359</v>
      </c>
      <c r="H39" t="s">
        <v>321</v>
      </c>
      <c r="I39">
        <v>180000000</v>
      </c>
      <c r="J39" t="s">
        <v>42</v>
      </c>
    </row>
    <row r="40" spans="1:10" hidden="1" x14ac:dyDescent="0.3">
      <c r="A40" t="s">
        <v>151</v>
      </c>
      <c r="B40" t="s">
        <v>471</v>
      </c>
      <c r="C40" t="s">
        <v>360</v>
      </c>
      <c r="D40" t="s">
        <v>1611</v>
      </c>
      <c r="E40" s="82">
        <f t="shared" si="1"/>
        <v>0</v>
      </c>
      <c r="F40" t="s">
        <v>18</v>
      </c>
      <c r="G40" t="s">
        <v>360</v>
      </c>
      <c r="H40" t="s">
        <v>321</v>
      </c>
      <c r="I40">
        <v>10000000</v>
      </c>
      <c r="J40" t="s">
        <v>42</v>
      </c>
    </row>
    <row r="41" spans="1:10" hidden="1" x14ac:dyDescent="0.3">
      <c r="A41" t="s">
        <v>152</v>
      </c>
      <c r="B41" t="s">
        <v>472</v>
      </c>
      <c r="C41" t="s">
        <v>361</v>
      </c>
      <c r="D41" t="s">
        <v>1613</v>
      </c>
      <c r="E41" s="82">
        <f t="shared" si="1"/>
        <v>0</v>
      </c>
      <c r="F41" t="s">
        <v>18</v>
      </c>
      <c r="G41" t="s">
        <v>361</v>
      </c>
      <c r="H41" t="s">
        <v>321</v>
      </c>
      <c r="I41">
        <v>1013000000</v>
      </c>
      <c r="J41" t="s">
        <v>42</v>
      </c>
    </row>
    <row r="42" spans="1:10" hidden="1" x14ac:dyDescent="0.3">
      <c r="A42" t="s">
        <v>152</v>
      </c>
      <c r="B42" t="s">
        <v>473</v>
      </c>
      <c r="C42" t="s">
        <v>362</v>
      </c>
      <c r="D42" t="s">
        <v>1611</v>
      </c>
      <c r="E42" s="82">
        <f t="shared" si="1"/>
        <v>0</v>
      </c>
      <c r="F42" t="s">
        <v>18</v>
      </c>
      <c r="G42" t="s">
        <v>362</v>
      </c>
      <c r="H42" t="s">
        <v>321</v>
      </c>
      <c r="I42">
        <v>32000000</v>
      </c>
      <c r="J42" t="s">
        <v>42</v>
      </c>
    </row>
    <row r="43" spans="1:10" hidden="1" x14ac:dyDescent="0.3">
      <c r="A43" t="s">
        <v>1686</v>
      </c>
      <c r="B43" t="s">
        <v>1679</v>
      </c>
      <c r="C43" t="s">
        <v>1690</v>
      </c>
      <c r="D43" t="s">
        <v>1613</v>
      </c>
      <c r="E43" s="82">
        <f t="shared" si="1"/>
        <v>0</v>
      </c>
      <c r="F43" t="s">
        <v>18</v>
      </c>
      <c r="G43" t="s">
        <v>1690</v>
      </c>
      <c r="H43" t="s">
        <v>321</v>
      </c>
      <c r="I43">
        <v>508000000</v>
      </c>
      <c r="J43" t="s">
        <v>42</v>
      </c>
    </row>
    <row r="44" spans="1:10" hidden="1" x14ac:dyDescent="0.3">
      <c r="A44" t="s">
        <v>1686</v>
      </c>
      <c r="B44" t="s">
        <v>1680</v>
      </c>
      <c r="C44" t="s">
        <v>1691</v>
      </c>
      <c r="D44" t="s">
        <v>1611</v>
      </c>
      <c r="E44" s="82">
        <f t="shared" si="1"/>
        <v>0</v>
      </c>
      <c r="F44" t="s">
        <v>18</v>
      </c>
      <c r="G44" t="s">
        <v>1691</v>
      </c>
      <c r="H44" t="s">
        <v>321</v>
      </c>
      <c r="I44">
        <v>3000000</v>
      </c>
      <c r="J44" t="s">
        <v>42</v>
      </c>
    </row>
    <row r="45" spans="1:10" hidden="1" x14ac:dyDescent="0.3">
      <c r="A45" t="s">
        <v>1686</v>
      </c>
      <c r="B45" t="s">
        <v>1681</v>
      </c>
      <c r="C45" t="s">
        <v>1692</v>
      </c>
      <c r="D45" t="s">
        <v>1611</v>
      </c>
      <c r="E45" s="82">
        <f t="shared" si="1"/>
        <v>0</v>
      </c>
      <c r="F45" t="s">
        <v>18</v>
      </c>
      <c r="G45" t="s">
        <v>1692</v>
      </c>
      <c r="H45" t="s">
        <v>321</v>
      </c>
      <c r="I45">
        <v>43000000</v>
      </c>
      <c r="J45" t="s">
        <v>42</v>
      </c>
    </row>
    <row r="46" spans="1:10" hidden="1" x14ac:dyDescent="0.3">
      <c r="A46" t="s">
        <v>1686</v>
      </c>
      <c r="B46" t="s">
        <v>1682</v>
      </c>
      <c r="C46" t="s">
        <v>1693</v>
      </c>
      <c r="D46" t="s">
        <v>1611</v>
      </c>
      <c r="E46" s="82">
        <f t="shared" si="1"/>
        <v>0</v>
      </c>
      <c r="F46" t="s">
        <v>18</v>
      </c>
      <c r="G46" t="s">
        <v>1693</v>
      </c>
      <c r="H46" t="s">
        <v>321</v>
      </c>
      <c r="I46">
        <v>30000000</v>
      </c>
      <c r="J46" t="s">
        <v>42</v>
      </c>
    </row>
    <row r="47" spans="1:10" hidden="1" x14ac:dyDescent="0.3">
      <c r="A47" t="s">
        <v>1686</v>
      </c>
      <c r="B47" t="s">
        <v>1683</v>
      </c>
      <c r="C47" t="s">
        <v>1694</v>
      </c>
      <c r="D47" t="s">
        <v>1612</v>
      </c>
      <c r="E47" s="82">
        <f t="shared" si="1"/>
        <v>0</v>
      </c>
      <c r="F47" t="s">
        <v>18</v>
      </c>
      <c r="G47" t="s">
        <v>1694</v>
      </c>
      <c r="H47" t="s">
        <v>321</v>
      </c>
      <c r="I47">
        <v>67000000</v>
      </c>
      <c r="J47" t="s">
        <v>42</v>
      </c>
    </row>
    <row r="48" spans="1:10" hidden="1" x14ac:dyDescent="0.3">
      <c r="A48" t="s">
        <v>154</v>
      </c>
      <c r="B48" t="s">
        <v>474</v>
      </c>
      <c r="C48" t="s">
        <v>363</v>
      </c>
      <c r="D48" t="s">
        <v>1613</v>
      </c>
      <c r="E48" s="82">
        <f t="shared" si="1"/>
        <v>0</v>
      </c>
      <c r="F48" t="s">
        <v>18</v>
      </c>
      <c r="G48" t="s">
        <v>363</v>
      </c>
      <c r="H48" t="s">
        <v>321</v>
      </c>
      <c r="I48">
        <v>140000000</v>
      </c>
      <c r="J48" t="s">
        <v>42</v>
      </c>
    </row>
    <row r="49" spans="1:10" hidden="1" x14ac:dyDescent="0.3">
      <c r="A49" t="s">
        <v>154</v>
      </c>
      <c r="B49" t="s">
        <v>474</v>
      </c>
      <c r="C49" t="s">
        <v>364</v>
      </c>
      <c r="D49" t="s">
        <v>1613</v>
      </c>
      <c r="E49" s="82">
        <f t="shared" si="1"/>
        <v>0</v>
      </c>
      <c r="F49" t="s">
        <v>18</v>
      </c>
      <c r="G49" t="s">
        <v>364</v>
      </c>
      <c r="H49" t="s">
        <v>321</v>
      </c>
      <c r="I49">
        <v>992000000</v>
      </c>
      <c r="J49" t="s">
        <v>42</v>
      </c>
    </row>
    <row r="50" spans="1:10" hidden="1" x14ac:dyDescent="0.3">
      <c r="A50" t="s">
        <v>155</v>
      </c>
      <c r="B50" t="s">
        <v>475</v>
      </c>
      <c r="C50" t="s">
        <v>365</v>
      </c>
      <c r="D50" t="s">
        <v>1612</v>
      </c>
      <c r="E50" s="82">
        <f t="shared" si="1"/>
        <v>0</v>
      </c>
      <c r="F50" t="s">
        <v>18</v>
      </c>
      <c r="G50" t="s">
        <v>365</v>
      </c>
      <c r="H50" t="s">
        <v>321</v>
      </c>
      <c r="I50">
        <v>134000000</v>
      </c>
      <c r="J50" t="s">
        <v>42</v>
      </c>
    </row>
    <row r="51" spans="1:10" hidden="1" x14ac:dyDescent="0.3">
      <c r="A51" t="s">
        <v>156</v>
      </c>
      <c r="B51" t="s">
        <v>476</v>
      </c>
      <c r="C51" t="s">
        <v>366</v>
      </c>
      <c r="D51" t="s">
        <v>1611</v>
      </c>
      <c r="E51" s="82">
        <f t="shared" si="1"/>
        <v>0</v>
      </c>
      <c r="F51" t="s">
        <v>18</v>
      </c>
      <c r="G51" t="s">
        <v>366</v>
      </c>
      <c r="H51" t="s">
        <v>321</v>
      </c>
      <c r="I51">
        <v>25000000</v>
      </c>
      <c r="J51" t="s">
        <v>42</v>
      </c>
    </row>
    <row r="52" spans="1:10" hidden="1" x14ac:dyDescent="0.3">
      <c r="A52" t="s">
        <v>157</v>
      </c>
      <c r="B52" t="s">
        <v>477</v>
      </c>
      <c r="C52" t="s">
        <v>367</v>
      </c>
      <c r="D52" t="s">
        <v>1611</v>
      </c>
      <c r="E52" s="82">
        <f t="shared" si="1"/>
        <v>0</v>
      </c>
      <c r="F52" t="s">
        <v>18</v>
      </c>
      <c r="G52" t="s">
        <v>367</v>
      </c>
      <c r="H52" t="s">
        <v>321</v>
      </c>
      <c r="I52">
        <v>16000000</v>
      </c>
      <c r="J52" t="s">
        <v>42</v>
      </c>
    </row>
    <row r="53" spans="1:10" hidden="1" x14ac:dyDescent="0.3">
      <c r="A53" t="s">
        <v>158</v>
      </c>
      <c r="B53" t="s">
        <v>478</v>
      </c>
      <c r="C53" t="s">
        <v>368</v>
      </c>
      <c r="D53" t="s">
        <v>1612</v>
      </c>
      <c r="E53" s="82">
        <f t="shared" si="1"/>
        <v>0</v>
      </c>
      <c r="F53" t="s">
        <v>18</v>
      </c>
      <c r="G53" t="s">
        <v>368</v>
      </c>
      <c r="H53" t="s">
        <v>321</v>
      </c>
      <c r="I53">
        <v>281000000</v>
      </c>
      <c r="J53" t="s">
        <v>42</v>
      </c>
    </row>
    <row r="54" spans="1:10" hidden="1" x14ac:dyDescent="0.3">
      <c r="A54" t="s">
        <v>158</v>
      </c>
      <c r="B54" t="s">
        <v>479</v>
      </c>
      <c r="C54" t="s">
        <v>369</v>
      </c>
      <c r="D54" t="s">
        <v>1611</v>
      </c>
      <c r="E54" s="82">
        <f t="shared" si="1"/>
        <v>0</v>
      </c>
      <c r="F54" t="s">
        <v>18</v>
      </c>
      <c r="G54" t="s">
        <v>369</v>
      </c>
      <c r="H54" t="s">
        <v>321</v>
      </c>
      <c r="I54">
        <v>342000000</v>
      </c>
      <c r="J54" t="s">
        <v>42</v>
      </c>
    </row>
    <row r="55" spans="1:10" hidden="1" x14ac:dyDescent="0.3">
      <c r="A55" t="s">
        <v>159</v>
      </c>
      <c r="B55" t="s">
        <v>480</v>
      </c>
      <c r="C55" t="s">
        <v>370</v>
      </c>
      <c r="D55" t="s">
        <v>1612</v>
      </c>
      <c r="E55" s="82">
        <f t="shared" si="1"/>
        <v>0</v>
      </c>
      <c r="F55" t="s">
        <v>18</v>
      </c>
      <c r="G55" t="s">
        <v>370</v>
      </c>
      <c r="H55" t="s">
        <v>321</v>
      </c>
      <c r="I55">
        <v>83000000</v>
      </c>
      <c r="J55" t="s">
        <v>42</v>
      </c>
    </row>
    <row r="56" spans="1:10" hidden="1" x14ac:dyDescent="0.3">
      <c r="A56" t="s">
        <v>161</v>
      </c>
      <c r="B56" t="s">
        <v>481</v>
      </c>
      <c r="C56" t="s">
        <v>371</v>
      </c>
      <c r="D56" t="s">
        <v>1613</v>
      </c>
      <c r="E56" s="82">
        <f t="shared" si="1"/>
        <v>0</v>
      </c>
      <c r="F56" t="s">
        <v>18</v>
      </c>
      <c r="G56" t="s">
        <v>371</v>
      </c>
      <c r="H56" t="s">
        <v>321</v>
      </c>
      <c r="I56">
        <v>233000000</v>
      </c>
      <c r="J56" t="s">
        <v>42</v>
      </c>
    </row>
    <row r="57" spans="1:10" hidden="1" x14ac:dyDescent="0.3">
      <c r="A57" t="s">
        <v>162</v>
      </c>
      <c r="B57" t="s">
        <v>482</v>
      </c>
      <c r="C57" t="s">
        <v>372</v>
      </c>
      <c r="D57" t="s">
        <v>1613</v>
      </c>
      <c r="E57" s="82">
        <f t="shared" si="1"/>
        <v>0</v>
      </c>
      <c r="F57" t="s">
        <v>18</v>
      </c>
      <c r="G57" t="s">
        <v>372</v>
      </c>
      <c r="H57" t="s">
        <v>321</v>
      </c>
      <c r="I57">
        <v>545000000</v>
      </c>
      <c r="J57" t="s">
        <v>42</v>
      </c>
    </row>
    <row r="58" spans="1:10" hidden="1" x14ac:dyDescent="0.3">
      <c r="A58" t="s">
        <v>163</v>
      </c>
      <c r="B58" t="s">
        <v>483</v>
      </c>
      <c r="C58" t="s">
        <v>373</v>
      </c>
      <c r="D58" t="s">
        <v>1613</v>
      </c>
      <c r="E58" s="82">
        <f t="shared" si="1"/>
        <v>0</v>
      </c>
      <c r="F58" t="s">
        <v>18</v>
      </c>
      <c r="G58" t="s">
        <v>373</v>
      </c>
      <c r="H58" t="s">
        <v>321</v>
      </c>
      <c r="I58">
        <v>315000000</v>
      </c>
      <c r="J58" t="s">
        <v>42</v>
      </c>
    </row>
    <row r="59" spans="1:10" hidden="1" x14ac:dyDescent="0.3">
      <c r="A59" t="s">
        <v>163</v>
      </c>
      <c r="B59" t="s">
        <v>484</v>
      </c>
      <c r="C59" t="s">
        <v>374</v>
      </c>
      <c r="D59" t="s">
        <v>1611</v>
      </c>
      <c r="E59" s="82">
        <f t="shared" si="1"/>
        <v>0</v>
      </c>
      <c r="F59" t="s">
        <v>18</v>
      </c>
      <c r="G59" t="s">
        <v>374</v>
      </c>
      <c r="H59" t="s">
        <v>321</v>
      </c>
      <c r="I59">
        <v>27000000</v>
      </c>
      <c r="J59" t="s">
        <v>42</v>
      </c>
    </row>
    <row r="60" spans="1:10" hidden="1" x14ac:dyDescent="0.3">
      <c r="A60" t="s">
        <v>164</v>
      </c>
      <c r="B60" t="s">
        <v>485</v>
      </c>
      <c r="C60" t="s">
        <v>375</v>
      </c>
      <c r="D60" t="s">
        <v>1613</v>
      </c>
      <c r="E60" s="82">
        <f t="shared" si="1"/>
        <v>0</v>
      </c>
      <c r="F60" t="s">
        <v>18</v>
      </c>
      <c r="G60" t="s">
        <v>375</v>
      </c>
      <c r="H60" t="s">
        <v>321</v>
      </c>
      <c r="I60">
        <v>341000000</v>
      </c>
      <c r="J60" t="s">
        <v>42</v>
      </c>
    </row>
    <row r="61" spans="1:10" hidden="1" x14ac:dyDescent="0.3">
      <c r="A61" t="s">
        <v>166</v>
      </c>
      <c r="B61" t="s">
        <v>486</v>
      </c>
      <c r="C61" t="s">
        <v>376</v>
      </c>
      <c r="D61" t="s">
        <v>1612</v>
      </c>
      <c r="E61" s="82">
        <f t="shared" si="1"/>
        <v>0</v>
      </c>
      <c r="F61" t="s">
        <v>18</v>
      </c>
      <c r="G61" t="s">
        <v>376</v>
      </c>
      <c r="H61" t="s">
        <v>321</v>
      </c>
      <c r="I61">
        <v>89000000</v>
      </c>
      <c r="J61" t="s">
        <v>42</v>
      </c>
    </row>
    <row r="62" spans="1:10" hidden="1" x14ac:dyDescent="0.3">
      <c r="A62" t="s">
        <v>166</v>
      </c>
      <c r="B62" t="s">
        <v>487</v>
      </c>
      <c r="C62" t="s">
        <v>377</v>
      </c>
      <c r="D62" t="s">
        <v>1612</v>
      </c>
      <c r="E62" s="82">
        <f t="shared" si="1"/>
        <v>0</v>
      </c>
      <c r="F62" t="s">
        <v>18</v>
      </c>
      <c r="G62" t="s">
        <v>377</v>
      </c>
      <c r="H62" t="s">
        <v>321</v>
      </c>
      <c r="I62">
        <v>109000000</v>
      </c>
      <c r="J62" t="s">
        <v>42</v>
      </c>
    </row>
    <row r="63" spans="1:10" hidden="1" x14ac:dyDescent="0.3">
      <c r="A63" t="s">
        <v>167</v>
      </c>
      <c r="B63" t="s">
        <v>488</v>
      </c>
      <c r="C63" t="s">
        <v>378</v>
      </c>
      <c r="D63" t="s">
        <v>1611</v>
      </c>
      <c r="E63" s="82">
        <f t="shared" si="1"/>
        <v>0</v>
      </c>
      <c r="F63" t="s">
        <v>18</v>
      </c>
      <c r="G63" t="s">
        <v>378</v>
      </c>
      <c r="H63" t="s">
        <v>321</v>
      </c>
      <c r="I63">
        <v>20000000</v>
      </c>
      <c r="J63" t="s">
        <v>42</v>
      </c>
    </row>
    <row r="64" spans="1:10" hidden="1" x14ac:dyDescent="0.3">
      <c r="A64" t="s">
        <v>168</v>
      </c>
      <c r="B64" t="s">
        <v>489</v>
      </c>
      <c r="C64" t="s">
        <v>379</v>
      </c>
      <c r="D64" t="s">
        <v>1612</v>
      </c>
      <c r="E64" s="82">
        <f t="shared" si="1"/>
        <v>0</v>
      </c>
      <c r="F64" t="s">
        <v>18</v>
      </c>
      <c r="G64" t="s">
        <v>379</v>
      </c>
      <c r="H64" t="s">
        <v>321</v>
      </c>
      <c r="I64">
        <v>17000000</v>
      </c>
      <c r="J64" t="s">
        <v>42</v>
      </c>
    </row>
    <row r="65" spans="1:10" hidden="1" x14ac:dyDescent="0.3">
      <c r="A65" t="s">
        <v>169</v>
      </c>
      <c r="B65" t="s">
        <v>490</v>
      </c>
      <c r="C65" t="s">
        <v>380</v>
      </c>
      <c r="D65" t="s">
        <v>1613</v>
      </c>
      <c r="E65" s="82">
        <f t="shared" ref="E65:E95" si="2">SIGN(SUBTOTAL(3,F65))</f>
        <v>0</v>
      </c>
      <c r="F65" t="s">
        <v>18</v>
      </c>
      <c r="G65" t="s">
        <v>380</v>
      </c>
      <c r="H65" t="s">
        <v>321</v>
      </c>
      <c r="I65">
        <v>471000000</v>
      </c>
      <c r="J65" t="s">
        <v>42</v>
      </c>
    </row>
    <row r="66" spans="1:10" hidden="1" x14ac:dyDescent="0.3">
      <c r="A66" t="s">
        <v>169</v>
      </c>
      <c r="B66" t="s">
        <v>491</v>
      </c>
      <c r="C66" t="s">
        <v>381</v>
      </c>
      <c r="D66" t="s">
        <v>1611</v>
      </c>
      <c r="E66" s="82">
        <f t="shared" si="2"/>
        <v>0</v>
      </c>
      <c r="F66" t="s">
        <v>18</v>
      </c>
      <c r="G66" t="s">
        <v>381</v>
      </c>
      <c r="H66" t="s">
        <v>321</v>
      </c>
      <c r="I66">
        <v>29000000</v>
      </c>
      <c r="J66" t="s">
        <v>42</v>
      </c>
    </row>
    <row r="67" spans="1:10" hidden="1" x14ac:dyDescent="0.3">
      <c r="A67" t="s">
        <v>171</v>
      </c>
      <c r="B67" t="s">
        <v>492</v>
      </c>
      <c r="C67" t="s">
        <v>382</v>
      </c>
      <c r="D67" t="s">
        <v>1613</v>
      </c>
      <c r="E67" s="82">
        <f t="shared" si="2"/>
        <v>0</v>
      </c>
      <c r="F67" t="s">
        <v>18</v>
      </c>
      <c r="G67" t="s">
        <v>382</v>
      </c>
      <c r="H67" t="s">
        <v>321</v>
      </c>
      <c r="I67">
        <v>774000000</v>
      </c>
      <c r="J67" t="s">
        <v>42</v>
      </c>
    </row>
    <row r="68" spans="1:10" hidden="1" x14ac:dyDescent="0.3">
      <c r="A68" t="s">
        <v>172</v>
      </c>
      <c r="B68" t="s">
        <v>493</v>
      </c>
      <c r="C68" t="s">
        <v>383</v>
      </c>
      <c r="D68" t="s">
        <v>1612</v>
      </c>
      <c r="E68" s="82">
        <f t="shared" si="2"/>
        <v>0</v>
      </c>
      <c r="F68" t="s">
        <v>18</v>
      </c>
      <c r="G68" t="s">
        <v>383</v>
      </c>
      <c r="H68" t="s">
        <v>321</v>
      </c>
      <c r="I68">
        <v>29000000</v>
      </c>
      <c r="J68" t="s">
        <v>42</v>
      </c>
    </row>
    <row r="69" spans="1:10" hidden="1" x14ac:dyDescent="0.3">
      <c r="A69" t="s">
        <v>173</v>
      </c>
      <c r="B69" t="s">
        <v>494</v>
      </c>
      <c r="C69" t="s">
        <v>384</v>
      </c>
      <c r="D69" t="s">
        <v>1611</v>
      </c>
      <c r="E69" s="82">
        <f t="shared" si="2"/>
        <v>0</v>
      </c>
      <c r="F69" t="s">
        <v>18</v>
      </c>
      <c r="G69" t="s">
        <v>384</v>
      </c>
      <c r="H69" t="s">
        <v>321</v>
      </c>
      <c r="I69">
        <v>21000000</v>
      </c>
      <c r="J69" t="s">
        <v>42</v>
      </c>
    </row>
    <row r="70" spans="1:10" hidden="1" x14ac:dyDescent="0.3">
      <c r="A70" t="s">
        <v>173</v>
      </c>
      <c r="B70" t="s">
        <v>495</v>
      </c>
      <c r="C70" t="s">
        <v>385</v>
      </c>
      <c r="D70" t="s">
        <v>1611</v>
      </c>
      <c r="E70" s="82">
        <f t="shared" si="2"/>
        <v>0</v>
      </c>
      <c r="F70" t="s">
        <v>18</v>
      </c>
      <c r="G70" t="s">
        <v>385</v>
      </c>
      <c r="H70" t="s">
        <v>321</v>
      </c>
      <c r="I70">
        <v>32000000</v>
      </c>
      <c r="J70" t="s">
        <v>42</v>
      </c>
    </row>
    <row r="71" spans="1:10" hidden="1" x14ac:dyDescent="0.3">
      <c r="A71" t="s">
        <v>173</v>
      </c>
      <c r="B71" t="s">
        <v>496</v>
      </c>
      <c r="C71" t="s">
        <v>386</v>
      </c>
      <c r="D71" t="s">
        <v>1611</v>
      </c>
      <c r="E71" s="82">
        <f t="shared" si="2"/>
        <v>0</v>
      </c>
      <c r="F71" t="s">
        <v>18</v>
      </c>
      <c r="G71" t="s">
        <v>386</v>
      </c>
      <c r="H71" t="s">
        <v>321</v>
      </c>
      <c r="I71">
        <v>45000000</v>
      </c>
      <c r="J71" t="s">
        <v>42</v>
      </c>
    </row>
    <row r="72" spans="1:10" hidden="1" x14ac:dyDescent="0.3">
      <c r="A72" t="s">
        <v>173</v>
      </c>
      <c r="B72" t="s">
        <v>173</v>
      </c>
      <c r="C72" t="s">
        <v>387</v>
      </c>
      <c r="D72" t="s">
        <v>1611</v>
      </c>
      <c r="E72" s="82">
        <f t="shared" si="2"/>
        <v>0</v>
      </c>
      <c r="F72" t="s">
        <v>18</v>
      </c>
      <c r="G72" t="s">
        <v>387</v>
      </c>
      <c r="H72" t="s">
        <v>321</v>
      </c>
      <c r="I72">
        <v>8000000</v>
      </c>
      <c r="J72" t="s">
        <v>42</v>
      </c>
    </row>
    <row r="73" spans="1:10" hidden="1" x14ac:dyDescent="0.3">
      <c r="A73" t="s">
        <v>173</v>
      </c>
      <c r="B73" t="s">
        <v>173</v>
      </c>
      <c r="C73" t="s">
        <v>388</v>
      </c>
      <c r="D73" t="s">
        <v>1613</v>
      </c>
      <c r="E73" s="82">
        <f t="shared" si="2"/>
        <v>0</v>
      </c>
      <c r="F73" t="s">
        <v>18</v>
      </c>
      <c r="G73" t="s">
        <v>388</v>
      </c>
      <c r="H73" t="s">
        <v>321</v>
      </c>
      <c r="I73">
        <v>1611000000</v>
      </c>
      <c r="J73" t="s">
        <v>42</v>
      </c>
    </row>
    <row r="74" spans="1:10" hidden="1" x14ac:dyDescent="0.3">
      <c r="A74" t="s">
        <v>173</v>
      </c>
      <c r="B74" t="s">
        <v>173</v>
      </c>
      <c r="C74" t="s">
        <v>389</v>
      </c>
      <c r="D74" t="s">
        <v>1613</v>
      </c>
      <c r="E74" s="82">
        <f t="shared" si="2"/>
        <v>0</v>
      </c>
      <c r="F74" t="s">
        <v>18</v>
      </c>
      <c r="G74" t="s">
        <v>389</v>
      </c>
      <c r="H74" t="s">
        <v>321</v>
      </c>
      <c r="I74">
        <v>261000000</v>
      </c>
      <c r="J74" t="s">
        <v>42</v>
      </c>
    </row>
    <row r="75" spans="1:10" hidden="1" x14ac:dyDescent="0.3">
      <c r="A75" t="s">
        <v>173</v>
      </c>
      <c r="B75" t="s">
        <v>497</v>
      </c>
      <c r="C75" t="s">
        <v>390</v>
      </c>
      <c r="D75" t="s">
        <v>1611</v>
      </c>
      <c r="E75" s="82">
        <f t="shared" si="2"/>
        <v>0</v>
      </c>
      <c r="F75" t="s">
        <v>18</v>
      </c>
      <c r="G75" t="s">
        <v>390</v>
      </c>
      <c r="H75" t="s">
        <v>321</v>
      </c>
      <c r="I75">
        <v>18000000</v>
      </c>
      <c r="J75" t="s">
        <v>42</v>
      </c>
    </row>
    <row r="76" spans="1:10" hidden="1" x14ac:dyDescent="0.3">
      <c r="A76" t="s">
        <v>173</v>
      </c>
      <c r="B76" t="s">
        <v>498</v>
      </c>
      <c r="C76" t="s">
        <v>391</v>
      </c>
      <c r="D76" t="s">
        <v>1619</v>
      </c>
      <c r="E76" s="82">
        <f t="shared" si="2"/>
        <v>0</v>
      </c>
      <c r="F76" t="s">
        <v>18</v>
      </c>
      <c r="G76" t="s">
        <v>391</v>
      </c>
      <c r="H76" t="s">
        <v>321</v>
      </c>
      <c r="I76">
        <v>6000000</v>
      </c>
      <c r="J76" t="s">
        <v>42</v>
      </c>
    </row>
    <row r="77" spans="1:10" hidden="1" x14ac:dyDescent="0.3">
      <c r="A77" t="s">
        <v>173</v>
      </c>
      <c r="B77" t="s">
        <v>499</v>
      </c>
      <c r="C77" t="s">
        <v>392</v>
      </c>
      <c r="D77" t="s">
        <v>1611</v>
      </c>
      <c r="E77" s="82">
        <f t="shared" si="2"/>
        <v>0</v>
      </c>
      <c r="F77" t="s">
        <v>18</v>
      </c>
      <c r="G77" t="s">
        <v>392</v>
      </c>
      <c r="H77" t="s">
        <v>321</v>
      </c>
      <c r="I77">
        <v>20000000</v>
      </c>
      <c r="J77" t="s">
        <v>42</v>
      </c>
    </row>
    <row r="78" spans="1:10" hidden="1" x14ac:dyDescent="0.3">
      <c r="A78" t="s">
        <v>174</v>
      </c>
      <c r="B78" t="s">
        <v>500</v>
      </c>
      <c r="C78" t="s">
        <v>393</v>
      </c>
      <c r="D78" t="s">
        <v>1611</v>
      </c>
      <c r="E78" s="82">
        <f t="shared" si="2"/>
        <v>0</v>
      </c>
      <c r="F78" t="s">
        <v>18</v>
      </c>
      <c r="G78" t="s">
        <v>393</v>
      </c>
      <c r="H78" t="s">
        <v>321</v>
      </c>
      <c r="I78">
        <v>13000000</v>
      </c>
      <c r="J78" t="s">
        <v>42</v>
      </c>
    </row>
    <row r="79" spans="1:10" hidden="1" x14ac:dyDescent="0.3">
      <c r="A79" t="s">
        <v>174</v>
      </c>
      <c r="B79" t="s">
        <v>501</v>
      </c>
      <c r="C79" t="s">
        <v>394</v>
      </c>
      <c r="D79" t="s">
        <v>1613</v>
      </c>
      <c r="E79" s="82">
        <f t="shared" si="2"/>
        <v>0</v>
      </c>
      <c r="F79" t="s">
        <v>18</v>
      </c>
      <c r="G79" t="s">
        <v>394</v>
      </c>
      <c r="H79" t="s">
        <v>321</v>
      </c>
      <c r="I79">
        <v>492000000</v>
      </c>
      <c r="J79" t="s">
        <v>42</v>
      </c>
    </row>
    <row r="80" spans="1:10" hidden="1" x14ac:dyDescent="0.3">
      <c r="A80" t="s">
        <v>174</v>
      </c>
      <c r="B80" t="s">
        <v>502</v>
      </c>
      <c r="C80" t="s">
        <v>395</v>
      </c>
      <c r="D80" t="s">
        <v>1611</v>
      </c>
      <c r="E80" s="82">
        <f t="shared" si="2"/>
        <v>0</v>
      </c>
      <c r="F80" t="s">
        <v>18</v>
      </c>
      <c r="G80" t="s">
        <v>395</v>
      </c>
      <c r="H80" t="s">
        <v>321</v>
      </c>
      <c r="I80">
        <v>3000000</v>
      </c>
      <c r="J80" t="s">
        <v>42</v>
      </c>
    </row>
    <row r="81" spans="1:10" hidden="1" x14ac:dyDescent="0.3">
      <c r="A81" t="s">
        <v>174</v>
      </c>
      <c r="B81" t="s">
        <v>503</v>
      </c>
      <c r="C81" t="s">
        <v>396</v>
      </c>
      <c r="D81" t="s">
        <v>1612</v>
      </c>
      <c r="E81" s="82">
        <f t="shared" si="2"/>
        <v>0</v>
      </c>
      <c r="F81" t="s">
        <v>18</v>
      </c>
      <c r="G81" t="s">
        <v>396</v>
      </c>
      <c r="H81" t="s">
        <v>321</v>
      </c>
      <c r="I81">
        <v>125000000</v>
      </c>
      <c r="J81" t="s">
        <v>42</v>
      </c>
    </row>
    <row r="82" spans="1:10" hidden="1" x14ac:dyDescent="0.3">
      <c r="A82" t="s">
        <v>175</v>
      </c>
      <c r="B82" t="s">
        <v>504</v>
      </c>
      <c r="C82" t="s">
        <v>397</v>
      </c>
      <c r="D82" t="s">
        <v>1619</v>
      </c>
      <c r="E82" s="82">
        <f t="shared" si="2"/>
        <v>0</v>
      </c>
      <c r="F82" t="s">
        <v>18</v>
      </c>
      <c r="G82" t="s">
        <v>397</v>
      </c>
      <c r="H82" t="s">
        <v>321</v>
      </c>
      <c r="I82">
        <v>1000000</v>
      </c>
      <c r="J82" t="s">
        <v>42</v>
      </c>
    </row>
    <row r="83" spans="1:10" hidden="1" x14ac:dyDescent="0.3">
      <c r="A83" t="s">
        <v>176</v>
      </c>
      <c r="B83" t="s">
        <v>505</v>
      </c>
      <c r="C83" t="s">
        <v>398</v>
      </c>
      <c r="D83" t="s">
        <v>1612</v>
      </c>
      <c r="E83" s="82">
        <f t="shared" si="2"/>
        <v>0</v>
      </c>
      <c r="F83" t="s">
        <v>18</v>
      </c>
      <c r="G83" t="s">
        <v>398</v>
      </c>
      <c r="H83" t="s">
        <v>321</v>
      </c>
      <c r="I83">
        <v>71000000</v>
      </c>
      <c r="J83" t="s">
        <v>42</v>
      </c>
    </row>
    <row r="84" spans="1:10" hidden="1" x14ac:dyDescent="0.3">
      <c r="A84" t="s">
        <v>176</v>
      </c>
      <c r="B84" t="s">
        <v>506</v>
      </c>
      <c r="C84" t="s">
        <v>399</v>
      </c>
      <c r="D84" t="s">
        <v>1612</v>
      </c>
      <c r="E84" s="82">
        <f t="shared" si="2"/>
        <v>0</v>
      </c>
      <c r="F84" t="s">
        <v>18</v>
      </c>
      <c r="G84" t="s">
        <v>399</v>
      </c>
      <c r="H84" t="s">
        <v>321</v>
      </c>
      <c r="I84">
        <v>65000000</v>
      </c>
      <c r="J84" t="s">
        <v>42</v>
      </c>
    </row>
    <row r="85" spans="1:10" hidden="1" x14ac:dyDescent="0.3">
      <c r="A85" t="s">
        <v>176</v>
      </c>
      <c r="B85" t="s">
        <v>506</v>
      </c>
      <c r="C85" t="s">
        <v>400</v>
      </c>
      <c r="D85" t="s">
        <v>1619</v>
      </c>
      <c r="E85" s="82">
        <f t="shared" si="2"/>
        <v>0</v>
      </c>
      <c r="F85" t="s">
        <v>18</v>
      </c>
      <c r="G85" t="s">
        <v>400</v>
      </c>
      <c r="H85" t="s">
        <v>321</v>
      </c>
      <c r="I85">
        <v>6000000</v>
      </c>
      <c r="J85" t="s">
        <v>42</v>
      </c>
    </row>
    <row r="86" spans="1:10" hidden="1" x14ac:dyDescent="0.3">
      <c r="A86" t="s">
        <v>177</v>
      </c>
      <c r="B86" t="s">
        <v>507</v>
      </c>
      <c r="C86" t="s">
        <v>401</v>
      </c>
      <c r="D86" t="s">
        <v>1611</v>
      </c>
      <c r="E86" s="82">
        <f t="shared" si="2"/>
        <v>0</v>
      </c>
      <c r="F86" t="s">
        <v>18</v>
      </c>
      <c r="G86" t="s">
        <v>401</v>
      </c>
      <c r="H86" t="s">
        <v>321</v>
      </c>
      <c r="I86">
        <v>35000000</v>
      </c>
      <c r="J86" t="s">
        <v>42</v>
      </c>
    </row>
    <row r="87" spans="1:10" hidden="1" x14ac:dyDescent="0.3">
      <c r="A87" t="s">
        <v>177</v>
      </c>
      <c r="B87" t="s">
        <v>508</v>
      </c>
      <c r="C87" t="s">
        <v>402</v>
      </c>
      <c r="D87" t="s">
        <v>1611</v>
      </c>
      <c r="E87" s="82">
        <f t="shared" si="2"/>
        <v>0</v>
      </c>
      <c r="F87" t="s">
        <v>18</v>
      </c>
      <c r="G87" t="s">
        <v>402</v>
      </c>
      <c r="H87" t="s">
        <v>321</v>
      </c>
      <c r="I87">
        <v>19000000</v>
      </c>
      <c r="J87" t="s">
        <v>42</v>
      </c>
    </row>
    <row r="88" spans="1:10" hidden="1" x14ac:dyDescent="0.3">
      <c r="A88" t="s">
        <v>178</v>
      </c>
      <c r="B88" t="s">
        <v>509</v>
      </c>
      <c r="C88" t="s">
        <v>403</v>
      </c>
      <c r="D88" t="s">
        <v>1611</v>
      </c>
      <c r="E88" s="82">
        <f t="shared" si="2"/>
        <v>0</v>
      </c>
      <c r="F88" t="s">
        <v>18</v>
      </c>
      <c r="G88" t="s">
        <v>403</v>
      </c>
      <c r="H88" t="s">
        <v>321</v>
      </c>
      <c r="I88">
        <v>10000000</v>
      </c>
      <c r="J88" t="s">
        <v>42</v>
      </c>
    </row>
    <row r="89" spans="1:10" hidden="1" x14ac:dyDescent="0.3">
      <c r="A89" t="s">
        <v>178</v>
      </c>
      <c r="B89" t="s">
        <v>510</v>
      </c>
      <c r="C89" t="s">
        <v>404</v>
      </c>
      <c r="D89" t="s">
        <v>1612</v>
      </c>
      <c r="E89" s="82">
        <f t="shared" si="2"/>
        <v>0</v>
      </c>
      <c r="F89" t="s">
        <v>18</v>
      </c>
      <c r="G89" t="s">
        <v>404</v>
      </c>
      <c r="H89" t="s">
        <v>321</v>
      </c>
      <c r="I89">
        <v>177000000</v>
      </c>
      <c r="J89" t="s">
        <v>42</v>
      </c>
    </row>
    <row r="90" spans="1:10" hidden="1" x14ac:dyDescent="0.3">
      <c r="A90" t="s">
        <v>179</v>
      </c>
      <c r="B90" t="s">
        <v>511</v>
      </c>
      <c r="C90" t="s">
        <v>405</v>
      </c>
      <c r="D90" t="s">
        <v>1619</v>
      </c>
      <c r="E90" s="82">
        <f t="shared" si="2"/>
        <v>0</v>
      </c>
      <c r="F90" t="s">
        <v>18</v>
      </c>
      <c r="G90" t="s">
        <v>405</v>
      </c>
      <c r="H90" t="s">
        <v>321</v>
      </c>
      <c r="I90">
        <v>13000000</v>
      </c>
      <c r="J90" t="s">
        <v>42</v>
      </c>
    </row>
    <row r="91" spans="1:10" hidden="1" x14ac:dyDescent="0.3">
      <c r="A91" t="s">
        <v>179</v>
      </c>
      <c r="B91" t="s">
        <v>512</v>
      </c>
      <c r="C91" t="s">
        <v>406</v>
      </c>
      <c r="D91" t="s">
        <v>1611</v>
      </c>
      <c r="E91" s="82">
        <f t="shared" si="2"/>
        <v>0</v>
      </c>
      <c r="F91" t="s">
        <v>18</v>
      </c>
      <c r="G91" t="s">
        <v>406</v>
      </c>
      <c r="H91" t="s">
        <v>321</v>
      </c>
      <c r="I91">
        <v>12000000</v>
      </c>
      <c r="J91" t="s">
        <v>42</v>
      </c>
    </row>
    <row r="92" spans="1:10" hidden="1" x14ac:dyDescent="0.3">
      <c r="A92" t="s">
        <v>179</v>
      </c>
      <c r="B92" t="s">
        <v>513</v>
      </c>
      <c r="C92" t="s">
        <v>407</v>
      </c>
      <c r="D92" t="s">
        <v>1613</v>
      </c>
      <c r="E92" s="82">
        <f t="shared" si="2"/>
        <v>0</v>
      </c>
      <c r="F92" t="s">
        <v>18</v>
      </c>
      <c r="G92" t="s">
        <v>407</v>
      </c>
      <c r="H92" t="s">
        <v>321</v>
      </c>
      <c r="I92">
        <v>351000000</v>
      </c>
      <c r="J92" t="s">
        <v>42</v>
      </c>
    </row>
    <row r="93" spans="1:10" hidden="1" x14ac:dyDescent="0.3">
      <c r="A93" t="s">
        <v>179</v>
      </c>
      <c r="B93" t="s">
        <v>514</v>
      </c>
      <c r="C93" t="s">
        <v>408</v>
      </c>
      <c r="D93" t="s">
        <v>1612</v>
      </c>
      <c r="E93" s="82">
        <f t="shared" si="2"/>
        <v>0</v>
      </c>
      <c r="F93" t="s">
        <v>18</v>
      </c>
      <c r="G93" t="s">
        <v>408</v>
      </c>
      <c r="H93" t="s">
        <v>321</v>
      </c>
      <c r="I93">
        <v>83000000</v>
      </c>
      <c r="J93" t="s">
        <v>42</v>
      </c>
    </row>
    <row r="94" spans="1:10" hidden="1" x14ac:dyDescent="0.3">
      <c r="A94" t="s">
        <v>1687</v>
      </c>
      <c r="B94" t="s">
        <v>1684</v>
      </c>
      <c r="C94" t="s">
        <v>1695</v>
      </c>
      <c r="D94" t="s">
        <v>1612</v>
      </c>
      <c r="E94" s="82">
        <f t="shared" si="2"/>
        <v>0</v>
      </c>
      <c r="F94" t="s">
        <v>18</v>
      </c>
      <c r="G94" t="s">
        <v>1695</v>
      </c>
      <c r="H94" t="s">
        <v>321</v>
      </c>
      <c r="I94">
        <v>148000000</v>
      </c>
      <c r="J94" t="s">
        <v>42</v>
      </c>
    </row>
    <row r="95" spans="1:10" hidden="1" x14ac:dyDescent="0.3">
      <c r="A95" t="s">
        <v>180</v>
      </c>
      <c r="B95" t="s">
        <v>515</v>
      </c>
      <c r="C95" t="s">
        <v>409</v>
      </c>
      <c r="D95" t="s">
        <v>1611</v>
      </c>
      <c r="E95" s="82">
        <f t="shared" si="2"/>
        <v>0</v>
      </c>
      <c r="F95" t="s">
        <v>18</v>
      </c>
      <c r="G95" t="s">
        <v>409</v>
      </c>
      <c r="H95" t="s">
        <v>321</v>
      </c>
      <c r="I95">
        <v>17000000</v>
      </c>
      <c r="J95" t="s">
        <v>42</v>
      </c>
    </row>
    <row r="96" spans="1:10" hidden="1" x14ac:dyDescent="0.3">
      <c r="A96" t="s">
        <v>181</v>
      </c>
      <c r="B96" t="s">
        <v>516</v>
      </c>
      <c r="C96" t="s">
        <v>410</v>
      </c>
      <c r="D96" t="s">
        <v>1611</v>
      </c>
      <c r="E96" s="82">
        <f t="shared" ref="E96:E111" si="3">SIGN(SUBTOTAL(3,F96))</f>
        <v>0</v>
      </c>
      <c r="F96" t="s">
        <v>18</v>
      </c>
      <c r="G96" t="s">
        <v>410</v>
      </c>
      <c r="H96" t="s">
        <v>321</v>
      </c>
      <c r="I96">
        <v>11000000</v>
      </c>
      <c r="J96" t="s">
        <v>42</v>
      </c>
    </row>
    <row r="97" spans="1:10" hidden="1" x14ac:dyDescent="0.3">
      <c r="A97" t="s">
        <v>181</v>
      </c>
      <c r="B97" t="s">
        <v>517</v>
      </c>
      <c r="C97" t="s">
        <v>411</v>
      </c>
      <c r="D97" t="s">
        <v>1612</v>
      </c>
      <c r="E97" s="82">
        <f t="shared" si="3"/>
        <v>0</v>
      </c>
      <c r="F97" t="s">
        <v>18</v>
      </c>
      <c r="G97" t="s">
        <v>411</v>
      </c>
      <c r="H97" t="s">
        <v>321</v>
      </c>
      <c r="I97">
        <v>39000000</v>
      </c>
      <c r="J97" t="s">
        <v>42</v>
      </c>
    </row>
    <row r="98" spans="1:10" hidden="1" x14ac:dyDescent="0.3">
      <c r="A98" t="s">
        <v>181</v>
      </c>
      <c r="B98" t="s">
        <v>518</v>
      </c>
      <c r="C98" t="s">
        <v>412</v>
      </c>
      <c r="D98" t="s">
        <v>1611</v>
      </c>
      <c r="E98" s="82">
        <f t="shared" si="3"/>
        <v>0</v>
      </c>
      <c r="F98" t="s">
        <v>18</v>
      </c>
      <c r="G98" t="s">
        <v>412</v>
      </c>
      <c r="H98" t="s">
        <v>321</v>
      </c>
      <c r="I98">
        <v>23000000</v>
      </c>
      <c r="J98" t="s">
        <v>42</v>
      </c>
    </row>
    <row r="99" spans="1:10" hidden="1" x14ac:dyDescent="0.3">
      <c r="A99" t="s">
        <v>181</v>
      </c>
      <c r="B99" t="s">
        <v>519</v>
      </c>
      <c r="C99" t="s">
        <v>413</v>
      </c>
      <c r="D99" t="s">
        <v>1611</v>
      </c>
      <c r="E99" s="82">
        <f t="shared" si="3"/>
        <v>0</v>
      </c>
      <c r="F99" t="s">
        <v>18</v>
      </c>
      <c r="G99" t="s">
        <v>413</v>
      </c>
      <c r="H99" t="s">
        <v>321</v>
      </c>
      <c r="I99">
        <v>14000000</v>
      </c>
      <c r="J99" t="s">
        <v>42</v>
      </c>
    </row>
    <row r="100" spans="1:10" hidden="1" x14ac:dyDescent="0.3">
      <c r="A100" t="s">
        <v>183</v>
      </c>
      <c r="B100" t="s">
        <v>520</v>
      </c>
      <c r="C100" t="s">
        <v>414</v>
      </c>
      <c r="D100" t="s">
        <v>1613</v>
      </c>
      <c r="E100" s="82">
        <f t="shared" si="3"/>
        <v>0</v>
      </c>
      <c r="F100" t="s">
        <v>18</v>
      </c>
      <c r="G100" t="s">
        <v>414</v>
      </c>
      <c r="H100" t="s">
        <v>321</v>
      </c>
      <c r="I100">
        <v>168000000</v>
      </c>
      <c r="J100" t="s">
        <v>42</v>
      </c>
    </row>
    <row r="101" spans="1:10" hidden="1" x14ac:dyDescent="0.3">
      <c r="A101" t="s">
        <v>183</v>
      </c>
      <c r="B101" t="s">
        <v>521</v>
      </c>
      <c r="C101" t="s">
        <v>415</v>
      </c>
      <c r="D101" t="s">
        <v>1612</v>
      </c>
      <c r="E101" s="82">
        <f t="shared" si="3"/>
        <v>0</v>
      </c>
      <c r="F101" t="s">
        <v>18</v>
      </c>
      <c r="G101" t="s">
        <v>415</v>
      </c>
      <c r="H101" t="s">
        <v>321</v>
      </c>
      <c r="I101">
        <v>396000000</v>
      </c>
      <c r="J101" t="s">
        <v>42</v>
      </c>
    </row>
    <row r="102" spans="1:10" hidden="1" x14ac:dyDescent="0.3">
      <c r="A102" t="s">
        <v>183</v>
      </c>
      <c r="B102" t="s">
        <v>522</v>
      </c>
      <c r="C102" t="s">
        <v>416</v>
      </c>
      <c r="D102" t="s">
        <v>1611</v>
      </c>
      <c r="E102" s="82">
        <f t="shared" si="3"/>
        <v>0</v>
      </c>
      <c r="F102" t="s">
        <v>18</v>
      </c>
      <c r="G102" t="s">
        <v>416</v>
      </c>
      <c r="H102" t="s">
        <v>321</v>
      </c>
      <c r="I102">
        <v>22000000</v>
      </c>
      <c r="J102" t="s">
        <v>42</v>
      </c>
    </row>
    <row r="103" spans="1:10" hidden="1" x14ac:dyDescent="0.3">
      <c r="A103" t="s">
        <v>184</v>
      </c>
      <c r="B103" t="s">
        <v>523</v>
      </c>
      <c r="C103" t="s">
        <v>417</v>
      </c>
      <c r="D103" t="s">
        <v>1618</v>
      </c>
      <c r="E103" s="82">
        <f t="shared" si="3"/>
        <v>0</v>
      </c>
      <c r="F103" t="s">
        <v>18</v>
      </c>
      <c r="G103" t="s">
        <v>417</v>
      </c>
      <c r="H103" t="s">
        <v>321</v>
      </c>
      <c r="I103">
        <v>5000000</v>
      </c>
      <c r="J103" t="s">
        <v>42</v>
      </c>
    </row>
    <row r="104" spans="1:10" hidden="1" x14ac:dyDescent="0.3">
      <c r="A104" t="s">
        <v>184</v>
      </c>
      <c r="B104" t="s">
        <v>524</v>
      </c>
      <c r="C104" t="s">
        <v>418</v>
      </c>
      <c r="D104" t="s">
        <v>1613</v>
      </c>
      <c r="E104" s="82">
        <f t="shared" si="3"/>
        <v>0</v>
      </c>
      <c r="F104" t="s">
        <v>18</v>
      </c>
      <c r="G104" t="s">
        <v>418</v>
      </c>
      <c r="H104" t="s">
        <v>321</v>
      </c>
      <c r="I104">
        <v>194000000</v>
      </c>
      <c r="J104" t="s">
        <v>42</v>
      </c>
    </row>
    <row r="105" spans="1:10" hidden="1" x14ac:dyDescent="0.3">
      <c r="A105" t="s">
        <v>184</v>
      </c>
      <c r="B105" t="s">
        <v>525</v>
      </c>
      <c r="C105" t="s">
        <v>419</v>
      </c>
      <c r="D105" t="s">
        <v>1612</v>
      </c>
      <c r="E105" s="82">
        <f t="shared" si="3"/>
        <v>0</v>
      </c>
      <c r="F105" t="s">
        <v>18</v>
      </c>
      <c r="G105" t="s">
        <v>419</v>
      </c>
      <c r="H105" t="s">
        <v>321</v>
      </c>
      <c r="I105">
        <v>117000000</v>
      </c>
      <c r="J105" t="s">
        <v>42</v>
      </c>
    </row>
    <row r="106" spans="1:10" hidden="1" x14ac:dyDescent="0.3">
      <c r="A106" t="s">
        <v>184</v>
      </c>
      <c r="B106" t="s">
        <v>526</v>
      </c>
      <c r="C106" t="s">
        <v>420</v>
      </c>
      <c r="D106" t="s">
        <v>1613</v>
      </c>
      <c r="E106" s="82">
        <f t="shared" si="3"/>
        <v>0</v>
      </c>
      <c r="F106" t="s">
        <v>18</v>
      </c>
      <c r="G106" t="s">
        <v>420</v>
      </c>
      <c r="H106" t="s">
        <v>321</v>
      </c>
      <c r="I106">
        <v>1012000000</v>
      </c>
      <c r="J106" t="s">
        <v>42</v>
      </c>
    </row>
    <row r="107" spans="1:10" hidden="1" x14ac:dyDescent="0.3">
      <c r="A107" t="s">
        <v>184</v>
      </c>
      <c r="B107" t="s">
        <v>527</v>
      </c>
      <c r="C107" t="s">
        <v>421</v>
      </c>
      <c r="D107" t="s">
        <v>1611</v>
      </c>
      <c r="E107" s="82">
        <f t="shared" si="3"/>
        <v>0</v>
      </c>
      <c r="F107" t="s">
        <v>18</v>
      </c>
      <c r="G107" t="s">
        <v>421</v>
      </c>
      <c r="H107" t="s">
        <v>321</v>
      </c>
      <c r="I107">
        <v>23000000</v>
      </c>
      <c r="J107" t="s">
        <v>42</v>
      </c>
    </row>
    <row r="108" spans="1:10" hidden="1" x14ac:dyDescent="0.3">
      <c r="A108" t="s">
        <v>184</v>
      </c>
      <c r="B108" t="s">
        <v>528</v>
      </c>
      <c r="C108" t="s">
        <v>422</v>
      </c>
      <c r="D108" t="s">
        <v>1612</v>
      </c>
      <c r="E108" s="82">
        <f t="shared" si="3"/>
        <v>0</v>
      </c>
      <c r="F108" t="s">
        <v>18</v>
      </c>
      <c r="G108" t="s">
        <v>422</v>
      </c>
      <c r="H108" t="s">
        <v>321</v>
      </c>
      <c r="I108">
        <v>106000000</v>
      </c>
      <c r="J108" t="s">
        <v>42</v>
      </c>
    </row>
    <row r="109" spans="1:10" hidden="1" x14ac:dyDescent="0.3">
      <c r="A109" t="s">
        <v>184</v>
      </c>
      <c r="B109" t="s">
        <v>528</v>
      </c>
      <c r="C109" t="s">
        <v>423</v>
      </c>
      <c r="D109" t="s">
        <v>1613</v>
      </c>
      <c r="E109" s="82">
        <f t="shared" si="3"/>
        <v>0</v>
      </c>
      <c r="F109" t="s">
        <v>18</v>
      </c>
      <c r="G109" t="s">
        <v>423</v>
      </c>
      <c r="H109" t="s">
        <v>321</v>
      </c>
      <c r="I109">
        <v>629000000</v>
      </c>
      <c r="J109" t="s">
        <v>42</v>
      </c>
    </row>
    <row r="110" spans="1:10" hidden="1" x14ac:dyDescent="0.3">
      <c r="A110" t="s">
        <v>184</v>
      </c>
      <c r="B110" t="s">
        <v>529</v>
      </c>
      <c r="C110" t="s">
        <v>424</v>
      </c>
      <c r="D110" t="s">
        <v>1612</v>
      </c>
      <c r="E110" s="82">
        <f t="shared" si="3"/>
        <v>0</v>
      </c>
      <c r="F110" t="s">
        <v>18</v>
      </c>
      <c r="G110" t="s">
        <v>424</v>
      </c>
      <c r="H110" t="s">
        <v>321</v>
      </c>
      <c r="I110">
        <v>89000000</v>
      </c>
      <c r="J110" t="s">
        <v>42</v>
      </c>
    </row>
    <row r="111" spans="1:10" hidden="1" x14ac:dyDescent="0.3">
      <c r="A111" t="s">
        <v>185</v>
      </c>
      <c r="B111" t="s">
        <v>530</v>
      </c>
      <c r="C111" t="s">
        <v>425</v>
      </c>
      <c r="D111" t="s">
        <v>1613</v>
      </c>
      <c r="E111" s="82">
        <f t="shared" si="3"/>
        <v>0</v>
      </c>
      <c r="F111" t="s">
        <v>18</v>
      </c>
      <c r="G111" t="s">
        <v>425</v>
      </c>
      <c r="H111" t="s">
        <v>321</v>
      </c>
      <c r="I111">
        <v>206000000</v>
      </c>
      <c r="J111" t="s">
        <v>42</v>
      </c>
    </row>
    <row r="112" spans="1:10" hidden="1" x14ac:dyDescent="0.3">
      <c r="A112" t="s">
        <v>187</v>
      </c>
      <c r="B112" t="s">
        <v>188</v>
      </c>
      <c r="C112" t="s">
        <v>426</v>
      </c>
      <c r="D112" t="s">
        <v>1613</v>
      </c>
      <c r="E112" s="82">
        <f t="shared" ref="E112:E119" si="4">SIGN(SUBTOTAL(3,F112))</f>
        <v>0</v>
      </c>
      <c r="F112" t="s">
        <v>18</v>
      </c>
      <c r="G112" t="s">
        <v>426</v>
      </c>
      <c r="H112" t="s">
        <v>321</v>
      </c>
      <c r="I112">
        <v>209000000</v>
      </c>
      <c r="J112" t="s">
        <v>42</v>
      </c>
    </row>
    <row r="113" spans="1:10" hidden="1" x14ac:dyDescent="0.3">
      <c r="A113" t="s">
        <v>187</v>
      </c>
      <c r="B113" t="s">
        <v>188</v>
      </c>
      <c r="C113" t="s">
        <v>427</v>
      </c>
      <c r="D113" t="s">
        <v>1613</v>
      </c>
      <c r="E113" s="82">
        <f t="shared" si="4"/>
        <v>0</v>
      </c>
      <c r="F113" t="s">
        <v>18</v>
      </c>
      <c r="G113" t="s">
        <v>427</v>
      </c>
      <c r="H113" t="s">
        <v>321</v>
      </c>
      <c r="I113">
        <v>514000000</v>
      </c>
      <c r="J113" t="s">
        <v>42</v>
      </c>
    </row>
    <row r="114" spans="1:10" hidden="1" x14ac:dyDescent="0.3">
      <c r="A114" t="s">
        <v>187</v>
      </c>
      <c r="B114" t="s">
        <v>531</v>
      </c>
      <c r="C114" t="s">
        <v>428</v>
      </c>
      <c r="D114" t="s">
        <v>1611</v>
      </c>
      <c r="E114" s="82">
        <f t="shared" si="4"/>
        <v>0</v>
      </c>
      <c r="F114" t="s">
        <v>18</v>
      </c>
      <c r="G114" t="s">
        <v>428</v>
      </c>
      <c r="H114" t="s">
        <v>321</v>
      </c>
      <c r="I114">
        <v>34000000</v>
      </c>
      <c r="J114" t="s">
        <v>42</v>
      </c>
    </row>
    <row r="115" spans="1:10" hidden="1" x14ac:dyDescent="0.3">
      <c r="A115" t="s">
        <v>188</v>
      </c>
      <c r="B115" t="s">
        <v>532</v>
      </c>
      <c r="C115" t="s">
        <v>429</v>
      </c>
      <c r="D115" t="s">
        <v>1611</v>
      </c>
      <c r="E115" s="82">
        <f t="shared" si="4"/>
        <v>0</v>
      </c>
      <c r="F115" t="s">
        <v>18</v>
      </c>
      <c r="G115" t="s">
        <v>429</v>
      </c>
      <c r="H115" t="s">
        <v>321</v>
      </c>
      <c r="I115">
        <v>27000000</v>
      </c>
      <c r="J115" t="s">
        <v>42</v>
      </c>
    </row>
    <row r="116" spans="1:10" hidden="1" x14ac:dyDescent="0.3">
      <c r="A116" t="s">
        <v>188</v>
      </c>
      <c r="B116" t="s">
        <v>533</v>
      </c>
      <c r="C116" t="s">
        <v>430</v>
      </c>
      <c r="D116" t="s">
        <v>1619</v>
      </c>
      <c r="E116" s="82">
        <f t="shared" si="4"/>
        <v>0</v>
      </c>
      <c r="F116" t="s">
        <v>18</v>
      </c>
      <c r="G116" t="s">
        <v>430</v>
      </c>
      <c r="H116" t="s">
        <v>321</v>
      </c>
      <c r="I116">
        <v>6000000</v>
      </c>
      <c r="J116" t="s">
        <v>42</v>
      </c>
    </row>
    <row r="117" spans="1:10" x14ac:dyDescent="0.3">
      <c r="A117" t="s">
        <v>188</v>
      </c>
      <c r="B117" t="s">
        <v>534</v>
      </c>
      <c r="C117" t="s">
        <v>431</v>
      </c>
      <c r="D117" t="s">
        <v>1613</v>
      </c>
      <c r="E117" s="82">
        <f t="shared" si="4"/>
        <v>1</v>
      </c>
      <c r="F117" t="s">
        <v>18</v>
      </c>
      <c r="G117" t="s">
        <v>431</v>
      </c>
      <c r="H117" t="s">
        <v>321</v>
      </c>
      <c r="I117">
        <v>692000000</v>
      </c>
      <c r="J117" t="s">
        <v>42</v>
      </c>
    </row>
    <row r="118" spans="1:10" hidden="1" x14ac:dyDescent="0.3">
      <c r="A118" t="s">
        <v>190</v>
      </c>
      <c r="B118" t="s">
        <v>535</v>
      </c>
      <c r="C118" t="s">
        <v>432</v>
      </c>
      <c r="D118" t="s">
        <v>1612</v>
      </c>
      <c r="E118" s="82">
        <f t="shared" si="4"/>
        <v>0</v>
      </c>
      <c r="F118" t="s">
        <v>18</v>
      </c>
      <c r="G118" t="s">
        <v>432</v>
      </c>
      <c r="H118" t="s">
        <v>321</v>
      </c>
      <c r="I118">
        <v>49000000</v>
      </c>
      <c r="J118" t="s">
        <v>42</v>
      </c>
    </row>
    <row r="119" spans="1:10" hidden="1" x14ac:dyDescent="0.3">
      <c r="A119" t="s">
        <v>190</v>
      </c>
      <c r="B119" t="s">
        <v>536</v>
      </c>
      <c r="C119" t="s">
        <v>433</v>
      </c>
      <c r="D119" t="s">
        <v>1611</v>
      </c>
      <c r="E119" s="82">
        <f t="shared" si="4"/>
        <v>0</v>
      </c>
      <c r="F119" t="s">
        <v>18</v>
      </c>
      <c r="G119" t="s">
        <v>433</v>
      </c>
      <c r="H119" t="s">
        <v>321</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123</v>
      </c>
      <c r="O1" s="60" t="s">
        <v>244</v>
      </c>
      <c r="P1" s="61" t="s">
        <v>245</v>
      </c>
      <c r="Q1" s="61" t="s">
        <v>242</v>
      </c>
      <c r="R1" s="61" t="s">
        <v>28</v>
      </c>
      <c r="S1" s="62" t="s">
        <v>29</v>
      </c>
      <c r="T1" s="4"/>
      <c r="V1" s="60" t="s">
        <v>200</v>
      </c>
      <c r="W1" s="61" t="s">
        <v>240</v>
      </c>
      <c r="X1" s="62" t="s">
        <v>246</v>
      </c>
      <c r="Z1" s="111" t="s">
        <v>1609</v>
      </c>
      <c r="AW1" s="142" t="s">
        <v>1662</v>
      </c>
    </row>
    <row r="2" spans="1:88" ht="15.6" x14ac:dyDescent="0.3">
      <c r="A2" s="1" t="s">
        <v>126</v>
      </c>
      <c r="E2" s="1" t="s">
        <v>90</v>
      </c>
      <c r="F2" s="1" t="s">
        <v>62</v>
      </c>
      <c r="G2" s="1" t="s">
        <v>63</v>
      </c>
      <c r="H2" s="1" t="s">
        <v>241</v>
      </c>
      <c r="I2" s="1" t="s">
        <v>64</v>
      </c>
      <c r="J2" s="1" t="s">
        <v>125</v>
      </c>
      <c r="K2" s="1" t="s">
        <v>28</v>
      </c>
      <c r="L2" s="1" t="s">
        <v>129</v>
      </c>
      <c r="M2" s="1" t="s">
        <v>30</v>
      </c>
      <c r="O2" t="str" cm="1">
        <f t="array" ref="O2:Q4">_xlfn.UNIQUE(_xlfn._xlws.FILTER(_xlfn._xlws.FILTER('Commodities and Processes'!E6:L9986,('Commodities and Processes'!E6:E9986&lt;&gt;"Process name:")*('Commodities and Processes'!E6:E9986&lt;&gt;"Inputs")*('Commodities and Processes'!E6:E9986&lt;&gt;"Existing facilities:")*('Commodities and Processes'!E6:E9986&lt;&gt;"")),{1,0,0,0,0,0,1,1}))</f>
        <v>FOG</v>
      </c>
      <c r="P2" t="str">
        <v>makeSAF</v>
      </c>
      <c r="Q2" t="str">
        <v>N</v>
      </c>
      <c r="R2" t="str">
        <f>IF(ISBLANK(O2),"",VLOOKUP(O2,'Commodities and Processes'!A:C,2,FALSE))</f>
        <v>solid</v>
      </c>
      <c r="S2">
        <f>IF(ISBLANK(O2),"",VLOOKUP(O2,'Commodities and Processes'!A:C,3,FALSE))</f>
        <v>500</v>
      </c>
      <c r="V2" t="str" cm="1">
        <f t="array" ref="V2:V4">_xlfn.UNIQUE(_xlfn._xlws.FILTER(P2:P2000,P2:P2000&lt;&gt;""))</f>
        <v>makeSAF</v>
      </c>
      <c r="W2" t="str" cm="1">
        <f t="array" ref="W2">IF(ISBLANK(V2),"",_xlfn.CONCAT(_xlfn.UNIQUE(_xlfn._xlws.FILTER(R2:R2000,P2:P2000=V2))))</f>
        <v>solid</v>
      </c>
      <c r="X2" t="str">
        <f>IF(ISBLANK(V2),"",IF(W2="liquid","solidliquid","solid"))</f>
        <v>solid</v>
      </c>
      <c r="Z2" s="112" t="s">
        <v>1604</v>
      </c>
      <c r="AA2" s="113" t="str" cm="1">
        <f t="array" ref="AA2">INDEX(_xlfn._xlws.FILTER(SAF_Cand_Refinery[], _xlfn.TOCOL(SAF_Cand_Refinery[Filtered])=1),1,1)</f>
        <v>FOG</v>
      </c>
      <c r="AC2" s="108" t="s">
        <v>1616</v>
      </c>
      <c r="AD2" s="79"/>
      <c r="AE2" s="79"/>
      <c r="AG2" s="108" t="s">
        <v>1615</v>
      </c>
      <c r="AN2" s="108" t="s">
        <v>1606</v>
      </c>
      <c r="AW2" s="108" t="s">
        <v>1603</v>
      </c>
      <c r="BF2" s="108" t="s">
        <v>1607</v>
      </c>
      <c r="BO2" s="108" t="s">
        <v>1608</v>
      </c>
      <c r="BY2" s="108" t="s">
        <v>1614</v>
      </c>
      <c r="CI2" s="108" t="s">
        <v>1697</v>
      </c>
    </row>
    <row r="3" spans="1:88" ht="15.6" x14ac:dyDescent="0.3">
      <c r="A3" s="1" t="s">
        <v>13</v>
      </c>
      <c r="B3" s="1" t="s">
        <v>115</v>
      </c>
      <c r="C3" s="1" t="s">
        <v>116</v>
      </c>
      <c r="E3" t="b">
        <v>1</v>
      </c>
      <c r="F3" t="s">
        <v>14</v>
      </c>
      <c r="G3" t="s">
        <v>41</v>
      </c>
      <c r="H3" t="s">
        <v>14</v>
      </c>
      <c r="I3" t="s">
        <v>65</v>
      </c>
      <c r="J3" t="s">
        <v>17</v>
      </c>
      <c r="K3" t="s">
        <v>5</v>
      </c>
      <c r="L3" t="s">
        <v>7</v>
      </c>
      <c r="M3" t="str" cm="1">
        <f t="array" ref="M3:M5">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1605</v>
      </c>
      <c r="AA3" s="113" t="str" cm="1">
        <f t="array" ref="AA3">INDEX(_xlfn._xlws.FILTER(SAF_Cand_Refinery[], _xlfn.TOCOL(SAF_Cand_Refinery[Filtered])=1),1,4)</f>
        <v>HEFA</v>
      </c>
      <c r="AC3" s="1" t="s">
        <v>27</v>
      </c>
      <c r="AD3" s="1" t="s">
        <v>28</v>
      </c>
      <c r="AE3" s="1" t="s">
        <v>29</v>
      </c>
      <c r="AG3" s="1" t="s">
        <v>32</v>
      </c>
      <c r="AH3" t="s">
        <v>319</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1698</v>
      </c>
      <c r="CJ3" s="1" t="s">
        <v>1699</v>
      </c>
    </row>
    <row r="4" spans="1:88" ht="15.6" x14ac:dyDescent="0.3">
      <c r="A4" t="s">
        <v>0</v>
      </c>
      <c r="B4" t="s">
        <v>111</v>
      </c>
      <c r="E4" t="b">
        <v>0</v>
      </c>
      <c r="F4" t="s">
        <v>15</v>
      </c>
      <c r="G4" t="s">
        <v>42</v>
      </c>
      <c r="H4" t="s">
        <v>15</v>
      </c>
      <c r="I4" t="s">
        <v>66</v>
      </c>
      <c r="J4" t="s">
        <v>19</v>
      </c>
      <c r="K4" t="s">
        <v>22</v>
      </c>
      <c r="L4" t="s">
        <v>23</v>
      </c>
      <c r="M4" t="str">
        <v>blendSAF</v>
      </c>
      <c r="O4" t="str">
        <v>FOG</v>
      </c>
      <c r="P4">
        <v>0</v>
      </c>
      <c r="Q4">
        <v>0</v>
      </c>
      <c r="R4" t="str">
        <f>IF(ISBLANK(O4),"",VLOOKUP(O4,'Commodities and Processes'!A:C,2,FALSE))</f>
        <v>solid</v>
      </c>
      <c r="S4">
        <f>IF(ISBLANK(O4),"",VLOOKUP(O4,'Commodities and Processes'!A:C,3,FALSE))</f>
        <v>500</v>
      </c>
      <c r="V4">
        <v>0</v>
      </c>
      <c r="W4" t="str" cm="1">
        <f t="array" ref="W4">IF(ISBLANK(V4),"",_xlfn.CONCAT(_xlfn.UNIQUE(_xlfn._xlws.FILTER(R4:R2002,P4:P2002=V4))))</f>
        <v>solid</v>
      </c>
      <c r="X4" t="str">
        <f t="shared" si="0"/>
        <v>solid</v>
      </c>
      <c r="Z4" s="112" t="s">
        <v>1704</v>
      </c>
      <c r="AA4" s="151">
        <f>'SAF Filters'!S9</f>
        <v>1</v>
      </c>
      <c r="AC4" s="114" t="s">
        <v>318</v>
      </c>
      <c r="AD4" s="144" t="s">
        <v>22</v>
      </c>
      <c r="AE4" s="115"/>
      <c r="AG4" s="1" t="s">
        <v>6</v>
      </c>
      <c r="AH4" t="s">
        <v>23</v>
      </c>
      <c r="AN4" s="119" t="str" cm="1">
        <f t="array" ref="AN4:AU4">_xlfn.UNIQUE(_xlfn._xlws.FILTER(_xlfn._xlws.FILTER(SAF_Cand_Refinery[], _xlfn.TOCOL(SAF_Cand_Refinery[Filtered])=1), {0,0,0,0,0,0,0,0,0,0,0,1,1,1,1,1,1,1,1}))</f>
        <v>processor</v>
      </c>
      <c r="AO4" s="120" t="str">
        <v>cand_HEFA_FOG</v>
      </c>
      <c r="AP4" s="120" t="str">
        <v>makeSAF</v>
      </c>
      <c r="AQ4" s="120">
        <v>1142151.7654722061</v>
      </c>
      <c r="AR4" s="120" t="str">
        <v>tons</v>
      </c>
      <c r="AS4" s="120">
        <v>571075.88273610303</v>
      </c>
      <c r="AT4" s="120">
        <v>114215.17654722062</v>
      </c>
      <c r="AU4" s="121">
        <v>32231836.200000003</v>
      </c>
      <c r="AW4" t="str" cm="1">
        <f t="array" ref="AW4:BD5">IFERROR(_xlfn.LET(_xlpm.a, _xlfn._xlws.FILTER(_xlfn._xlws.FILTER(SAF_Existing_Refinery[], (SAF_Existing_Refinery[Filtered]=1)*(SAF_Existing_Refinery[Feedstock]=AA2)*(SAF_Existing_Refinery[Process]=AA3)),{0,0,0,0,0,0,0,0,1,1,1,1,1,1,1,1}), IF(_xlpm.a=0,"",_xlpm.a)),_xlfn.EXPAND("",1,8,""))</f>
        <v>processor</v>
      </c>
      <c r="AX4" t="str">
        <v>Montana Renewables (Calumet)</v>
      </c>
      <c r="AY4" t="str">
        <v>makeSAF_Existing</v>
      </c>
      <c r="AZ4">
        <v>1808015.6183272291</v>
      </c>
      <c r="BA4" t="str">
        <v>tons</v>
      </c>
      <c r="BB4" t="str">
        <v/>
      </c>
      <c r="BC4" t="str">
        <v/>
      </c>
      <c r="BD4" t="str">
        <v/>
      </c>
      <c r="BF4" t="str" cm="1">
        <f t="array" ref="BF4:BM47">IFERROR(_xlfn.LET(_xlpm.a, _xlfn._xlws.FILTER(_xlfn._xlws.FILTER(SAF_Blender[], SAF_Blender[Filtered]=1),{0,0,0,0,1,1,1,1,1,1,1,1}), IF(_xlpm.a=0,"",_xlpm.a)),_xlfn.EXPAND("",1,8,""))</f>
        <v>processor</v>
      </c>
      <c r="BG4" t="str">
        <v>Ergon Asphalt &amp; Emulsions Inc 2</v>
      </c>
      <c r="BH4" t="str">
        <v>blendSAF</v>
      </c>
      <c r="BI4" t="str">
        <v/>
      </c>
      <c r="BJ4" t="str">
        <v/>
      </c>
      <c r="BK4" t="str">
        <v/>
      </c>
      <c r="BL4" t="str">
        <v/>
      </c>
      <c r="BM4" t="str">
        <v/>
      </c>
      <c r="BO4" t="str" cm="1">
        <f t="array" ref="BO4:BV4">IFERROR(_xlfn.LET(_xlpm.a, _xlfn._xlws.FILTER(_xlfn._xlws.FILTER(SAF_Airport[], SAF_Airport[Filtered]=1),{0,0,0,0,0,1,1,1,1,1,1,1,1}), IF(_xlpm.a=0,"",_xlpm.a)),_xlfn.EXPAND("",1,8,""))</f>
        <v>ultimate_destination</v>
      </c>
      <c r="BP4" t="str">
        <v>SEA</v>
      </c>
      <c r="BQ4" t="str">
        <v>fuel_blend</v>
      </c>
      <c r="BR4">
        <v>692000000</v>
      </c>
      <c r="BS4" t="str">
        <v>gallons</v>
      </c>
      <c r="BT4" t="str">
        <v/>
      </c>
      <c r="BU4" t="str">
        <v/>
      </c>
      <c r="BV4" t="str">
        <v/>
      </c>
      <c r="BY4" t="str" cm="1">
        <f t="array" ref="BY4:CF51">IF('SAF Filters'!J37="Y",_xlfn.VSTACK(_xlfn.ANCHORARRAY(AN4),_xlfn.ANCHORARRAY(BF4),_xlfn.ANCHORARRAY(BO4),_xlfn.ANCHORARRAY(AW4)),_xlfn.VSTACK(_xlfn.ANCHORARRAY(AN4),_xlfn.ANCHORARRAY(BF4),_xlfn.ANCHORARRAY(BO4)))</f>
        <v>processor</v>
      </c>
      <c r="BZ4" t="str">
        <v>cand_HEFA_FOG</v>
      </c>
      <c r="CA4" t="str">
        <v>makeSAF</v>
      </c>
      <c r="CB4">
        <v>1142151.7654722061</v>
      </c>
      <c r="CC4" t="str">
        <v>tons</v>
      </c>
      <c r="CD4">
        <v>571075.88273610303</v>
      </c>
      <c r="CE4">
        <v>114215.17654722062</v>
      </c>
      <c r="CF4">
        <v>32231836.200000003</v>
      </c>
      <c r="CI4" t="s">
        <v>182</v>
      </c>
      <c r="CJ4">
        <f>COUNTIFS(SAF_State[State],Notes!CI4,SAF_State[Filtered],1)</f>
        <v>0</v>
      </c>
    </row>
    <row r="5" spans="1:88" x14ac:dyDescent="0.3">
      <c r="A5" t="s">
        <v>1</v>
      </c>
      <c r="B5" t="s">
        <v>111</v>
      </c>
      <c r="F5" t="s">
        <v>39</v>
      </c>
      <c r="G5" t="s">
        <v>43</v>
      </c>
      <c r="H5" t="s">
        <v>39</v>
      </c>
      <c r="I5" t="s">
        <v>67</v>
      </c>
      <c r="J5" t="s">
        <v>18</v>
      </c>
      <c r="M5" t="str">
        <v>makeSAF_Existing</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321</v>
      </c>
      <c r="AD5" s="143" t="s">
        <v>22</v>
      </c>
      <c r="AE5" s="117"/>
      <c r="AG5" s="1" t="s">
        <v>20</v>
      </c>
      <c r="AH5" s="1" t="s">
        <v>237</v>
      </c>
      <c r="AI5" s="1" t="s">
        <v>240</v>
      </c>
      <c r="AJ5" s="1" t="s">
        <v>21</v>
      </c>
      <c r="AK5" s="1" t="s">
        <v>239</v>
      </c>
      <c r="AL5" s="1" t="s">
        <v>238</v>
      </c>
      <c r="AW5" t="str">
        <v>processor</v>
      </c>
      <c r="AX5" t="str">
        <v>Next Renewable Fuels Inc.</v>
      </c>
      <c r="AY5" t="str">
        <v>makeSAF_Existing</v>
      </c>
      <c r="AZ5">
        <v>4700840.607650795</v>
      </c>
      <c r="BA5" t="str">
        <v>tons</v>
      </c>
      <c r="BB5" t="str">
        <v/>
      </c>
      <c r="BC5" t="str">
        <v/>
      </c>
      <c r="BD5" t="str">
        <v/>
      </c>
      <c r="BF5" t="str">
        <v>processor</v>
      </c>
      <c r="BG5" t="str">
        <v>Sinclair Oil Corp 1</v>
      </c>
      <c r="BH5" t="str">
        <v>blendSAF</v>
      </c>
      <c r="BI5" t="str">
        <v/>
      </c>
      <c r="BJ5" t="str">
        <v/>
      </c>
      <c r="BK5" t="str">
        <v/>
      </c>
      <c r="BL5" t="str">
        <v/>
      </c>
      <c r="BM5" t="str">
        <v/>
      </c>
      <c r="BY5" t="str">
        <v>processor</v>
      </c>
      <c r="BZ5" t="str">
        <v>Ergon Asphalt &amp; Emulsions Inc 2</v>
      </c>
      <c r="CA5" t="str">
        <v>blendSAF</v>
      </c>
      <c r="CB5" t="str">
        <v/>
      </c>
      <c r="CC5" t="str">
        <v/>
      </c>
      <c r="CD5" t="str">
        <v/>
      </c>
      <c r="CE5" t="str">
        <v/>
      </c>
      <c r="CF5" t="str">
        <v/>
      </c>
      <c r="CI5" t="s">
        <v>168</v>
      </c>
      <c r="CJ5">
        <f>COUNTIFS(SAF_State[State],Notes!CI5,SAF_State[Filtered],1)</f>
        <v>0</v>
      </c>
    </row>
    <row r="6" spans="1:88" x14ac:dyDescent="0.3">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FOG</v>
      </c>
      <c r="AD6" s="145" t="str">
        <v>solid</v>
      </c>
      <c r="AE6" s="146">
        <f>'SAF Filters'!S17</f>
        <v>500</v>
      </c>
      <c r="AG6" s="119" t="str" cm="1">
        <f t="array" ref="AG6:AL6">_xlfn.UNIQUE(_xlfn._xlws.FILTER(_xlfn._xlws.FILTER(SAF_Cand_Refinery[], _xlfn.TOCOL(SAF_Cand_Refinery[Filtered])=1), {1,0,0,0,0,0,1,1,1,1,1,0,0,0,0,0,0,0,0}))</f>
        <v>FOG</v>
      </c>
      <c r="AH6" s="120">
        <v>1</v>
      </c>
      <c r="AI6" s="120" t="str">
        <v>tons</v>
      </c>
      <c r="AJ6" s="120" t="str">
        <v>SAF</v>
      </c>
      <c r="AK6" s="120">
        <v>127.21129047148131</v>
      </c>
      <c r="AL6" s="121" t="str">
        <v>gallon</v>
      </c>
      <c r="BF6" t="str">
        <v>processor</v>
      </c>
      <c r="BG6" t="str">
        <v>Sinclair Oil Corp 3</v>
      </c>
      <c r="BH6" t="str">
        <v>blendSAF</v>
      </c>
      <c r="BI6" t="str">
        <v/>
      </c>
      <c r="BJ6" t="str">
        <v/>
      </c>
      <c r="BK6" t="str">
        <v/>
      </c>
      <c r="BL6" t="str">
        <v/>
      </c>
      <c r="BM6" t="str">
        <v/>
      </c>
      <c r="BY6" t="str">
        <v>processor</v>
      </c>
      <c r="BZ6" t="str">
        <v>Sinclair Oil Corp 1</v>
      </c>
      <c r="CA6" t="str">
        <v>blendSAF</v>
      </c>
      <c r="CB6" t="str">
        <v/>
      </c>
      <c r="CC6" t="str">
        <v/>
      </c>
      <c r="CD6" t="str">
        <v/>
      </c>
      <c r="CE6" t="str">
        <v/>
      </c>
      <c r="CF6" t="str">
        <v/>
      </c>
      <c r="CI6" t="s">
        <v>156</v>
      </c>
      <c r="CJ6">
        <f>COUNTIFS(SAF_State[State],Notes!CI6,SAF_State[Filtered],1)</f>
        <v>0</v>
      </c>
    </row>
    <row r="7" spans="1:88" x14ac:dyDescent="0.3">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Sinclair Oil Corp 2</v>
      </c>
      <c r="BH7" t="str">
        <v>blendSAF</v>
      </c>
      <c r="BI7" t="str">
        <v/>
      </c>
      <c r="BJ7" t="str">
        <v/>
      </c>
      <c r="BK7" t="str">
        <v/>
      </c>
      <c r="BL7" t="str">
        <v/>
      </c>
      <c r="BM7" t="str">
        <v/>
      </c>
      <c r="BY7" t="str">
        <v>processor</v>
      </c>
      <c r="BZ7" t="str">
        <v>Sinclair Oil Corp 3</v>
      </c>
      <c r="CA7" t="str">
        <v>blendSAF</v>
      </c>
      <c r="CB7" t="str">
        <v/>
      </c>
      <c r="CC7" t="str">
        <v/>
      </c>
      <c r="CD7" t="str">
        <v/>
      </c>
      <c r="CE7" t="str">
        <v/>
      </c>
      <c r="CF7" t="str">
        <v/>
      </c>
      <c r="CI7" t="s">
        <v>164</v>
      </c>
      <c r="CJ7">
        <f>COUNTIFS(SAF_State[State],Notes!CI7,SAF_State[Filtered],1)</f>
        <v>0</v>
      </c>
    </row>
    <row r="8" spans="1:88" x14ac:dyDescent="0.3">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322</v>
      </c>
      <c r="BF8" t="str">
        <v>processor</v>
      </c>
      <c r="BG8" t="str">
        <v>Andeavor Logistics Lp 7</v>
      </c>
      <c r="BH8" t="str">
        <v>blendSAF</v>
      </c>
      <c r="BI8" t="str">
        <v/>
      </c>
      <c r="BJ8" t="str">
        <v/>
      </c>
      <c r="BK8" t="str">
        <v/>
      </c>
      <c r="BL8" t="str">
        <v/>
      </c>
      <c r="BM8" t="str">
        <v/>
      </c>
      <c r="BY8" t="str">
        <v>processor</v>
      </c>
      <c r="BZ8" t="str">
        <v>Sinclair Oil Corp 2</v>
      </c>
      <c r="CA8" t="str">
        <v>blendSAF</v>
      </c>
      <c r="CB8" t="str">
        <v/>
      </c>
      <c r="CC8" t="str">
        <v/>
      </c>
      <c r="CD8" t="str">
        <v/>
      </c>
      <c r="CE8" t="str">
        <v/>
      </c>
      <c r="CF8" t="str">
        <v/>
      </c>
      <c r="CI8" t="s">
        <v>163</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Andeavor Logistics Lp 6</v>
      </c>
      <c r="BH9" t="str">
        <v>blendSAF</v>
      </c>
      <c r="BI9" t="str">
        <v/>
      </c>
      <c r="BJ9" t="str">
        <v/>
      </c>
      <c r="BK9" t="str">
        <v/>
      </c>
      <c r="BL9" t="str">
        <v/>
      </c>
      <c r="BM9" t="str">
        <v/>
      </c>
      <c r="BY9" t="str">
        <v>processor</v>
      </c>
      <c r="BZ9" t="str">
        <v>Andeavor Logistics Lp 7</v>
      </c>
      <c r="CA9" t="str">
        <v>blendSAF</v>
      </c>
      <c r="CB9" t="str">
        <v/>
      </c>
      <c r="CC9" t="str">
        <v/>
      </c>
      <c r="CD9" t="str">
        <v/>
      </c>
      <c r="CE9" t="str">
        <v/>
      </c>
      <c r="CF9" t="str">
        <v/>
      </c>
      <c r="CI9" t="s">
        <v>155</v>
      </c>
      <c r="CJ9">
        <f>COUNTIFS(SAF_State[State],Notes!CI9,SAF_State[Filtered],1)</f>
        <v>0</v>
      </c>
    </row>
    <row r="10" spans="1:88" x14ac:dyDescent="0.3">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237</v>
      </c>
      <c r="AI10" s="1" t="s">
        <v>240</v>
      </c>
      <c r="AJ10" s="1" t="s">
        <v>21</v>
      </c>
      <c r="AK10" s="1" t="s">
        <v>239</v>
      </c>
      <c r="AL10" s="1" t="s">
        <v>238</v>
      </c>
      <c r="BF10" t="str">
        <v>processor</v>
      </c>
      <c r="BG10" t="str">
        <v>Andeavor Logistics Lp 18</v>
      </c>
      <c r="BH10" t="str">
        <v>blendSAF</v>
      </c>
      <c r="BI10" t="str">
        <v/>
      </c>
      <c r="BJ10" t="str">
        <v/>
      </c>
      <c r="BK10" t="str">
        <v/>
      </c>
      <c r="BL10" t="str">
        <v/>
      </c>
      <c r="BM10" t="str">
        <v/>
      </c>
      <c r="BY10" t="str">
        <v>processor</v>
      </c>
      <c r="BZ10" t="str">
        <v>Andeavor Logistics Lp 6</v>
      </c>
      <c r="CA10" t="str">
        <v>blendSAF</v>
      </c>
      <c r="CB10" t="str">
        <v/>
      </c>
      <c r="CC10" t="str">
        <v/>
      </c>
      <c r="CD10" t="str">
        <v/>
      </c>
      <c r="CE10" t="str">
        <v/>
      </c>
      <c r="CF10" t="str">
        <v/>
      </c>
      <c r="CI10" t="s">
        <v>154</v>
      </c>
      <c r="CJ10">
        <f>COUNTIFS(SAF_State[State],Notes!CI10,SAF_State[Filtered],1)</f>
        <v>0</v>
      </c>
    </row>
    <row r="11" spans="1:88" x14ac:dyDescent="0.3">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318</v>
      </c>
      <c r="AH11" s="120">
        <v>1</v>
      </c>
      <c r="AI11" s="120" t="s">
        <v>42</v>
      </c>
      <c r="AJ11" s="120" t="s">
        <v>321</v>
      </c>
      <c r="AK11" s="120">
        <f>1/'SAF Filters'!T52</f>
        <v>2</v>
      </c>
      <c r="AL11" s="121" t="s">
        <v>42</v>
      </c>
      <c r="BF11" t="str">
        <v>processor</v>
      </c>
      <c r="BG11" t="str">
        <v>Christensen Inc</v>
      </c>
      <c r="BH11" t="str">
        <v>blendSAF</v>
      </c>
      <c r="BI11" t="str">
        <v/>
      </c>
      <c r="BJ11" t="str">
        <v/>
      </c>
      <c r="BK11" t="str">
        <v/>
      </c>
      <c r="BL11" t="str">
        <v/>
      </c>
      <c r="BM11" t="str">
        <v/>
      </c>
      <c r="BY11" t="str">
        <v>processor</v>
      </c>
      <c r="BZ11" t="str">
        <v>Andeavor Logistics Lp 18</v>
      </c>
      <c r="CA11" t="str">
        <v>blendSAF</v>
      </c>
      <c r="CB11" t="str">
        <v/>
      </c>
      <c r="CC11" t="str">
        <v/>
      </c>
      <c r="CD11" t="str">
        <v/>
      </c>
      <c r="CE11" t="str">
        <v/>
      </c>
      <c r="CF11" t="str">
        <v/>
      </c>
      <c r="CI11" t="s">
        <v>148</v>
      </c>
      <c r="CJ11">
        <f>COUNTIFS(SAF_State[State],Notes!CI11,SAF_State[Filtered],1)</f>
        <v>0</v>
      </c>
    </row>
    <row r="12" spans="1:88" x14ac:dyDescent="0.3">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Chevron Usa Inc Willbridge</v>
      </c>
      <c r="BH12" t="str">
        <v>blendSAF</v>
      </c>
      <c r="BI12" t="str">
        <v/>
      </c>
      <c r="BJ12" t="str">
        <v/>
      </c>
      <c r="BK12" t="str">
        <v/>
      </c>
      <c r="BL12" t="str">
        <v/>
      </c>
      <c r="BM12" t="str">
        <v/>
      </c>
      <c r="BY12" t="str">
        <v>processor</v>
      </c>
      <c r="BZ12" t="str">
        <v>Christensen Inc</v>
      </c>
      <c r="CA12" t="str">
        <v>blendSAF</v>
      </c>
      <c r="CB12" t="str">
        <v/>
      </c>
      <c r="CC12" t="str">
        <v/>
      </c>
      <c r="CD12" t="str">
        <v/>
      </c>
      <c r="CE12" t="str">
        <v/>
      </c>
      <c r="CF12" t="str">
        <v/>
      </c>
      <c r="CI12" t="s">
        <v>176</v>
      </c>
      <c r="CJ12">
        <f>COUNTIFS(SAF_State[State],Notes!CI12,SAF_State[Filtered],1)</f>
        <v>0</v>
      </c>
    </row>
    <row r="13" spans="1:88" x14ac:dyDescent="0.3">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323</v>
      </c>
      <c r="BF13" t="str">
        <v>processor</v>
      </c>
      <c r="BG13" t="str">
        <v>Tlp Management Services Llc 3</v>
      </c>
      <c r="BH13" t="str">
        <v>blendSAF</v>
      </c>
      <c r="BI13" t="str">
        <v/>
      </c>
      <c r="BJ13" t="str">
        <v/>
      </c>
      <c r="BK13" t="str">
        <v/>
      </c>
      <c r="BL13" t="str">
        <v/>
      </c>
      <c r="BM13" t="str">
        <v/>
      </c>
      <c r="BY13" t="str">
        <v>processor</v>
      </c>
      <c r="BZ13" t="str">
        <v>Chevron Usa Inc Willbridge</v>
      </c>
      <c r="CA13" t="str">
        <v>blendSAF</v>
      </c>
      <c r="CB13" t="str">
        <v/>
      </c>
      <c r="CC13" t="str">
        <v/>
      </c>
      <c r="CD13" t="str">
        <v/>
      </c>
      <c r="CE13" t="str">
        <v/>
      </c>
      <c r="CF13" t="str">
        <v/>
      </c>
      <c r="CI13" t="s">
        <v>178</v>
      </c>
      <c r="CJ13">
        <f>COUNTIFS(SAF_State[State],Notes!CI13,SAF_State[Filtered],1)</f>
        <v>1</v>
      </c>
    </row>
    <row r="14" spans="1:88" x14ac:dyDescent="0.3">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Phillips 66 Company 16</v>
      </c>
      <c r="BH14" t="str">
        <v>blendSAF</v>
      </c>
      <c r="BI14" t="str">
        <v/>
      </c>
      <c r="BJ14" t="str">
        <v/>
      </c>
      <c r="BK14" t="str">
        <v/>
      </c>
      <c r="BL14" t="str">
        <v/>
      </c>
      <c r="BM14" t="str">
        <v/>
      </c>
      <c r="BY14" t="str">
        <v>processor</v>
      </c>
      <c r="BZ14" t="str">
        <v>Tlp Management Services Llc 3</v>
      </c>
      <c r="CA14" t="str">
        <v>blendSAF</v>
      </c>
      <c r="CB14" t="str">
        <v/>
      </c>
      <c r="CC14" t="str">
        <v/>
      </c>
      <c r="CD14" t="str">
        <v/>
      </c>
      <c r="CE14" t="str">
        <v/>
      </c>
      <c r="CF14" t="str">
        <v/>
      </c>
      <c r="CI14" t="s">
        <v>190</v>
      </c>
      <c r="CJ14">
        <f>COUNTIFS(SAF_State[State],Notes!CI14,SAF_State[Filtered],1)</f>
        <v>0</v>
      </c>
    </row>
    <row r="15" spans="1:88" x14ac:dyDescent="0.3">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237</v>
      </c>
      <c r="AI15" s="1" t="s">
        <v>240</v>
      </c>
      <c r="AJ15" s="1" t="s">
        <v>21</v>
      </c>
      <c r="AK15" s="1" t="s">
        <v>239</v>
      </c>
      <c r="AL15" s="1" t="s">
        <v>238</v>
      </c>
      <c r="BF15" t="str">
        <v>processor</v>
      </c>
      <c r="BG15" t="str">
        <v>Phillips 66 3</v>
      </c>
      <c r="BH15" t="str">
        <v>blendSAF</v>
      </c>
      <c r="BI15" t="str">
        <v/>
      </c>
      <c r="BJ15" t="str">
        <v/>
      </c>
      <c r="BK15" t="str">
        <v/>
      </c>
      <c r="BL15" t="str">
        <v/>
      </c>
      <c r="BM15" t="str">
        <v/>
      </c>
      <c r="BY15" t="str">
        <v>processor</v>
      </c>
      <c r="BZ15" t="str">
        <v>Phillips 66 Company 16</v>
      </c>
      <c r="CA15" t="str">
        <v>blendSAF</v>
      </c>
      <c r="CB15" t="str">
        <v/>
      </c>
      <c r="CC15" t="str">
        <v/>
      </c>
      <c r="CD15" t="str">
        <v/>
      </c>
      <c r="CE15" t="str">
        <v/>
      </c>
      <c r="CF15" t="str">
        <v/>
      </c>
      <c r="CI15" t="s">
        <v>153</v>
      </c>
      <c r="CJ15">
        <f>COUNTIFS(SAF_State[State],Notes!CI15,SAF_State[Filtered],1)</f>
        <v>1</v>
      </c>
    </row>
    <row r="16" spans="1:88" x14ac:dyDescent="0.3">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FOG</v>
      </c>
      <c r="AH16" s="120">
        <v>1</v>
      </c>
      <c r="AI16" s="120" t="str">
        <v>tons</v>
      </c>
      <c r="AJ16" s="120" t="str">
        <v>SAF</v>
      </c>
      <c r="AK16" s="120">
        <v>127.21129047148131</v>
      </c>
      <c r="AL16" s="121" t="str">
        <v>gallon</v>
      </c>
      <c r="BF16" t="str">
        <v>processor</v>
      </c>
      <c r="BG16" t="str">
        <v>Global Co Llc 4</v>
      </c>
      <c r="BH16" t="str">
        <v>blendSAF</v>
      </c>
      <c r="BI16" t="str">
        <v/>
      </c>
      <c r="BJ16" t="str">
        <v/>
      </c>
      <c r="BK16" t="str">
        <v/>
      </c>
      <c r="BL16" t="str">
        <v/>
      </c>
      <c r="BM16" t="str">
        <v/>
      </c>
      <c r="BY16" t="str">
        <v>processor</v>
      </c>
      <c r="BZ16" t="str">
        <v>Phillips 66 3</v>
      </c>
      <c r="CA16" t="str">
        <v>blendSAF</v>
      </c>
      <c r="CB16" t="str">
        <v/>
      </c>
      <c r="CC16" t="str">
        <v/>
      </c>
      <c r="CD16" t="str">
        <v/>
      </c>
      <c r="CE16" t="str">
        <v/>
      </c>
      <c r="CF16" t="str">
        <v/>
      </c>
      <c r="CI16" t="s">
        <v>152</v>
      </c>
      <c r="CJ16">
        <f>COUNTIFS(SAF_State[State],Notes!CI16,SAF_State[Filtered],1)</f>
        <v>0</v>
      </c>
    </row>
    <row r="17" spans="1:88" x14ac:dyDescent="0.3">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1662</v>
      </c>
      <c r="BF17" t="str">
        <v>processor</v>
      </c>
      <c r="BG17" t="str">
        <v>Pacific Terminal Services Inc</v>
      </c>
      <c r="BH17" t="str">
        <v>blendSAF</v>
      </c>
      <c r="BI17" t="str">
        <v/>
      </c>
      <c r="BJ17" t="str">
        <v/>
      </c>
      <c r="BK17" t="str">
        <v/>
      </c>
      <c r="BL17" t="str">
        <v/>
      </c>
      <c r="BM17" t="str">
        <v/>
      </c>
      <c r="BY17" t="str">
        <v>processor</v>
      </c>
      <c r="BZ17" t="str">
        <v>Global Co Llc 4</v>
      </c>
      <c r="CA17" t="str">
        <v>blendSAF</v>
      </c>
      <c r="CB17" t="str">
        <v/>
      </c>
      <c r="CC17" t="str">
        <v/>
      </c>
      <c r="CD17" t="str">
        <v/>
      </c>
      <c r="CE17" t="str">
        <v/>
      </c>
      <c r="CF17" t="str">
        <v/>
      </c>
      <c r="CI17" t="s">
        <v>166</v>
      </c>
      <c r="CJ17">
        <f>COUNTIFS(SAF_State[State],Notes!CI17,SAF_State[Filtered],1)</f>
        <v>0</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Sfpp Lp 4</v>
      </c>
      <c r="BH18" t="str">
        <v>blendSAF</v>
      </c>
      <c r="BI18" t="str">
        <v/>
      </c>
      <c r="BJ18" t="str">
        <v/>
      </c>
      <c r="BK18" t="str">
        <v/>
      </c>
      <c r="BL18" t="str">
        <v/>
      </c>
      <c r="BM18" t="str">
        <v/>
      </c>
      <c r="BY18" t="str">
        <v>processor</v>
      </c>
      <c r="BZ18" t="str">
        <v>Pacific Terminal Services Inc</v>
      </c>
      <c r="CA18" t="str">
        <v>blendSAF</v>
      </c>
      <c r="CB18" t="str">
        <v/>
      </c>
      <c r="CC18" t="str">
        <v/>
      </c>
      <c r="CD18" t="str">
        <v/>
      </c>
      <c r="CE18" t="str">
        <v/>
      </c>
      <c r="CF18" t="str">
        <v/>
      </c>
      <c r="CI18" t="s">
        <v>175</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Kinder Morgan Portland Liquids Termi</v>
      </c>
      <c r="BH19" t="str">
        <v>blendSAF</v>
      </c>
      <c r="BI19" t="str">
        <v/>
      </c>
      <c r="BJ19" t="str">
        <v/>
      </c>
      <c r="BK19" t="str">
        <v/>
      </c>
      <c r="BL19" t="str">
        <v/>
      </c>
      <c r="BM19" t="str">
        <v/>
      </c>
      <c r="BY19" t="str">
        <v>processor</v>
      </c>
      <c r="BZ19" t="str">
        <v>Sfpp Lp 4</v>
      </c>
      <c r="CA19" t="str">
        <v>blendSAF</v>
      </c>
      <c r="CB19" t="str">
        <v/>
      </c>
      <c r="CC19" t="str">
        <v/>
      </c>
      <c r="CD19" t="str">
        <v/>
      </c>
      <c r="CE19" t="str">
        <v/>
      </c>
      <c r="CF19" t="str">
        <v/>
      </c>
      <c r="CI19" t="s">
        <v>179</v>
      </c>
      <c r="CJ19">
        <f>COUNTIFS(SAF_State[State],Notes!CI19,SAF_State[Filtered],1)</f>
        <v>0</v>
      </c>
    </row>
    <row r="20" spans="1:88" x14ac:dyDescent="0.3">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Mccall Oil &amp; Chemical</v>
      </c>
      <c r="BH20" t="str">
        <v>blendSAF</v>
      </c>
      <c r="BI20" t="str">
        <v/>
      </c>
      <c r="BJ20" t="str">
        <v/>
      </c>
      <c r="BK20" t="str">
        <v/>
      </c>
      <c r="BL20" t="str">
        <v/>
      </c>
      <c r="BM20" t="str">
        <v/>
      </c>
      <c r="BY20" t="str">
        <v>processor</v>
      </c>
      <c r="BZ20" t="str">
        <v>Kinder Morgan Portland Liquids Termi</v>
      </c>
      <c r="CA20" t="str">
        <v>blendSAF</v>
      </c>
      <c r="CB20" t="str">
        <v/>
      </c>
      <c r="CC20" t="str">
        <v/>
      </c>
      <c r="CD20" t="str">
        <v/>
      </c>
      <c r="CE20" t="str">
        <v/>
      </c>
      <c r="CF20" t="str">
        <v/>
      </c>
      <c r="CI20" t="s">
        <v>173</v>
      </c>
      <c r="CJ20">
        <f>COUNTIFS(SAF_State[State],Notes!CI20,SAF_State[Filtered],1)</f>
        <v>0</v>
      </c>
    </row>
    <row r="21" spans="1:88" x14ac:dyDescent="0.3">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Nustar Energy Lp 33</v>
      </c>
      <c r="BH21" t="str">
        <v>blendSAF</v>
      </c>
      <c r="BI21" t="str">
        <v/>
      </c>
      <c r="BJ21" t="str">
        <v/>
      </c>
      <c r="BK21" t="str">
        <v/>
      </c>
      <c r="BL21" t="str">
        <v/>
      </c>
      <c r="BM21" t="str">
        <v/>
      </c>
      <c r="BY21" t="str">
        <v>processor</v>
      </c>
      <c r="BZ21" t="str">
        <v>Mccall Oil &amp; Chemical</v>
      </c>
      <c r="CA21" t="str">
        <v>blendSAF</v>
      </c>
      <c r="CB21" t="str">
        <v/>
      </c>
      <c r="CC21" t="str">
        <v/>
      </c>
      <c r="CD21" t="str">
        <v/>
      </c>
      <c r="CE21" t="str">
        <v/>
      </c>
      <c r="CF21" t="str">
        <v/>
      </c>
      <c r="CI21" t="s">
        <v>157</v>
      </c>
      <c r="CJ21">
        <f>COUNTIFS(SAF_State[State],Notes!CI21,SAF_State[Filtered],1)</f>
        <v>0</v>
      </c>
    </row>
    <row r="22" spans="1:88" x14ac:dyDescent="0.3">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Equilon Enterprises Llc 3</v>
      </c>
      <c r="BH22" t="str">
        <v>blendSAF</v>
      </c>
      <c r="BI22" t="str">
        <v/>
      </c>
      <c r="BJ22" t="str">
        <v/>
      </c>
      <c r="BK22" t="str">
        <v/>
      </c>
      <c r="BL22" t="str">
        <v/>
      </c>
      <c r="BM22" t="str">
        <v/>
      </c>
      <c r="BY22" t="str">
        <v>processor</v>
      </c>
      <c r="BZ22" t="str">
        <v>Nustar Energy Lp 33</v>
      </c>
      <c r="CA22" t="str">
        <v>blendSAF</v>
      </c>
      <c r="CB22" t="str">
        <v/>
      </c>
      <c r="CC22" t="str">
        <v/>
      </c>
      <c r="CD22" t="str">
        <v/>
      </c>
      <c r="CE22" t="str">
        <v/>
      </c>
      <c r="CF22" t="str">
        <v/>
      </c>
      <c r="CI22" t="s">
        <v>184</v>
      </c>
      <c r="CJ22">
        <f>COUNTIFS(SAF_State[State],Notes!CI22,SAF_State[Filtered],1)</f>
        <v>0</v>
      </c>
    </row>
    <row r="23" spans="1:88" x14ac:dyDescent="0.3">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Tidewater Terminal Co 2</v>
      </c>
      <c r="BH23" t="str">
        <v>blendSAF</v>
      </c>
      <c r="BI23" t="str">
        <v/>
      </c>
      <c r="BJ23" t="str">
        <v/>
      </c>
      <c r="BK23" t="str">
        <v/>
      </c>
      <c r="BL23" t="str">
        <v/>
      </c>
      <c r="BM23" t="str">
        <v/>
      </c>
      <c r="BY23" t="str">
        <v>processor</v>
      </c>
      <c r="BZ23" t="str">
        <v>Equilon Enterprises Llc 3</v>
      </c>
      <c r="CA23" t="str">
        <v>blendSAF</v>
      </c>
      <c r="CB23" t="str">
        <v/>
      </c>
      <c r="CC23" t="str">
        <v/>
      </c>
      <c r="CD23" t="str">
        <v/>
      </c>
      <c r="CE23" t="str">
        <v/>
      </c>
      <c r="CF23" t="str">
        <v/>
      </c>
      <c r="CI23" t="s">
        <v>187</v>
      </c>
      <c r="CJ23">
        <f>COUNTIFS(SAF_State[State],Notes!CI23,SAF_State[Filtered],1)</f>
        <v>0</v>
      </c>
    </row>
    <row r="24" spans="1:88" x14ac:dyDescent="0.3">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Owens Corning 11</v>
      </c>
      <c r="BH24" t="str">
        <v>blendSAF</v>
      </c>
      <c r="BI24" t="str">
        <v/>
      </c>
      <c r="BJ24" t="str">
        <v/>
      </c>
      <c r="BK24" t="str">
        <v/>
      </c>
      <c r="BL24" t="str">
        <v/>
      </c>
      <c r="BM24" t="str">
        <v/>
      </c>
      <c r="BY24" t="str">
        <v>processor</v>
      </c>
      <c r="BZ24" t="str">
        <v>Tidewater Terminal Co 2</v>
      </c>
      <c r="CA24" t="str">
        <v>blendSAF</v>
      </c>
      <c r="CB24" t="str">
        <v/>
      </c>
      <c r="CC24" t="str">
        <v/>
      </c>
      <c r="CD24" t="str">
        <v/>
      </c>
      <c r="CE24" t="str">
        <v/>
      </c>
      <c r="CF24" t="str">
        <v/>
      </c>
      <c r="CI24" t="s">
        <v>158</v>
      </c>
      <c r="CJ24">
        <f>COUNTIFS(SAF_State[State],Notes!CI24,SAF_State[Filtered],1)</f>
        <v>0</v>
      </c>
    </row>
    <row r="25" spans="1:88" x14ac:dyDescent="0.3">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Zenith Energy Terminals Holdings Llc</v>
      </c>
      <c r="BH25" t="str">
        <v>blendSAF</v>
      </c>
      <c r="BI25" t="str">
        <v/>
      </c>
      <c r="BJ25" t="str">
        <v/>
      </c>
      <c r="BK25" t="str">
        <v/>
      </c>
      <c r="BL25" t="str">
        <v/>
      </c>
      <c r="BM25" t="str">
        <v/>
      </c>
      <c r="BY25" t="str">
        <v>processor</v>
      </c>
      <c r="BZ25" t="str">
        <v>Owens Corning 11</v>
      </c>
      <c r="CA25" t="str">
        <v>blendSAF</v>
      </c>
      <c r="CB25" t="str">
        <v/>
      </c>
      <c r="CC25" t="str">
        <v/>
      </c>
      <c r="CD25" t="str">
        <v/>
      </c>
      <c r="CE25" t="str">
        <v/>
      </c>
      <c r="CF25" t="str">
        <v/>
      </c>
      <c r="CI25" t="s">
        <v>147</v>
      </c>
      <c r="CJ25">
        <f>COUNTIFS(SAF_State[State],Notes!CI25,SAF_State[Filtered],1)</f>
        <v>0</v>
      </c>
    </row>
    <row r="26" spans="1:88" x14ac:dyDescent="0.3">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Reg Grays Harbor Llc</v>
      </c>
      <c r="BH26" t="str">
        <v>blendSAF</v>
      </c>
      <c r="BI26" t="str">
        <v/>
      </c>
      <c r="BJ26" t="str">
        <v/>
      </c>
      <c r="BK26" t="str">
        <v/>
      </c>
      <c r="BL26" t="str">
        <v/>
      </c>
      <c r="BM26" t="str">
        <v/>
      </c>
      <c r="BY26" t="str">
        <v>processor</v>
      </c>
      <c r="BZ26" t="str">
        <v>Zenith Energy Terminals Holdings Llc</v>
      </c>
      <c r="CA26" t="str">
        <v>blendSAF</v>
      </c>
      <c r="CB26" t="str">
        <v/>
      </c>
      <c r="CC26" t="str">
        <v/>
      </c>
      <c r="CD26" t="str">
        <v/>
      </c>
      <c r="CE26" t="str">
        <v/>
      </c>
      <c r="CF26" t="str">
        <v/>
      </c>
      <c r="CI26" t="s">
        <v>183</v>
      </c>
      <c r="CJ26">
        <f>COUNTIFS(SAF_State[State],Notes!CI26,SAF_State[Filtered],1)</f>
        <v>0</v>
      </c>
    </row>
    <row r="27" spans="1:88" x14ac:dyDescent="0.3">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Ergon Asphalt &amp; Emulsions Inc 11</v>
      </c>
      <c r="BH27" t="str">
        <v>blendSAF</v>
      </c>
      <c r="BI27" t="str">
        <v/>
      </c>
      <c r="BJ27" t="str">
        <v/>
      </c>
      <c r="BK27" t="str">
        <v/>
      </c>
      <c r="BL27" t="str">
        <v/>
      </c>
      <c r="BM27" t="str">
        <v/>
      </c>
      <c r="BY27" t="str">
        <v>processor</v>
      </c>
      <c r="BZ27" t="str">
        <v>Reg Grays Harbor Llc</v>
      </c>
      <c r="CA27" t="str">
        <v>blendSAF</v>
      </c>
      <c r="CB27" t="str">
        <v/>
      </c>
      <c r="CC27" t="str">
        <v/>
      </c>
      <c r="CD27" t="str">
        <v/>
      </c>
      <c r="CE27" t="str">
        <v/>
      </c>
      <c r="CF27" t="str">
        <v/>
      </c>
      <c r="CI27" t="s">
        <v>145</v>
      </c>
      <c r="CJ27">
        <f>COUNTIFS(SAF_State[State],Notes!CI27,SAF_State[Filtered],1)</f>
        <v>0</v>
      </c>
    </row>
    <row r="28" spans="1:88" x14ac:dyDescent="0.3">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Ergon Asphalt 7 Emulsions Inc</v>
      </c>
      <c r="BH28" t="str">
        <v>blendSAF</v>
      </c>
      <c r="BI28" t="str">
        <v/>
      </c>
      <c r="BJ28" t="str">
        <v/>
      </c>
      <c r="BK28" t="str">
        <v/>
      </c>
      <c r="BL28" t="str">
        <v/>
      </c>
      <c r="BM28" t="str">
        <v/>
      </c>
      <c r="BY28" t="str">
        <v>processor</v>
      </c>
      <c r="BZ28" t="str">
        <v>Ergon Asphalt &amp; Emulsions Inc 11</v>
      </c>
      <c r="CA28" t="str">
        <v>blendSAF</v>
      </c>
      <c r="CB28" t="str">
        <v/>
      </c>
      <c r="CC28" t="str">
        <v/>
      </c>
      <c r="CD28" t="str">
        <v/>
      </c>
      <c r="CE28" t="str">
        <v/>
      </c>
      <c r="CF28" t="str">
        <v/>
      </c>
      <c r="CI28" t="s">
        <v>165</v>
      </c>
      <c r="CJ28">
        <f>COUNTIFS(SAF_State[State],Notes!CI28,SAF_State[Filtered],1)</f>
        <v>0</v>
      </c>
    </row>
    <row r="29" spans="1:88" x14ac:dyDescent="0.3">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Ergon Asphalt &amp; Emulsions Inc 14</v>
      </c>
      <c r="BH29" t="str">
        <v>blendSAF</v>
      </c>
      <c r="BI29" t="str">
        <v/>
      </c>
      <c r="BJ29" t="str">
        <v/>
      </c>
      <c r="BK29" t="str">
        <v/>
      </c>
      <c r="BL29" t="str">
        <v/>
      </c>
      <c r="BM29" t="str">
        <v/>
      </c>
      <c r="BY29" t="str">
        <v>processor</v>
      </c>
      <c r="BZ29" t="str">
        <v>Ergon Asphalt 7 Emulsions Inc</v>
      </c>
      <c r="CA29" t="str">
        <v>blendSAF</v>
      </c>
      <c r="CB29" t="str">
        <v/>
      </c>
      <c r="CC29" t="str">
        <v/>
      </c>
      <c r="CD29" t="str">
        <v/>
      </c>
      <c r="CE29" t="str">
        <v/>
      </c>
      <c r="CF29" t="str">
        <v/>
      </c>
    </row>
    <row r="30" spans="1:88" x14ac:dyDescent="0.3">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Tlp Management Services Llc 4</v>
      </c>
      <c r="BH30" t="str">
        <v>blendSAF</v>
      </c>
      <c r="BI30" t="str">
        <v/>
      </c>
      <c r="BJ30" t="str">
        <v/>
      </c>
      <c r="BK30" t="str">
        <v/>
      </c>
      <c r="BL30" t="str">
        <v/>
      </c>
      <c r="BM30" t="str">
        <v/>
      </c>
      <c r="BY30" t="str">
        <v>processor</v>
      </c>
      <c r="BZ30" t="str">
        <v>Ergon Asphalt &amp; Emulsions Inc 14</v>
      </c>
      <c r="CA30" t="str">
        <v>blendSAF</v>
      </c>
      <c r="CB30" t="str">
        <v/>
      </c>
      <c r="CC30" t="str">
        <v/>
      </c>
      <c r="CD30" t="str">
        <v/>
      </c>
      <c r="CE30" t="str">
        <v/>
      </c>
      <c r="CF30" t="str">
        <v/>
      </c>
      <c r="CI30" s="1" t="s">
        <v>1700</v>
      </c>
      <c r="CJ30" s="1">
        <f>SUM(CJ4:CJ28)</f>
        <v>2</v>
      </c>
    </row>
    <row r="31" spans="1:88" x14ac:dyDescent="0.3">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Seaport Sound Terminal Llc</v>
      </c>
      <c r="BH31" t="str">
        <v>blendSAF</v>
      </c>
      <c r="BI31" t="str">
        <v/>
      </c>
      <c r="BJ31" t="str">
        <v/>
      </c>
      <c r="BK31" t="str">
        <v/>
      </c>
      <c r="BL31" t="str">
        <v/>
      </c>
      <c r="BM31" t="str">
        <v/>
      </c>
      <c r="BY31" t="str">
        <v>processor</v>
      </c>
      <c r="BZ31" t="str">
        <v>Tlp Management Services Llc 4</v>
      </c>
      <c r="CA31" t="str">
        <v>blendSAF</v>
      </c>
      <c r="CB31" t="str">
        <v/>
      </c>
      <c r="CC31" t="str">
        <v/>
      </c>
      <c r="CD31" t="str">
        <v/>
      </c>
      <c r="CE31" t="str">
        <v/>
      </c>
      <c r="CF31" t="str">
        <v/>
      </c>
    </row>
    <row r="32" spans="1:88" x14ac:dyDescent="0.3">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Phillips 66 Company 23</v>
      </c>
      <c r="BH32" t="str">
        <v>blendSAF</v>
      </c>
      <c r="BI32" t="str">
        <v/>
      </c>
      <c r="BJ32" t="str">
        <v/>
      </c>
      <c r="BK32" t="str">
        <v/>
      </c>
      <c r="BL32" t="str">
        <v/>
      </c>
      <c r="BM32" t="str">
        <v/>
      </c>
      <c r="BY32" t="str">
        <v>processor</v>
      </c>
      <c r="BZ32" t="str">
        <v>Seaport Sound Terminal Llc</v>
      </c>
      <c r="CA32" t="str">
        <v>blendSAF</v>
      </c>
      <c r="CB32" t="str">
        <v/>
      </c>
      <c r="CC32" t="str">
        <v/>
      </c>
      <c r="CD32" t="str">
        <v/>
      </c>
      <c r="CE32" t="str">
        <v/>
      </c>
      <c r="CF32" t="str">
        <v/>
      </c>
    </row>
    <row r="33" spans="1:84" x14ac:dyDescent="0.3">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Phillips 66 Company 24</v>
      </c>
      <c r="BH33" t="str">
        <v>blendSAF</v>
      </c>
      <c r="BI33" t="str">
        <v/>
      </c>
      <c r="BJ33" t="str">
        <v/>
      </c>
      <c r="BK33" t="str">
        <v/>
      </c>
      <c r="BL33" t="str">
        <v/>
      </c>
      <c r="BM33" t="str">
        <v/>
      </c>
      <c r="BY33" t="str">
        <v>processor</v>
      </c>
      <c r="BZ33" t="str">
        <v>Phillips 66 Company 23</v>
      </c>
      <c r="CA33" t="str">
        <v>blendSAF</v>
      </c>
      <c r="CB33" t="str">
        <v/>
      </c>
      <c r="CC33" t="str">
        <v/>
      </c>
      <c r="CD33" t="str">
        <v/>
      </c>
      <c r="CE33" t="str">
        <v/>
      </c>
      <c r="CF33" t="str">
        <v/>
      </c>
    </row>
    <row r="34" spans="1:84" x14ac:dyDescent="0.3">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Phillips 66 Company 17</v>
      </c>
      <c r="BH34" t="str">
        <v>blendSAF</v>
      </c>
      <c r="BI34" t="str">
        <v/>
      </c>
      <c r="BJ34" t="str">
        <v/>
      </c>
      <c r="BK34" t="str">
        <v/>
      </c>
      <c r="BL34" t="str">
        <v/>
      </c>
      <c r="BM34" t="str">
        <v/>
      </c>
      <c r="BY34" t="str">
        <v>processor</v>
      </c>
      <c r="BZ34" t="str">
        <v>Phillips 66 Company 24</v>
      </c>
      <c r="CA34" t="str">
        <v>blendSAF</v>
      </c>
      <c r="CB34" t="str">
        <v/>
      </c>
      <c r="CC34" t="str">
        <v/>
      </c>
      <c r="CD34" t="str">
        <v/>
      </c>
      <c r="CE34" t="str">
        <v/>
      </c>
      <c r="CF34" t="str">
        <v/>
      </c>
    </row>
    <row r="35" spans="1:84" x14ac:dyDescent="0.3">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Holly Energy Partners Oper Lp 6</v>
      </c>
      <c r="BH35" t="str">
        <v>blendSAF</v>
      </c>
      <c r="BI35" t="str">
        <v/>
      </c>
      <c r="BJ35" t="str">
        <v/>
      </c>
      <c r="BK35" t="str">
        <v/>
      </c>
      <c r="BL35" t="str">
        <v/>
      </c>
      <c r="BM35" t="str">
        <v/>
      </c>
      <c r="BY35" t="str">
        <v>processor</v>
      </c>
      <c r="BZ35" t="str">
        <v>Phillips 66 Company 17</v>
      </c>
      <c r="CA35" t="str">
        <v>blendSAF</v>
      </c>
      <c r="CB35" t="str">
        <v/>
      </c>
      <c r="CC35" t="str">
        <v/>
      </c>
      <c r="CD35" t="str">
        <v/>
      </c>
      <c r="CE35" t="str">
        <v/>
      </c>
      <c r="CF35" t="str">
        <v/>
      </c>
    </row>
    <row r="36" spans="1:84" x14ac:dyDescent="0.3">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Energy Partner Lp</v>
      </c>
      <c r="BH36" t="str">
        <v>blendSAF</v>
      </c>
      <c r="BI36" t="str">
        <v/>
      </c>
      <c r="BJ36" t="str">
        <v/>
      </c>
      <c r="BK36" t="str">
        <v/>
      </c>
      <c r="BL36" t="str">
        <v/>
      </c>
      <c r="BM36" t="str">
        <v/>
      </c>
      <c r="BY36" t="str">
        <v>processor</v>
      </c>
      <c r="BZ36" t="str">
        <v>Holly Energy Partners Oper Lp 6</v>
      </c>
      <c r="CA36" t="str">
        <v>blendSAF</v>
      </c>
      <c r="CB36" t="str">
        <v/>
      </c>
      <c r="CC36" t="str">
        <v/>
      </c>
      <c r="CD36" t="str">
        <v/>
      </c>
      <c r="CE36" t="str">
        <v/>
      </c>
      <c r="CF36" t="str">
        <v/>
      </c>
    </row>
    <row r="37" spans="1:84" x14ac:dyDescent="0.3">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Tesoro Refining &amp; Marketing 8</v>
      </c>
      <c r="BH37" t="str">
        <v>blendSAF</v>
      </c>
      <c r="BI37" t="str">
        <v/>
      </c>
      <c r="BJ37" t="str">
        <v/>
      </c>
      <c r="BK37" t="str">
        <v/>
      </c>
      <c r="BL37" t="str">
        <v/>
      </c>
      <c r="BM37" t="str">
        <v/>
      </c>
      <c r="BY37" t="str">
        <v>processor</v>
      </c>
      <c r="BZ37" t="str">
        <v>Kinder Morgan Energy Partner Lp</v>
      </c>
      <c r="CA37" t="str">
        <v>blendSAF</v>
      </c>
      <c r="CB37" t="str">
        <v/>
      </c>
      <c r="CC37" t="str">
        <v/>
      </c>
      <c r="CD37" t="str">
        <v/>
      </c>
      <c r="CE37" t="str">
        <v/>
      </c>
      <c r="CF37" t="str">
        <v/>
      </c>
    </row>
    <row r="38" spans="1:84" x14ac:dyDescent="0.3">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Andeavor Logistics Lp 23</v>
      </c>
      <c r="BH38" t="str">
        <v>blendSAF</v>
      </c>
      <c r="BI38" t="str">
        <v/>
      </c>
      <c r="BJ38" t="str">
        <v/>
      </c>
      <c r="BK38" t="str">
        <v/>
      </c>
      <c r="BL38" t="str">
        <v/>
      </c>
      <c r="BM38" t="str">
        <v/>
      </c>
      <c r="BY38" t="str">
        <v>processor</v>
      </c>
      <c r="BZ38" t="str">
        <v>Tesoro Refining &amp; Marketing 8</v>
      </c>
      <c r="CA38" t="str">
        <v>blendSAF</v>
      </c>
      <c r="CB38" t="str">
        <v/>
      </c>
      <c r="CC38" t="str">
        <v/>
      </c>
      <c r="CD38" t="str">
        <v/>
      </c>
      <c r="CE38" t="str">
        <v/>
      </c>
      <c r="CF38" t="str">
        <v/>
      </c>
    </row>
    <row r="39" spans="1:84" x14ac:dyDescent="0.3">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Andeavor Logistics Lp 16</v>
      </c>
      <c r="BH39" t="str">
        <v>blendSAF</v>
      </c>
      <c r="BI39" t="str">
        <v/>
      </c>
      <c r="BJ39" t="str">
        <v/>
      </c>
      <c r="BK39" t="str">
        <v/>
      </c>
      <c r="BL39" t="str">
        <v/>
      </c>
      <c r="BM39" t="str">
        <v/>
      </c>
      <c r="BY39" t="str">
        <v>processor</v>
      </c>
      <c r="BZ39" t="str">
        <v>Andeavor Logistics Lp 23</v>
      </c>
      <c r="CA39" t="str">
        <v>blendSAF</v>
      </c>
      <c r="CB39" t="str">
        <v/>
      </c>
      <c r="CC39" t="str">
        <v/>
      </c>
      <c r="CD39" t="str">
        <v/>
      </c>
      <c r="CE39" t="str">
        <v/>
      </c>
      <c r="CF39" t="str">
        <v/>
      </c>
    </row>
    <row r="40" spans="1:84" x14ac:dyDescent="0.3">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Nustar Energy Lp 43</v>
      </c>
      <c r="BH40" t="str">
        <v>blendSAF</v>
      </c>
      <c r="BI40" t="str">
        <v/>
      </c>
      <c r="BJ40" t="str">
        <v/>
      </c>
      <c r="BK40" t="str">
        <v/>
      </c>
      <c r="BL40" t="str">
        <v/>
      </c>
      <c r="BM40" t="str">
        <v/>
      </c>
      <c r="BY40" t="str">
        <v>processor</v>
      </c>
      <c r="BZ40" t="str">
        <v>Andeavor Logistics Lp 16</v>
      </c>
      <c r="CA40" t="str">
        <v>blendSAF</v>
      </c>
      <c r="CB40" t="str">
        <v/>
      </c>
      <c r="CC40" t="str">
        <v/>
      </c>
      <c r="CD40" t="str">
        <v/>
      </c>
      <c r="CE40" t="str">
        <v/>
      </c>
      <c r="CF40" t="str">
        <v/>
      </c>
    </row>
    <row r="41" spans="1:84" x14ac:dyDescent="0.3">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Nustar Energy Lp 44</v>
      </c>
      <c r="BH41" t="str">
        <v>blendSAF</v>
      </c>
      <c r="BI41" t="str">
        <v/>
      </c>
      <c r="BJ41" t="str">
        <v/>
      </c>
      <c r="BK41" t="str">
        <v/>
      </c>
      <c r="BL41" t="str">
        <v/>
      </c>
      <c r="BM41" t="str">
        <v/>
      </c>
      <c r="BY41" t="str">
        <v>processor</v>
      </c>
      <c r="BZ41" t="str">
        <v>Nustar Energy Lp 43</v>
      </c>
      <c r="CA41" t="str">
        <v>blendSAF</v>
      </c>
      <c r="CB41" t="str">
        <v/>
      </c>
      <c r="CC41" t="str">
        <v/>
      </c>
      <c r="CD41" t="str">
        <v/>
      </c>
      <c r="CE41" t="str">
        <v/>
      </c>
      <c r="CF41" t="str">
        <v/>
      </c>
    </row>
    <row r="42" spans="1:84" x14ac:dyDescent="0.3">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Par Montana Llc 9</v>
      </c>
      <c r="BH42" t="str">
        <v>blendSAF</v>
      </c>
      <c r="BI42" t="str">
        <v/>
      </c>
      <c r="BJ42" t="str">
        <v/>
      </c>
      <c r="BK42" t="str">
        <v/>
      </c>
      <c r="BL42" t="str">
        <v/>
      </c>
      <c r="BM42" t="str">
        <v/>
      </c>
      <c r="BY42" t="str">
        <v>processor</v>
      </c>
      <c r="BZ42" t="str">
        <v>Nustar Energy Lp 44</v>
      </c>
      <c r="CA42" t="str">
        <v>blendSAF</v>
      </c>
      <c r="CB42" t="str">
        <v/>
      </c>
      <c r="CC42" t="str">
        <v/>
      </c>
      <c r="CD42" t="str">
        <v/>
      </c>
      <c r="CE42" t="str">
        <v/>
      </c>
      <c r="CF42" t="str">
        <v/>
      </c>
    </row>
    <row r="43" spans="1:84" x14ac:dyDescent="0.3">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Par Montana Llc 10</v>
      </c>
      <c r="BH43" t="str">
        <v>blendSAF</v>
      </c>
      <c r="BI43" t="str">
        <v/>
      </c>
      <c r="BJ43" t="str">
        <v/>
      </c>
      <c r="BK43" t="str">
        <v/>
      </c>
      <c r="BL43" t="str">
        <v/>
      </c>
      <c r="BM43" t="str">
        <v/>
      </c>
      <c r="BY43" t="str">
        <v>processor</v>
      </c>
      <c r="BZ43" t="str">
        <v>Par Montana Llc 9</v>
      </c>
      <c r="CA43" t="str">
        <v>blendSAF</v>
      </c>
      <c r="CB43" t="str">
        <v/>
      </c>
      <c r="CC43" t="str">
        <v/>
      </c>
      <c r="CD43" t="str">
        <v/>
      </c>
      <c r="CE43" t="str">
        <v/>
      </c>
      <c r="CF43" t="str">
        <v/>
      </c>
    </row>
    <row r="44" spans="1:84" x14ac:dyDescent="0.3">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Petrogas West Llc</v>
      </c>
      <c r="BH44" t="str">
        <v>blendSAF</v>
      </c>
      <c r="BI44" t="str">
        <v/>
      </c>
      <c r="BJ44" t="str">
        <v/>
      </c>
      <c r="BK44" t="str">
        <v/>
      </c>
      <c r="BL44" t="str">
        <v/>
      </c>
      <c r="BM44" t="str">
        <v/>
      </c>
      <c r="BY44" t="str">
        <v>processor</v>
      </c>
      <c r="BZ44" t="str">
        <v>Par Montana Llc 10</v>
      </c>
      <c r="CA44" t="str">
        <v>blendSAF</v>
      </c>
      <c r="CB44" t="str">
        <v/>
      </c>
      <c r="CC44" t="str">
        <v/>
      </c>
      <c r="CD44" t="str">
        <v/>
      </c>
      <c r="CE44" t="str">
        <v/>
      </c>
      <c r="CF44" t="str">
        <v/>
      </c>
    </row>
    <row r="45" spans="1:84" x14ac:dyDescent="0.3">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Equilon Enterprises Llc 5</v>
      </c>
      <c r="BH45" t="str">
        <v>blendSAF</v>
      </c>
      <c r="BI45" t="str">
        <v/>
      </c>
      <c r="BJ45" t="str">
        <v/>
      </c>
      <c r="BK45" t="str">
        <v/>
      </c>
      <c r="BL45" t="str">
        <v/>
      </c>
      <c r="BM45" t="str">
        <v/>
      </c>
      <c r="BY45" t="str">
        <v>processor</v>
      </c>
      <c r="BZ45" t="str">
        <v>Petrogas West Llc</v>
      </c>
      <c r="CA45" t="str">
        <v>blendSAF</v>
      </c>
      <c r="CB45" t="str">
        <v/>
      </c>
      <c r="CC45" t="str">
        <v/>
      </c>
      <c r="CD45" t="str">
        <v/>
      </c>
      <c r="CE45" t="str">
        <v/>
      </c>
      <c r="CF45" t="str">
        <v/>
      </c>
    </row>
    <row r="46" spans="1:84" x14ac:dyDescent="0.3">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Tidewater Terminal Co 1</v>
      </c>
      <c r="BH46" t="str">
        <v>blendSAF</v>
      </c>
      <c r="BI46" t="str">
        <v/>
      </c>
      <c r="BJ46" t="str">
        <v/>
      </c>
      <c r="BK46" t="str">
        <v/>
      </c>
      <c r="BL46" t="str">
        <v/>
      </c>
      <c r="BM46" t="str">
        <v/>
      </c>
      <c r="BY46" t="str">
        <v>processor</v>
      </c>
      <c r="BZ46" t="str">
        <v>Equilon Enterprises Llc 5</v>
      </c>
      <c r="CA46" t="str">
        <v>blendSAF</v>
      </c>
      <c r="CB46" t="str">
        <v/>
      </c>
      <c r="CC46" t="str">
        <v/>
      </c>
      <c r="CD46" t="str">
        <v/>
      </c>
      <c r="CE46" t="str">
        <v/>
      </c>
      <c r="CF46" t="str">
        <v/>
      </c>
    </row>
    <row r="47" spans="1:84" x14ac:dyDescent="0.3">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Tidewater Terminal Co 3</v>
      </c>
      <c r="BH47" t="str">
        <v>blendSAF</v>
      </c>
      <c r="BI47" t="str">
        <v/>
      </c>
      <c r="BJ47" t="str">
        <v/>
      </c>
      <c r="BK47" t="str">
        <v/>
      </c>
      <c r="BL47" t="str">
        <v/>
      </c>
      <c r="BM47" t="str">
        <v/>
      </c>
      <c r="BY47" t="str">
        <v>processor</v>
      </c>
      <c r="BZ47" t="str">
        <v>Tidewater Terminal Co 1</v>
      </c>
      <c r="CA47" t="str">
        <v>blendSAF</v>
      </c>
      <c r="CB47" t="str">
        <v/>
      </c>
      <c r="CC47" t="str">
        <v/>
      </c>
      <c r="CD47" t="str">
        <v/>
      </c>
      <c r="CE47" t="str">
        <v/>
      </c>
      <c r="CF47" t="str">
        <v/>
      </c>
    </row>
    <row r="48" spans="1:84" x14ac:dyDescent="0.3">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Y48" t="str">
        <v>processor</v>
      </c>
      <c r="BZ48" t="str">
        <v>Tidewater Terminal Co 3</v>
      </c>
      <c r="CA48" t="str">
        <v>blendSAF</v>
      </c>
      <c r="CB48" t="str">
        <v/>
      </c>
      <c r="CC48" t="str">
        <v/>
      </c>
      <c r="CD48" t="str">
        <v/>
      </c>
      <c r="CE48" t="str">
        <v/>
      </c>
      <c r="CF48" t="str">
        <v/>
      </c>
    </row>
    <row r="49" spans="1:84" x14ac:dyDescent="0.3">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Y49" t="str">
        <v>ultimate_destination</v>
      </c>
      <c r="BZ49" t="str">
        <v>SEA</v>
      </c>
      <c r="CA49" t="str">
        <v>fuel_blend</v>
      </c>
      <c r="CB49">
        <v>692000000</v>
      </c>
      <c r="CC49" t="str">
        <v>gallons</v>
      </c>
      <c r="CD49" t="str">
        <v/>
      </c>
      <c r="CE49" t="str">
        <v/>
      </c>
      <c r="CF49" t="str">
        <v/>
      </c>
    </row>
    <row r="50" spans="1:84" x14ac:dyDescent="0.3">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Y50" t="str">
        <v>processor</v>
      </c>
      <c r="BZ50" t="str">
        <v>Montana Renewables (Calumet)</v>
      </c>
      <c r="CA50" t="str">
        <v>makeSAF_Existing</v>
      </c>
      <c r="CB50">
        <v>1808015.6183272291</v>
      </c>
      <c r="CC50" t="str">
        <v>tons</v>
      </c>
      <c r="CD50" t="str">
        <v/>
      </c>
      <c r="CE50" t="str">
        <v/>
      </c>
      <c r="CF50" t="str">
        <v/>
      </c>
    </row>
    <row r="51" spans="1:84" x14ac:dyDescent="0.3">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Y51" t="str">
        <v>processor</v>
      </c>
      <c r="BZ51" t="str">
        <v>Next Renewable Fuels Inc.</v>
      </c>
      <c r="CA51" t="str">
        <v>makeSAF_Existing</v>
      </c>
      <c r="CB51">
        <v>4700840.607650795</v>
      </c>
      <c r="CC51" t="str">
        <v>tons</v>
      </c>
      <c r="CD51" t="str">
        <v/>
      </c>
      <c r="CE51" t="str">
        <v/>
      </c>
      <c r="CF51" t="str">
        <v/>
      </c>
    </row>
    <row r="52" spans="1:84" x14ac:dyDescent="0.3">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84" x14ac:dyDescent="0.3">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84" x14ac:dyDescent="0.3">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84" x14ac:dyDescent="0.3">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84" x14ac:dyDescent="0.3">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84" x14ac:dyDescent="0.3">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84" x14ac:dyDescent="0.3">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84" x14ac:dyDescent="0.3">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84" x14ac:dyDescent="0.3">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84" x14ac:dyDescent="0.3">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84" x14ac:dyDescent="0.3">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84" x14ac:dyDescent="0.3">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84" x14ac:dyDescent="0.3">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193</v>
      </c>
      <c r="B80" t="s">
        <v>236</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192</v>
      </c>
      <c r="B83" t="s">
        <v>236</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248</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2026-08-04T06:30:08Z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